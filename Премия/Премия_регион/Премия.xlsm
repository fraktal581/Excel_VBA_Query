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I:\19(Аналитика)\ЕАЭС\Премия\"/>
    </mc:Choice>
  </mc:AlternateContent>
  <xr:revisionPtr revIDLastSave="0" documentId="13_ncr:1_{DDA04EE1-D9DB-4CCD-A3A3-A5BB69B619B7}" xr6:coauthVersionLast="47" xr6:coauthVersionMax="47" xr10:uidLastSave="{00000000-0000-0000-0000-000000000000}"/>
  <bookViews>
    <workbookView xWindow="-120" yWindow="-120" windowWidth="28110" windowHeight="16440" tabRatio="752" xr2:uid="{00000000-000D-0000-FFFF-FFFF00000000}"/>
  </bookViews>
  <sheets>
    <sheet name="ВСП" sheetId="5" r:id="rId1"/>
    <sheet name="СВОД" sheetId="4" r:id="rId2"/>
    <sheet name="Список_сотрудников" sheetId="6" r:id="rId3"/>
    <sheet name="ТГ" sheetId="9" r:id="rId4"/>
    <sheet name="ПДЗ" sheetId="3" r:id="rId5"/>
    <sheet name="Продажи по акции" sheetId="13" state="veryHidden" r:id="rId6"/>
    <sheet name="Факт_продаж" sheetId="1" state="veryHidden" r:id="rId7"/>
    <sheet name="Приход_ДС" sheetId="2" state="veryHidden" r:id="rId8"/>
    <sheet name="ОБОРОТ" sheetId="7" state="veryHidden" r:id="rId9"/>
    <sheet name="ТГ_ИД" sheetId="10" state="veryHidden" r:id="rId10"/>
  </sheets>
  <functionGroups builtInGroupCount="19"/>
  <definedNames>
    <definedName name="_xlnm._FilterDatabase" localSheetId="4" hidden="1">ПДЗ!$A$1:$H$1199</definedName>
    <definedName name="_xlnm._FilterDatabase" localSheetId="1" hidden="1">СВОД!$A$1:$F$8</definedName>
    <definedName name="_xlnm._FilterDatabase" localSheetId="2" hidden="1">Список_сотрудников!$A$1:$R$8</definedName>
    <definedName name="_xlnm._FilterDatabase" localSheetId="6" hidden="1">Факт_продаж!#REF!</definedName>
    <definedName name="ExternalData_1" localSheetId="0" hidden="1">ВСП!$S$20:$T$22</definedName>
    <definedName name="ExternalData_1" localSheetId="8" hidden="1">ОБОРОТ!$A$1:$D$25</definedName>
    <definedName name="ExternalData_1" localSheetId="7" hidden="1">Приход_ДС!$A$1:$D$3</definedName>
    <definedName name="ExternalData_1" localSheetId="9" hidden="1">ТГ_ИД!$A$1:$E$3336</definedName>
    <definedName name="ExternalData_2" localSheetId="0" hidden="1">ВСП!$S$14:$T$17</definedName>
    <definedName name="ExternalData_2" localSheetId="5" hidden="1">'Продажи по акции'!$A$1:$H$7</definedName>
    <definedName name="ExternalData_2" localSheetId="6" hidden="1">Факт_продаж!$A$1:$D$3</definedName>
    <definedName name="ExternalData_3" localSheetId="0" hidden="1">ВСП!$M$40:$O$41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Список_столбцов_62e6ba1a-9e4a-4d2d-99fe-587ae38849ad" name="Список_столбцов" connection="Запрос — Список_столбцов"/>
          <x15:modelTable id="Новые_клиенты_для_премии_1be77737-26f2-4a2d-8195-73648d811550" name="Новые_клиенты_для_премии" connection="Запрос — Новые_клиенты_для_премии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" i="9" l="1"/>
  <c r="L16" i="9"/>
  <c r="M16" i="9"/>
  <c r="N16" i="9"/>
  <c r="O16" i="9"/>
  <c r="P16" i="9"/>
  <c r="Q16" i="9"/>
  <c r="R16" i="9"/>
  <c r="S16" i="9"/>
  <c r="T16" i="9"/>
  <c r="U16" i="9"/>
  <c r="V16" i="9"/>
  <c r="K17" i="9"/>
  <c r="L17" i="9"/>
  <c r="M17" i="9"/>
  <c r="N17" i="9"/>
  <c r="O17" i="9"/>
  <c r="P17" i="9"/>
  <c r="Q17" i="9"/>
  <c r="R17" i="9"/>
  <c r="S17" i="9"/>
  <c r="T17" i="9"/>
  <c r="U17" i="9"/>
  <c r="V17" i="9"/>
  <c r="K18" i="9"/>
  <c r="L18" i="9"/>
  <c r="M18" i="9"/>
  <c r="N18" i="9"/>
  <c r="O18" i="9"/>
  <c r="P18" i="9"/>
  <c r="Q18" i="9"/>
  <c r="R18" i="9"/>
  <c r="S18" i="9"/>
  <c r="T18" i="9"/>
  <c r="U18" i="9"/>
  <c r="V18" i="9"/>
  <c r="K19" i="9"/>
  <c r="L19" i="9"/>
  <c r="M19" i="9"/>
  <c r="N19" i="9"/>
  <c r="O19" i="9"/>
  <c r="P19" i="9"/>
  <c r="Q19" i="9"/>
  <c r="R19" i="9"/>
  <c r="S19" i="9"/>
  <c r="T19" i="9"/>
  <c r="U19" i="9"/>
  <c r="V19" i="9"/>
  <c r="K20" i="9"/>
  <c r="L20" i="9"/>
  <c r="M20" i="9"/>
  <c r="N20" i="9"/>
  <c r="O20" i="9"/>
  <c r="P20" i="9"/>
  <c r="Q20" i="9"/>
  <c r="R20" i="9"/>
  <c r="S20" i="9"/>
  <c r="T20" i="9"/>
  <c r="U20" i="9"/>
  <c r="V20" i="9"/>
  <c r="K21" i="9"/>
  <c r="L21" i="9"/>
  <c r="M21" i="9"/>
  <c r="N21" i="9"/>
  <c r="O21" i="9"/>
  <c r="P21" i="9"/>
  <c r="Q21" i="9"/>
  <c r="R21" i="9"/>
  <c r="S21" i="9"/>
  <c r="T21" i="9"/>
  <c r="U21" i="9"/>
  <c r="V21" i="9"/>
  <c r="K22" i="9"/>
  <c r="L22" i="9"/>
  <c r="M22" i="9"/>
  <c r="N22" i="9"/>
  <c r="O22" i="9"/>
  <c r="P22" i="9"/>
  <c r="Q22" i="9"/>
  <c r="R22" i="9"/>
  <c r="S22" i="9"/>
  <c r="T22" i="9"/>
  <c r="U22" i="9"/>
  <c r="V22" i="9"/>
  <c r="K23" i="9"/>
  <c r="L23" i="9"/>
  <c r="M23" i="9"/>
  <c r="N23" i="9"/>
  <c r="O23" i="9"/>
  <c r="P23" i="9"/>
  <c r="Q23" i="9"/>
  <c r="R23" i="9"/>
  <c r="S23" i="9"/>
  <c r="T23" i="9"/>
  <c r="U23" i="9"/>
  <c r="V23" i="9"/>
  <c r="K24" i="9"/>
  <c r="L24" i="9"/>
  <c r="M24" i="9"/>
  <c r="N24" i="9"/>
  <c r="O24" i="9"/>
  <c r="P24" i="9"/>
  <c r="Q24" i="9"/>
  <c r="R24" i="9"/>
  <c r="S24" i="9"/>
  <c r="T24" i="9"/>
  <c r="U24" i="9"/>
  <c r="V24" i="9"/>
  <c r="K25" i="9"/>
  <c r="L25" i="9"/>
  <c r="M25" i="9"/>
  <c r="N25" i="9"/>
  <c r="O25" i="9"/>
  <c r="P25" i="9"/>
  <c r="Q25" i="9"/>
  <c r="R25" i="9"/>
  <c r="S25" i="9"/>
  <c r="T25" i="9"/>
  <c r="U25" i="9"/>
  <c r="V25" i="9"/>
  <c r="K26" i="9"/>
  <c r="L26" i="9"/>
  <c r="M26" i="9"/>
  <c r="N26" i="9"/>
  <c r="O26" i="9"/>
  <c r="P26" i="9"/>
  <c r="Q26" i="9"/>
  <c r="R26" i="9"/>
  <c r="S26" i="9"/>
  <c r="T26" i="9"/>
  <c r="U26" i="9"/>
  <c r="V26" i="9"/>
  <c r="K27" i="9"/>
  <c r="L27" i="9"/>
  <c r="M27" i="9"/>
  <c r="N27" i="9"/>
  <c r="O27" i="9"/>
  <c r="P27" i="9"/>
  <c r="Q27" i="9"/>
  <c r="R27" i="9"/>
  <c r="S27" i="9"/>
  <c r="T27" i="9"/>
  <c r="U27" i="9"/>
  <c r="V27" i="9"/>
  <c r="K28" i="9"/>
  <c r="L28" i="9"/>
  <c r="M28" i="9"/>
  <c r="N28" i="9"/>
  <c r="O28" i="9"/>
  <c r="P28" i="9"/>
  <c r="Q28" i="9"/>
  <c r="R28" i="9"/>
  <c r="S28" i="9"/>
  <c r="T28" i="9"/>
  <c r="U28" i="9"/>
  <c r="V28" i="9"/>
  <c r="K29" i="9"/>
  <c r="L29" i="9"/>
  <c r="M29" i="9"/>
  <c r="N29" i="9"/>
  <c r="O29" i="9"/>
  <c r="P29" i="9"/>
  <c r="Q29" i="9"/>
  <c r="R29" i="9"/>
  <c r="S29" i="9"/>
  <c r="T29" i="9"/>
  <c r="U29" i="9"/>
  <c r="V29" i="9"/>
  <c r="K30" i="9"/>
  <c r="L30" i="9"/>
  <c r="M30" i="9"/>
  <c r="N30" i="9"/>
  <c r="O30" i="9"/>
  <c r="P30" i="9"/>
  <c r="Q30" i="9"/>
  <c r="R30" i="9"/>
  <c r="S30" i="9"/>
  <c r="T30" i="9"/>
  <c r="U30" i="9"/>
  <c r="V30" i="9"/>
  <c r="K31" i="9"/>
  <c r="L31" i="9"/>
  <c r="M31" i="9"/>
  <c r="N31" i="9"/>
  <c r="O31" i="9"/>
  <c r="P31" i="9"/>
  <c r="Q31" i="9"/>
  <c r="R31" i="9"/>
  <c r="S31" i="9"/>
  <c r="T31" i="9"/>
  <c r="U31" i="9"/>
  <c r="V31" i="9"/>
  <c r="K32" i="9"/>
  <c r="L32" i="9"/>
  <c r="M32" i="9"/>
  <c r="N32" i="9"/>
  <c r="O32" i="9"/>
  <c r="P32" i="9"/>
  <c r="Q32" i="9"/>
  <c r="R32" i="9"/>
  <c r="S32" i="9"/>
  <c r="T32" i="9"/>
  <c r="U32" i="9"/>
  <c r="V32" i="9"/>
  <c r="K33" i="9"/>
  <c r="L33" i="9"/>
  <c r="M33" i="9"/>
  <c r="N33" i="9"/>
  <c r="O33" i="9"/>
  <c r="P33" i="9"/>
  <c r="Q33" i="9"/>
  <c r="R33" i="9"/>
  <c r="S33" i="9"/>
  <c r="T33" i="9"/>
  <c r="U33" i="9"/>
  <c r="V33" i="9"/>
  <c r="K34" i="9"/>
  <c r="L34" i="9"/>
  <c r="M34" i="9"/>
  <c r="N34" i="9"/>
  <c r="O34" i="9"/>
  <c r="P34" i="9"/>
  <c r="Q34" i="9"/>
  <c r="R34" i="9"/>
  <c r="S34" i="9"/>
  <c r="T34" i="9"/>
  <c r="U34" i="9"/>
  <c r="V34" i="9"/>
  <c r="K35" i="9"/>
  <c r="L35" i="9"/>
  <c r="M35" i="9"/>
  <c r="N35" i="9"/>
  <c r="O35" i="9"/>
  <c r="P35" i="9"/>
  <c r="Q35" i="9"/>
  <c r="R35" i="9"/>
  <c r="S35" i="9"/>
  <c r="T35" i="9"/>
  <c r="U35" i="9"/>
  <c r="V35" i="9"/>
  <c r="K36" i="9"/>
  <c r="L36" i="9"/>
  <c r="M36" i="9"/>
  <c r="N36" i="9"/>
  <c r="O36" i="9"/>
  <c r="P36" i="9"/>
  <c r="Q36" i="9"/>
  <c r="R36" i="9"/>
  <c r="S36" i="9"/>
  <c r="T36" i="9"/>
  <c r="U36" i="9"/>
  <c r="V36" i="9"/>
  <c r="K37" i="9"/>
  <c r="L37" i="9"/>
  <c r="M37" i="9"/>
  <c r="N37" i="9"/>
  <c r="O37" i="9"/>
  <c r="P37" i="9"/>
  <c r="Q37" i="9"/>
  <c r="R37" i="9"/>
  <c r="S37" i="9"/>
  <c r="T37" i="9"/>
  <c r="U37" i="9"/>
  <c r="V37" i="9"/>
  <c r="K38" i="9"/>
  <c r="L38" i="9"/>
  <c r="M38" i="9"/>
  <c r="N38" i="9"/>
  <c r="O38" i="9"/>
  <c r="P38" i="9"/>
  <c r="Q38" i="9"/>
  <c r="R38" i="9"/>
  <c r="S38" i="9"/>
  <c r="T38" i="9"/>
  <c r="U38" i="9"/>
  <c r="V38" i="9"/>
  <c r="K39" i="9"/>
  <c r="L39" i="9"/>
  <c r="M39" i="9"/>
  <c r="N39" i="9"/>
  <c r="O39" i="9"/>
  <c r="P39" i="9"/>
  <c r="Q39" i="9"/>
  <c r="R39" i="9"/>
  <c r="S39" i="9"/>
  <c r="T39" i="9"/>
  <c r="U39" i="9"/>
  <c r="V39" i="9"/>
  <c r="K40" i="9"/>
  <c r="L40" i="9"/>
  <c r="M40" i="9"/>
  <c r="N40" i="9"/>
  <c r="O40" i="9"/>
  <c r="P40" i="9"/>
  <c r="Q40" i="9"/>
  <c r="R40" i="9"/>
  <c r="S40" i="9"/>
  <c r="T40" i="9"/>
  <c r="U40" i="9"/>
  <c r="V40" i="9"/>
  <c r="K41" i="9"/>
  <c r="L41" i="9"/>
  <c r="M41" i="9"/>
  <c r="N41" i="9"/>
  <c r="O41" i="9"/>
  <c r="P41" i="9"/>
  <c r="Q41" i="9"/>
  <c r="R41" i="9"/>
  <c r="S41" i="9"/>
  <c r="T41" i="9"/>
  <c r="U41" i="9"/>
  <c r="V41" i="9"/>
  <c r="K42" i="9"/>
  <c r="L42" i="9"/>
  <c r="M42" i="9"/>
  <c r="N42" i="9"/>
  <c r="O42" i="9"/>
  <c r="P42" i="9"/>
  <c r="Q42" i="9"/>
  <c r="R42" i="9"/>
  <c r="S42" i="9"/>
  <c r="T42" i="9"/>
  <c r="U42" i="9"/>
  <c r="V42" i="9"/>
  <c r="K43" i="9"/>
  <c r="L43" i="9"/>
  <c r="M43" i="9"/>
  <c r="N43" i="9"/>
  <c r="O43" i="9"/>
  <c r="P43" i="9"/>
  <c r="Q43" i="9"/>
  <c r="R43" i="9"/>
  <c r="S43" i="9"/>
  <c r="T43" i="9"/>
  <c r="U43" i="9"/>
  <c r="V43" i="9"/>
  <c r="K44" i="9"/>
  <c r="L44" i="9"/>
  <c r="M44" i="9"/>
  <c r="N44" i="9"/>
  <c r="O44" i="9"/>
  <c r="P44" i="9"/>
  <c r="Q44" i="9"/>
  <c r="R44" i="9"/>
  <c r="S44" i="9"/>
  <c r="T44" i="9"/>
  <c r="U44" i="9"/>
  <c r="V44" i="9"/>
  <c r="K45" i="9"/>
  <c r="L45" i="9"/>
  <c r="M45" i="9"/>
  <c r="N45" i="9"/>
  <c r="O45" i="9"/>
  <c r="P45" i="9"/>
  <c r="Q45" i="9"/>
  <c r="R45" i="9"/>
  <c r="S45" i="9"/>
  <c r="T45" i="9"/>
  <c r="U45" i="9"/>
  <c r="V45" i="9"/>
  <c r="K46" i="9"/>
  <c r="L46" i="9"/>
  <c r="M46" i="9"/>
  <c r="N46" i="9"/>
  <c r="O46" i="9"/>
  <c r="P46" i="9"/>
  <c r="Q46" i="9"/>
  <c r="R46" i="9"/>
  <c r="S46" i="9"/>
  <c r="T46" i="9"/>
  <c r="U46" i="9"/>
  <c r="V46" i="9"/>
  <c r="K47" i="9"/>
  <c r="L47" i="9"/>
  <c r="M47" i="9"/>
  <c r="N47" i="9"/>
  <c r="O47" i="9"/>
  <c r="P47" i="9"/>
  <c r="Q47" i="9"/>
  <c r="R47" i="9"/>
  <c r="S47" i="9"/>
  <c r="T47" i="9"/>
  <c r="U47" i="9"/>
  <c r="V47" i="9"/>
  <c r="K48" i="9"/>
  <c r="L48" i="9"/>
  <c r="M48" i="9"/>
  <c r="N48" i="9"/>
  <c r="O48" i="9"/>
  <c r="P48" i="9"/>
  <c r="Q48" i="9"/>
  <c r="R48" i="9"/>
  <c r="S48" i="9"/>
  <c r="T48" i="9"/>
  <c r="U48" i="9"/>
  <c r="V48" i="9"/>
  <c r="K49" i="9"/>
  <c r="L49" i="9"/>
  <c r="M49" i="9"/>
  <c r="N49" i="9"/>
  <c r="O49" i="9"/>
  <c r="P49" i="9"/>
  <c r="Q49" i="9"/>
  <c r="R49" i="9"/>
  <c r="S49" i="9"/>
  <c r="T49" i="9"/>
  <c r="U49" i="9"/>
  <c r="V49" i="9"/>
  <c r="K50" i="9"/>
  <c r="L50" i="9"/>
  <c r="M50" i="9"/>
  <c r="N50" i="9"/>
  <c r="O50" i="9"/>
  <c r="P50" i="9"/>
  <c r="Q50" i="9"/>
  <c r="R50" i="9"/>
  <c r="S50" i="9"/>
  <c r="T50" i="9"/>
  <c r="U50" i="9"/>
  <c r="V50" i="9"/>
  <c r="K51" i="9"/>
  <c r="L51" i="9"/>
  <c r="M51" i="9"/>
  <c r="N51" i="9"/>
  <c r="O51" i="9"/>
  <c r="P51" i="9"/>
  <c r="Q51" i="9"/>
  <c r="R51" i="9"/>
  <c r="S51" i="9"/>
  <c r="T51" i="9"/>
  <c r="U51" i="9"/>
  <c r="V51" i="9"/>
  <c r="K52" i="9"/>
  <c r="L52" i="9"/>
  <c r="M52" i="9"/>
  <c r="N52" i="9"/>
  <c r="O52" i="9"/>
  <c r="P52" i="9"/>
  <c r="Q52" i="9"/>
  <c r="R52" i="9"/>
  <c r="S52" i="9"/>
  <c r="T52" i="9"/>
  <c r="U52" i="9"/>
  <c r="V52" i="9"/>
  <c r="K53" i="9"/>
  <c r="L53" i="9"/>
  <c r="M53" i="9"/>
  <c r="N53" i="9"/>
  <c r="O53" i="9"/>
  <c r="P53" i="9"/>
  <c r="Q53" i="9"/>
  <c r="R53" i="9"/>
  <c r="S53" i="9"/>
  <c r="T53" i="9"/>
  <c r="U53" i="9"/>
  <c r="V53" i="9"/>
  <c r="K54" i="9"/>
  <c r="L54" i="9"/>
  <c r="M54" i="9"/>
  <c r="N54" i="9"/>
  <c r="O54" i="9"/>
  <c r="P54" i="9"/>
  <c r="Q54" i="9"/>
  <c r="R54" i="9"/>
  <c r="S54" i="9"/>
  <c r="T54" i="9"/>
  <c r="U54" i="9"/>
  <c r="V54" i="9"/>
  <c r="K55" i="9"/>
  <c r="L55" i="9"/>
  <c r="M55" i="9"/>
  <c r="N55" i="9"/>
  <c r="O55" i="9"/>
  <c r="P55" i="9"/>
  <c r="Q55" i="9"/>
  <c r="R55" i="9"/>
  <c r="S55" i="9"/>
  <c r="T55" i="9"/>
  <c r="U55" i="9"/>
  <c r="V55" i="9"/>
  <c r="K56" i="9"/>
  <c r="L56" i="9"/>
  <c r="M56" i="9"/>
  <c r="N56" i="9"/>
  <c r="O56" i="9"/>
  <c r="P56" i="9"/>
  <c r="Q56" i="9"/>
  <c r="R56" i="9"/>
  <c r="S56" i="9"/>
  <c r="T56" i="9"/>
  <c r="U56" i="9"/>
  <c r="V56" i="9"/>
  <c r="K57" i="9"/>
  <c r="L57" i="9"/>
  <c r="M57" i="9"/>
  <c r="N57" i="9"/>
  <c r="O57" i="9"/>
  <c r="P57" i="9"/>
  <c r="Q57" i="9"/>
  <c r="R57" i="9"/>
  <c r="S57" i="9"/>
  <c r="T57" i="9"/>
  <c r="U57" i="9"/>
  <c r="V57" i="9"/>
  <c r="K58" i="9"/>
  <c r="L58" i="9"/>
  <c r="M58" i="9"/>
  <c r="N58" i="9"/>
  <c r="O58" i="9"/>
  <c r="P58" i="9"/>
  <c r="Q58" i="9"/>
  <c r="R58" i="9"/>
  <c r="S58" i="9"/>
  <c r="T58" i="9"/>
  <c r="U58" i="9"/>
  <c r="V58" i="9"/>
  <c r="K59" i="9"/>
  <c r="L59" i="9"/>
  <c r="M59" i="9"/>
  <c r="N59" i="9"/>
  <c r="O59" i="9"/>
  <c r="P59" i="9"/>
  <c r="Q59" i="9"/>
  <c r="R59" i="9"/>
  <c r="S59" i="9"/>
  <c r="T59" i="9"/>
  <c r="U59" i="9"/>
  <c r="V59" i="9"/>
  <c r="K60" i="9"/>
  <c r="L60" i="9"/>
  <c r="M60" i="9"/>
  <c r="N60" i="9"/>
  <c r="O60" i="9"/>
  <c r="P60" i="9"/>
  <c r="Q60" i="9"/>
  <c r="R60" i="9"/>
  <c r="S60" i="9"/>
  <c r="T60" i="9"/>
  <c r="U60" i="9"/>
  <c r="V60" i="9"/>
  <c r="K61" i="9"/>
  <c r="L61" i="9"/>
  <c r="M61" i="9"/>
  <c r="N61" i="9"/>
  <c r="O61" i="9"/>
  <c r="P61" i="9"/>
  <c r="Q61" i="9"/>
  <c r="R61" i="9"/>
  <c r="S61" i="9"/>
  <c r="T61" i="9"/>
  <c r="U61" i="9"/>
  <c r="V61" i="9"/>
  <c r="K62" i="9"/>
  <c r="L62" i="9"/>
  <c r="M62" i="9"/>
  <c r="N62" i="9"/>
  <c r="O62" i="9"/>
  <c r="P62" i="9"/>
  <c r="Q62" i="9"/>
  <c r="R62" i="9"/>
  <c r="S62" i="9"/>
  <c r="T62" i="9"/>
  <c r="U62" i="9"/>
  <c r="V62" i="9"/>
  <c r="K63" i="9"/>
  <c r="L63" i="9"/>
  <c r="M63" i="9"/>
  <c r="N63" i="9"/>
  <c r="O63" i="9"/>
  <c r="P63" i="9"/>
  <c r="Q63" i="9"/>
  <c r="R63" i="9"/>
  <c r="S63" i="9"/>
  <c r="T63" i="9"/>
  <c r="U63" i="9"/>
  <c r="V63" i="9"/>
  <c r="K64" i="9"/>
  <c r="L64" i="9"/>
  <c r="M64" i="9"/>
  <c r="N64" i="9"/>
  <c r="O64" i="9"/>
  <c r="P64" i="9"/>
  <c r="Q64" i="9"/>
  <c r="R64" i="9"/>
  <c r="S64" i="9"/>
  <c r="T64" i="9"/>
  <c r="U64" i="9"/>
  <c r="V64" i="9"/>
  <c r="K65" i="9"/>
  <c r="L65" i="9"/>
  <c r="M65" i="9"/>
  <c r="N65" i="9"/>
  <c r="O65" i="9"/>
  <c r="P65" i="9"/>
  <c r="Q65" i="9"/>
  <c r="R65" i="9"/>
  <c r="S65" i="9"/>
  <c r="T65" i="9"/>
  <c r="U65" i="9"/>
  <c r="V65" i="9"/>
  <c r="K66" i="9"/>
  <c r="L66" i="9"/>
  <c r="M66" i="9"/>
  <c r="N66" i="9"/>
  <c r="O66" i="9"/>
  <c r="P66" i="9"/>
  <c r="Q66" i="9"/>
  <c r="R66" i="9"/>
  <c r="S66" i="9"/>
  <c r="T66" i="9"/>
  <c r="U66" i="9"/>
  <c r="V66" i="9"/>
  <c r="K67" i="9"/>
  <c r="L67" i="9"/>
  <c r="M67" i="9"/>
  <c r="N67" i="9"/>
  <c r="O67" i="9"/>
  <c r="P67" i="9"/>
  <c r="Q67" i="9"/>
  <c r="R67" i="9"/>
  <c r="S67" i="9"/>
  <c r="T67" i="9"/>
  <c r="U67" i="9"/>
  <c r="V67" i="9"/>
  <c r="K68" i="9"/>
  <c r="L68" i="9"/>
  <c r="M68" i="9"/>
  <c r="N68" i="9"/>
  <c r="O68" i="9"/>
  <c r="P68" i="9"/>
  <c r="Q68" i="9"/>
  <c r="R68" i="9"/>
  <c r="S68" i="9"/>
  <c r="T68" i="9"/>
  <c r="U68" i="9"/>
  <c r="V68" i="9"/>
  <c r="K69" i="9"/>
  <c r="L69" i="9"/>
  <c r="M69" i="9"/>
  <c r="N69" i="9"/>
  <c r="O69" i="9"/>
  <c r="P69" i="9"/>
  <c r="Q69" i="9"/>
  <c r="R69" i="9"/>
  <c r="S69" i="9"/>
  <c r="T69" i="9"/>
  <c r="U69" i="9"/>
  <c r="V69" i="9"/>
  <c r="K70" i="9"/>
  <c r="L70" i="9"/>
  <c r="M70" i="9"/>
  <c r="N70" i="9"/>
  <c r="O70" i="9"/>
  <c r="P70" i="9"/>
  <c r="Q70" i="9"/>
  <c r="R70" i="9"/>
  <c r="S70" i="9"/>
  <c r="T70" i="9"/>
  <c r="U70" i="9"/>
  <c r="V70" i="9"/>
  <c r="K71" i="9"/>
  <c r="L71" i="9"/>
  <c r="M71" i="9"/>
  <c r="N71" i="9"/>
  <c r="O71" i="9"/>
  <c r="P71" i="9"/>
  <c r="Q71" i="9"/>
  <c r="R71" i="9"/>
  <c r="S71" i="9"/>
  <c r="T71" i="9"/>
  <c r="U71" i="9"/>
  <c r="V71" i="9"/>
  <c r="K72" i="9"/>
  <c r="L72" i="9"/>
  <c r="M72" i="9"/>
  <c r="N72" i="9"/>
  <c r="O72" i="9"/>
  <c r="P72" i="9"/>
  <c r="Q72" i="9"/>
  <c r="R72" i="9"/>
  <c r="S72" i="9"/>
  <c r="T72" i="9"/>
  <c r="U72" i="9"/>
  <c r="V72" i="9"/>
  <c r="K73" i="9"/>
  <c r="L73" i="9"/>
  <c r="M73" i="9"/>
  <c r="N73" i="9"/>
  <c r="O73" i="9"/>
  <c r="P73" i="9"/>
  <c r="Q73" i="9"/>
  <c r="R73" i="9"/>
  <c r="S73" i="9"/>
  <c r="T73" i="9"/>
  <c r="U73" i="9"/>
  <c r="V73" i="9"/>
  <c r="K74" i="9"/>
  <c r="L74" i="9"/>
  <c r="M74" i="9"/>
  <c r="N74" i="9"/>
  <c r="O74" i="9"/>
  <c r="P74" i="9"/>
  <c r="Q74" i="9"/>
  <c r="R74" i="9"/>
  <c r="S74" i="9"/>
  <c r="T74" i="9"/>
  <c r="U74" i="9"/>
  <c r="V74" i="9"/>
  <c r="K75" i="9"/>
  <c r="L75" i="9"/>
  <c r="M75" i="9"/>
  <c r="N75" i="9"/>
  <c r="O75" i="9"/>
  <c r="P75" i="9"/>
  <c r="Q75" i="9"/>
  <c r="R75" i="9"/>
  <c r="S75" i="9"/>
  <c r="T75" i="9"/>
  <c r="U75" i="9"/>
  <c r="V75" i="9"/>
  <c r="K76" i="9"/>
  <c r="L76" i="9"/>
  <c r="M76" i="9"/>
  <c r="N76" i="9"/>
  <c r="O76" i="9"/>
  <c r="P76" i="9"/>
  <c r="Q76" i="9"/>
  <c r="R76" i="9"/>
  <c r="S76" i="9"/>
  <c r="T76" i="9"/>
  <c r="U76" i="9"/>
  <c r="V76" i="9"/>
  <c r="K77" i="9"/>
  <c r="L77" i="9"/>
  <c r="M77" i="9"/>
  <c r="N77" i="9"/>
  <c r="O77" i="9"/>
  <c r="P77" i="9"/>
  <c r="Q77" i="9"/>
  <c r="R77" i="9"/>
  <c r="S77" i="9"/>
  <c r="T77" i="9"/>
  <c r="U77" i="9"/>
  <c r="V77" i="9"/>
  <c r="K78" i="9"/>
  <c r="L78" i="9"/>
  <c r="M78" i="9"/>
  <c r="N78" i="9"/>
  <c r="O78" i="9"/>
  <c r="P78" i="9"/>
  <c r="Q78" i="9"/>
  <c r="R78" i="9"/>
  <c r="S78" i="9"/>
  <c r="T78" i="9"/>
  <c r="U78" i="9"/>
  <c r="V78" i="9"/>
  <c r="K79" i="9"/>
  <c r="L79" i="9"/>
  <c r="M79" i="9"/>
  <c r="N79" i="9"/>
  <c r="O79" i="9"/>
  <c r="P79" i="9"/>
  <c r="Q79" i="9"/>
  <c r="R79" i="9"/>
  <c r="S79" i="9"/>
  <c r="T79" i="9"/>
  <c r="U79" i="9"/>
  <c r="V79" i="9"/>
  <c r="K80" i="9"/>
  <c r="L80" i="9"/>
  <c r="M80" i="9"/>
  <c r="N80" i="9"/>
  <c r="O80" i="9"/>
  <c r="P80" i="9"/>
  <c r="Q80" i="9"/>
  <c r="R80" i="9"/>
  <c r="S80" i="9"/>
  <c r="T80" i="9"/>
  <c r="U80" i="9"/>
  <c r="V80" i="9"/>
  <c r="K81" i="9"/>
  <c r="L81" i="9"/>
  <c r="M81" i="9"/>
  <c r="N81" i="9"/>
  <c r="O81" i="9"/>
  <c r="P81" i="9"/>
  <c r="Q81" i="9"/>
  <c r="R81" i="9"/>
  <c r="S81" i="9"/>
  <c r="T81" i="9"/>
  <c r="U81" i="9"/>
  <c r="V81" i="9"/>
  <c r="K82" i="9"/>
  <c r="L82" i="9"/>
  <c r="M82" i="9"/>
  <c r="N82" i="9"/>
  <c r="O82" i="9"/>
  <c r="P82" i="9"/>
  <c r="Q82" i="9"/>
  <c r="R82" i="9"/>
  <c r="S82" i="9"/>
  <c r="T82" i="9"/>
  <c r="U82" i="9"/>
  <c r="V82" i="9"/>
  <c r="K83" i="9"/>
  <c r="L83" i="9"/>
  <c r="M83" i="9"/>
  <c r="N83" i="9"/>
  <c r="O83" i="9"/>
  <c r="P83" i="9"/>
  <c r="Q83" i="9"/>
  <c r="R83" i="9"/>
  <c r="S83" i="9"/>
  <c r="T83" i="9"/>
  <c r="U83" i="9"/>
  <c r="V83" i="9"/>
  <c r="K84" i="9"/>
  <c r="L84" i="9"/>
  <c r="M84" i="9"/>
  <c r="N84" i="9"/>
  <c r="O84" i="9"/>
  <c r="P84" i="9"/>
  <c r="Q84" i="9"/>
  <c r="R84" i="9"/>
  <c r="S84" i="9"/>
  <c r="T84" i="9"/>
  <c r="U84" i="9"/>
  <c r="V84" i="9"/>
  <c r="K85" i="9"/>
  <c r="L85" i="9"/>
  <c r="M85" i="9"/>
  <c r="N85" i="9"/>
  <c r="O85" i="9"/>
  <c r="P85" i="9"/>
  <c r="Q85" i="9"/>
  <c r="R85" i="9"/>
  <c r="S85" i="9"/>
  <c r="T85" i="9"/>
  <c r="U85" i="9"/>
  <c r="V85" i="9"/>
  <c r="K86" i="9"/>
  <c r="L86" i="9"/>
  <c r="M86" i="9"/>
  <c r="N86" i="9"/>
  <c r="O86" i="9"/>
  <c r="P86" i="9"/>
  <c r="Q86" i="9"/>
  <c r="R86" i="9"/>
  <c r="S86" i="9"/>
  <c r="T86" i="9"/>
  <c r="U86" i="9"/>
  <c r="V86" i="9"/>
  <c r="K87" i="9"/>
  <c r="L87" i="9"/>
  <c r="M87" i="9"/>
  <c r="N87" i="9"/>
  <c r="O87" i="9"/>
  <c r="P87" i="9"/>
  <c r="Q87" i="9"/>
  <c r="R87" i="9"/>
  <c r="S87" i="9"/>
  <c r="T87" i="9"/>
  <c r="U87" i="9"/>
  <c r="V87" i="9"/>
  <c r="K88" i="9"/>
  <c r="L88" i="9"/>
  <c r="M88" i="9"/>
  <c r="N88" i="9"/>
  <c r="O88" i="9"/>
  <c r="P88" i="9"/>
  <c r="Q88" i="9"/>
  <c r="R88" i="9"/>
  <c r="S88" i="9"/>
  <c r="T88" i="9"/>
  <c r="U88" i="9"/>
  <c r="V88" i="9"/>
  <c r="K89" i="9"/>
  <c r="L89" i="9"/>
  <c r="M89" i="9"/>
  <c r="N89" i="9"/>
  <c r="O89" i="9"/>
  <c r="P89" i="9"/>
  <c r="Q89" i="9"/>
  <c r="R89" i="9"/>
  <c r="S89" i="9"/>
  <c r="T89" i="9"/>
  <c r="U89" i="9"/>
  <c r="V89" i="9"/>
  <c r="K90" i="9"/>
  <c r="L90" i="9"/>
  <c r="M90" i="9"/>
  <c r="N90" i="9"/>
  <c r="O90" i="9"/>
  <c r="P90" i="9"/>
  <c r="Q90" i="9"/>
  <c r="R90" i="9"/>
  <c r="S90" i="9"/>
  <c r="T90" i="9"/>
  <c r="U90" i="9"/>
  <c r="V90" i="9"/>
  <c r="K91" i="9"/>
  <c r="L91" i="9"/>
  <c r="M91" i="9"/>
  <c r="N91" i="9"/>
  <c r="O91" i="9"/>
  <c r="P91" i="9"/>
  <c r="Q91" i="9"/>
  <c r="R91" i="9"/>
  <c r="S91" i="9"/>
  <c r="T91" i="9"/>
  <c r="U91" i="9"/>
  <c r="V91" i="9"/>
  <c r="K92" i="9"/>
  <c r="L92" i="9"/>
  <c r="M92" i="9"/>
  <c r="N92" i="9"/>
  <c r="O92" i="9"/>
  <c r="P92" i="9"/>
  <c r="Q92" i="9"/>
  <c r="R92" i="9"/>
  <c r="S92" i="9"/>
  <c r="T92" i="9"/>
  <c r="U92" i="9"/>
  <c r="V92" i="9"/>
  <c r="K93" i="9"/>
  <c r="L93" i="9"/>
  <c r="M93" i="9"/>
  <c r="N93" i="9"/>
  <c r="O93" i="9"/>
  <c r="P93" i="9"/>
  <c r="Q93" i="9"/>
  <c r="R93" i="9"/>
  <c r="S93" i="9"/>
  <c r="T93" i="9"/>
  <c r="U93" i="9"/>
  <c r="V93" i="9"/>
  <c r="K94" i="9"/>
  <c r="L94" i="9"/>
  <c r="M94" i="9"/>
  <c r="N94" i="9"/>
  <c r="O94" i="9"/>
  <c r="P94" i="9"/>
  <c r="Q94" i="9"/>
  <c r="R94" i="9"/>
  <c r="S94" i="9"/>
  <c r="T94" i="9"/>
  <c r="U94" i="9"/>
  <c r="V94" i="9"/>
  <c r="K95" i="9"/>
  <c r="L95" i="9"/>
  <c r="M95" i="9"/>
  <c r="N95" i="9"/>
  <c r="O95" i="9"/>
  <c r="P95" i="9"/>
  <c r="Q95" i="9"/>
  <c r="R95" i="9"/>
  <c r="S95" i="9"/>
  <c r="T95" i="9"/>
  <c r="U95" i="9"/>
  <c r="V95" i="9"/>
  <c r="K96" i="9"/>
  <c r="L96" i="9"/>
  <c r="M96" i="9"/>
  <c r="N96" i="9"/>
  <c r="O96" i="9"/>
  <c r="P96" i="9"/>
  <c r="Q96" i="9"/>
  <c r="R96" i="9"/>
  <c r="S96" i="9"/>
  <c r="T96" i="9"/>
  <c r="U96" i="9"/>
  <c r="V96" i="9"/>
  <c r="K97" i="9"/>
  <c r="L97" i="9"/>
  <c r="M97" i="9"/>
  <c r="N97" i="9"/>
  <c r="O97" i="9"/>
  <c r="P97" i="9"/>
  <c r="Q97" i="9"/>
  <c r="R97" i="9"/>
  <c r="S97" i="9"/>
  <c r="T97" i="9"/>
  <c r="U97" i="9"/>
  <c r="V97" i="9"/>
  <c r="K98" i="9"/>
  <c r="L98" i="9"/>
  <c r="M98" i="9"/>
  <c r="N98" i="9"/>
  <c r="O98" i="9"/>
  <c r="P98" i="9"/>
  <c r="Q98" i="9"/>
  <c r="R98" i="9"/>
  <c r="S98" i="9"/>
  <c r="T98" i="9"/>
  <c r="U98" i="9"/>
  <c r="V98" i="9"/>
  <c r="K99" i="9"/>
  <c r="L99" i="9"/>
  <c r="M99" i="9"/>
  <c r="N99" i="9"/>
  <c r="O99" i="9"/>
  <c r="P99" i="9"/>
  <c r="Q99" i="9"/>
  <c r="R99" i="9"/>
  <c r="S99" i="9"/>
  <c r="T99" i="9"/>
  <c r="U99" i="9"/>
  <c r="V99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K113" i="9"/>
  <c r="L113" i="9"/>
  <c r="M113" i="9"/>
  <c r="N113" i="9"/>
  <c r="O113" i="9"/>
  <c r="P113" i="9"/>
  <c r="Q113" i="9"/>
  <c r="R113" i="9"/>
  <c r="S113" i="9"/>
  <c r="T113" i="9"/>
  <c r="U113" i="9"/>
  <c r="V113" i="9"/>
  <c r="K114" i="9"/>
  <c r="L114" i="9"/>
  <c r="M114" i="9"/>
  <c r="N114" i="9"/>
  <c r="O114" i="9"/>
  <c r="P114" i="9"/>
  <c r="Q114" i="9"/>
  <c r="R114" i="9"/>
  <c r="S114" i="9"/>
  <c r="T114" i="9"/>
  <c r="U114" i="9"/>
  <c r="V114" i="9"/>
  <c r="K115" i="9"/>
  <c r="L115" i="9"/>
  <c r="M115" i="9"/>
  <c r="N115" i="9"/>
  <c r="O115" i="9"/>
  <c r="P115" i="9"/>
  <c r="Q115" i="9"/>
  <c r="R115" i="9"/>
  <c r="S115" i="9"/>
  <c r="T115" i="9"/>
  <c r="U115" i="9"/>
  <c r="V115" i="9"/>
  <c r="K116" i="9"/>
  <c r="L116" i="9"/>
  <c r="M116" i="9"/>
  <c r="N116" i="9"/>
  <c r="O116" i="9"/>
  <c r="P116" i="9"/>
  <c r="Q116" i="9"/>
  <c r="R116" i="9"/>
  <c r="S116" i="9"/>
  <c r="T116" i="9"/>
  <c r="U116" i="9"/>
  <c r="V116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K118" i="9"/>
  <c r="L118" i="9"/>
  <c r="M118" i="9"/>
  <c r="N118" i="9"/>
  <c r="O118" i="9"/>
  <c r="P118" i="9"/>
  <c r="Q118" i="9"/>
  <c r="R118" i="9"/>
  <c r="S118" i="9"/>
  <c r="T118" i="9"/>
  <c r="U118" i="9"/>
  <c r="V118" i="9"/>
  <c r="K119" i="9"/>
  <c r="L119" i="9"/>
  <c r="M119" i="9"/>
  <c r="N119" i="9"/>
  <c r="O119" i="9"/>
  <c r="P119" i="9"/>
  <c r="Q119" i="9"/>
  <c r="R119" i="9"/>
  <c r="S119" i="9"/>
  <c r="T119" i="9"/>
  <c r="U119" i="9"/>
  <c r="V119" i="9"/>
  <c r="K120" i="9"/>
  <c r="L120" i="9"/>
  <c r="M120" i="9"/>
  <c r="N120" i="9"/>
  <c r="O120" i="9"/>
  <c r="P120" i="9"/>
  <c r="Q120" i="9"/>
  <c r="R120" i="9"/>
  <c r="S120" i="9"/>
  <c r="T120" i="9"/>
  <c r="U120" i="9"/>
  <c r="V120" i="9"/>
  <c r="K121" i="9"/>
  <c r="L121" i="9"/>
  <c r="M121" i="9"/>
  <c r="N121" i="9"/>
  <c r="O121" i="9"/>
  <c r="P121" i="9"/>
  <c r="Q121" i="9"/>
  <c r="R121" i="9"/>
  <c r="S121" i="9"/>
  <c r="T121" i="9"/>
  <c r="U121" i="9"/>
  <c r="V121" i="9"/>
  <c r="K122" i="9"/>
  <c r="L122" i="9"/>
  <c r="M122" i="9"/>
  <c r="N122" i="9"/>
  <c r="O122" i="9"/>
  <c r="P122" i="9"/>
  <c r="Q122" i="9"/>
  <c r="R122" i="9"/>
  <c r="S122" i="9"/>
  <c r="T122" i="9"/>
  <c r="U122" i="9"/>
  <c r="V122" i="9"/>
  <c r="K123" i="9"/>
  <c r="L123" i="9"/>
  <c r="M123" i="9"/>
  <c r="N123" i="9"/>
  <c r="O123" i="9"/>
  <c r="P123" i="9"/>
  <c r="Q123" i="9"/>
  <c r="R123" i="9"/>
  <c r="S123" i="9"/>
  <c r="T123" i="9"/>
  <c r="U123" i="9"/>
  <c r="V123" i="9"/>
  <c r="K124" i="9"/>
  <c r="L124" i="9"/>
  <c r="M124" i="9"/>
  <c r="N124" i="9"/>
  <c r="O124" i="9"/>
  <c r="P124" i="9"/>
  <c r="Q124" i="9"/>
  <c r="R124" i="9"/>
  <c r="S124" i="9"/>
  <c r="T124" i="9"/>
  <c r="U124" i="9"/>
  <c r="V124" i="9"/>
  <c r="K125" i="9"/>
  <c r="L125" i="9"/>
  <c r="M125" i="9"/>
  <c r="N125" i="9"/>
  <c r="O125" i="9"/>
  <c r="P125" i="9"/>
  <c r="Q125" i="9"/>
  <c r="R125" i="9"/>
  <c r="S125" i="9"/>
  <c r="T125" i="9"/>
  <c r="U125" i="9"/>
  <c r="V125" i="9"/>
  <c r="K126" i="9"/>
  <c r="L126" i="9"/>
  <c r="M126" i="9"/>
  <c r="N126" i="9"/>
  <c r="O126" i="9"/>
  <c r="P126" i="9"/>
  <c r="Q126" i="9"/>
  <c r="R126" i="9"/>
  <c r="S126" i="9"/>
  <c r="T126" i="9"/>
  <c r="U126" i="9"/>
  <c r="V126" i="9"/>
  <c r="K127" i="9"/>
  <c r="L127" i="9"/>
  <c r="M127" i="9"/>
  <c r="N127" i="9"/>
  <c r="O127" i="9"/>
  <c r="P127" i="9"/>
  <c r="Q127" i="9"/>
  <c r="R127" i="9"/>
  <c r="S127" i="9"/>
  <c r="T127" i="9"/>
  <c r="U127" i="9"/>
  <c r="V127" i="9"/>
  <c r="K128" i="9"/>
  <c r="L128" i="9"/>
  <c r="M128" i="9"/>
  <c r="N128" i="9"/>
  <c r="O128" i="9"/>
  <c r="P128" i="9"/>
  <c r="Q128" i="9"/>
  <c r="R128" i="9"/>
  <c r="S128" i="9"/>
  <c r="T128" i="9"/>
  <c r="U128" i="9"/>
  <c r="V128" i="9"/>
  <c r="K129" i="9"/>
  <c r="L129" i="9"/>
  <c r="M129" i="9"/>
  <c r="N129" i="9"/>
  <c r="O129" i="9"/>
  <c r="P129" i="9"/>
  <c r="Q129" i="9"/>
  <c r="R129" i="9"/>
  <c r="S129" i="9"/>
  <c r="T129" i="9"/>
  <c r="U129" i="9"/>
  <c r="V129" i="9"/>
  <c r="K130" i="9"/>
  <c r="L130" i="9"/>
  <c r="M130" i="9"/>
  <c r="N130" i="9"/>
  <c r="O130" i="9"/>
  <c r="P130" i="9"/>
  <c r="Q130" i="9"/>
  <c r="R130" i="9"/>
  <c r="S130" i="9"/>
  <c r="T130" i="9"/>
  <c r="U130" i="9"/>
  <c r="V130" i="9"/>
  <c r="K131" i="9"/>
  <c r="L131" i="9"/>
  <c r="M131" i="9"/>
  <c r="N131" i="9"/>
  <c r="O131" i="9"/>
  <c r="P131" i="9"/>
  <c r="Q131" i="9"/>
  <c r="R131" i="9"/>
  <c r="S131" i="9"/>
  <c r="T131" i="9"/>
  <c r="U131" i="9"/>
  <c r="V131" i="9"/>
  <c r="K132" i="9"/>
  <c r="L132" i="9"/>
  <c r="M132" i="9"/>
  <c r="N132" i="9"/>
  <c r="O132" i="9"/>
  <c r="P132" i="9"/>
  <c r="Q132" i="9"/>
  <c r="R132" i="9"/>
  <c r="S132" i="9"/>
  <c r="T132" i="9"/>
  <c r="U132" i="9"/>
  <c r="V132" i="9"/>
  <c r="K133" i="9"/>
  <c r="L133" i="9"/>
  <c r="M133" i="9"/>
  <c r="N133" i="9"/>
  <c r="O133" i="9"/>
  <c r="P133" i="9"/>
  <c r="Q133" i="9"/>
  <c r="R133" i="9"/>
  <c r="S133" i="9"/>
  <c r="T133" i="9"/>
  <c r="U133" i="9"/>
  <c r="V133" i="9"/>
  <c r="K134" i="9"/>
  <c r="L134" i="9"/>
  <c r="M134" i="9"/>
  <c r="N134" i="9"/>
  <c r="O134" i="9"/>
  <c r="P134" i="9"/>
  <c r="Q134" i="9"/>
  <c r="R134" i="9"/>
  <c r="S134" i="9"/>
  <c r="T134" i="9"/>
  <c r="U134" i="9"/>
  <c r="V134" i="9"/>
  <c r="K135" i="9"/>
  <c r="L135" i="9"/>
  <c r="M135" i="9"/>
  <c r="N135" i="9"/>
  <c r="O135" i="9"/>
  <c r="P135" i="9"/>
  <c r="Q135" i="9"/>
  <c r="R135" i="9"/>
  <c r="S135" i="9"/>
  <c r="T135" i="9"/>
  <c r="U135" i="9"/>
  <c r="V135" i="9"/>
  <c r="K136" i="9"/>
  <c r="L136" i="9"/>
  <c r="M136" i="9"/>
  <c r="N136" i="9"/>
  <c r="O136" i="9"/>
  <c r="P136" i="9"/>
  <c r="Q136" i="9"/>
  <c r="R136" i="9"/>
  <c r="S136" i="9"/>
  <c r="T136" i="9"/>
  <c r="U136" i="9"/>
  <c r="V136" i="9"/>
  <c r="K137" i="9"/>
  <c r="L137" i="9"/>
  <c r="M137" i="9"/>
  <c r="N137" i="9"/>
  <c r="O137" i="9"/>
  <c r="P137" i="9"/>
  <c r="Q137" i="9"/>
  <c r="R137" i="9"/>
  <c r="S137" i="9"/>
  <c r="T137" i="9"/>
  <c r="U137" i="9"/>
  <c r="V137" i="9"/>
  <c r="K138" i="9"/>
  <c r="L138" i="9"/>
  <c r="M138" i="9"/>
  <c r="N138" i="9"/>
  <c r="O138" i="9"/>
  <c r="P138" i="9"/>
  <c r="Q138" i="9"/>
  <c r="R138" i="9"/>
  <c r="S138" i="9"/>
  <c r="T138" i="9"/>
  <c r="U138" i="9"/>
  <c r="V138" i="9"/>
  <c r="K139" i="9"/>
  <c r="L139" i="9"/>
  <c r="M139" i="9"/>
  <c r="N139" i="9"/>
  <c r="O139" i="9"/>
  <c r="P139" i="9"/>
  <c r="Q139" i="9"/>
  <c r="R139" i="9"/>
  <c r="S139" i="9"/>
  <c r="T139" i="9"/>
  <c r="U139" i="9"/>
  <c r="V139" i="9"/>
  <c r="K140" i="9"/>
  <c r="L140" i="9"/>
  <c r="M140" i="9"/>
  <c r="N140" i="9"/>
  <c r="O140" i="9"/>
  <c r="P140" i="9"/>
  <c r="Q140" i="9"/>
  <c r="R140" i="9"/>
  <c r="S140" i="9"/>
  <c r="T140" i="9"/>
  <c r="U140" i="9"/>
  <c r="V140" i="9"/>
  <c r="K141" i="9"/>
  <c r="L141" i="9"/>
  <c r="M141" i="9"/>
  <c r="N141" i="9"/>
  <c r="O141" i="9"/>
  <c r="P141" i="9"/>
  <c r="Q141" i="9"/>
  <c r="R141" i="9"/>
  <c r="S141" i="9"/>
  <c r="T141" i="9"/>
  <c r="U141" i="9"/>
  <c r="V141" i="9"/>
  <c r="K142" i="9"/>
  <c r="L142" i="9"/>
  <c r="M142" i="9"/>
  <c r="N142" i="9"/>
  <c r="O142" i="9"/>
  <c r="P142" i="9"/>
  <c r="Q142" i="9"/>
  <c r="R142" i="9"/>
  <c r="S142" i="9"/>
  <c r="T142" i="9"/>
  <c r="U142" i="9"/>
  <c r="V142" i="9"/>
  <c r="K143" i="9"/>
  <c r="L143" i="9"/>
  <c r="M143" i="9"/>
  <c r="N143" i="9"/>
  <c r="O143" i="9"/>
  <c r="P143" i="9"/>
  <c r="Q143" i="9"/>
  <c r="R143" i="9"/>
  <c r="S143" i="9"/>
  <c r="T143" i="9"/>
  <c r="U143" i="9"/>
  <c r="V143" i="9"/>
  <c r="K144" i="9"/>
  <c r="L144" i="9"/>
  <c r="M144" i="9"/>
  <c r="N144" i="9"/>
  <c r="O144" i="9"/>
  <c r="P144" i="9"/>
  <c r="Q144" i="9"/>
  <c r="R144" i="9"/>
  <c r="S144" i="9"/>
  <c r="T144" i="9"/>
  <c r="U144" i="9"/>
  <c r="V144" i="9"/>
  <c r="K145" i="9"/>
  <c r="L145" i="9"/>
  <c r="M145" i="9"/>
  <c r="N145" i="9"/>
  <c r="O145" i="9"/>
  <c r="P145" i="9"/>
  <c r="Q145" i="9"/>
  <c r="R145" i="9"/>
  <c r="S145" i="9"/>
  <c r="T145" i="9"/>
  <c r="U145" i="9"/>
  <c r="V145" i="9"/>
  <c r="K146" i="9"/>
  <c r="L146" i="9"/>
  <c r="M146" i="9"/>
  <c r="N146" i="9"/>
  <c r="O146" i="9"/>
  <c r="P146" i="9"/>
  <c r="Q146" i="9"/>
  <c r="R146" i="9"/>
  <c r="S146" i="9"/>
  <c r="T146" i="9"/>
  <c r="U146" i="9"/>
  <c r="V146" i="9"/>
  <c r="K147" i="9"/>
  <c r="L147" i="9"/>
  <c r="M147" i="9"/>
  <c r="N147" i="9"/>
  <c r="O147" i="9"/>
  <c r="P147" i="9"/>
  <c r="Q147" i="9"/>
  <c r="R147" i="9"/>
  <c r="S147" i="9"/>
  <c r="T147" i="9"/>
  <c r="U147" i="9"/>
  <c r="V147" i="9"/>
  <c r="K148" i="9"/>
  <c r="L148" i="9"/>
  <c r="M148" i="9"/>
  <c r="N148" i="9"/>
  <c r="O148" i="9"/>
  <c r="P148" i="9"/>
  <c r="Q148" i="9"/>
  <c r="R148" i="9"/>
  <c r="S148" i="9"/>
  <c r="T148" i="9"/>
  <c r="U148" i="9"/>
  <c r="V148" i="9"/>
  <c r="K149" i="9"/>
  <c r="L149" i="9"/>
  <c r="M149" i="9"/>
  <c r="N149" i="9"/>
  <c r="O149" i="9"/>
  <c r="P149" i="9"/>
  <c r="Q149" i="9"/>
  <c r="R149" i="9"/>
  <c r="S149" i="9"/>
  <c r="T149" i="9"/>
  <c r="U149" i="9"/>
  <c r="V149" i="9"/>
  <c r="K150" i="9"/>
  <c r="L150" i="9"/>
  <c r="M150" i="9"/>
  <c r="N150" i="9"/>
  <c r="O150" i="9"/>
  <c r="P150" i="9"/>
  <c r="Q150" i="9"/>
  <c r="R150" i="9"/>
  <c r="S150" i="9"/>
  <c r="T150" i="9"/>
  <c r="U150" i="9"/>
  <c r="V150" i="9"/>
  <c r="K151" i="9"/>
  <c r="L151" i="9"/>
  <c r="M151" i="9"/>
  <c r="N151" i="9"/>
  <c r="O151" i="9"/>
  <c r="P151" i="9"/>
  <c r="Q151" i="9"/>
  <c r="R151" i="9"/>
  <c r="S151" i="9"/>
  <c r="T151" i="9"/>
  <c r="U151" i="9"/>
  <c r="V151" i="9"/>
  <c r="K152" i="9"/>
  <c r="L152" i="9"/>
  <c r="M152" i="9"/>
  <c r="N152" i="9"/>
  <c r="O152" i="9"/>
  <c r="P152" i="9"/>
  <c r="Q152" i="9"/>
  <c r="R152" i="9"/>
  <c r="S152" i="9"/>
  <c r="T152" i="9"/>
  <c r="U152" i="9"/>
  <c r="V152" i="9"/>
  <c r="K153" i="9"/>
  <c r="L153" i="9"/>
  <c r="M153" i="9"/>
  <c r="N153" i="9"/>
  <c r="O153" i="9"/>
  <c r="P153" i="9"/>
  <c r="Q153" i="9"/>
  <c r="R153" i="9"/>
  <c r="S153" i="9"/>
  <c r="T153" i="9"/>
  <c r="U153" i="9"/>
  <c r="V153" i="9"/>
  <c r="K154" i="9"/>
  <c r="L154" i="9"/>
  <c r="M154" i="9"/>
  <c r="N154" i="9"/>
  <c r="O154" i="9"/>
  <c r="P154" i="9"/>
  <c r="Q154" i="9"/>
  <c r="R154" i="9"/>
  <c r="S154" i="9"/>
  <c r="T154" i="9"/>
  <c r="U154" i="9"/>
  <c r="V154" i="9"/>
  <c r="K155" i="9"/>
  <c r="L155" i="9"/>
  <c r="M155" i="9"/>
  <c r="N155" i="9"/>
  <c r="O155" i="9"/>
  <c r="P155" i="9"/>
  <c r="Q155" i="9"/>
  <c r="R155" i="9"/>
  <c r="S155" i="9"/>
  <c r="T155" i="9"/>
  <c r="U155" i="9"/>
  <c r="V155" i="9"/>
  <c r="K156" i="9"/>
  <c r="L156" i="9"/>
  <c r="M156" i="9"/>
  <c r="N156" i="9"/>
  <c r="O156" i="9"/>
  <c r="P156" i="9"/>
  <c r="Q156" i="9"/>
  <c r="R156" i="9"/>
  <c r="S156" i="9"/>
  <c r="T156" i="9"/>
  <c r="U156" i="9"/>
  <c r="V156" i="9"/>
  <c r="K157" i="9"/>
  <c r="L157" i="9"/>
  <c r="M157" i="9"/>
  <c r="N157" i="9"/>
  <c r="O157" i="9"/>
  <c r="P157" i="9"/>
  <c r="Q157" i="9"/>
  <c r="R157" i="9"/>
  <c r="S157" i="9"/>
  <c r="T157" i="9"/>
  <c r="U157" i="9"/>
  <c r="V157" i="9"/>
  <c r="K158" i="9"/>
  <c r="L158" i="9"/>
  <c r="M158" i="9"/>
  <c r="N158" i="9"/>
  <c r="O158" i="9"/>
  <c r="P158" i="9"/>
  <c r="Q158" i="9"/>
  <c r="R158" i="9"/>
  <c r="S158" i="9"/>
  <c r="T158" i="9"/>
  <c r="U158" i="9"/>
  <c r="V158" i="9"/>
  <c r="K159" i="9"/>
  <c r="L159" i="9"/>
  <c r="M159" i="9"/>
  <c r="N159" i="9"/>
  <c r="O159" i="9"/>
  <c r="P159" i="9"/>
  <c r="Q159" i="9"/>
  <c r="R159" i="9"/>
  <c r="S159" i="9"/>
  <c r="T159" i="9"/>
  <c r="U159" i="9"/>
  <c r="V159" i="9"/>
  <c r="K160" i="9"/>
  <c r="L160" i="9"/>
  <c r="M160" i="9"/>
  <c r="N160" i="9"/>
  <c r="O160" i="9"/>
  <c r="P160" i="9"/>
  <c r="Q160" i="9"/>
  <c r="R160" i="9"/>
  <c r="S160" i="9"/>
  <c r="T160" i="9"/>
  <c r="U160" i="9"/>
  <c r="V160" i="9"/>
  <c r="K161" i="9"/>
  <c r="L161" i="9"/>
  <c r="M161" i="9"/>
  <c r="N161" i="9"/>
  <c r="O161" i="9"/>
  <c r="P161" i="9"/>
  <c r="Q161" i="9"/>
  <c r="R161" i="9"/>
  <c r="S161" i="9"/>
  <c r="T161" i="9"/>
  <c r="U161" i="9"/>
  <c r="V161" i="9"/>
  <c r="K162" i="9"/>
  <c r="L162" i="9"/>
  <c r="M162" i="9"/>
  <c r="N162" i="9"/>
  <c r="O162" i="9"/>
  <c r="P162" i="9"/>
  <c r="Q162" i="9"/>
  <c r="R162" i="9"/>
  <c r="S162" i="9"/>
  <c r="T162" i="9"/>
  <c r="U162" i="9"/>
  <c r="V162" i="9"/>
  <c r="K163" i="9"/>
  <c r="L163" i="9"/>
  <c r="M163" i="9"/>
  <c r="N163" i="9"/>
  <c r="O163" i="9"/>
  <c r="P163" i="9"/>
  <c r="Q163" i="9"/>
  <c r="R163" i="9"/>
  <c r="S163" i="9"/>
  <c r="T163" i="9"/>
  <c r="U163" i="9"/>
  <c r="V163" i="9"/>
  <c r="K164" i="9"/>
  <c r="L164" i="9"/>
  <c r="M164" i="9"/>
  <c r="N164" i="9"/>
  <c r="O164" i="9"/>
  <c r="P164" i="9"/>
  <c r="Q164" i="9"/>
  <c r="R164" i="9"/>
  <c r="S164" i="9"/>
  <c r="T164" i="9"/>
  <c r="U164" i="9"/>
  <c r="V164" i="9"/>
  <c r="K165" i="9"/>
  <c r="L165" i="9"/>
  <c r="M165" i="9"/>
  <c r="N165" i="9"/>
  <c r="O165" i="9"/>
  <c r="P165" i="9"/>
  <c r="Q165" i="9"/>
  <c r="R165" i="9"/>
  <c r="S165" i="9"/>
  <c r="T165" i="9"/>
  <c r="U165" i="9"/>
  <c r="V165" i="9"/>
  <c r="K166" i="9"/>
  <c r="L166" i="9"/>
  <c r="M166" i="9"/>
  <c r="N166" i="9"/>
  <c r="O166" i="9"/>
  <c r="P166" i="9"/>
  <c r="Q166" i="9"/>
  <c r="R166" i="9"/>
  <c r="S166" i="9"/>
  <c r="T166" i="9"/>
  <c r="U166" i="9"/>
  <c r="V166" i="9"/>
  <c r="K167" i="9"/>
  <c r="L167" i="9"/>
  <c r="M167" i="9"/>
  <c r="N167" i="9"/>
  <c r="O167" i="9"/>
  <c r="P167" i="9"/>
  <c r="Q167" i="9"/>
  <c r="R167" i="9"/>
  <c r="S167" i="9"/>
  <c r="T167" i="9"/>
  <c r="U167" i="9"/>
  <c r="V167" i="9"/>
  <c r="K168" i="9"/>
  <c r="L168" i="9"/>
  <c r="M168" i="9"/>
  <c r="N168" i="9"/>
  <c r="O168" i="9"/>
  <c r="P168" i="9"/>
  <c r="Q168" i="9"/>
  <c r="R168" i="9"/>
  <c r="S168" i="9"/>
  <c r="T168" i="9"/>
  <c r="U168" i="9"/>
  <c r="V168" i="9"/>
  <c r="K169" i="9"/>
  <c r="L169" i="9"/>
  <c r="M169" i="9"/>
  <c r="N169" i="9"/>
  <c r="O169" i="9"/>
  <c r="P169" i="9"/>
  <c r="Q169" i="9"/>
  <c r="R169" i="9"/>
  <c r="S169" i="9"/>
  <c r="T169" i="9"/>
  <c r="U169" i="9"/>
  <c r="V169" i="9"/>
  <c r="K170" i="9"/>
  <c r="L170" i="9"/>
  <c r="M170" i="9"/>
  <c r="N170" i="9"/>
  <c r="O170" i="9"/>
  <c r="P170" i="9"/>
  <c r="Q170" i="9"/>
  <c r="R170" i="9"/>
  <c r="S170" i="9"/>
  <c r="T170" i="9"/>
  <c r="U170" i="9"/>
  <c r="V170" i="9"/>
  <c r="K171" i="9"/>
  <c r="L171" i="9"/>
  <c r="M171" i="9"/>
  <c r="N171" i="9"/>
  <c r="O171" i="9"/>
  <c r="P171" i="9"/>
  <c r="Q171" i="9"/>
  <c r="R171" i="9"/>
  <c r="S171" i="9"/>
  <c r="T171" i="9"/>
  <c r="U171" i="9"/>
  <c r="V171" i="9"/>
  <c r="K172" i="9"/>
  <c r="L172" i="9"/>
  <c r="M172" i="9"/>
  <c r="N172" i="9"/>
  <c r="O172" i="9"/>
  <c r="P172" i="9"/>
  <c r="Q172" i="9"/>
  <c r="R172" i="9"/>
  <c r="S172" i="9"/>
  <c r="T172" i="9"/>
  <c r="U172" i="9"/>
  <c r="V172" i="9"/>
  <c r="K173" i="9"/>
  <c r="L173" i="9"/>
  <c r="M173" i="9"/>
  <c r="N173" i="9"/>
  <c r="O173" i="9"/>
  <c r="P173" i="9"/>
  <c r="Q173" i="9"/>
  <c r="R173" i="9"/>
  <c r="S173" i="9"/>
  <c r="T173" i="9"/>
  <c r="U173" i="9"/>
  <c r="V173" i="9"/>
  <c r="K174" i="9"/>
  <c r="L174" i="9"/>
  <c r="M174" i="9"/>
  <c r="N174" i="9"/>
  <c r="O174" i="9"/>
  <c r="P174" i="9"/>
  <c r="Q174" i="9"/>
  <c r="R174" i="9"/>
  <c r="S174" i="9"/>
  <c r="T174" i="9"/>
  <c r="U174" i="9"/>
  <c r="V174" i="9"/>
  <c r="K175" i="9"/>
  <c r="L175" i="9"/>
  <c r="M175" i="9"/>
  <c r="N175" i="9"/>
  <c r="O175" i="9"/>
  <c r="P175" i="9"/>
  <c r="Q175" i="9"/>
  <c r="R175" i="9"/>
  <c r="S175" i="9"/>
  <c r="T175" i="9"/>
  <c r="U175" i="9"/>
  <c r="V175" i="9"/>
  <c r="K176" i="9"/>
  <c r="L176" i="9"/>
  <c r="M176" i="9"/>
  <c r="N176" i="9"/>
  <c r="O176" i="9"/>
  <c r="P176" i="9"/>
  <c r="Q176" i="9"/>
  <c r="R176" i="9"/>
  <c r="S176" i="9"/>
  <c r="T176" i="9"/>
  <c r="U176" i="9"/>
  <c r="V176" i="9"/>
  <c r="K177" i="9"/>
  <c r="L177" i="9"/>
  <c r="M177" i="9"/>
  <c r="N177" i="9"/>
  <c r="O177" i="9"/>
  <c r="P177" i="9"/>
  <c r="Q177" i="9"/>
  <c r="R177" i="9"/>
  <c r="S177" i="9"/>
  <c r="T177" i="9"/>
  <c r="U177" i="9"/>
  <c r="V177" i="9"/>
  <c r="K178" i="9"/>
  <c r="L178" i="9"/>
  <c r="M178" i="9"/>
  <c r="N178" i="9"/>
  <c r="O178" i="9"/>
  <c r="P178" i="9"/>
  <c r="Q178" i="9"/>
  <c r="R178" i="9"/>
  <c r="S178" i="9"/>
  <c r="T178" i="9"/>
  <c r="U178" i="9"/>
  <c r="V178" i="9"/>
  <c r="K179" i="9"/>
  <c r="L179" i="9"/>
  <c r="M179" i="9"/>
  <c r="N179" i="9"/>
  <c r="O179" i="9"/>
  <c r="P179" i="9"/>
  <c r="Q179" i="9"/>
  <c r="R179" i="9"/>
  <c r="S179" i="9"/>
  <c r="T179" i="9"/>
  <c r="U179" i="9"/>
  <c r="V179" i="9"/>
  <c r="K180" i="9"/>
  <c r="L180" i="9"/>
  <c r="M180" i="9"/>
  <c r="N180" i="9"/>
  <c r="O180" i="9"/>
  <c r="P180" i="9"/>
  <c r="Q180" i="9"/>
  <c r="R180" i="9"/>
  <c r="S180" i="9"/>
  <c r="T180" i="9"/>
  <c r="U180" i="9"/>
  <c r="V180" i="9"/>
  <c r="K181" i="9"/>
  <c r="L181" i="9"/>
  <c r="M181" i="9"/>
  <c r="N181" i="9"/>
  <c r="O181" i="9"/>
  <c r="P181" i="9"/>
  <c r="Q181" i="9"/>
  <c r="R181" i="9"/>
  <c r="S181" i="9"/>
  <c r="T181" i="9"/>
  <c r="U181" i="9"/>
  <c r="V181" i="9"/>
  <c r="K182" i="9"/>
  <c r="L182" i="9"/>
  <c r="M182" i="9"/>
  <c r="N182" i="9"/>
  <c r="O182" i="9"/>
  <c r="P182" i="9"/>
  <c r="Q182" i="9"/>
  <c r="R182" i="9"/>
  <c r="S182" i="9"/>
  <c r="T182" i="9"/>
  <c r="U182" i="9"/>
  <c r="V182" i="9"/>
  <c r="K183" i="9"/>
  <c r="L183" i="9"/>
  <c r="M183" i="9"/>
  <c r="N183" i="9"/>
  <c r="O183" i="9"/>
  <c r="P183" i="9"/>
  <c r="Q183" i="9"/>
  <c r="R183" i="9"/>
  <c r="S183" i="9"/>
  <c r="T183" i="9"/>
  <c r="U183" i="9"/>
  <c r="V183" i="9"/>
  <c r="K184" i="9"/>
  <c r="L184" i="9"/>
  <c r="M184" i="9"/>
  <c r="N184" i="9"/>
  <c r="O184" i="9"/>
  <c r="P184" i="9"/>
  <c r="Q184" i="9"/>
  <c r="R184" i="9"/>
  <c r="S184" i="9"/>
  <c r="T184" i="9"/>
  <c r="U184" i="9"/>
  <c r="V184" i="9"/>
  <c r="K185" i="9"/>
  <c r="L185" i="9"/>
  <c r="M185" i="9"/>
  <c r="N185" i="9"/>
  <c r="O185" i="9"/>
  <c r="P185" i="9"/>
  <c r="Q185" i="9"/>
  <c r="R185" i="9"/>
  <c r="S185" i="9"/>
  <c r="T185" i="9"/>
  <c r="U185" i="9"/>
  <c r="V185" i="9"/>
  <c r="K186" i="9"/>
  <c r="L186" i="9"/>
  <c r="M186" i="9"/>
  <c r="N186" i="9"/>
  <c r="O186" i="9"/>
  <c r="P186" i="9"/>
  <c r="Q186" i="9"/>
  <c r="R186" i="9"/>
  <c r="S186" i="9"/>
  <c r="T186" i="9"/>
  <c r="U186" i="9"/>
  <c r="V186" i="9"/>
  <c r="K187" i="9"/>
  <c r="L187" i="9"/>
  <c r="M187" i="9"/>
  <c r="N187" i="9"/>
  <c r="O187" i="9"/>
  <c r="P187" i="9"/>
  <c r="Q187" i="9"/>
  <c r="R187" i="9"/>
  <c r="S187" i="9"/>
  <c r="T187" i="9"/>
  <c r="U187" i="9"/>
  <c r="V187" i="9"/>
  <c r="K188" i="9"/>
  <c r="L188" i="9"/>
  <c r="M188" i="9"/>
  <c r="N188" i="9"/>
  <c r="O188" i="9"/>
  <c r="P188" i="9"/>
  <c r="Q188" i="9"/>
  <c r="R188" i="9"/>
  <c r="S188" i="9"/>
  <c r="T188" i="9"/>
  <c r="U188" i="9"/>
  <c r="V188" i="9"/>
  <c r="K189" i="9"/>
  <c r="L189" i="9"/>
  <c r="M189" i="9"/>
  <c r="N189" i="9"/>
  <c r="O189" i="9"/>
  <c r="P189" i="9"/>
  <c r="Q189" i="9"/>
  <c r="R189" i="9"/>
  <c r="S189" i="9"/>
  <c r="T189" i="9"/>
  <c r="U189" i="9"/>
  <c r="V189" i="9"/>
  <c r="K190" i="9"/>
  <c r="L190" i="9"/>
  <c r="M190" i="9"/>
  <c r="N190" i="9"/>
  <c r="O190" i="9"/>
  <c r="P190" i="9"/>
  <c r="Q190" i="9"/>
  <c r="R190" i="9"/>
  <c r="S190" i="9"/>
  <c r="T190" i="9"/>
  <c r="U190" i="9"/>
  <c r="V190" i="9"/>
  <c r="K191" i="9"/>
  <c r="L191" i="9"/>
  <c r="M191" i="9"/>
  <c r="N191" i="9"/>
  <c r="O191" i="9"/>
  <c r="P191" i="9"/>
  <c r="Q191" i="9"/>
  <c r="R191" i="9"/>
  <c r="S191" i="9"/>
  <c r="T191" i="9"/>
  <c r="U191" i="9"/>
  <c r="V191" i="9"/>
  <c r="K192" i="9"/>
  <c r="L192" i="9"/>
  <c r="M192" i="9"/>
  <c r="N192" i="9"/>
  <c r="O192" i="9"/>
  <c r="P192" i="9"/>
  <c r="Q192" i="9"/>
  <c r="R192" i="9"/>
  <c r="S192" i="9"/>
  <c r="T192" i="9"/>
  <c r="U192" i="9"/>
  <c r="V192" i="9"/>
  <c r="K193" i="9"/>
  <c r="L193" i="9"/>
  <c r="M193" i="9"/>
  <c r="N193" i="9"/>
  <c r="O193" i="9"/>
  <c r="P193" i="9"/>
  <c r="Q193" i="9"/>
  <c r="R193" i="9"/>
  <c r="S193" i="9"/>
  <c r="T193" i="9"/>
  <c r="U193" i="9"/>
  <c r="V193" i="9"/>
  <c r="K194" i="9"/>
  <c r="L194" i="9"/>
  <c r="M194" i="9"/>
  <c r="N194" i="9"/>
  <c r="O194" i="9"/>
  <c r="P194" i="9"/>
  <c r="Q194" i="9"/>
  <c r="R194" i="9"/>
  <c r="S194" i="9"/>
  <c r="T194" i="9"/>
  <c r="U194" i="9"/>
  <c r="V194" i="9"/>
  <c r="K195" i="9"/>
  <c r="L195" i="9"/>
  <c r="M195" i="9"/>
  <c r="N195" i="9"/>
  <c r="O195" i="9"/>
  <c r="P195" i="9"/>
  <c r="Q195" i="9"/>
  <c r="R195" i="9"/>
  <c r="S195" i="9"/>
  <c r="T195" i="9"/>
  <c r="U195" i="9"/>
  <c r="V195" i="9"/>
  <c r="K196" i="9"/>
  <c r="L196" i="9"/>
  <c r="M196" i="9"/>
  <c r="N196" i="9"/>
  <c r="O196" i="9"/>
  <c r="P196" i="9"/>
  <c r="Q196" i="9"/>
  <c r="R196" i="9"/>
  <c r="S196" i="9"/>
  <c r="T196" i="9"/>
  <c r="U196" i="9"/>
  <c r="V196" i="9"/>
  <c r="K197" i="9"/>
  <c r="L197" i="9"/>
  <c r="M197" i="9"/>
  <c r="N197" i="9"/>
  <c r="O197" i="9"/>
  <c r="P197" i="9"/>
  <c r="Q197" i="9"/>
  <c r="R197" i="9"/>
  <c r="S197" i="9"/>
  <c r="T197" i="9"/>
  <c r="U197" i="9"/>
  <c r="V197" i="9"/>
  <c r="K198" i="9"/>
  <c r="L198" i="9"/>
  <c r="M198" i="9"/>
  <c r="N198" i="9"/>
  <c r="O198" i="9"/>
  <c r="P198" i="9"/>
  <c r="Q198" i="9"/>
  <c r="R198" i="9"/>
  <c r="S198" i="9"/>
  <c r="T198" i="9"/>
  <c r="U198" i="9"/>
  <c r="V198" i="9"/>
  <c r="K199" i="9"/>
  <c r="L199" i="9"/>
  <c r="M199" i="9"/>
  <c r="N199" i="9"/>
  <c r="O199" i="9"/>
  <c r="P199" i="9"/>
  <c r="Q199" i="9"/>
  <c r="R199" i="9"/>
  <c r="S199" i="9"/>
  <c r="T199" i="9"/>
  <c r="U199" i="9"/>
  <c r="V199" i="9"/>
  <c r="K200" i="9"/>
  <c r="L200" i="9"/>
  <c r="M200" i="9"/>
  <c r="N200" i="9"/>
  <c r="O200" i="9"/>
  <c r="P200" i="9"/>
  <c r="Q200" i="9"/>
  <c r="R200" i="9"/>
  <c r="S200" i="9"/>
  <c r="T200" i="9"/>
  <c r="U200" i="9"/>
  <c r="V200" i="9"/>
  <c r="K201" i="9"/>
  <c r="L201" i="9"/>
  <c r="M201" i="9"/>
  <c r="N201" i="9"/>
  <c r="O201" i="9"/>
  <c r="P201" i="9"/>
  <c r="Q201" i="9"/>
  <c r="R201" i="9"/>
  <c r="S201" i="9"/>
  <c r="T201" i="9"/>
  <c r="U201" i="9"/>
  <c r="V201" i="9"/>
  <c r="K202" i="9"/>
  <c r="L202" i="9"/>
  <c r="M202" i="9"/>
  <c r="N202" i="9"/>
  <c r="O202" i="9"/>
  <c r="P202" i="9"/>
  <c r="Q202" i="9"/>
  <c r="R202" i="9"/>
  <c r="S202" i="9"/>
  <c r="T202" i="9"/>
  <c r="U202" i="9"/>
  <c r="V202" i="9"/>
  <c r="K203" i="9"/>
  <c r="L203" i="9"/>
  <c r="M203" i="9"/>
  <c r="N203" i="9"/>
  <c r="O203" i="9"/>
  <c r="P203" i="9"/>
  <c r="Q203" i="9"/>
  <c r="R203" i="9"/>
  <c r="S203" i="9"/>
  <c r="T203" i="9"/>
  <c r="U203" i="9"/>
  <c r="V203" i="9"/>
  <c r="K204" i="9"/>
  <c r="L204" i="9"/>
  <c r="M204" i="9"/>
  <c r="N204" i="9"/>
  <c r="O204" i="9"/>
  <c r="P204" i="9"/>
  <c r="Q204" i="9"/>
  <c r="R204" i="9"/>
  <c r="S204" i="9"/>
  <c r="T204" i="9"/>
  <c r="U204" i="9"/>
  <c r="V204" i="9"/>
  <c r="K205" i="9"/>
  <c r="L205" i="9"/>
  <c r="M205" i="9"/>
  <c r="N205" i="9"/>
  <c r="O205" i="9"/>
  <c r="P205" i="9"/>
  <c r="Q205" i="9"/>
  <c r="R205" i="9"/>
  <c r="S205" i="9"/>
  <c r="T205" i="9"/>
  <c r="U205" i="9"/>
  <c r="V205" i="9"/>
  <c r="K206" i="9"/>
  <c r="L206" i="9"/>
  <c r="M206" i="9"/>
  <c r="N206" i="9"/>
  <c r="O206" i="9"/>
  <c r="P206" i="9"/>
  <c r="Q206" i="9"/>
  <c r="R206" i="9"/>
  <c r="S206" i="9"/>
  <c r="T206" i="9"/>
  <c r="U206" i="9"/>
  <c r="V206" i="9"/>
  <c r="K207" i="9"/>
  <c r="L207" i="9"/>
  <c r="M207" i="9"/>
  <c r="N207" i="9"/>
  <c r="O207" i="9"/>
  <c r="P207" i="9"/>
  <c r="Q207" i="9"/>
  <c r="R207" i="9"/>
  <c r="S207" i="9"/>
  <c r="T207" i="9"/>
  <c r="U207" i="9"/>
  <c r="V207" i="9"/>
  <c r="K208" i="9"/>
  <c r="L208" i="9"/>
  <c r="M208" i="9"/>
  <c r="N208" i="9"/>
  <c r="O208" i="9"/>
  <c r="P208" i="9"/>
  <c r="Q208" i="9"/>
  <c r="R208" i="9"/>
  <c r="S208" i="9"/>
  <c r="T208" i="9"/>
  <c r="U208" i="9"/>
  <c r="V208" i="9"/>
  <c r="K209" i="9"/>
  <c r="L209" i="9"/>
  <c r="M209" i="9"/>
  <c r="N209" i="9"/>
  <c r="O209" i="9"/>
  <c r="P209" i="9"/>
  <c r="Q209" i="9"/>
  <c r="R209" i="9"/>
  <c r="S209" i="9"/>
  <c r="T209" i="9"/>
  <c r="U209" i="9"/>
  <c r="V209" i="9"/>
  <c r="K210" i="9"/>
  <c r="L210" i="9"/>
  <c r="M210" i="9"/>
  <c r="N210" i="9"/>
  <c r="O210" i="9"/>
  <c r="P210" i="9"/>
  <c r="Q210" i="9"/>
  <c r="R210" i="9"/>
  <c r="S210" i="9"/>
  <c r="T210" i="9"/>
  <c r="U210" i="9"/>
  <c r="V210" i="9"/>
  <c r="K211" i="9"/>
  <c r="L211" i="9"/>
  <c r="M211" i="9"/>
  <c r="N211" i="9"/>
  <c r="O211" i="9"/>
  <c r="P211" i="9"/>
  <c r="Q211" i="9"/>
  <c r="R211" i="9"/>
  <c r="S211" i="9"/>
  <c r="T211" i="9"/>
  <c r="U211" i="9"/>
  <c r="V211" i="9"/>
  <c r="K212" i="9"/>
  <c r="L212" i="9"/>
  <c r="M212" i="9"/>
  <c r="N212" i="9"/>
  <c r="O212" i="9"/>
  <c r="P212" i="9"/>
  <c r="Q212" i="9"/>
  <c r="R212" i="9"/>
  <c r="S212" i="9"/>
  <c r="T212" i="9"/>
  <c r="U212" i="9"/>
  <c r="V212" i="9"/>
  <c r="K213" i="9"/>
  <c r="L213" i="9"/>
  <c r="M213" i="9"/>
  <c r="N213" i="9"/>
  <c r="O213" i="9"/>
  <c r="P213" i="9"/>
  <c r="Q213" i="9"/>
  <c r="R213" i="9"/>
  <c r="S213" i="9"/>
  <c r="T213" i="9"/>
  <c r="U213" i="9"/>
  <c r="V213" i="9"/>
  <c r="K214" i="9"/>
  <c r="L214" i="9"/>
  <c r="M214" i="9"/>
  <c r="N214" i="9"/>
  <c r="O214" i="9"/>
  <c r="P214" i="9"/>
  <c r="Q214" i="9"/>
  <c r="R214" i="9"/>
  <c r="S214" i="9"/>
  <c r="T214" i="9"/>
  <c r="U214" i="9"/>
  <c r="V214" i="9"/>
  <c r="K215" i="9"/>
  <c r="L215" i="9"/>
  <c r="M215" i="9"/>
  <c r="N215" i="9"/>
  <c r="O215" i="9"/>
  <c r="P215" i="9"/>
  <c r="Q215" i="9"/>
  <c r="R215" i="9"/>
  <c r="S215" i="9"/>
  <c r="T215" i="9"/>
  <c r="U215" i="9"/>
  <c r="V215" i="9"/>
  <c r="K216" i="9"/>
  <c r="L216" i="9"/>
  <c r="M216" i="9"/>
  <c r="N216" i="9"/>
  <c r="O216" i="9"/>
  <c r="P216" i="9"/>
  <c r="Q216" i="9"/>
  <c r="R216" i="9"/>
  <c r="S216" i="9"/>
  <c r="T216" i="9"/>
  <c r="U216" i="9"/>
  <c r="V216" i="9"/>
  <c r="K217" i="9"/>
  <c r="L217" i="9"/>
  <c r="M217" i="9"/>
  <c r="N217" i="9"/>
  <c r="O217" i="9"/>
  <c r="P217" i="9"/>
  <c r="Q217" i="9"/>
  <c r="R217" i="9"/>
  <c r="S217" i="9"/>
  <c r="T217" i="9"/>
  <c r="U217" i="9"/>
  <c r="V217" i="9"/>
  <c r="K218" i="9"/>
  <c r="L218" i="9"/>
  <c r="M218" i="9"/>
  <c r="N218" i="9"/>
  <c r="O218" i="9"/>
  <c r="P218" i="9"/>
  <c r="Q218" i="9"/>
  <c r="R218" i="9"/>
  <c r="S218" i="9"/>
  <c r="T218" i="9"/>
  <c r="U218" i="9"/>
  <c r="V218" i="9"/>
  <c r="K219" i="9"/>
  <c r="L219" i="9"/>
  <c r="M219" i="9"/>
  <c r="N219" i="9"/>
  <c r="O219" i="9"/>
  <c r="P219" i="9"/>
  <c r="Q219" i="9"/>
  <c r="R219" i="9"/>
  <c r="S219" i="9"/>
  <c r="T219" i="9"/>
  <c r="U219" i="9"/>
  <c r="V219" i="9"/>
  <c r="K220" i="9"/>
  <c r="L220" i="9"/>
  <c r="M220" i="9"/>
  <c r="N220" i="9"/>
  <c r="O220" i="9"/>
  <c r="P220" i="9"/>
  <c r="Q220" i="9"/>
  <c r="R220" i="9"/>
  <c r="S220" i="9"/>
  <c r="T220" i="9"/>
  <c r="U220" i="9"/>
  <c r="V220" i="9"/>
  <c r="K221" i="9"/>
  <c r="L221" i="9"/>
  <c r="M221" i="9"/>
  <c r="N221" i="9"/>
  <c r="O221" i="9"/>
  <c r="P221" i="9"/>
  <c r="Q221" i="9"/>
  <c r="R221" i="9"/>
  <c r="S221" i="9"/>
  <c r="T221" i="9"/>
  <c r="U221" i="9"/>
  <c r="V221" i="9"/>
  <c r="K222" i="9"/>
  <c r="L222" i="9"/>
  <c r="M222" i="9"/>
  <c r="N222" i="9"/>
  <c r="O222" i="9"/>
  <c r="P222" i="9"/>
  <c r="Q222" i="9"/>
  <c r="R222" i="9"/>
  <c r="S222" i="9"/>
  <c r="T222" i="9"/>
  <c r="U222" i="9"/>
  <c r="V222" i="9"/>
  <c r="K223" i="9"/>
  <c r="L223" i="9"/>
  <c r="M223" i="9"/>
  <c r="N223" i="9"/>
  <c r="O223" i="9"/>
  <c r="P223" i="9"/>
  <c r="Q223" i="9"/>
  <c r="R223" i="9"/>
  <c r="S223" i="9"/>
  <c r="T223" i="9"/>
  <c r="U223" i="9"/>
  <c r="V223" i="9"/>
  <c r="K224" i="9"/>
  <c r="L224" i="9"/>
  <c r="M224" i="9"/>
  <c r="N224" i="9"/>
  <c r="O224" i="9"/>
  <c r="P224" i="9"/>
  <c r="Q224" i="9"/>
  <c r="R224" i="9"/>
  <c r="S224" i="9"/>
  <c r="T224" i="9"/>
  <c r="U224" i="9"/>
  <c r="V224" i="9"/>
  <c r="K225" i="9"/>
  <c r="L225" i="9"/>
  <c r="M225" i="9"/>
  <c r="N225" i="9"/>
  <c r="O225" i="9"/>
  <c r="P225" i="9"/>
  <c r="Q225" i="9"/>
  <c r="R225" i="9"/>
  <c r="S225" i="9"/>
  <c r="T225" i="9"/>
  <c r="U225" i="9"/>
  <c r="V225" i="9"/>
  <c r="K226" i="9"/>
  <c r="L226" i="9"/>
  <c r="M226" i="9"/>
  <c r="N226" i="9"/>
  <c r="O226" i="9"/>
  <c r="P226" i="9"/>
  <c r="Q226" i="9"/>
  <c r="R226" i="9"/>
  <c r="S226" i="9"/>
  <c r="T226" i="9"/>
  <c r="U226" i="9"/>
  <c r="V226" i="9"/>
  <c r="K227" i="9"/>
  <c r="L227" i="9"/>
  <c r="M227" i="9"/>
  <c r="N227" i="9"/>
  <c r="O227" i="9"/>
  <c r="P227" i="9"/>
  <c r="Q227" i="9"/>
  <c r="R227" i="9"/>
  <c r="S227" i="9"/>
  <c r="T227" i="9"/>
  <c r="U227" i="9"/>
  <c r="V227" i="9"/>
  <c r="K228" i="9"/>
  <c r="L228" i="9"/>
  <c r="M228" i="9"/>
  <c r="N228" i="9"/>
  <c r="O228" i="9"/>
  <c r="P228" i="9"/>
  <c r="Q228" i="9"/>
  <c r="R228" i="9"/>
  <c r="S228" i="9"/>
  <c r="T228" i="9"/>
  <c r="U228" i="9"/>
  <c r="V228" i="9"/>
  <c r="K229" i="9"/>
  <c r="L229" i="9"/>
  <c r="M229" i="9"/>
  <c r="N229" i="9"/>
  <c r="O229" i="9"/>
  <c r="P229" i="9"/>
  <c r="Q229" i="9"/>
  <c r="R229" i="9"/>
  <c r="S229" i="9"/>
  <c r="T229" i="9"/>
  <c r="U229" i="9"/>
  <c r="V229" i="9"/>
  <c r="K230" i="9"/>
  <c r="L230" i="9"/>
  <c r="M230" i="9"/>
  <c r="N230" i="9"/>
  <c r="O230" i="9"/>
  <c r="P230" i="9"/>
  <c r="Q230" i="9"/>
  <c r="R230" i="9"/>
  <c r="S230" i="9"/>
  <c r="T230" i="9"/>
  <c r="U230" i="9"/>
  <c r="V230" i="9"/>
  <c r="K231" i="9"/>
  <c r="L231" i="9"/>
  <c r="M231" i="9"/>
  <c r="N231" i="9"/>
  <c r="O231" i="9"/>
  <c r="P231" i="9"/>
  <c r="Q231" i="9"/>
  <c r="R231" i="9"/>
  <c r="S231" i="9"/>
  <c r="T231" i="9"/>
  <c r="U231" i="9"/>
  <c r="V231" i="9"/>
  <c r="K232" i="9"/>
  <c r="L232" i="9"/>
  <c r="M232" i="9"/>
  <c r="N232" i="9"/>
  <c r="O232" i="9"/>
  <c r="P232" i="9"/>
  <c r="Q232" i="9"/>
  <c r="R232" i="9"/>
  <c r="S232" i="9"/>
  <c r="T232" i="9"/>
  <c r="U232" i="9"/>
  <c r="V232" i="9"/>
  <c r="K233" i="9"/>
  <c r="L233" i="9"/>
  <c r="M233" i="9"/>
  <c r="N233" i="9"/>
  <c r="O233" i="9"/>
  <c r="P233" i="9"/>
  <c r="Q233" i="9"/>
  <c r="R233" i="9"/>
  <c r="S233" i="9"/>
  <c r="T233" i="9"/>
  <c r="U233" i="9"/>
  <c r="V233" i="9"/>
  <c r="K234" i="9"/>
  <c r="L234" i="9"/>
  <c r="M234" i="9"/>
  <c r="N234" i="9"/>
  <c r="O234" i="9"/>
  <c r="P234" i="9"/>
  <c r="Q234" i="9"/>
  <c r="R234" i="9"/>
  <c r="S234" i="9"/>
  <c r="T234" i="9"/>
  <c r="U234" i="9"/>
  <c r="V234" i="9"/>
  <c r="K235" i="9"/>
  <c r="L235" i="9"/>
  <c r="M235" i="9"/>
  <c r="N235" i="9"/>
  <c r="O235" i="9"/>
  <c r="P235" i="9"/>
  <c r="Q235" i="9"/>
  <c r="R235" i="9"/>
  <c r="S235" i="9"/>
  <c r="T235" i="9"/>
  <c r="U235" i="9"/>
  <c r="V235" i="9"/>
  <c r="K236" i="9"/>
  <c r="L236" i="9"/>
  <c r="M236" i="9"/>
  <c r="N236" i="9"/>
  <c r="O236" i="9"/>
  <c r="P236" i="9"/>
  <c r="Q236" i="9"/>
  <c r="R236" i="9"/>
  <c r="S236" i="9"/>
  <c r="T236" i="9"/>
  <c r="U236" i="9"/>
  <c r="V236" i="9"/>
  <c r="K237" i="9"/>
  <c r="L237" i="9"/>
  <c r="M237" i="9"/>
  <c r="N237" i="9"/>
  <c r="O237" i="9"/>
  <c r="P237" i="9"/>
  <c r="Q237" i="9"/>
  <c r="R237" i="9"/>
  <c r="S237" i="9"/>
  <c r="T237" i="9"/>
  <c r="U237" i="9"/>
  <c r="V237" i="9"/>
  <c r="K238" i="9"/>
  <c r="L238" i="9"/>
  <c r="M238" i="9"/>
  <c r="N238" i="9"/>
  <c r="O238" i="9"/>
  <c r="P238" i="9"/>
  <c r="Q238" i="9"/>
  <c r="R238" i="9"/>
  <c r="S238" i="9"/>
  <c r="T238" i="9"/>
  <c r="U238" i="9"/>
  <c r="V238" i="9"/>
  <c r="K239" i="9"/>
  <c r="L239" i="9"/>
  <c r="M239" i="9"/>
  <c r="N239" i="9"/>
  <c r="O239" i="9"/>
  <c r="P239" i="9"/>
  <c r="Q239" i="9"/>
  <c r="R239" i="9"/>
  <c r="S239" i="9"/>
  <c r="T239" i="9"/>
  <c r="U239" i="9"/>
  <c r="V239" i="9"/>
  <c r="K240" i="9"/>
  <c r="L240" i="9"/>
  <c r="M240" i="9"/>
  <c r="N240" i="9"/>
  <c r="O240" i="9"/>
  <c r="P240" i="9"/>
  <c r="Q240" i="9"/>
  <c r="R240" i="9"/>
  <c r="S240" i="9"/>
  <c r="T240" i="9"/>
  <c r="U240" i="9"/>
  <c r="V240" i="9"/>
  <c r="K241" i="9"/>
  <c r="L241" i="9"/>
  <c r="M241" i="9"/>
  <c r="N241" i="9"/>
  <c r="O241" i="9"/>
  <c r="P241" i="9"/>
  <c r="Q241" i="9"/>
  <c r="R241" i="9"/>
  <c r="S241" i="9"/>
  <c r="T241" i="9"/>
  <c r="U241" i="9"/>
  <c r="V241" i="9"/>
  <c r="K242" i="9"/>
  <c r="L242" i="9"/>
  <c r="M242" i="9"/>
  <c r="N242" i="9"/>
  <c r="O242" i="9"/>
  <c r="P242" i="9"/>
  <c r="Q242" i="9"/>
  <c r="R242" i="9"/>
  <c r="S242" i="9"/>
  <c r="T242" i="9"/>
  <c r="U242" i="9"/>
  <c r="V242" i="9"/>
  <c r="K243" i="9"/>
  <c r="L243" i="9"/>
  <c r="M243" i="9"/>
  <c r="N243" i="9"/>
  <c r="O243" i="9"/>
  <c r="P243" i="9"/>
  <c r="Q243" i="9"/>
  <c r="R243" i="9"/>
  <c r="S243" i="9"/>
  <c r="T243" i="9"/>
  <c r="U243" i="9"/>
  <c r="V243" i="9"/>
  <c r="K244" i="9"/>
  <c r="L244" i="9"/>
  <c r="M244" i="9"/>
  <c r="N244" i="9"/>
  <c r="O244" i="9"/>
  <c r="P244" i="9"/>
  <c r="Q244" i="9"/>
  <c r="R244" i="9"/>
  <c r="S244" i="9"/>
  <c r="T244" i="9"/>
  <c r="U244" i="9"/>
  <c r="V244" i="9"/>
  <c r="K245" i="9"/>
  <c r="L245" i="9"/>
  <c r="M245" i="9"/>
  <c r="N245" i="9"/>
  <c r="O245" i="9"/>
  <c r="P245" i="9"/>
  <c r="Q245" i="9"/>
  <c r="R245" i="9"/>
  <c r="S245" i="9"/>
  <c r="T245" i="9"/>
  <c r="U245" i="9"/>
  <c r="V245" i="9"/>
  <c r="K246" i="9"/>
  <c r="L246" i="9"/>
  <c r="M246" i="9"/>
  <c r="N246" i="9"/>
  <c r="O246" i="9"/>
  <c r="P246" i="9"/>
  <c r="Q246" i="9"/>
  <c r="R246" i="9"/>
  <c r="S246" i="9"/>
  <c r="T246" i="9"/>
  <c r="U246" i="9"/>
  <c r="V246" i="9"/>
  <c r="K247" i="9"/>
  <c r="L247" i="9"/>
  <c r="M247" i="9"/>
  <c r="N247" i="9"/>
  <c r="O247" i="9"/>
  <c r="P247" i="9"/>
  <c r="Q247" i="9"/>
  <c r="R247" i="9"/>
  <c r="S247" i="9"/>
  <c r="T247" i="9"/>
  <c r="U247" i="9"/>
  <c r="V247" i="9"/>
  <c r="K248" i="9"/>
  <c r="L248" i="9"/>
  <c r="M248" i="9"/>
  <c r="N248" i="9"/>
  <c r="O248" i="9"/>
  <c r="P248" i="9"/>
  <c r="Q248" i="9"/>
  <c r="R248" i="9"/>
  <c r="S248" i="9"/>
  <c r="T248" i="9"/>
  <c r="U248" i="9"/>
  <c r="V248" i="9"/>
  <c r="K249" i="9"/>
  <c r="L249" i="9"/>
  <c r="M249" i="9"/>
  <c r="N249" i="9"/>
  <c r="O249" i="9"/>
  <c r="P249" i="9"/>
  <c r="Q249" i="9"/>
  <c r="R249" i="9"/>
  <c r="S249" i="9"/>
  <c r="T249" i="9"/>
  <c r="U249" i="9"/>
  <c r="V249" i="9"/>
  <c r="K250" i="9"/>
  <c r="L250" i="9"/>
  <c r="M250" i="9"/>
  <c r="N250" i="9"/>
  <c r="O250" i="9"/>
  <c r="P250" i="9"/>
  <c r="Q250" i="9"/>
  <c r="R250" i="9"/>
  <c r="S250" i="9"/>
  <c r="T250" i="9"/>
  <c r="U250" i="9"/>
  <c r="V250" i="9"/>
  <c r="K251" i="9"/>
  <c r="L251" i="9"/>
  <c r="M251" i="9"/>
  <c r="N251" i="9"/>
  <c r="O251" i="9"/>
  <c r="P251" i="9"/>
  <c r="Q251" i="9"/>
  <c r="R251" i="9"/>
  <c r="S251" i="9"/>
  <c r="T251" i="9"/>
  <c r="U251" i="9"/>
  <c r="V251" i="9"/>
  <c r="K252" i="9"/>
  <c r="L252" i="9"/>
  <c r="M252" i="9"/>
  <c r="N252" i="9"/>
  <c r="O252" i="9"/>
  <c r="P252" i="9"/>
  <c r="Q252" i="9"/>
  <c r="R252" i="9"/>
  <c r="S252" i="9"/>
  <c r="T252" i="9"/>
  <c r="U252" i="9"/>
  <c r="V252" i="9"/>
  <c r="K253" i="9"/>
  <c r="L253" i="9"/>
  <c r="M253" i="9"/>
  <c r="N253" i="9"/>
  <c r="O253" i="9"/>
  <c r="P253" i="9"/>
  <c r="Q253" i="9"/>
  <c r="R253" i="9"/>
  <c r="S253" i="9"/>
  <c r="T253" i="9"/>
  <c r="U253" i="9"/>
  <c r="V253" i="9"/>
  <c r="K254" i="9"/>
  <c r="L254" i="9"/>
  <c r="M254" i="9"/>
  <c r="N254" i="9"/>
  <c r="O254" i="9"/>
  <c r="P254" i="9"/>
  <c r="Q254" i="9"/>
  <c r="R254" i="9"/>
  <c r="S254" i="9"/>
  <c r="T254" i="9"/>
  <c r="U254" i="9"/>
  <c r="V254" i="9"/>
  <c r="K255" i="9"/>
  <c r="L255" i="9"/>
  <c r="M255" i="9"/>
  <c r="N255" i="9"/>
  <c r="O255" i="9"/>
  <c r="P255" i="9"/>
  <c r="Q255" i="9"/>
  <c r="R255" i="9"/>
  <c r="S255" i="9"/>
  <c r="T255" i="9"/>
  <c r="U255" i="9"/>
  <c r="V255" i="9"/>
  <c r="K256" i="9"/>
  <c r="L256" i="9"/>
  <c r="M256" i="9"/>
  <c r="N256" i="9"/>
  <c r="O256" i="9"/>
  <c r="P256" i="9"/>
  <c r="Q256" i="9"/>
  <c r="R256" i="9"/>
  <c r="S256" i="9"/>
  <c r="T256" i="9"/>
  <c r="U256" i="9"/>
  <c r="V256" i="9"/>
  <c r="K257" i="9"/>
  <c r="L257" i="9"/>
  <c r="M257" i="9"/>
  <c r="N257" i="9"/>
  <c r="O257" i="9"/>
  <c r="P257" i="9"/>
  <c r="Q257" i="9"/>
  <c r="R257" i="9"/>
  <c r="S257" i="9"/>
  <c r="T257" i="9"/>
  <c r="U257" i="9"/>
  <c r="V257" i="9"/>
  <c r="K258" i="9"/>
  <c r="L258" i="9"/>
  <c r="M258" i="9"/>
  <c r="N258" i="9"/>
  <c r="O258" i="9"/>
  <c r="P258" i="9"/>
  <c r="Q258" i="9"/>
  <c r="R258" i="9"/>
  <c r="S258" i="9"/>
  <c r="T258" i="9"/>
  <c r="U258" i="9"/>
  <c r="V258" i="9"/>
  <c r="K259" i="9"/>
  <c r="L259" i="9"/>
  <c r="M259" i="9"/>
  <c r="N259" i="9"/>
  <c r="O259" i="9"/>
  <c r="P259" i="9"/>
  <c r="Q259" i="9"/>
  <c r="R259" i="9"/>
  <c r="S259" i="9"/>
  <c r="T259" i="9"/>
  <c r="U259" i="9"/>
  <c r="V259" i="9"/>
  <c r="K260" i="9"/>
  <c r="L260" i="9"/>
  <c r="M260" i="9"/>
  <c r="N260" i="9"/>
  <c r="O260" i="9"/>
  <c r="P260" i="9"/>
  <c r="Q260" i="9"/>
  <c r="R260" i="9"/>
  <c r="S260" i="9"/>
  <c r="T260" i="9"/>
  <c r="U260" i="9"/>
  <c r="V260" i="9"/>
  <c r="K261" i="9"/>
  <c r="L261" i="9"/>
  <c r="M261" i="9"/>
  <c r="N261" i="9"/>
  <c r="O261" i="9"/>
  <c r="P261" i="9"/>
  <c r="Q261" i="9"/>
  <c r="R261" i="9"/>
  <c r="S261" i="9"/>
  <c r="T261" i="9"/>
  <c r="U261" i="9"/>
  <c r="V261" i="9"/>
  <c r="K262" i="9"/>
  <c r="L262" i="9"/>
  <c r="M262" i="9"/>
  <c r="N262" i="9"/>
  <c r="O262" i="9"/>
  <c r="P262" i="9"/>
  <c r="Q262" i="9"/>
  <c r="R262" i="9"/>
  <c r="S262" i="9"/>
  <c r="T262" i="9"/>
  <c r="U262" i="9"/>
  <c r="V262" i="9"/>
  <c r="K263" i="9"/>
  <c r="L263" i="9"/>
  <c r="M263" i="9"/>
  <c r="N263" i="9"/>
  <c r="O263" i="9"/>
  <c r="P263" i="9"/>
  <c r="Q263" i="9"/>
  <c r="R263" i="9"/>
  <c r="S263" i="9"/>
  <c r="T263" i="9"/>
  <c r="U263" i="9"/>
  <c r="V263" i="9"/>
  <c r="K264" i="9"/>
  <c r="L264" i="9"/>
  <c r="M264" i="9"/>
  <c r="N264" i="9"/>
  <c r="O264" i="9"/>
  <c r="P264" i="9"/>
  <c r="Q264" i="9"/>
  <c r="R264" i="9"/>
  <c r="S264" i="9"/>
  <c r="T264" i="9"/>
  <c r="U264" i="9"/>
  <c r="V264" i="9"/>
  <c r="K265" i="9"/>
  <c r="L265" i="9"/>
  <c r="M265" i="9"/>
  <c r="N265" i="9"/>
  <c r="O265" i="9"/>
  <c r="P265" i="9"/>
  <c r="Q265" i="9"/>
  <c r="R265" i="9"/>
  <c r="S265" i="9"/>
  <c r="T265" i="9"/>
  <c r="U265" i="9"/>
  <c r="V265" i="9"/>
  <c r="K266" i="9"/>
  <c r="L266" i="9"/>
  <c r="M266" i="9"/>
  <c r="N266" i="9"/>
  <c r="O266" i="9"/>
  <c r="P266" i="9"/>
  <c r="Q266" i="9"/>
  <c r="R266" i="9"/>
  <c r="S266" i="9"/>
  <c r="T266" i="9"/>
  <c r="U266" i="9"/>
  <c r="V266" i="9"/>
  <c r="K267" i="9"/>
  <c r="L267" i="9"/>
  <c r="M267" i="9"/>
  <c r="N267" i="9"/>
  <c r="O267" i="9"/>
  <c r="P267" i="9"/>
  <c r="Q267" i="9"/>
  <c r="R267" i="9"/>
  <c r="S267" i="9"/>
  <c r="T267" i="9"/>
  <c r="U267" i="9"/>
  <c r="V267" i="9"/>
  <c r="K268" i="9"/>
  <c r="L268" i="9"/>
  <c r="M268" i="9"/>
  <c r="N268" i="9"/>
  <c r="O268" i="9"/>
  <c r="P268" i="9"/>
  <c r="Q268" i="9"/>
  <c r="R268" i="9"/>
  <c r="S268" i="9"/>
  <c r="T268" i="9"/>
  <c r="U268" i="9"/>
  <c r="V268" i="9"/>
  <c r="K269" i="9"/>
  <c r="L269" i="9"/>
  <c r="M269" i="9"/>
  <c r="N269" i="9"/>
  <c r="O269" i="9"/>
  <c r="P269" i="9"/>
  <c r="Q269" i="9"/>
  <c r="R269" i="9"/>
  <c r="S269" i="9"/>
  <c r="T269" i="9"/>
  <c r="U269" i="9"/>
  <c r="V269" i="9"/>
  <c r="K270" i="9"/>
  <c r="L270" i="9"/>
  <c r="M270" i="9"/>
  <c r="N270" i="9"/>
  <c r="O270" i="9"/>
  <c r="P270" i="9"/>
  <c r="Q270" i="9"/>
  <c r="R270" i="9"/>
  <c r="S270" i="9"/>
  <c r="T270" i="9"/>
  <c r="U270" i="9"/>
  <c r="V270" i="9"/>
  <c r="K271" i="9"/>
  <c r="L271" i="9"/>
  <c r="M271" i="9"/>
  <c r="N271" i="9"/>
  <c r="O271" i="9"/>
  <c r="P271" i="9"/>
  <c r="Q271" i="9"/>
  <c r="R271" i="9"/>
  <c r="S271" i="9"/>
  <c r="T271" i="9"/>
  <c r="U271" i="9"/>
  <c r="V271" i="9"/>
  <c r="K272" i="9"/>
  <c r="L272" i="9"/>
  <c r="M272" i="9"/>
  <c r="N272" i="9"/>
  <c r="O272" i="9"/>
  <c r="P272" i="9"/>
  <c r="Q272" i="9"/>
  <c r="R272" i="9"/>
  <c r="S272" i="9"/>
  <c r="T272" i="9"/>
  <c r="U272" i="9"/>
  <c r="V272" i="9"/>
  <c r="K273" i="9"/>
  <c r="L273" i="9"/>
  <c r="M273" i="9"/>
  <c r="N273" i="9"/>
  <c r="O273" i="9"/>
  <c r="P273" i="9"/>
  <c r="Q273" i="9"/>
  <c r="R273" i="9"/>
  <c r="S273" i="9"/>
  <c r="T273" i="9"/>
  <c r="U273" i="9"/>
  <c r="V273" i="9"/>
  <c r="K274" i="9"/>
  <c r="L274" i="9"/>
  <c r="M274" i="9"/>
  <c r="N274" i="9"/>
  <c r="O274" i="9"/>
  <c r="P274" i="9"/>
  <c r="Q274" i="9"/>
  <c r="R274" i="9"/>
  <c r="S274" i="9"/>
  <c r="T274" i="9"/>
  <c r="U274" i="9"/>
  <c r="V274" i="9"/>
  <c r="K275" i="9"/>
  <c r="L275" i="9"/>
  <c r="M275" i="9"/>
  <c r="N275" i="9"/>
  <c r="O275" i="9"/>
  <c r="P275" i="9"/>
  <c r="Q275" i="9"/>
  <c r="R275" i="9"/>
  <c r="S275" i="9"/>
  <c r="T275" i="9"/>
  <c r="U275" i="9"/>
  <c r="V275" i="9"/>
  <c r="K276" i="9"/>
  <c r="L276" i="9"/>
  <c r="M276" i="9"/>
  <c r="N276" i="9"/>
  <c r="O276" i="9"/>
  <c r="P276" i="9"/>
  <c r="Q276" i="9"/>
  <c r="R276" i="9"/>
  <c r="S276" i="9"/>
  <c r="T276" i="9"/>
  <c r="U276" i="9"/>
  <c r="V276" i="9"/>
  <c r="K277" i="9"/>
  <c r="L277" i="9"/>
  <c r="M277" i="9"/>
  <c r="N277" i="9"/>
  <c r="O277" i="9"/>
  <c r="P277" i="9"/>
  <c r="Q277" i="9"/>
  <c r="R277" i="9"/>
  <c r="S277" i="9"/>
  <c r="T277" i="9"/>
  <c r="U277" i="9"/>
  <c r="V277" i="9"/>
  <c r="K278" i="9"/>
  <c r="L278" i="9"/>
  <c r="M278" i="9"/>
  <c r="N278" i="9"/>
  <c r="O278" i="9"/>
  <c r="P278" i="9"/>
  <c r="Q278" i="9"/>
  <c r="R278" i="9"/>
  <c r="S278" i="9"/>
  <c r="T278" i="9"/>
  <c r="U278" i="9"/>
  <c r="V278" i="9"/>
  <c r="K279" i="9"/>
  <c r="L279" i="9"/>
  <c r="M279" i="9"/>
  <c r="N279" i="9"/>
  <c r="O279" i="9"/>
  <c r="P279" i="9"/>
  <c r="Q279" i="9"/>
  <c r="R279" i="9"/>
  <c r="S279" i="9"/>
  <c r="T279" i="9"/>
  <c r="U279" i="9"/>
  <c r="V279" i="9"/>
  <c r="K280" i="9"/>
  <c r="L280" i="9"/>
  <c r="M280" i="9"/>
  <c r="N280" i="9"/>
  <c r="O280" i="9"/>
  <c r="P280" i="9"/>
  <c r="Q280" i="9"/>
  <c r="R280" i="9"/>
  <c r="S280" i="9"/>
  <c r="T280" i="9"/>
  <c r="U280" i="9"/>
  <c r="V280" i="9"/>
  <c r="K281" i="9"/>
  <c r="L281" i="9"/>
  <c r="M281" i="9"/>
  <c r="N281" i="9"/>
  <c r="O281" i="9"/>
  <c r="P281" i="9"/>
  <c r="Q281" i="9"/>
  <c r="R281" i="9"/>
  <c r="S281" i="9"/>
  <c r="T281" i="9"/>
  <c r="U281" i="9"/>
  <c r="V281" i="9"/>
  <c r="K282" i="9"/>
  <c r="L282" i="9"/>
  <c r="M282" i="9"/>
  <c r="N282" i="9"/>
  <c r="O282" i="9"/>
  <c r="P282" i="9"/>
  <c r="Q282" i="9"/>
  <c r="R282" i="9"/>
  <c r="S282" i="9"/>
  <c r="T282" i="9"/>
  <c r="U282" i="9"/>
  <c r="V282" i="9"/>
  <c r="K283" i="9"/>
  <c r="L283" i="9"/>
  <c r="M283" i="9"/>
  <c r="N283" i="9"/>
  <c r="O283" i="9"/>
  <c r="P283" i="9"/>
  <c r="Q283" i="9"/>
  <c r="R283" i="9"/>
  <c r="S283" i="9"/>
  <c r="T283" i="9"/>
  <c r="U283" i="9"/>
  <c r="V283" i="9"/>
  <c r="K284" i="9"/>
  <c r="L284" i="9"/>
  <c r="M284" i="9"/>
  <c r="N284" i="9"/>
  <c r="O284" i="9"/>
  <c r="P284" i="9"/>
  <c r="Q284" i="9"/>
  <c r="R284" i="9"/>
  <c r="S284" i="9"/>
  <c r="T284" i="9"/>
  <c r="U284" i="9"/>
  <c r="V284" i="9"/>
  <c r="K285" i="9"/>
  <c r="L285" i="9"/>
  <c r="M285" i="9"/>
  <c r="N285" i="9"/>
  <c r="O285" i="9"/>
  <c r="P285" i="9"/>
  <c r="Q285" i="9"/>
  <c r="R285" i="9"/>
  <c r="S285" i="9"/>
  <c r="T285" i="9"/>
  <c r="U285" i="9"/>
  <c r="V285" i="9"/>
  <c r="K286" i="9"/>
  <c r="L286" i="9"/>
  <c r="M286" i="9"/>
  <c r="N286" i="9"/>
  <c r="O286" i="9"/>
  <c r="P286" i="9"/>
  <c r="Q286" i="9"/>
  <c r="R286" i="9"/>
  <c r="S286" i="9"/>
  <c r="T286" i="9"/>
  <c r="U286" i="9"/>
  <c r="V286" i="9"/>
  <c r="K287" i="9"/>
  <c r="L287" i="9"/>
  <c r="M287" i="9"/>
  <c r="N287" i="9"/>
  <c r="O287" i="9"/>
  <c r="P287" i="9"/>
  <c r="Q287" i="9"/>
  <c r="R287" i="9"/>
  <c r="S287" i="9"/>
  <c r="T287" i="9"/>
  <c r="U287" i="9"/>
  <c r="V287" i="9"/>
  <c r="K288" i="9"/>
  <c r="L288" i="9"/>
  <c r="M288" i="9"/>
  <c r="N288" i="9"/>
  <c r="O288" i="9"/>
  <c r="P288" i="9"/>
  <c r="Q288" i="9"/>
  <c r="R288" i="9"/>
  <c r="S288" i="9"/>
  <c r="T288" i="9"/>
  <c r="U288" i="9"/>
  <c r="V288" i="9"/>
  <c r="K289" i="9"/>
  <c r="L289" i="9"/>
  <c r="M289" i="9"/>
  <c r="N289" i="9"/>
  <c r="O289" i="9"/>
  <c r="P289" i="9"/>
  <c r="Q289" i="9"/>
  <c r="R289" i="9"/>
  <c r="S289" i="9"/>
  <c r="T289" i="9"/>
  <c r="U289" i="9"/>
  <c r="V289" i="9"/>
  <c r="K290" i="9"/>
  <c r="L290" i="9"/>
  <c r="M290" i="9"/>
  <c r="N290" i="9"/>
  <c r="O290" i="9"/>
  <c r="P290" i="9"/>
  <c r="Q290" i="9"/>
  <c r="R290" i="9"/>
  <c r="S290" i="9"/>
  <c r="T290" i="9"/>
  <c r="U290" i="9"/>
  <c r="V290" i="9"/>
  <c r="K291" i="9"/>
  <c r="L291" i="9"/>
  <c r="M291" i="9"/>
  <c r="N291" i="9"/>
  <c r="O291" i="9"/>
  <c r="P291" i="9"/>
  <c r="Q291" i="9"/>
  <c r="R291" i="9"/>
  <c r="S291" i="9"/>
  <c r="T291" i="9"/>
  <c r="U291" i="9"/>
  <c r="V291" i="9"/>
  <c r="K292" i="9"/>
  <c r="L292" i="9"/>
  <c r="M292" i="9"/>
  <c r="N292" i="9"/>
  <c r="O292" i="9"/>
  <c r="P292" i="9"/>
  <c r="Q292" i="9"/>
  <c r="R292" i="9"/>
  <c r="S292" i="9"/>
  <c r="T292" i="9"/>
  <c r="U292" i="9"/>
  <c r="V292" i="9"/>
  <c r="K293" i="9"/>
  <c r="L293" i="9"/>
  <c r="M293" i="9"/>
  <c r="N293" i="9"/>
  <c r="O293" i="9"/>
  <c r="P293" i="9"/>
  <c r="Q293" i="9"/>
  <c r="R293" i="9"/>
  <c r="S293" i="9"/>
  <c r="T293" i="9"/>
  <c r="U293" i="9"/>
  <c r="V293" i="9"/>
  <c r="K294" i="9"/>
  <c r="L294" i="9"/>
  <c r="M294" i="9"/>
  <c r="N294" i="9"/>
  <c r="O294" i="9"/>
  <c r="P294" i="9"/>
  <c r="Q294" i="9"/>
  <c r="R294" i="9"/>
  <c r="S294" i="9"/>
  <c r="T294" i="9"/>
  <c r="U294" i="9"/>
  <c r="V294" i="9"/>
  <c r="K295" i="9"/>
  <c r="L295" i="9"/>
  <c r="M295" i="9"/>
  <c r="N295" i="9"/>
  <c r="O295" i="9"/>
  <c r="P295" i="9"/>
  <c r="Q295" i="9"/>
  <c r="R295" i="9"/>
  <c r="S295" i="9"/>
  <c r="T295" i="9"/>
  <c r="U295" i="9"/>
  <c r="V295" i="9"/>
  <c r="K296" i="9"/>
  <c r="L296" i="9"/>
  <c r="M296" i="9"/>
  <c r="N296" i="9"/>
  <c r="O296" i="9"/>
  <c r="P296" i="9"/>
  <c r="Q296" i="9"/>
  <c r="R296" i="9"/>
  <c r="S296" i="9"/>
  <c r="T296" i="9"/>
  <c r="U296" i="9"/>
  <c r="V296" i="9"/>
  <c r="K297" i="9"/>
  <c r="L297" i="9"/>
  <c r="M297" i="9"/>
  <c r="N297" i="9"/>
  <c r="O297" i="9"/>
  <c r="P297" i="9"/>
  <c r="Q297" i="9"/>
  <c r="R297" i="9"/>
  <c r="S297" i="9"/>
  <c r="T297" i="9"/>
  <c r="U297" i="9"/>
  <c r="V297" i="9"/>
  <c r="K298" i="9"/>
  <c r="L298" i="9"/>
  <c r="M298" i="9"/>
  <c r="N298" i="9"/>
  <c r="O298" i="9"/>
  <c r="P298" i="9"/>
  <c r="Q298" i="9"/>
  <c r="R298" i="9"/>
  <c r="S298" i="9"/>
  <c r="T298" i="9"/>
  <c r="U298" i="9"/>
  <c r="V298" i="9"/>
  <c r="K299" i="9"/>
  <c r="L299" i="9"/>
  <c r="M299" i="9"/>
  <c r="N299" i="9"/>
  <c r="O299" i="9"/>
  <c r="P299" i="9"/>
  <c r="Q299" i="9"/>
  <c r="R299" i="9"/>
  <c r="S299" i="9"/>
  <c r="T299" i="9"/>
  <c r="U299" i="9"/>
  <c r="V299" i="9"/>
  <c r="K300" i="9"/>
  <c r="L300" i="9"/>
  <c r="M300" i="9"/>
  <c r="N300" i="9"/>
  <c r="O300" i="9"/>
  <c r="P300" i="9"/>
  <c r="Q300" i="9"/>
  <c r="R300" i="9"/>
  <c r="S300" i="9"/>
  <c r="T300" i="9"/>
  <c r="U300" i="9"/>
  <c r="V300" i="9"/>
  <c r="K301" i="9"/>
  <c r="L301" i="9"/>
  <c r="M301" i="9"/>
  <c r="N301" i="9"/>
  <c r="O301" i="9"/>
  <c r="P301" i="9"/>
  <c r="Q301" i="9"/>
  <c r="R301" i="9"/>
  <c r="S301" i="9"/>
  <c r="T301" i="9"/>
  <c r="U301" i="9"/>
  <c r="V301" i="9"/>
  <c r="K302" i="9"/>
  <c r="L302" i="9"/>
  <c r="M302" i="9"/>
  <c r="N302" i="9"/>
  <c r="O302" i="9"/>
  <c r="P302" i="9"/>
  <c r="Q302" i="9"/>
  <c r="R302" i="9"/>
  <c r="S302" i="9"/>
  <c r="T302" i="9"/>
  <c r="U302" i="9"/>
  <c r="V302" i="9"/>
  <c r="K303" i="9"/>
  <c r="L303" i="9"/>
  <c r="M303" i="9"/>
  <c r="N303" i="9"/>
  <c r="O303" i="9"/>
  <c r="P303" i="9"/>
  <c r="Q303" i="9"/>
  <c r="R303" i="9"/>
  <c r="S303" i="9"/>
  <c r="T303" i="9"/>
  <c r="U303" i="9"/>
  <c r="V303" i="9"/>
  <c r="K304" i="9"/>
  <c r="L304" i="9"/>
  <c r="M304" i="9"/>
  <c r="N304" i="9"/>
  <c r="O304" i="9"/>
  <c r="P304" i="9"/>
  <c r="Q304" i="9"/>
  <c r="R304" i="9"/>
  <c r="S304" i="9"/>
  <c r="T304" i="9"/>
  <c r="U304" i="9"/>
  <c r="V304" i="9"/>
  <c r="K305" i="9"/>
  <c r="L305" i="9"/>
  <c r="M305" i="9"/>
  <c r="N305" i="9"/>
  <c r="O305" i="9"/>
  <c r="P305" i="9"/>
  <c r="Q305" i="9"/>
  <c r="R305" i="9"/>
  <c r="S305" i="9"/>
  <c r="T305" i="9"/>
  <c r="U305" i="9"/>
  <c r="V305" i="9"/>
  <c r="K306" i="9"/>
  <c r="L306" i="9"/>
  <c r="M306" i="9"/>
  <c r="N306" i="9"/>
  <c r="O306" i="9"/>
  <c r="P306" i="9"/>
  <c r="Q306" i="9"/>
  <c r="R306" i="9"/>
  <c r="S306" i="9"/>
  <c r="T306" i="9"/>
  <c r="U306" i="9"/>
  <c r="V306" i="9"/>
  <c r="K307" i="9"/>
  <c r="L307" i="9"/>
  <c r="M307" i="9"/>
  <c r="N307" i="9"/>
  <c r="O307" i="9"/>
  <c r="P307" i="9"/>
  <c r="Q307" i="9"/>
  <c r="R307" i="9"/>
  <c r="S307" i="9"/>
  <c r="T307" i="9"/>
  <c r="U307" i="9"/>
  <c r="V307" i="9"/>
  <c r="K308" i="9"/>
  <c r="L308" i="9"/>
  <c r="M308" i="9"/>
  <c r="N308" i="9"/>
  <c r="O308" i="9"/>
  <c r="P308" i="9"/>
  <c r="Q308" i="9"/>
  <c r="R308" i="9"/>
  <c r="S308" i="9"/>
  <c r="T308" i="9"/>
  <c r="U308" i="9"/>
  <c r="V308" i="9"/>
  <c r="K309" i="9"/>
  <c r="L309" i="9"/>
  <c r="M309" i="9"/>
  <c r="N309" i="9"/>
  <c r="O309" i="9"/>
  <c r="P309" i="9"/>
  <c r="Q309" i="9"/>
  <c r="R309" i="9"/>
  <c r="S309" i="9"/>
  <c r="T309" i="9"/>
  <c r="U309" i="9"/>
  <c r="V309" i="9"/>
  <c r="K310" i="9"/>
  <c r="L310" i="9"/>
  <c r="M310" i="9"/>
  <c r="N310" i="9"/>
  <c r="O310" i="9"/>
  <c r="P310" i="9"/>
  <c r="Q310" i="9"/>
  <c r="R310" i="9"/>
  <c r="S310" i="9"/>
  <c r="T310" i="9"/>
  <c r="U310" i="9"/>
  <c r="V310" i="9"/>
  <c r="K311" i="9"/>
  <c r="L311" i="9"/>
  <c r="M311" i="9"/>
  <c r="N311" i="9"/>
  <c r="O311" i="9"/>
  <c r="P311" i="9"/>
  <c r="Q311" i="9"/>
  <c r="R311" i="9"/>
  <c r="S311" i="9"/>
  <c r="T311" i="9"/>
  <c r="U311" i="9"/>
  <c r="V311" i="9"/>
  <c r="K312" i="9"/>
  <c r="L312" i="9"/>
  <c r="M312" i="9"/>
  <c r="N312" i="9"/>
  <c r="O312" i="9"/>
  <c r="P312" i="9"/>
  <c r="Q312" i="9"/>
  <c r="R312" i="9"/>
  <c r="S312" i="9"/>
  <c r="T312" i="9"/>
  <c r="U312" i="9"/>
  <c r="V312" i="9"/>
  <c r="K313" i="9"/>
  <c r="L313" i="9"/>
  <c r="M313" i="9"/>
  <c r="N313" i="9"/>
  <c r="O313" i="9"/>
  <c r="P313" i="9"/>
  <c r="Q313" i="9"/>
  <c r="R313" i="9"/>
  <c r="S313" i="9"/>
  <c r="T313" i="9"/>
  <c r="U313" i="9"/>
  <c r="V313" i="9"/>
  <c r="K314" i="9"/>
  <c r="L314" i="9"/>
  <c r="M314" i="9"/>
  <c r="N314" i="9"/>
  <c r="O314" i="9"/>
  <c r="P314" i="9"/>
  <c r="Q314" i="9"/>
  <c r="R314" i="9"/>
  <c r="S314" i="9"/>
  <c r="T314" i="9"/>
  <c r="U314" i="9"/>
  <c r="V314" i="9"/>
  <c r="K315" i="9"/>
  <c r="L315" i="9"/>
  <c r="M315" i="9"/>
  <c r="N315" i="9"/>
  <c r="O315" i="9"/>
  <c r="P315" i="9"/>
  <c r="Q315" i="9"/>
  <c r="R315" i="9"/>
  <c r="S315" i="9"/>
  <c r="T315" i="9"/>
  <c r="U315" i="9"/>
  <c r="V315" i="9"/>
  <c r="K316" i="9"/>
  <c r="L316" i="9"/>
  <c r="M316" i="9"/>
  <c r="N316" i="9"/>
  <c r="O316" i="9"/>
  <c r="P316" i="9"/>
  <c r="Q316" i="9"/>
  <c r="R316" i="9"/>
  <c r="S316" i="9"/>
  <c r="T316" i="9"/>
  <c r="U316" i="9"/>
  <c r="V316" i="9"/>
  <c r="K317" i="9"/>
  <c r="L317" i="9"/>
  <c r="M317" i="9"/>
  <c r="N317" i="9"/>
  <c r="O317" i="9"/>
  <c r="P317" i="9"/>
  <c r="Q317" i="9"/>
  <c r="R317" i="9"/>
  <c r="S317" i="9"/>
  <c r="T317" i="9"/>
  <c r="U317" i="9"/>
  <c r="V317" i="9"/>
  <c r="K318" i="9"/>
  <c r="L318" i="9"/>
  <c r="M318" i="9"/>
  <c r="N318" i="9"/>
  <c r="O318" i="9"/>
  <c r="P318" i="9"/>
  <c r="Q318" i="9"/>
  <c r="R318" i="9"/>
  <c r="S318" i="9"/>
  <c r="T318" i="9"/>
  <c r="U318" i="9"/>
  <c r="V318" i="9"/>
  <c r="K319" i="9"/>
  <c r="L319" i="9"/>
  <c r="M319" i="9"/>
  <c r="N319" i="9"/>
  <c r="O319" i="9"/>
  <c r="P319" i="9"/>
  <c r="Q319" i="9"/>
  <c r="R319" i="9"/>
  <c r="S319" i="9"/>
  <c r="T319" i="9"/>
  <c r="U319" i="9"/>
  <c r="V319" i="9"/>
  <c r="K320" i="9"/>
  <c r="L320" i="9"/>
  <c r="M320" i="9"/>
  <c r="N320" i="9"/>
  <c r="O320" i="9"/>
  <c r="P320" i="9"/>
  <c r="Q320" i="9"/>
  <c r="R320" i="9"/>
  <c r="S320" i="9"/>
  <c r="T320" i="9"/>
  <c r="U320" i="9"/>
  <c r="V320" i="9"/>
  <c r="K321" i="9"/>
  <c r="L321" i="9"/>
  <c r="M321" i="9"/>
  <c r="N321" i="9"/>
  <c r="O321" i="9"/>
  <c r="P321" i="9"/>
  <c r="Q321" i="9"/>
  <c r="R321" i="9"/>
  <c r="S321" i="9"/>
  <c r="T321" i="9"/>
  <c r="U321" i="9"/>
  <c r="V321" i="9"/>
  <c r="K322" i="9"/>
  <c r="L322" i="9"/>
  <c r="M322" i="9"/>
  <c r="N322" i="9"/>
  <c r="O322" i="9"/>
  <c r="P322" i="9"/>
  <c r="Q322" i="9"/>
  <c r="R322" i="9"/>
  <c r="S322" i="9"/>
  <c r="T322" i="9"/>
  <c r="U322" i="9"/>
  <c r="V322" i="9"/>
  <c r="K323" i="9"/>
  <c r="L323" i="9"/>
  <c r="M323" i="9"/>
  <c r="N323" i="9"/>
  <c r="O323" i="9"/>
  <c r="P323" i="9"/>
  <c r="Q323" i="9"/>
  <c r="R323" i="9"/>
  <c r="S323" i="9"/>
  <c r="T323" i="9"/>
  <c r="U323" i="9"/>
  <c r="V323" i="9"/>
  <c r="K324" i="9"/>
  <c r="L324" i="9"/>
  <c r="M324" i="9"/>
  <c r="N324" i="9"/>
  <c r="O324" i="9"/>
  <c r="P324" i="9"/>
  <c r="Q324" i="9"/>
  <c r="R324" i="9"/>
  <c r="S324" i="9"/>
  <c r="T324" i="9"/>
  <c r="U324" i="9"/>
  <c r="V324" i="9"/>
  <c r="K325" i="9"/>
  <c r="L325" i="9"/>
  <c r="M325" i="9"/>
  <c r="N325" i="9"/>
  <c r="O325" i="9"/>
  <c r="P325" i="9"/>
  <c r="Q325" i="9"/>
  <c r="R325" i="9"/>
  <c r="S325" i="9"/>
  <c r="T325" i="9"/>
  <c r="U325" i="9"/>
  <c r="V325" i="9"/>
  <c r="K326" i="9"/>
  <c r="L326" i="9"/>
  <c r="M326" i="9"/>
  <c r="N326" i="9"/>
  <c r="O326" i="9"/>
  <c r="P326" i="9"/>
  <c r="Q326" i="9"/>
  <c r="R326" i="9"/>
  <c r="S326" i="9"/>
  <c r="T326" i="9"/>
  <c r="U326" i="9"/>
  <c r="V326" i="9"/>
  <c r="K327" i="9"/>
  <c r="L327" i="9"/>
  <c r="M327" i="9"/>
  <c r="N327" i="9"/>
  <c r="O327" i="9"/>
  <c r="P327" i="9"/>
  <c r="Q327" i="9"/>
  <c r="R327" i="9"/>
  <c r="S327" i="9"/>
  <c r="T327" i="9"/>
  <c r="U327" i="9"/>
  <c r="V327" i="9"/>
  <c r="K328" i="9"/>
  <c r="L328" i="9"/>
  <c r="M328" i="9"/>
  <c r="N328" i="9"/>
  <c r="O328" i="9"/>
  <c r="P328" i="9"/>
  <c r="Q328" i="9"/>
  <c r="R328" i="9"/>
  <c r="S328" i="9"/>
  <c r="T328" i="9"/>
  <c r="U328" i="9"/>
  <c r="V328" i="9"/>
  <c r="K329" i="9"/>
  <c r="L329" i="9"/>
  <c r="M329" i="9"/>
  <c r="N329" i="9"/>
  <c r="O329" i="9"/>
  <c r="P329" i="9"/>
  <c r="Q329" i="9"/>
  <c r="R329" i="9"/>
  <c r="S329" i="9"/>
  <c r="T329" i="9"/>
  <c r="U329" i="9"/>
  <c r="V329" i="9"/>
  <c r="K330" i="9"/>
  <c r="L330" i="9"/>
  <c r="M330" i="9"/>
  <c r="N330" i="9"/>
  <c r="O330" i="9"/>
  <c r="P330" i="9"/>
  <c r="Q330" i="9"/>
  <c r="R330" i="9"/>
  <c r="S330" i="9"/>
  <c r="T330" i="9"/>
  <c r="U330" i="9"/>
  <c r="V330" i="9"/>
  <c r="K331" i="9"/>
  <c r="L331" i="9"/>
  <c r="M331" i="9"/>
  <c r="N331" i="9"/>
  <c r="O331" i="9"/>
  <c r="P331" i="9"/>
  <c r="Q331" i="9"/>
  <c r="R331" i="9"/>
  <c r="S331" i="9"/>
  <c r="T331" i="9"/>
  <c r="U331" i="9"/>
  <c r="V331" i="9"/>
  <c r="K332" i="9"/>
  <c r="L332" i="9"/>
  <c r="M332" i="9"/>
  <c r="N332" i="9"/>
  <c r="O332" i="9"/>
  <c r="P332" i="9"/>
  <c r="Q332" i="9"/>
  <c r="R332" i="9"/>
  <c r="S332" i="9"/>
  <c r="T332" i="9"/>
  <c r="U332" i="9"/>
  <c r="V332" i="9"/>
  <c r="K333" i="9"/>
  <c r="L333" i="9"/>
  <c r="M333" i="9"/>
  <c r="N333" i="9"/>
  <c r="O333" i="9"/>
  <c r="P333" i="9"/>
  <c r="Q333" i="9"/>
  <c r="R333" i="9"/>
  <c r="S333" i="9"/>
  <c r="T333" i="9"/>
  <c r="U333" i="9"/>
  <c r="V333" i="9"/>
  <c r="K334" i="9"/>
  <c r="L334" i="9"/>
  <c r="M334" i="9"/>
  <c r="N334" i="9"/>
  <c r="O334" i="9"/>
  <c r="P334" i="9"/>
  <c r="Q334" i="9"/>
  <c r="R334" i="9"/>
  <c r="S334" i="9"/>
  <c r="T334" i="9"/>
  <c r="U334" i="9"/>
  <c r="V334" i="9"/>
  <c r="K335" i="9"/>
  <c r="L335" i="9"/>
  <c r="M335" i="9"/>
  <c r="N335" i="9"/>
  <c r="O335" i="9"/>
  <c r="P335" i="9"/>
  <c r="Q335" i="9"/>
  <c r="R335" i="9"/>
  <c r="S335" i="9"/>
  <c r="T335" i="9"/>
  <c r="U335" i="9"/>
  <c r="V335" i="9"/>
  <c r="K336" i="9"/>
  <c r="L336" i="9"/>
  <c r="M336" i="9"/>
  <c r="N336" i="9"/>
  <c r="O336" i="9"/>
  <c r="P336" i="9"/>
  <c r="Q336" i="9"/>
  <c r="R336" i="9"/>
  <c r="S336" i="9"/>
  <c r="T336" i="9"/>
  <c r="U336" i="9"/>
  <c r="V336" i="9"/>
  <c r="K337" i="9"/>
  <c r="L337" i="9"/>
  <c r="M337" i="9"/>
  <c r="N337" i="9"/>
  <c r="O337" i="9"/>
  <c r="P337" i="9"/>
  <c r="Q337" i="9"/>
  <c r="R337" i="9"/>
  <c r="S337" i="9"/>
  <c r="T337" i="9"/>
  <c r="U337" i="9"/>
  <c r="V337" i="9"/>
  <c r="K338" i="9"/>
  <c r="L338" i="9"/>
  <c r="M338" i="9"/>
  <c r="N338" i="9"/>
  <c r="O338" i="9"/>
  <c r="P338" i="9"/>
  <c r="Q338" i="9"/>
  <c r="R338" i="9"/>
  <c r="S338" i="9"/>
  <c r="T338" i="9"/>
  <c r="U338" i="9"/>
  <c r="V338" i="9"/>
  <c r="K339" i="9"/>
  <c r="L339" i="9"/>
  <c r="M339" i="9"/>
  <c r="N339" i="9"/>
  <c r="O339" i="9"/>
  <c r="P339" i="9"/>
  <c r="Q339" i="9"/>
  <c r="R339" i="9"/>
  <c r="S339" i="9"/>
  <c r="T339" i="9"/>
  <c r="U339" i="9"/>
  <c r="V339" i="9"/>
  <c r="K340" i="9"/>
  <c r="L340" i="9"/>
  <c r="M340" i="9"/>
  <c r="N340" i="9"/>
  <c r="O340" i="9"/>
  <c r="P340" i="9"/>
  <c r="Q340" i="9"/>
  <c r="R340" i="9"/>
  <c r="S340" i="9"/>
  <c r="T340" i="9"/>
  <c r="U340" i="9"/>
  <c r="V340" i="9"/>
  <c r="K341" i="9"/>
  <c r="L341" i="9"/>
  <c r="M341" i="9"/>
  <c r="N341" i="9"/>
  <c r="O341" i="9"/>
  <c r="P341" i="9"/>
  <c r="Q341" i="9"/>
  <c r="R341" i="9"/>
  <c r="S341" i="9"/>
  <c r="T341" i="9"/>
  <c r="U341" i="9"/>
  <c r="V341" i="9"/>
  <c r="K342" i="9"/>
  <c r="L342" i="9"/>
  <c r="M342" i="9"/>
  <c r="N342" i="9"/>
  <c r="O342" i="9"/>
  <c r="P342" i="9"/>
  <c r="Q342" i="9"/>
  <c r="R342" i="9"/>
  <c r="S342" i="9"/>
  <c r="T342" i="9"/>
  <c r="U342" i="9"/>
  <c r="V342" i="9"/>
  <c r="K343" i="9"/>
  <c r="L343" i="9"/>
  <c r="M343" i="9"/>
  <c r="N343" i="9"/>
  <c r="O343" i="9"/>
  <c r="P343" i="9"/>
  <c r="Q343" i="9"/>
  <c r="R343" i="9"/>
  <c r="S343" i="9"/>
  <c r="T343" i="9"/>
  <c r="U343" i="9"/>
  <c r="V343" i="9"/>
  <c r="K344" i="9"/>
  <c r="L344" i="9"/>
  <c r="M344" i="9"/>
  <c r="N344" i="9"/>
  <c r="O344" i="9"/>
  <c r="P344" i="9"/>
  <c r="Q344" i="9"/>
  <c r="R344" i="9"/>
  <c r="S344" i="9"/>
  <c r="T344" i="9"/>
  <c r="U344" i="9"/>
  <c r="V344" i="9"/>
  <c r="K345" i="9"/>
  <c r="L345" i="9"/>
  <c r="M345" i="9"/>
  <c r="N345" i="9"/>
  <c r="O345" i="9"/>
  <c r="P345" i="9"/>
  <c r="Q345" i="9"/>
  <c r="R345" i="9"/>
  <c r="S345" i="9"/>
  <c r="T345" i="9"/>
  <c r="U345" i="9"/>
  <c r="V345" i="9"/>
  <c r="K346" i="9"/>
  <c r="L346" i="9"/>
  <c r="M346" i="9"/>
  <c r="N346" i="9"/>
  <c r="O346" i="9"/>
  <c r="P346" i="9"/>
  <c r="Q346" i="9"/>
  <c r="R346" i="9"/>
  <c r="S346" i="9"/>
  <c r="T346" i="9"/>
  <c r="U346" i="9"/>
  <c r="V346" i="9"/>
  <c r="K347" i="9"/>
  <c r="L347" i="9"/>
  <c r="M347" i="9"/>
  <c r="N347" i="9"/>
  <c r="O347" i="9"/>
  <c r="P347" i="9"/>
  <c r="Q347" i="9"/>
  <c r="R347" i="9"/>
  <c r="S347" i="9"/>
  <c r="T347" i="9"/>
  <c r="U347" i="9"/>
  <c r="V347" i="9"/>
  <c r="K348" i="9"/>
  <c r="L348" i="9"/>
  <c r="M348" i="9"/>
  <c r="N348" i="9"/>
  <c r="O348" i="9"/>
  <c r="P348" i="9"/>
  <c r="Q348" i="9"/>
  <c r="R348" i="9"/>
  <c r="S348" i="9"/>
  <c r="T348" i="9"/>
  <c r="U348" i="9"/>
  <c r="V348" i="9"/>
  <c r="K349" i="9"/>
  <c r="L349" i="9"/>
  <c r="M349" i="9"/>
  <c r="N349" i="9"/>
  <c r="O349" i="9"/>
  <c r="P349" i="9"/>
  <c r="Q349" i="9"/>
  <c r="R349" i="9"/>
  <c r="S349" i="9"/>
  <c r="T349" i="9"/>
  <c r="U349" i="9"/>
  <c r="V349" i="9"/>
  <c r="K350" i="9"/>
  <c r="L350" i="9"/>
  <c r="M350" i="9"/>
  <c r="N350" i="9"/>
  <c r="O350" i="9"/>
  <c r="P350" i="9"/>
  <c r="Q350" i="9"/>
  <c r="R350" i="9"/>
  <c r="S350" i="9"/>
  <c r="T350" i="9"/>
  <c r="U350" i="9"/>
  <c r="V350" i="9"/>
  <c r="K351" i="9"/>
  <c r="L351" i="9"/>
  <c r="M351" i="9"/>
  <c r="N351" i="9"/>
  <c r="O351" i="9"/>
  <c r="P351" i="9"/>
  <c r="Q351" i="9"/>
  <c r="R351" i="9"/>
  <c r="S351" i="9"/>
  <c r="T351" i="9"/>
  <c r="U351" i="9"/>
  <c r="V351" i="9"/>
  <c r="K352" i="9"/>
  <c r="L352" i="9"/>
  <c r="M352" i="9"/>
  <c r="N352" i="9"/>
  <c r="O352" i="9"/>
  <c r="P352" i="9"/>
  <c r="Q352" i="9"/>
  <c r="R352" i="9"/>
  <c r="S352" i="9"/>
  <c r="T352" i="9"/>
  <c r="U352" i="9"/>
  <c r="V352" i="9"/>
  <c r="K353" i="9"/>
  <c r="L353" i="9"/>
  <c r="M353" i="9"/>
  <c r="N353" i="9"/>
  <c r="O353" i="9"/>
  <c r="P353" i="9"/>
  <c r="Q353" i="9"/>
  <c r="R353" i="9"/>
  <c r="S353" i="9"/>
  <c r="T353" i="9"/>
  <c r="U353" i="9"/>
  <c r="V353" i="9"/>
  <c r="K354" i="9"/>
  <c r="L354" i="9"/>
  <c r="M354" i="9"/>
  <c r="N354" i="9"/>
  <c r="O354" i="9"/>
  <c r="P354" i="9"/>
  <c r="Q354" i="9"/>
  <c r="R354" i="9"/>
  <c r="S354" i="9"/>
  <c r="T354" i="9"/>
  <c r="U354" i="9"/>
  <c r="V354" i="9"/>
  <c r="K355" i="9"/>
  <c r="L355" i="9"/>
  <c r="M355" i="9"/>
  <c r="N355" i="9"/>
  <c r="O355" i="9"/>
  <c r="P355" i="9"/>
  <c r="Q355" i="9"/>
  <c r="R355" i="9"/>
  <c r="S355" i="9"/>
  <c r="T355" i="9"/>
  <c r="U355" i="9"/>
  <c r="V355" i="9"/>
  <c r="K356" i="9"/>
  <c r="L356" i="9"/>
  <c r="M356" i="9"/>
  <c r="N356" i="9"/>
  <c r="O356" i="9"/>
  <c r="P356" i="9"/>
  <c r="Q356" i="9"/>
  <c r="R356" i="9"/>
  <c r="S356" i="9"/>
  <c r="T356" i="9"/>
  <c r="U356" i="9"/>
  <c r="V356" i="9"/>
  <c r="K357" i="9"/>
  <c r="L357" i="9"/>
  <c r="M357" i="9"/>
  <c r="N357" i="9"/>
  <c r="O357" i="9"/>
  <c r="P357" i="9"/>
  <c r="Q357" i="9"/>
  <c r="R357" i="9"/>
  <c r="S357" i="9"/>
  <c r="T357" i="9"/>
  <c r="U357" i="9"/>
  <c r="V357" i="9"/>
  <c r="K358" i="9"/>
  <c r="L358" i="9"/>
  <c r="M358" i="9"/>
  <c r="N358" i="9"/>
  <c r="O358" i="9"/>
  <c r="P358" i="9"/>
  <c r="Q358" i="9"/>
  <c r="R358" i="9"/>
  <c r="S358" i="9"/>
  <c r="T358" i="9"/>
  <c r="U358" i="9"/>
  <c r="V358" i="9"/>
  <c r="K359" i="9"/>
  <c r="L359" i="9"/>
  <c r="M359" i="9"/>
  <c r="N359" i="9"/>
  <c r="O359" i="9"/>
  <c r="P359" i="9"/>
  <c r="Q359" i="9"/>
  <c r="R359" i="9"/>
  <c r="S359" i="9"/>
  <c r="T359" i="9"/>
  <c r="U359" i="9"/>
  <c r="V359" i="9"/>
  <c r="K360" i="9"/>
  <c r="L360" i="9"/>
  <c r="M360" i="9"/>
  <c r="N360" i="9"/>
  <c r="O360" i="9"/>
  <c r="P360" i="9"/>
  <c r="Q360" i="9"/>
  <c r="R360" i="9"/>
  <c r="S360" i="9"/>
  <c r="T360" i="9"/>
  <c r="U360" i="9"/>
  <c r="V360" i="9"/>
  <c r="K361" i="9"/>
  <c r="L361" i="9"/>
  <c r="M361" i="9"/>
  <c r="N361" i="9"/>
  <c r="O361" i="9"/>
  <c r="P361" i="9"/>
  <c r="Q361" i="9"/>
  <c r="R361" i="9"/>
  <c r="S361" i="9"/>
  <c r="T361" i="9"/>
  <c r="U361" i="9"/>
  <c r="V361" i="9"/>
  <c r="K362" i="9"/>
  <c r="L362" i="9"/>
  <c r="M362" i="9"/>
  <c r="N362" i="9"/>
  <c r="O362" i="9"/>
  <c r="P362" i="9"/>
  <c r="Q362" i="9"/>
  <c r="R362" i="9"/>
  <c r="S362" i="9"/>
  <c r="T362" i="9"/>
  <c r="U362" i="9"/>
  <c r="V362" i="9"/>
  <c r="K363" i="9"/>
  <c r="L363" i="9"/>
  <c r="M363" i="9"/>
  <c r="N363" i="9"/>
  <c r="O363" i="9"/>
  <c r="P363" i="9"/>
  <c r="Q363" i="9"/>
  <c r="R363" i="9"/>
  <c r="S363" i="9"/>
  <c r="T363" i="9"/>
  <c r="U363" i="9"/>
  <c r="V363" i="9"/>
  <c r="K364" i="9"/>
  <c r="L364" i="9"/>
  <c r="M364" i="9"/>
  <c r="N364" i="9"/>
  <c r="O364" i="9"/>
  <c r="P364" i="9"/>
  <c r="Q364" i="9"/>
  <c r="R364" i="9"/>
  <c r="S364" i="9"/>
  <c r="T364" i="9"/>
  <c r="U364" i="9"/>
  <c r="V364" i="9"/>
  <c r="K365" i="9"/>
  <c r="L365" i="9"/>
  <c r="M365" i="9"/>
  <c r="N365" i="9"/>
  <c r="O365" i="9"/>
  <c r="P365" i="9"/>
  <c r="Q365" i="9"/>
  <c r="R365" i="9"/>
  <c r="S365" i="9"/>
  <c r="T365" i="9"/>
  <c r="U365" i="9"/>
  <c r="V365" i="9"/>
  <c r="K366" i="9"/>
  <c r="L366" i="9"/>
  <c r="M366" i="9"/>
  <c r="N366" i="9"/>
  <c r="O366" i="9"/>
  <c r="P366" i="9"/>
  <c r="Q366" i="9"/>
  <c r="R366" i="9"/>
  <c r="S366" i="9"/>
  <c r="T366" i="9"/>
  <c r="U366" i="9"/>
  <c r="V366" i="9"/>
  <c r="K367" i="9"/>
  <c r="L367" i="9"/>
  <c r="M367" i="9"/>
  <c r="N367" i="9"/>
  <c r="O367" i="9"/>
  <c r="P367" i="9"/>
  <c r="Q367" i="9"/>
  <c r="R367" i="9"/>
  <c r="S367" i="9"/>
  <c r="T367" i="9"/>
  <c r="U367" i="9"/>
  <c r="V367" i="9"/>
  <c r="K368" i="9"/>
  <c r="L368" i="9"/>
  <c r="M368" i="9"/>
  <c r="N368" i="9"/>
  <c r="O368" i="9"/>
  <c r="P368" i="9"/>
  <c r="Q368" i="9"/>
  <c r="R368" i="9"/>
  <c r="S368" i="9"/>
  <c r="T368" i="9"/>
  <c r="U368" i="9"/>
  <c r="V368" i="9"/>
  <c r="K369" i="9"/>
  <c r="L369" i="9"/>
  <c r="M369" i="9"/>
  <c r="N369" i="9"/>
  <c r="O369" i="9"/>
  <c r="P369" i="9"/>
  <c r="Q369" i="9"/>
  <c r="R369" i="9"/>
  <c r="S369" i="9"/>
  <c r="T369" i="9"/>
  <c r="U369" i="9"/>
  <c r="V369" i="9"/>
  <c r="K370" i="9"/>
  <c r="L370" i="9"/>
  <c r="M370" i="9"/>
  <c r="N370" i="9"/>
  <c r="O370" i="9"/>
  <c r="P370" i="9"/>
  <c r="Q370" i="9"/>
  <c r="R370" i="9"/>
  <c r="S370" i="9"/>
  <c r="T370" i="9"/>
  <c r="U370" i="9"/>
  <c r="V370" i="9"/>
  <c r="K371" i="9"/>
  <c r="L371" i="9"/>
  <c r="M371" i="9"/>
  <c r="N371" i="9"/>
  <c r="O371" i="9"/>
  <c r="P371" i="9"/>
  <c r="Q371" i="9"/>
  <c r="R371" i="9"/>
  <c r="S371" i="9"/>
  <c r="T371" i="9"/>
  <c r="U371" i="9"/>
  <c r="V371" i="9"/>
  <c r="K372" i="9"/>
  <c r="L372" i="9"/>
  <c r="M372" i="9"/>
  <c r="N372" i="9"/>
  <c r="O372" i="9"/>
  <c r="P372" i="9"/>
  <c r="Q372" i="9"/>
  <c r="R372" i="9"/>
  <c r="S372" i="9"/>
  <c r="T372" i="9"/>
  <c r="U372" i="9"/>
  <c r="V372" i="9"/>
  <c r="K373" i="9"/>
  <c r="L373" i="9"/>
  <c r="M373" i="9"/>
  <c r="N373" i="9"/>
  <c r="O373" i="9"/>
  <c r="P373" i="9"/>
  <c r="Q373" i="9"/>
  <c r="R373" i="9"/>
  <c r="S373" i="9"/>
  <c r="T373" i="9"/>
  <c r="U373" i="9"/>
  <c r="V373" i="9"/>
  <c r="K374" i="9"/>
  <c r="L374" i="9"/>
  <c r="M374" i="9"/>
  <c r="N374" i="9"/>
  <c r="O374" i="9"/>
  <c r="P374" i="9"/>
  <c r="Q374" i="9"/>
  <c r="R374" i="9"/>
  <c r="S374" i="9"/>
  <c r="T374" i="9"/>
  <c r="U374" i="9"/>
  <c r="V374" i="9"/>
  <c r="K375" i="9"/>
  <c r="L375" i="9"/>
  <c r="M375" i="9"/>
  <c r="N375" i="9"/>
  <c r="O375" i="9"/>
  <c r="P375" i="9"/>
  <c r="Q375" i="9"/>
  <c r="R375" i="9"/>
  <c r="S375" i="9"/>
  <c r="T375" i="9"/>
  <c r="U375" i="9"/>
  <c r="V375" i="9"/>
  <c r="K376" i="9"/>
  <c r="L376" i="9"/>
  <c r="M376" i="9"/>
  <c r="N376" i="9"/>
  <c r="O376" i="9"/>
  <c r="P376" i="9"/>
  <c r="Q376" i="9"/>
  <c r="R376" i="9"/>
  <c r="S376" i="9"/>
  <c r="T376" i="9"/>
  <c r="U376" i="9"/>
  <c r="V376" i="9"/>
  <c r="K377" i="9"/>
  <c r="L377" i="9"/>
  <c r="M377" i="9"/>
  <c r="N377" i="9"/>
  <c r="O377" i="9"/>
  <c r="P377" i="9"/>
  <c r="Q377" i="9"/>
  <c r="R377" i="9"/>
  <c r="S377" i="9"/>
  <c r="T377" i="9"/>
  <c r="U377" i="9"/>
  <c r="V377" i="9"/>
  <c r="K378" i="9"/>
  <c r="L378" i="9"/>
  <c r="M378" i="9"/>
  <c r="N378" i="9"/>
  <c r="O378" i="9"/>
  <c r="P378" i="9"/>
  <c r="Q378" i="9"/>
  <c r="R378" i="9"/>
  <c r="S378" i="9"/>
  <c r="T378" i="9"/>
  <c r="U378" i="9"/>
  <c r="V378" i="9"/>
  <c r="K379" i="9"/>
  <c r="L379" i="9"/>
  <c r="M379" i="9"/>
  <c r="N379" i="9"/>
  <c r="O379" i="9"/>
  <c r="P379" i="9"/>
  <c r="Q379" i="9"/>
  <c r="R379" i="9"/>
  <c r="S379" i="9"/>
  <c r="T379" i="9"/>
  <c r="U379" i="9"/>
  <c r="V379" i="9"/>
  <c r="K380" i="9"/>
  <c r="L380" i="9"/>
  <c r="M380" i="9"/>
  <c r="N380" i="9"/>
  <c r="O380" i="9"/>
  <c r="P380" i="9"/>
  <c r="Q380" i="9"/>
  <c r="R380" i="9"/>
  <c r="S380" i="9"/>
  <c r="T380" i="9"/>
  <c r="U380" i="9"/>
  <c r="V380" i="9"/>
  <c r="K381" i="9"/>
  <c r="L381" i="9"/>
  <c r="M381" i="9"/>
  <c r="N381" i="9"/>
  <c r="O381" i="9"/>
  <c r="P381" i="9"/>
  <c r="Q381" i="9"/>
  <c r="R381" i="9"/>
  <c r="S381" i="9"/>
  <c r="T381" i="9"/>
  <c r="U381" i="9"/>
  <c r="V381" i="9"/>
  <c r="K382" i="9"/>
  <c r="L382" i="9"/>
  <c r="M382" i="9"/>
  <c r="N382" i="9"/>
  <c r="O382" i="9"/>
  <c r="P382" i="9"/>
  <c r="Q382" i="9"/>
  <c r="R382" i="9"/>
  <c r="S382" i="9"/>
  <c r="T382" i="9"/>
  <c r="U382" i="9"/>
  <c r="V382" i="9"/>
  <c r="K383" i="9"/>
  <c r="L383" i="9"/>
  <c r="M383" i="9"/>
  <c r="N383" i="9"/>
  <c r="O383" i="9"/>
  <c r="P383" i="9"/>
  <c r="Q383" i="9"/>
  <c r="R383" i="9"/>
  <c r="S383" i="9"/>
  <c r="T383" i="9"/>
  <c r="U383" i="9"/>
  <c r="V383" i="9"/>
  <c r="K384" i="9"/>
  <c r="L384" i="9"/>
  <c r="M384" i="9"/>
  <c r="N384" i="9"/>
  <c r="O384" i="9"/>
  <c r="P384" i="9"/>
  <c r="Q384" i="9"/>
  <c r="R384" i="9"/>
  <c r="S384" i="9"/>
  <c r="T384" i="9"/>
  <c r="U384" i="9"/>
  <c r="V384" i="9"/>
  <c r="K385" i="9"/>
  <c r="L385" i="9"/>
  <c r="M385" i="9"/>
  <c r="N385" i="9"/>
  <c r="O385" i="9"/>
  <c r="P385" i="9"/>
  <c r="Q385" i="9"/>
  <c r="R385" i="9"/>
  <c r="S385" i="9"/>
  <c r="T385" i="9"/>
  <c r="U385" i="9"/>
  <c r="V385" i="9"/>
  <c r="K386" i="9"/>
  <c r="L386" i="9"/>
  <c r="M386" i="9"/>
  <c r="N386" i="9"/>
  <c r="O386" i="9"/>
  <c r="P386" i="9"/>
  <c r="Q386" i="9"/>
  <c r="R386" i="9"/>
  <c r="S386" i="9"/>
  <c r="T386" i="9"/>
  <c r="U386" i="9"/>
  <c r="V386" i="9"/>
  <c r="K387" i="9"/>
  <c r="L387" i="9"/>
  <c r="M387" i="9"/>
  <c r="N387" i="9"/>
  <c r="O387" i="9"/>
  <c r="P387" i="9"/>
  <c r="Q387" i="9"/>
  <c r="R387" i="9"/>
  <c r="S387" i="9"/>
  <c r="T387" i="9"/>
  <c r="U387" i="9"/>
  <c r="V387" i="9"/>
  <c r="K388" i="9"/>
  <c r="L388" i="9"/>
  <c r="M388" i="9"/>
  <c r="N388" i="9"/>
  <c r="O388" i="9"/>
  <c r="P388" i="9"/>
  <c r="Q388" i="9"/>
  <c r="R388" i="9"/>
  <c r="S388" i="9"/>
  <c r="T388" i="9"/>
  <c r="U388" i="9"/>
  <c r="V388" i="9"/>
  <c r="K389" i="9"/>
  <c r="L389" i="9"/>
  <c r="M389" i="9"/>
  <c r="N389" i="9"/>
  <c r="O389" i="9"/>
  <c r="P389" i="9"/>
  <c r="Q389" i="9"/>
  <c r="R389" i="9"/>
  <c r="S389" i="9"/>
  <c r="T389" i="9"/>
  <c r="U389" i="9"/>
  <c r="V389" i="9"/>
  <c r="K390" i="9"/>
  <c r="L390" i="9"/>
  <c r="M390" i="9"/>
  <c r="N390" i="9"/>
  <c r="O390" i="9"/>
  <c r="P390" i="9"/>
  <c r="Q390" i="9"/>
  <c r="R390" i="9"/>
  <c r="S390" i="9"/>
  <c r="T390" i="9"/>
  <c r="U390" i="9"/>
  <c r="V390" i="9"/>
  <c r="K391" i="9"/>
  <c r="L391" i="9"/>
  <c r="M391" i="9"/>
  <c r="N391" i="9"/>
  <c r="O391" i="9"/>
  <c r="P391" i="9"/>
  <c r="Q391" i="9"/>
  <c r="R391" i="9"/>
  <c r="S391" i="9"/>
  <c r="T391" i="9"/>
  <c r="U391" i="9"/>
  <c r="V391" i="9"/>
  <c r="K392" i="9"/>
  <c r="L392" i="9"/>
  <c r="M392" i="9"/>
  <c r="N392" i="9"/>
  <c r="O392" i="9"/>
  <c r="P392" i="9"/>
  <c r="Q392" i="9"/>
  <c r="R392" i="9"/>
  <c r="S392" i="9"/>
  <c r="T392" i="9"/>
  <c r="U392" i="9"/>
  <c r="V392" i="9"/>
  <c r="K393" i="9"/>
  <c r="L393" i="9"/>
  <c r="M393" i="9"/>
  <c r="N393" i="9"/>
  <c r="O393" i="9"/>
  <c r="P393" i="9"/>
  <c r="Q393" i="9"/>
  <c r="R393" i="9"/>
  <c r="S393" i="9"/>
  <c r="T393" i="9"/>
  <c r="U393" i="9"/>
  <c r="V393" i="9"/>
  <c r="K394" i="9"/>
  <c r="L394" i="9"/>
  <c r="M394" i="9"/>
  <c r="N394" i="9"/>
  <c r="O394" i="9"/>
  <c r="P394" i="9"/>
  <c r="Q394" i="9"/>
  <c r="R394" i="9"/>
  <c r="S394" i="9"/>
  <c r="T394" i="9"/>
  <c r="U394" i="9"/>
  <c r="V394" i="9"/>
  <c r="K395" i="9"/>
  <c r="L395" i="9"/>
  <c r="M395" i="9"/>
  <c r="N395" i="9"/>
  <c r="O395" i="9"/>
  <c r="P395" i="9"/>
  <c r="Q395" i="9"/>
  <c r="R395" i="9"/>
  <c r="S395" i="9"/>
  <c r="T395" i="9"/>
  <c r="U395" i="9"/>
  <c r="V395" i="9"/>
  <c r="K396" i="9"/>
  <c r="L396" i="9"/>
  <c r="M396" i="9"/>
  <c r="N396" i="9"/>
  <c r="O396" i="9"/>
  <c r="P396" i="9"/>
  <c r="Q396" i="9"/>
  <c r="R396" i="9"/>
  <c r="S396" i="9"/>
  <c r="T396" i="9"/>
  <c r="U396" i="9"/>
  <c r="V396" i="9"/>
  <c r="K397" i="9"/>
  <c r="L397" i="9"/>
  <c r="M397" i="9"/>
  <c r="N397" i="9"/>
  <c r="O397" i="9"/>
  <c r="P397" i="9"/>
  <c r="Q397" i="9"/>
  <c r="R397" i="9"/>
  <c r="S397" i="9"/>
  <c r="T397" i="9"/>
  <c r="U397" i="9"/>
  <c r="V397" i="9"/>
  <c r="K398" i="9"/>
  <c r="L398" i="9"/>
  <c r="M398" i="9"/>
  <c r="N398" i="9"/>
  <c r="O398" i="9"/>
  <c r="P398" i="9"/>
  <c r="Q398" i="9"/>
  <c r="R398" i="9"/>
  <c r="S398" i="9"/>
  <c r="T398" i="9"/>
  <c r="U398" i="9"/>
  <c r="V398" i="9"/>
  <c r="K399" i="9"/>
  <c r="L399" i="9"/>
  <c r="M399" i="9"/>
  <c r="N399" i="9"/>
  <c r="O399" i="9"/>
  <c r="P399" i="9"/>
  <c r="Q399" i="9"/>
  <c r="R399" i="9"/>
  <c r="S399" i="9"/>
  <c r="T399" i="9"/>
  <c r="U399" i="9"/>
  <c r="V399" i="9"/>
  <c r="K400" i="9"/>
  <c r="L400" i="9"/>
  <c r="M400" i="9"/>
  <c r="N400" i="9"/>
  <c r="O400" i="9"/>
  <c r="P400" i="9"/>
  <c r="Q400" i="9"/>
  <c r="R400" i="9"/>
  <c r="S400" i="9"/>
  <c r="T400" i="9"/>
  <c r="U400" i="9"/>
  <c r="V400" i="9"/>
  <c r="K401" i="9"/>
  <c r="L401" i="9"/>
  <c r="M401" i="9"/>
  <c r="N401" i="9"/>
  <c r="O401" i="9"/>
  <c r="P401" i="9"/>
  <c r="Q401" i="9"/>
  <c r="R401" i="9"/>
  <c r="S401" i="9"/>
  <c r="T401" i="9"/>
  <c r="U401" i="9"/>
  <c r="V401" i="9"/>
  <c r="K402" i="9"/>
  <c r="L402" i="9"/>
  <c r="M402" i="9"/>
  <c r="N402" i="9"/>
  <c r="O402" i="9"/>
  <c r="P402" i="9"/>
  <c r="Q402" i="9"/>
  <c r="R402" i="9"/>
  <c r="S402" i="9"/>
  <c r="T402" i="9"/>
  <c r="U402" i="9"/>
  <c r="V402" i="9"/>
  <c r="K403" i="9"/>
  <c r="L403" i="9"/>
  <c r="M403" i="9"/>
  <c r="N403" i="9"/>
  <c r="O403" i="9"/>
  <c r="P403" i="9"/>
  <c r="Q403" i="9"/>
  <c r="R403" i="9"/>
  <c r="S403" i="9"/>
  <c r="T403" i="9"/>
  <c r="U403" i="9"/>
  <c r="V403" i="9"/>
  <c r="K404" i="9"/>
  <c r="L404" i="9"/>
  <c r="M404" i="9"/>
  <c r="N404" i="9"/>
  <c r="O404" i="9"/>
  <c r="P404" i="9"/>
  <c r="Q404" i="9"/>
  <c r="R404" i="9"/>
  <c r="S404" i="9"/>
  <c r="T404" i="9"/>
  <c r="U404" i="9"/>
  <c r="V404" i="9"/>
  <c r="K405" i="9"/>
  <c r="L405" i="9"/>
  <c r="M405" i="9"/>
  <c r="N405" i="9"/>
  <c r="O405" i="9"/>
  <c r="P405" i="9"/>
  <c r="Q405" i="9"/>
  <c r="R405" i="9"/>
  <c r="S405" i="9"/>
  <c r="T405" i="9"/>
  <c r="U405" i="9"/>
  <c r="V405" i="9"/>
  <c r="K406" i="9"/>
  <c r="L406" i="9"/>
  <c r="M406" i="9"/>
  <c r="N406" i="9"/>
  <c r="O406" i="9"/>
  <c r="P406" i="9"/>
  <c r="Q406" i="9"/>
  <c r="R406" i="9"/>
  <c r="S406" i="9"/>
  <c r="T406" i="9"/>
  <c r="U406" i="9"/>
  <c r="V406" i="9"/>
  <c r="K407" i="9"/>
  <c r="L407" i="9"/>
  <c r="M407" i="9"/>
  <c r="N407" i="9"/>
  <c r="O407" i="9"/>
  <c r="P407" i="9"/>
  <c r="Q407" i="9"/>
  <c r="R407" i="9"/>
  <c r="S407" i="9"/>
  <c r="T407" i="9"/>
  <c r="U407" i="9"/>
  <c r="V407" i="9"/>
  <c r="K408" i="9"/>
  <c r="L408" i="9"/>
  <c r="M408" i="9"/>
  <c r="N408" i="9"/>
  <c r="O408" i="9"/>
  <c r="P408" i="9"/>
  <c r="Q408" i="9"/>
  <c r="R408" i="9"/>
  <c r="S408" i="9"/>
  <c r="T408" i="9"/>
  <c r="U408" i="9"/>
  <c r="V408" i="9"/>
  <c r="K409" i="9"/>
  <c r="L409" i="9"/>
  <c r="M409" i="9"/>
  <c r="N409" i="9"/>
  <c r="O409" i="9"/>
  <c r="P409" i="9"/>
  <c r="Q409" i="9"/>
  <c r="R409" i="9"/>
  <c r="S409" i="9"/>
  <c r="T409" i="9"/>
  <c r="U409" i="9"/>
  <c r="V409" i="9"/>
  <c r="K410" i="9"/>
  <c r="L410" i="9"/>
  <c r="M410" i="9"/>
  <c r="N410" i="9"/>
  <c r="O410" i="9"/>
  <c r="P410" i="9"/>
  <c r="Q410" i="9"/>
  <c r="R410" i="9"/>
  <c r="S410" i="9"/>
  <c r="T410" i="9"/>
  <c r="U410" i="9"/>
  <c r="V410" i="9"/>
  <c r="K411" i="9"/>
  <c r="L411" i="9"/>
  <c r="M411" i="9"/>
  <c r="N411" i="9"/>
  <c r="O411" i="9"/>
  <c r="P411" i="9"/>
  <c r="Q411" i="9"/>
  <c r="R411" i="9"/>
  <c r="S411" i="9"/>
  <c r="T411" i="9"/>
  <c r="U411" i="9"/>
  <c r="V411" i="9"/>
  <c r="K412" i="9"/>
  <c r="L412" i="9"/>
  <c r="M412" i="9"/>
  <c r="N412" i="9"/>
  <c r="O412" i="9"/>
  <c r="P412" i="9"/>
  <c r="Q412" i="9"/>
  <c r="R412" i="9"/>
  <c r="S412" i="9"/>
  <c r="T412" i="9"/>
  <c r="U412" i="9"/>
  <c r="V412" i="9"/>
  <c r="K413" i="9"/>
  <c r="L413" i="9"/>
  <c r="M413" i="9"/>
  <c r="N413" i="9"/>
  <c r="O413" i="9"/>
  <c r="P413" i="9"/>
  <c r="Q413" i="9"/>
  <c r="R413" i="9"/>
  <c r="S413" i="9"/>
  <c r="T413" i="9"/>
  <c r="U413" i="9"/>
  <c r="V413" i="9"/>
  <c r="K414" i="9"/>
  <c r="L414" i="9"/>
  <c r="M414" i="9"/>
  <c r="N414" i="9"/>
  <c r="O414" i="9"/>
  <c r="P414" i="9"/>
  <c r="Q414" i="9"/>
  <c r="R414" i="9"/>
  <c r="S414" i="9"/>
  <c r="T414" i="9"/>
  <c r="U414" i="9"/>
  <c r="V414" i="9"/>
  <c r="K415" i="9"/>
  <c r="L415" i="9"/>
  <c r="M415" i="9"/>
  <c r="N415" i="9"/>
  <c r="O415" i="9"/>
  <c r="P415" i="9"/>
  <c r="Q415" i="9"/>
  <c r="R415" i="9"/>
  <c r="S415" i="9"/>
  <c r="T415" i="9"/>
  <c r="U415" i="9"/>
  <c r="V415" i="9"/>
  <c r="K416" i="9"/>
  <c r="L416" i="9"/>
  <c r="M416" i="9"/>
  <c r="N416" i="9"/>
  <c r="O416" i="9"/>
  <c r="P416" i="9"/>
  <c r="Q416" i="9"/>
  <c r="R416" i="9"/>
  <c r="S416" i="9"/>
  <c r="T416" i="9"/>
  <c r="U416" i="9"/>
  <c r="V416" i="9"/>
  <c r="K417" i="9"/>
  <c r="L417" i="9"/>
  <c r="M417" i="9"/>
  <c r="N417" i="9"/>
  <c r="O417" i="9"/>
  <c r="P417" i="9"/>
  <c r="Q417" i="9"/>
  <c r="R417" i="9"/>
  <c r="S417" i="9"/>
  <c r="T417" i="9"/>
  <c r="U417" i="9"/>
  <c r="V417" i="9"/>
  <c r="K418" i="9"/>
  <c r="L418" i="9"/>
  <c r="M418" i="9"/>
  <c r="N418" i="9"/>
  <c r="O418" i="9"/>
  <c r="P418" i="9"/>
  <c r="Q418" i="9"/>
  <c r="R418" i="9"/>
  <c r="S418" i="9"/>
  <c r="T418" i="9"/>
  <c r="U418" i="9"/>
  <c r="V418" i="9"/>
  <c r="K419" i="9"/>
  <c r="L419" i="9"/>
  <c r="M419" i="9"/>
  <c r="N419" i="9"/>
  <c r="O419" i="9"/>
  <c r="P419" i="9"/>
  <c r="Q419" i="9"/>
  <c r="R419" i="9"/>
  <c r="S419" i="9"/>
  <c r="T419" i="9"/>
  <c r="U419" i="9"/>
  <c r="V419" i="9"/>
  <c r="K420" i="9"/>
  <c r="L420" i="9"/>
  <c r="M420" i="9"/>
  <c r="N420" i="9"/>
  <c r="O420" i="9"/>
  <c r="P420" i="9"/>
  <c r="Q420" i="9"/>
  <c r="R420" i="9"/>
  <c r="S420" i="9"/>
  <c r="T420" i="9"/>
  <c r="U420" i="9"/>
  <c r="V420" i="9"/>
  <c r="K421" i="9"/>
  <c r="L421" i="9"/>
  <c r="M421" i="9"/>
  <c r="N421" i="9"/>
  <c r="O421" i="9"/>
  <c r="P421" i="9"/>
  <c r="Q421" i="9"/>
  <c r="R421" i="9"/>
  <c r="S421" i="9"/>
  <c r="T421" i="9"/>
  <c r="U421" i="9"/>
  <c r="V421" i="9"/>
  <c r="K422" i="9"/>
  <c r="L422" i="9"/>
  <c r="M422" i="9"/>
  <c r="N422" i="9"/>
  <c r="O422" i="9"/>
  <c r="P422" i="9"/>
  <c r="Q422" i="9"/>
  <c r="R422" i="9"/>
  <c r="S422" i="9"/>
  <c r="T422" i="9"/>
  <c r="U422" i="9"/>
  <c r="V422" i="9"/>
  <c r="K423" i="9"/>
  <c r="L423" i="9"/>
  <c r="M423" i="9"/>
  <c r="N423" i="9"/>
  <c r="O423" i="9"/>
  <c r="P423" i="9"/>
  <c r="Q423" i="9"/>
  <c r="R423" i="9"/>
  <c r="S423" i="9"/>
  <c r="T423" i="9"/>
  <c r="U423" i="9"/>
  <c r="V423" i="9"/>
  <c r="K424" i="9"/>
  <c r="L424" i="9"/>
  <c r="M424" i="9"/>
  <c r="N424" i="9"/>
  <c r="O424" i="9"/>
  <c r="P424" i="9"/>
  <c r="Q424" i="9"/>
  <c r="R424" i="9"/>
  <c r="S424" i="9"/>
  <c r="T424" i="9"/>
  <c r="U424" i="9"/>
  <c r="V424" i="9"/>
  <c r="K425" i="9"/>
  <c r="L425" i="9"/>
  <c r="M425" i="9"/>
  <c r="N425" i="9"/>
  <c r="O425" i="9"/>
  <c r="P425" i="9"/>
  <c r="Q425" i="9"/>
  <c r="R425" i="9"/>
  <c r="S425" i="9"/>
  <c r="T425" i="9"/>
  <c r="U425" i="9"/>
  <c r="V425" i="9"/>
  <c r="K426" i="9"/>
  <c r="L426" i="9"/>
  <c r="M426" i="9"/>
  <c r="N426" i="9"/>
  <c r="O426" i="9"/>
  <c r="P426" i="9"/>
  <c r="Q426" i="9"/>
  <c r="R426" i="9"/>
  <c r="S426" i="9"/>
  <c r="T426" i="9"/>
  <c r="U426" i="9"/>
  <c r="V426" i="9"/>
  <c r="K427" i="9"/>
  <c r="L427" i="9"/>
  <c r="M427" i="9"/>
  <c r="N427" i="9"/>
  <c r="O427" i="9"/>
  <c r="P427" i="9"/>
  <c r="Q427" i="9"/>
  <c r="R427" i="9"/>
  <c r="S427" i="9"/>
  <c r="T427" i="9"/>
  <c r="U427" i="9"/>
  <c r="V427" i="9"/>
  <c r="K428" i="9"/>
  <c r="L428" i="9"/>
  <c r="M428" i="9"/>
  <c r="N428" i="9"/>
  <c r="O428" i="9"/>
  <c r="P428" i="9"/>
  <c r="Q428" i="9"/>
  <c r="R428" i="9"/>
  <c r="S428" i="9"/>
  <c r="T428" i="9"/>
  <c r="U428" i="9"/>
  <c r="V428" i="9"/>
  <c r="K429" i="9"/>
  <c r="L429" i="9"/>
  <c r="M429" i="9"/>
  <c r="N429" i="9"/>
  <c r="O429" i="9"/>
  <c r="P429" i="9"/>
  <c r="Q429" i="9"/>
  <c r="R429" i="9"/>
  <c r="S429" i="9"/>
  <c r="T429" i="9"/>
  <c r="U429" i="9"/>
  <c r="V429" i="9"/>
  <c r="K430" i="9"/>
  <c r="L430" i="9"/>
  <c r="M430" i="9"/>
  <c r="N430" i="9"/>
  <c r="O430" i="9"/>
  <c r="P430" i="9"/>
  <c r="Q430" i="9"/>
  <c r="R430" i="9"/>
  <c r="S430" i="9"/>
  <c r="T430" i="9"/>
  <c r="U430" i="9"/>
  <c r="V430" i="9"/>
  <c r="K431" i="9"/>
  <c r="L431" i="9"/>
  <c r="M431" i="9"/>
  <c r="N431" i="9"/>
  <c r="O431" i="9"/>
  <c r="P431" i="9"/>
  <c r="Q431" i="9"/>
  <c r="R431" i="9"/>
  <c r="S431" i="9"/>
  <c r="T431" i="9"/>
  <c r="U431" i="9"/>
  <c r="V431" i="9"/>
  <c r="K432" i="9"/>
  <c r="L432" i="9"/>
  <c r="M432" i="9"/>
  <c r="N432" i="9"/>
  <c r="O432" i="9"/>
  <c r="P432" i="9"/>
  <c r="Q432" i="9"/>
  <c r="R432" i="9"/>
  <c r="S432" i="9"/>
  <c r="T432" i="9"/>
  <c r="U432" i="9"/>
  <c r="V432" i="9"/>
  <c r="K433" i="9"/>
  <c r="L433" i="9"/>
  <c r="M433" i="9"/>
  <c r="N433" i="9"/>
  <c r="O433" i="9"/>
  <c r="P433" i="9"/>
  <c r="Q433" i="9"/>
  <c r="R433" i="9"/>
  <c r="S433" i="9"/>
  <c r="T433" i="9"/>
  <c r="U433" i="9"/>
  <c r="V433" i="9"/>
  <c r="K434" i="9"/>
  <c r="L434" i="9"/>
  <c r="M434" i="9"/>
  <c r="N434" i="9"/>
  <c r="O434" i="9"/>
  <c r="P434" i="9"/>
  <c r="Q434" i="9"/>
  <c r="R434" i="9"/>
  <c r="S434" i="9"/>
  <c r="T434" i="9"/>
  <c r="U434" i="9"/>
  <c r="V434" i="9"/>
  <c r="K435" i="9"/>
  <c r="L435" i="9"/>
  <c r="M435" i="9"/>
  <c r="N435" i="9"/>
  <c r="O435" i="9"/>
  <c r="P435" i="9"/>
  <c r="Q435" i="9"/>
  <c r="R435" i="9"/>
  <c r="S435" i="9"/>
  <c r="T435" i="9"/>
  <c r="U435" i="9"/>
  <c r="V435" i="9"/>
  <c r="K436" i="9"/>
  <c r="L436" i="9"/>
  <c r="M436" i="9"/>
  <c r="N436" i="9"/>
  <c r="O436" i="9"/>
  <c r="P436" i="9"/>
  <c r="Q436" i="9"/>
  <c r="R436" i="9"/>
  <c r="S436" i="9"/>
  <c r="T436" i="9"/>
  <c r="U436" i="9"/>
  <c r="V436" i="9"/>
  <c r="K437" i="9"/>
  <c r="L437" i="9"/>
  <c r="M437" i="9"/>
  <c r="N437" i="9"/>
  <c r="O437" i="9"/>
  <c r="P437" i="9"/>
  <c r="Q437" i="9"/>
  <c r="R437" i="9"/>
  <c r="S437" i="9"/>
  <c r="T437" i="9"/>
  <c r="U437" i="9"/>
  <c r="V437" i="9"/>
  <c r="K438" i="9"/>
  <c r="L438" i="9"/>
  <c r="M438" i="9"/>
  <c r="N438" i="9"/>
  <c r="O438" i="9"/>
  <c r="P438" i="9"/>
  <c r="Q438" i="9"/>
  <c r="R438" i="9"/>
  <c r="S438" i="9"/>
  <c r="T438" i="9"/>
  <c r="U438" i="9"/>
  <c r="V438" i="9"/>
  <c r="K439" i="9"/>
  <c r="L439" i="9"/>
  <c r="M439" i="9"/>
  <c r="N439" i="9"/>
  <c r="O439" i="9"/>
  <c r="P439" i="9"/>
  <c r="Q439" i="9"/>
  <c r="R439" i="9"/>
  <c r="S439" i="9"/>
  <c r="T439" i="9"/>
  <c r="U439" i="9"/>
  <c r="V439" i="9"/>
  <c r="K440" i="9"/>
  <c r="L440" i="9"/>
  <c r="M440" i="9"/>
  <c r="N440" i="9"/>
  <c r="O440" i="9"/>
  <c r="P440" i="9"/>
  <c r="Q440" i="9"/>
  <c r="R440" i="9"/>
  <c r="S440" i="9"/>
  <c r="T440" i="9"/>
  <c r="U440" i="9"/>
  <c r="V440" i="9"/>
  <c r="K441" i="9"/>
  <c r="L441" i="9"/>
  <c r="M441" i="9"/>
  <c r="N441" i="9"/>
  <c r="O441" i="9"/>
  <c r="P441" i="9"/>
  <c r="Q441" i="9"/>
  <c r="R441" i="9"/>
  <c r="S441" i="9"/>
  <c r="T441" i="9"/>
  <c r="U441" i="9"/>
  <c r="V441" i="9"/>
  <c r="K442" i="9"/>
  <c r="L442" i="9"/>
  <c r="M442" i="9"/>
  <c r="N442" i="9"/>
  <c r="O442" i="9"/>
  <c r="P442" i="9"/>
  <c r="Q442" i="9"/>
  <c r="R442" i="9"/>
  <c r="S442" i="9"/>
  <c r="T442" i="9"/>
  <c r="U442" i="9"/>
  <c r="V442" i="9"/>
  <c r="K443" i="9"/>
  <c r="L443" i="9"/>
  <c r="M443" i="9"/>
  <c r="N443" i="9"/>
  <c r="O443" i="9"/>
  <c r="P443" i="9"/>
  <c r="Q443" i="9"/>
  <c r="R443" i="9"/>
  <c r="S443" i="9"/>
  <c r="T443" i="9"/>
  <c r="U443" i="9"/>
  <c r="V443" i="9"/>
  <c r="K444" i="9"/>
  <c r="L444" i="9"/>
  <c r="M444" i="9"/>
  <c r="N444" i="9"/>
  <c r="O444" i="9"/>
  <c r="P444" i="9"/>
  <c r="Q444" i="9"/>
  <c r="R444" i="9"/>
  <c r="S444" i="9"/>
  <c r="T444" i="9"/>
  <c r="U444" i="9"/>
  <c r="V444" i="9"/>
  <c r="K445" i="9"/>
  <c r="L445" i="9"/>
  <c r="M445" i="9"/>
  <c r="N445" i="9"/>
  <c r="O445" i="9"/>
  <c r="P445" i="9"/>
  <c r="Q445" i="9"/>
  <c r="R445" i="9"/>
  <c r="S445" i="9"/>
  <c r="T445" i="9"/>
  <c r="U445" i="9"/>
  <c r="V445" i="9"/>
  <c r="K446" i="9"/>
  <c r="L446" i="9"/>
  <c r="M446" i="9"/>
  <c r="N446" i="9"/>
  <c r="O446" i="9"/>
  <c r="P446" i="9"/>
  <c r="Q446" i="9"/>
  <c r="R446" i="9"/>
  <c r="S446" i="9"/>
  <c r="T446" i="9"/>
  <c r="U446" i="9"/>
  <c r="V446" i="9"/>
  <c r="K447" i="9"/>
  <c r="L447" i="9"/>
  <c r="M447" i="9"/>
  <c r="N447" i="9"/>
  <c r="O447" i="9"/>
  <c r="P447" i="9"/>
  <c r="Q447" i="9"/>
  <c r="R447" i="9"/>
  <c r="S447" i="9"/>
  <c r="T447" i="9"/>
  <c r="U447" i="9"/>
  <c r="V447" i="9"/>
  <c r="K448" i="9"/>
  <c r="L448" i="9"/>
  <c r="M448" i="9"/>
  <c r="N448" i="9"/>
  <c r="O448" i="9"/>
  <c r="P448" i="9"/>
  <c r="Q448" i="9"/>
  <c r="R448" i="9"/>
  <c r="S448" i="9"/>
  <c r="T448" i="9"/>
  <c r="U448" i="9"/>
  <c r="V448" i="9"/>
  <c r="K449" i="9"/>
  <c r="L449" i="9"/>
  <c r="M449" i="9"/>
  <c r="N449" i="9"/>
  <c r="O449" i="9"/>
  <c r="P449" i="9"/>
  <c r="Q449" i="9"/>
  <c r="R449" i="9"/>
  <c r="S449" i="9"/>
  <c r="T449" i="9"/>
  <c r="U449" i="9"/>
  <c r="V449" i="9"/>
  <c r="K450" i="9"/>
  <c r="L450" i="9"/>
  <c r="M450" i="9"/>
  <c r="N450" i="9"/>
  <c r="O450" i="9"/>
  <c r="P450" i="9"/>
  <c r="Q450" i="9"/>
  <c r="R450" i="9"/>
  <c r="S450" i="9"/>
  <c r="T450" i="9"/>
  <c r="U450" i="9"/>
  <c r="V450" i="9"/>
  <c r="K451" i="9"/>
  <c r="L451" i="9"/>
  <c r="M451" i="9"/>
  <c r="N451" i="9"/>
  <c r="O451" i="9"/>
  <c r="P451" i="9"/>
  <c r="Q451" i="9"/>
  <c r="R451" i="9"/>
  <c r="S451" i="9"/>
  <c r="T451" i="9"/>
  <c r="U451" i="9"/>
  <c r="V451" i="9"/>
  <c r="K452" i="9"/>
  <c r="L452" i="9"/>
  <c r="M452" i="9"/>
  <c r="N452" i="9"/>
  <c r="O452" i="9"/>
  <c r="P452" i="9"/>
  <c r="Q452" i="9"/>
  <c r="R452" i="9"/>
  <c r="S452" i="9"/>
  <c r="T452" i="9"/>
  <c r="U452" i="9"/>
  <c r="V452" i="9"/>
  <c r="K453" i="9"/>
  <c r="L453" i="9"/>
  <c r="M453" i="9"/>
  <c r="N453" i="9"/>
  <c r="O453" i="9"/>
  <c r="P453" i="9"/>
  <c r="Q453" i="9"/>
  <c r="R453" i="9"/>
  <c r="S453" i="9"/>
  <c r="T453" i="9"/>
  <c r="U453" i="9"/>
  <c r="V453" i="9"/>
  <c r="K454" i="9"/>
  <c r="L454" i="9"/>
  <c r="M454" i="9"/>
  <c r="N454" i="9"/>
  <c r="O454" i="9"/>
  <c r="P454" i="9"/>
  <c r="Q454" i="9"/>
  <c r="R454" i="9"/>
  <c r="S454" i="9"/>
  <c r="T454" i="9"/>
  <c r="U454" i="9"/>
  <c r="V454" i="9"/>
  <c r="K455" i="9"/>
  <c r="L455" i="9"/>
  <c r="M455" i="9"/>
  <c r="N455" i="9"/>
  <c r="O455" i="9"/>
  <c r="P455" i="9"/>
  <c r="Q455" i="9"/>
  <c r="R455" i="9"/>
  <c r="S455" i="9"/>
  <c r="T455" i="9"/>
  <c r="U455" i="9"/>
  <c r="V455" i="9"/>
  <c r="K456" i="9"/>
  <c r="L456" i="9"/>
  <c r="M456" i="9"/>
  <c r="N456" i="9"/>
  <c r="O456" i="9"/>
  <c r="P456" i="9"/>
  <c r="Q456" i="9"/>
  <c r="R456" i="9"/>
  <c r="S456" i="9"/>
  <c r="T456" i="9"/>
  <c r="U456" i="9"/>
  <c r="V456" i="9"/>
  <c r="K457" i="9"/>
  <c r="L457" i="9"/>
  <c r="M457" i="9"/>
  <c r="N457" i="9"/>
  <c r="O457" i="9"/>
  <c r="P457" i="9"/>
  <c r="Q457" i="9"/>
  <c r="R457" i="9"/>
  <c r="S457" i="9"/>
  <c r="T457" i="9"/>
  <c r="U457" i="9"/>
  <c r="V457" i="9"/>
  <c r="K458" i="9"/>
  <c r="L458" i="9"/>
  <c r="M458" i="9"/>
  <c r="N458" i="9"/>
  <c r="O458" i="9"/>
  <c r="P458" i="9"/>
  <c r="Q458" i="9"/>
  <c r="R458" i="9"/>
  <c r="S458" i="9"/>
  <c r="T458" i="9"/>
  <c r="U458" i="9"/>
  <c r="V458" i="9"/>
  <c r="K459" i="9"/>
  <c r="L459" i="9"/>
  <c r="M459" i="9"/>
  <c r="N459" i="9"/>
  <c r="O459" i="9"/>
  <c r="P459" i="9"/>
  <c r="Q459" i="9"/>
  <c r="R459" i="9"/>
  <c r="S459" i="9"/>
  <c r="T459" i="9"/>
  <c r="U459" i="9"/>
  <c r="V459" i="9"/>
  <c r="K460" i="9"/>
  <c r="L460" i="9"/>
  <c r="M460" i="9"/>
  <c r="N460" i="9"/>
  <c r="O460" i="9"/>
  <c r="P460" i="9"/>
  <c r="Q460" i="9"/>
  <c r="R460" i="9"/>
  <c r="S460" i="9"/>
  <c r="T460" i="9"/>
  <c r="U460" i="9"/>
  <c r="V460" i="9"/>
  <c r="K461" i="9"/>
  <c r="L461" i="9"/>
  <c r="M461" i="9"/>
  <c r="N461" i="9"/>
  <c r="O461" i="9"/>
  <c r="P461" i="9"/>
  <c r="Q461" i="9"/>
  <c r="R461" i="9"/>
  <c r="S461" i="9"/>
  <c r="T461" i="9"/>
  <c r="U461" i="9"/>
  <c r="V461" i="9"/>
  <c r="K462" i="9"/>
  <c r="L462" i="9"/>
  <c r="M462" i="9"/>
  <c r="N462" i="9"/>
  <c r="O462" i="9"/>
  <c r="P462" i="9"/>
  <c r="Q462" i="9"/>
  <c r="R462" i="9"/>
  <c r="S462" i="9"/>
  <c r="T462" i="9"/>
  <c r="U462" i="9"/>
  <c r="V462" i="9"/>
  <c r="K463" i="9"/>
  <c r="L463" i="9"/>
  <c r="M463" i="9"/>
  <c r="N463" i="9"/>
  <c r="O463" i="9"/>
  <c r="P463" i="9"/>
  <c r="Q463" i="9"/>
  <c r="R463" i="9"/>
  <c r="S463" i="9"/>
  <c r="T463" i="9"/>
  <c r="U463" i="9"/>
  <c r="V463" i="9"/>
  <c r="K464" i="9"/>
  <c r="L464" i="9"/>
  <c r="M464" i="9"/>
  <c r="N464" i="9"/>
  <c r="O464" i="9"/>
  <c r="P464" i="9"/>
  <c r="Q464" i="9"/>
  <c r="R464" i="9"/>
  <c r="S464" i="9"/>
  <c r="T464" i="9"/>
  <c r="U464" i="9"/>
  <c r="V464" i="9"/>
  <c r="K465" i="9"/>
  <c r="L465" i="9"/>
  <c r="M465" i="9"/>
  <c r="N465" i="9"/>
  <c r="O465" i="9"/>
  <c r="P465" i="9"/>
  <c r="Q465" i="9"/>
  <c r="R465" i="9"/>
  <c r="S465" i="9"/>
  <c r="T465" i="9"/>
  <c r="U465" i="9"/>
  <c r="V465" i="9"/>
  <c r="K466" i="9"/>
  <c r="L466" i="9"/>
  <c r="M466" i="9"/>
  <c r="N466" i="9"/>
  <c r="O466" i="9"/>
  <c r="P466" i="9"/>
  <c r="Q466" i="9"/>
  <c r="R466" i="9"/>
  <c r="S466" i="9"/>
  <c r="T466" i="9"/>
  <c r="U466" i="9"/>
  <c r="V466" i="9"/>
  <c r="K467" i="9"/>
  <c r="L467" i="9"/>
  <c r="M467" i="9"/>
  <c r="N467" i="9"/>
  <c r="O467" i="9"/>
  <c r="P467" i="9"/>
  <c r="Q467" i="9"/>
  <c r="R467" i="9"/>
  <c r="S467" i="9"/>
  <c r="T467" i="9"/>
  <c r="U467" i="9"/>
  <c r="V467" i="9"/>
  <c r="K468" i="9"/>
  <c r="L468" i="9"/>
  <c r="M468" i="9"/>
  <c r="N468" i="9"/>
  <c r="O468" i="9"/>
  <c r="P468" i="9"/>
  <c r="Q468" i="9"/>
  <c r="R468" i="9"/>
  <c r="S468" i="9"/>
  <c r="T468" i="9"/>
  <c r="U468" i="9"/>
  <c r="V468" i="9"/>
  <c r="K469" i="9"/>
  <c r="L469" i="9"/>
  <c r="M469" i="9"/>
  <c r="N469" i="9"/>
  <c r="O469" i="9"/>
  <c r="P469" i="9"/>
  <c r="Q469" i="9"/>
  <c r="R469" i="9"/>
  <c r="S469" i="9"/>
  <c r="T469" i="9"/>
  <c r="U469" i="9"/>
  <c r="V469" i="9"/>
  <c r="K470" i="9"/>
  <c r="L470" i="9"/>
  <c r="M470" i="9"/>
  <c r="N470" i="9"/>
  <c r="O470" i="9"/>
  <c r="P470" i="9"/>
  <c r="Q470" i="9"/>
  <c r="R470" i="9"/>
  <c r="S470" i="9"/>
  <c r="T470" i="9"/>
  <c r="U470" i="9"/>
  <c r="V470" i="9"/>
  <c r="K471" i="9"/>
  <c r="L471" i="9"/>
  <c r="M471" i="9"/>
  <c r="N471" i="9"/>
  <c r="O471" i="9"/>
  <c r="P471" i="9"/>
  <c r="Q471" i="9"/>
  <c r="R471" i="9"/>
  <c r="S471" i="9"/>
  <c r="T471" i="9"/>
  <c r="U471" i="9"/>
  <c r="V471" i="9"/>
  <c r="K472" i="9"/>
  <c r="L472" i="9"/>
  <c r="M472" i="9"/>
  <c r="N472" i="9"/>
  <c r="O472" i="9"/>
  <c r="P472" i="9"/>
  <c r="Q472" i="9"/>
  <c r="R472" i="9"/>
  <c r="S472" i="9"/>
  <c r="T472" i="9"/>
  <c r="U472" i="9"/>
  <c r="V472" i="9"/>
  <c r="K473" i="9"/>
  <c r="L473" i="9"/>
  <c r="M473" i="9"/>
  <c r="N473" i="9"/>
  <c r="O473" i="9"/>
  <c r="P473" i="9"/>
  <c r="Q473" i="9"/>
  <c r="R473" i="9"/>
  <c r="S473" i="9"/>
  <c r="T473" i="9"/>
  <c r="U473" i="9"/>
  <c r="V473" i="9"/>
  <c r="K474" i="9"/>
  <c r="L474" i="9"/>
  <c r="M474" i="9"/>
  <c r="N474" i="9"/>
  <c r="O474" i="9"/>
  <c r="P474" i="9"/>
  <c r="Q474" i="9"/>
  <c r="R474" i="9"/>
  <c r="S474" i="9"/>
  <c r="T474" i="9"/>
  <c r="U474" i="9"/>
  <c r="V474" i="9"/>
  <c r="K475" i="9"/>
  <c r="L475" i="9"/>
  <c r="M475" i="9"/>
  <c r="N475" i="9"/>
  <c r="O475" i="9"/>
  <c r="P475" i="9"/>
  <c r="Q475" i="9"/>
  <c r="R475" i="9"/>
  <c r="S475" i="9"/>
  <c r="T475" i="9"/>
  <c r="U475" i="9"/>
  <c r="V475" i="9"/>
  <c r="K476" i="9"/>
  <c r="L476" i="9"/>
  <c r="M476" i="9"/>
  <c r="N476" i="9"/>
  <c r="O476" i="9"/>
  <c r="P476" i="9"/>
  <c r="Q476" i="9"/>
  <c r="R476" i="9"/>
  <c r="S476" i="9"/>
  <c r="T476" i="9"/>
  <c r="U476" i="9"/>
  <c r="V476" i="9"/>
  <c r="K477" i="9"/>
  <c r="L477" i="9"/>
  <c r="M477" i="9"/>
  <c r="N477" i="9"/>
  <c r="O477" i="9"/>
  <c r="P477" i="9"/>
  <c r="Q477" i="9"/>
  <c r="R477" i="9"/>
  <c r="S477" i="9"/>
  <c r="T477" i="9"/>
  <c r="U477" i="9"/>
  <c r="V477" i="9"/>
  <c r="K478" i="9"/>
  <c r="L478" i="9"/>
  <c r="M478" i="9"/>
  <c r="N478" i="9"/>
  <c r="O478" i="9"/>
  <c r="P478" i="9"/>
  <c r="Q478" i="9"/>
  <c r="R478" i="9"/>
  <c r="S478" i="9"/>
  <c r="T478" i="9"/>
  <c r="U478" i="9"/>
  <c r="V478" i="9"/>
  <c r="K479" i="9"/>
  <c r="L479" i="9"/>
  <c r="M479" i="9"/>
  <c r="N479" i="9"/>
  <c r="O479" i="9"/>
  <c r="P479" i="9"/>
  <c r="Q479" i="9"/>
  <c r="R479" i="9"/>
  <c r="S479" i="9"/>
  <c r="T479" i="9"/>
  <c r="U479" i="9"/>
  <c r="V479" i="9"/>
  <c r="K480" i="9"/>
  <c r="L480" i="9"/>
  <c r="M480" i="9"/>
  <c r="N480" i="9"/>
  <c r="O480" i="9"/>
  <c r="P480" i="9"/>
  <c r="Q480" i="9"/>
  <c r="R480" i="9"/>
  <c r="S480" i="9"/>
  <c r="T480" i="9"/>
  <c r="U480" i="9"/>
  <c r="V480" i="9"/>
  <c r="K481" i="9"/>
  <c r="L481" i="9"/>
  <c r="M481" i="9"/>
  <c r="N481" i="9"/>
  <c r="O481" i="9"/>
  <c r="P481" i="9"/>
  <c r="Q481" i="9"/>
  <c r="R481" i="9"/>
  <c r="S481" i="9"/>
  <c r="T481" i="9"/>
  <c r="U481" i="9"/>
  <c r="V481" i="9"/>
  <c r="K482" i="9"/>
  <c r="L482" i="9"/>
  <c r="M482" i="9"/>
  <c r="N482" i="9"/>
  <c r="O482" i="9"/>
  <c r="P482" i="9"/>
  <c r="Q482" i="9"/>
  <c r="R482" i="9"/>
  <c r="S482" i="9"/>
  <c r="T482" i="9"/>
  <c r="U482" i="9"/>
  <c r="V482" i="9"/>
  <c r="K483" i="9"/>
  <c r="L483" i="9"/>
  <c r="M483" i="9"/>
  <c r="N483" i="9"/>
  <c r="O483" i="9"/>
  <c r="P483" i="9"/>
  <c r="Q483" i="9"/>
  <c r="R483" i="9"/>
  <c r="S483" i="9"/>
  <c r="T483" i="9"/>
  <c r="U483" i="9"/>
  <c r="V483" i="9"/>
  <c r="K484" i="9"/>
  <c r="L484" i="9"/>
  <c r="M484" i="9"/>
  <c r="N484" i="9"/>
  <c r="O484" i="9"/>
  <c r="P484" i="9"/>
  <c r="Q484" i="9"/>
  <c r="R484" i="9"/>
  <c r="S484" i="9"/>
  <c r="T484" i="9"/>
  <c r="U484" i="9"/>
  <c r="V484" i="9"/>
  <c r="K485" i="9"/>
  <c r="L485" i="9"/>
  <c r="M485" i="9"/>
  <c r="N485" i="9"/>
  <c r="O485" i="9"/>
  <c r="P485" i="9"/>
  <c r="Q485" i="9"/>
  <c r="R485" i="9"/>
  <c r="S485" i="9"/>
  <c r="T485" i="9"/>
  <c r="U485" i="9"/>
  <c r="V485" i="9"/>
  <c r="K486" i="9"/>
  <c r="L486" i="9"/>
  <c r="M486" i="9"/>
  <c r="N486" i="9"/>
  <c r="O486" i="9"/>
  <c r="P486" i="9"/>
  <c r="Q486" i="9"/>
  <c r="R486" i="9"/>
  <c r="S486" i="9"/>
  <c r="T486" i="9"/>
  <c r="U486" i="9"/>
  <c r="V486" i="9"/>
  <c r="K487" i="9"/>
  <c r="L487" i="9"/>
  <c r="M487" i="9"/>
  <c r="N487" i="9"/>
  <c r="O487" i="9"/>
  <c r="P487" i="9"/>
  <c r="Q487" i="9"/>
  <c r="R487" i="9"/>
  <c r="S487" i="9"/>
  <c r="T487" i="9"/>
  <c r="U487" i="9"/>
  <c r="V487" i="9"/>
  <c r="K488" i="9"/>
  <c r="L488" i="9"/>
  <c r="M488" i="9"/>
  <c r="N488" i="9"/>
  <c r="O488" i="9"/>
  <c r="P488" i="9"/>
  <c r="Q488" i="9"/>
  <c r="R488" i="9"/>
  <c r="S488" i="9"/>
  <c r="T488" i="9"/>
  <c r="U488" i="9"/>
  <c r="V488" i="9"/>
  <c r="K489" i="9"/>
  <c r="L489" i="9"/>
  <c r="M489" i="9"/>
  <c r="N489" i="9"/>
  <c r="O489" i="9"/>
  <c r="P489" i="9"/>
  <c r="Q489" i="9"/>
  <c r="R489" i="9"/>
  <c r="S489" i="9"/>
  <c r="T489" i="9"/>
  <c r="U489" i="9"/>
  <c r="V489" i="9"/>
  <c r="K490" i="9"/>
  <c r="L490" i="9"/>
  <c r="M490" i="9"/>
  <c r="N490" i="9"/>
  <c r="O490" i="9"/>
  <c r="P490" i="9"/>
  <c r="Q490" i="9"/>
  <c r="R490" i="9"/>
  <c r="S490" i="9"/>
  <c r="T490" i="9"/>
  <c r="U490" i="9"/>
  <c r="V490" i="9"/>
  <c r="K491" i="9"/>
  <c r="L491" i="9"/>
  <c r="M491" i="9"/>
  <c r="N491" i="9"/>
  <c r="O491" i="9"/>
  <c r="P491" i="9"/>
  <c r="Q491" i="9"/>
  <c r="R491" i="9"/>
  <c r="S491" i="9"/>
  <c r="T491" i="9"/>
  <c r="U491" i="9"/>
  <c r="V491" i="9"/>
  <c r="K492" i="9"/>
  <c r="L492" i="9"/>
  <c r="M492" i="9"/>
  <c r="N492" i="9"/>
  <c r="O492" i="9"/>
  <c r="P492" i="9"/>
  <c r="Q492" i="9"/>
  <c r="R492" i="9"/>
  <c r="S492" i="9"/>
  <c r="T492" i="9"/>
  <c r="U492" i="9"/>
  <c r="V492" i="9"/>
  <c r="K493" i="9"/>
  <c r="L493" i="9"/>
  <c r="M493" i="9"/>
  <c r="N493" i="9"/>
  <c r="O493" i="9"/>
  <c r="P493" i="9"/>
  <c r="Q493" i="9"/>
  <c r="R493" i="9"/>
  <c r="S493" i="9"/>
  <c r="T493" i="9"/>
  <c r="U493" i="9"/>
  <c r="V493" i="9"/>
  <c r="K494" i="9"/>
  <c r="L494" i="9"/>
  <c r="M494" i="9"/>
  <c r="N494" i="9"/>
  <c r="O494" i="9"/>
  <c r="P494" i="9"/>
  <c r="Q494" i="9"/>
  <c r="R494" i="9"/>
  <c r="S494" i="9"/>
  <c r="T494" i="9"/>
  <c r="U494" i="9"/>
  <c r="V494" i="9"/>
  <c r="K495" i="9"/>
  <c r="L495" i="9"/>
  <c r="M495" i="9"/>
  <c r="N495" i="9"/>
  <c r="O495" i="9"/>
  <c r="P495" i="9"/>
  <c r="Q495" i="9"/>
  <c r="R495" i="9"/>
  <c r="S495" i="9"/>
  <c r="T495" i="9"/>
  <c r="U495" i="9"/>
  <c r="V495" i="9"/>
  <c r="K496" i="9"/>
  <c r="L496" i="9"/>
  <c r="M496" i="9"/>
  <c r="N496" i="9"/>
  <c r="O496" i="9"/>
  <c r="P496" i="9"/>
  <c r="Q496" i="9"/>
  <c r="R496" i="9"/>
  <c r="S496" i="9"/>
  <c r="T496" i="9"/>
  <c r="U496" i="9"/>
  <c r="V496" i="9"/>
  <c r="K497" i="9"/>
  <c r="L497" i="9"/>
  <c r="M497" i="9"/>
  <c r="N497" i="9"/>
  <c r="O497" i="9"/>
  <c r="P497" i="9"/>
  <c r="Q497" i="9"/>
  <c r="R497" i="9"/>
  <c r="S497" i="9"/>
  <c r="T497" i="9"/>
  <c r="U497" i="9"/>
  <c r="V497" i="9"/>
  <c r="K498" i="9"/>
  <c r="L498" i="9"/>
  <c r="M498" i="9"/>
  <c r="N498" i="9"/>
  <c r="O498" i="9"/>
  <c r="P498" i="9"/>
  <c r="Q498" i="9"/>
  <c r="R498" i="9"/>
  <c r="S498" i="9"/>
  <c r="T498" i="9"/>
  <c r="U498" i="9"/>
  <c r="V498" i="9"/>
  <c r="K499" i="9"/>
  <c r="L499" i="9"/>
  <c r="M499" i="9"/>
  <c r="N499" i="9"/>
  <c r="O499" i="9"/>
  <c r="P499" i="9"/>
  <c r="Q499" i="9"/>
  <c r="R499" i="9"/>
  <c r="S499" i="9"/>
  <c r="T499" i="9"/>
  <c r="U499" i="9"/>
  <c r="V499" i="9"/>
  <c r="K500" i="9"/>
  <c r="L500" i="9"/>
  <c r="M500" i="9"/>
  <c r="N500" i="9"/>
  <c r="O500" i="9"/>
  <c r="P500" i="9"/>
  <c r="Q500" i="9"/>
  <c r="R500" i="9"/>
  <c r="S500" i="9"/>
  <c r="T500" i="9"/>
  <c r="U500" i="9"/>
  <c r="V500" i="9"/>
  <c r="K501" i="9"/>
  <c r="L501" i="9"/>
  <c r="M501" i="9"/>
  <c r="N501" i="9"/>
  <c r="O501" i="9"/>
  <c r="P501" i="9"/>
  <c r="Q501" i="9"/>
  <c r="R501" i="9"/>
  <c r="S501" i="9"/>
  <c r="T501" i="9"/>
  <c r="U501" i="9"/>
  <c r="V501" i="9"/>
  <c r="K502" i="9"/>
  <c r="L502" i="9"/>
  <c r="M502" i="9"/>
  <c r="N502" i="9"/>
  <c r="O502" i="9"/>
  <c r="P502" i="9"/>
  <c r="Q502" i="9"/>
  <c r="R502" i="9"/>
  <c r="S502" i="9"/>
  <c r="T502" i="9"/>
  <c r="U502" i="9"/>
  <c r="V502" i="9"/>
  <c r="K503" i="9"/>
  <c r="L503" i="9"/>
  <c r="M503" i="9"/>
  <c r="N503" i="9"/>
  <c r="O503" i="9"/>
  <c r="P503" i="9"/>
  <c r="Q503" i="9"/>
  <c r="R503" i="9"/>
  <c r="S503" i="9"/>
  <c r="T503" i="9"/>
  <c r="U503" i="9"/>
  <c r="V503" i="9"/>
  <c r="K504" i="9"/>
  <c r="L504" i="9"/>
  <c r="M504" i="9"/>
  <c r="N504" i="9"/>
  <c r="O504" i="9"/>
  <c r="P504" i="9"/>
  <c r="Q504" i="9"/>
  <c r="R504" i="9"/>
  <c r="S504" i="9"/>
  <c r="T504" i="9"/>
  <c r="U504" i="9"/>
  <c r="V504" i="9"/>
  <c r="K505" i="9"/>
  <c r="L505" i="9"/>
  <c r="M505" i="9"/>
  <c r="N505" i="9"/>
  <c r="O505" i="9"/>
  <c r="P505" i="9"/>
  <c r="Q505" i="9"/>
  <c r="R505" i="9"/>
  <c r="S505" i="9"/>
  <c r="T505" i="9"/>
  <c r="U505" i="9"/>
  <c r="V505" i="9"/>
  <c r="K506" i="9"/>
  <c r="L506" i="9"/>
  <c r="M506" i="9"/>
  <c r="N506" i="9"/>
  <c r="O506" i="9"/>
  <c r="P506" i="9"/>
  <c r="Q506" i="9"/>
  <c r="R506" i="9"/>
  <c r="S506" i="9"/>
  <c r="T506" i="9"/>
  <c r="U506" i="9"/>
  <c r="V506" i="9"/>
  <c r="K507" i="9"/>
  <c r="L507" i="9"/>
  <c r="M507" i="9"/>
  <c r="N507" i="9"/>
  <c r="O507" i="9"/>
  <c r="P507" i="9"/>
  <c r="Q507" i="9"/>
  <c r="R507" i="9"/>
  <c r="S507" i="9"/>
  <c r="T507" i="9"/>
  <c r="U507" i="9"/>
  <c r="V507" i="9"/>
  <c r="K508" i="9"/>
  <c r="L508" i="9"/>
  <c r="M508" i="9"/>
  <c r="N508" i="9"/>
  <c r="O508" i="9"/>
  <c r="P508" i="9"/>
  <c r="Q508" i="9"/>
  <c r="R508" i="9"/>
  <c r="S508" i="9"/>
  <c r="T508" i="9"/>
  <c r="U508" i="9"/>
  <c r="V508" i="9"/>
  <c r="K509" i="9"/>
  <c r="L509" i="9"/>
  <c r="M509" i="9"/>
  <c r="N509" i="9"/>
  <c r="O509" i="9"/>
  <c r="P509" i="9"/>
  <c r="Q509" i="9"/>
  <c r="R509" i="9"/>
  <c r="S509" i="9"/>
  <c r="T509" i="9"/>
  <c r="U509" i="9"/>
  <c r="V509" i="9"/>
  <c r="K510" i="9"/>
  <c r="L510" i="9"/>
  <c r="M510" i="9"/>
  <c r="N510" i="9"/>
  <c r="O510" i="9"/>
  <c r="P510" i="9"/>
  <c r="Q510" i="9"/>
  <c r="R510" i="9"/>
  <c r="S510" i="9"/>
  <c r="T510" i="9"/>
  <c r="U510" i="9"/>
  <c r="V510" i="9"/>
  <c r="K511" i="9"/>
  <c r="L511" i="9"/>
  <c r="M511" i="9"/>
  <c r="N511" i="9"/>
  <c r="O511" i="9"/>
  <c r="P511" i="9"/>
  <c r="Q511" i="9"/>
  <c r="R511" i="9"/>
  <c r="S511" i="9"/>
  <c r="T511" i="9"/>
  <c r="U511" i="9"/>
  <c r="V511" i="9"/>
  <c r="K512" i="9"/>
  <c r="L512" i="9"/>
  <c r="M512" i="9"/>
  <c r="N512" i="9"/>
  <c r="O512" i="9"/>
  <c r="P512" i="9"/>
  <c r="Q512" i="9"/>
  <c r="R512" i="9"/>
  <c r="S512" i="9"/>
  <c r="T512" i="9"/>
  <c r="U512" i="9"/>
  <c r="V512" i="9"/>
  <c r="K513" i="9"/>
  <c r="L513" i="9"/>
  <c r="M513" i="9"/>
  <c r="N513" i="9"/>
  <c r="O513" i="9"/>
  <c r="P513" i="9"/>
  <c r="Q513" i="9"/>
  <c r="R513" i="9"/>
  <c r="S513" i="9"/>
  <c r="T513" i="9"/>
  <c r="U513" i="9"/>
  <c r="V513" i="9"/>
  <c r="K514" i="9"/>
  <c r="L514" i="9"/>
  <c r="M514" i="9"/>
  <c r="N514" i="9"/>
  <c r="O514" i="9"/>
  <c r="P514" i="9"/>
  <c r="Q514" i="9"/>
  <c r="R514" i="9"/>
  <c r="S514" i="9"/>
  <c r="T514" i="9"/>
  <c r="U514" i="9"/>
  <c r="V514" i="9"/>
  <c r="K515" i="9"/>
  <c r="L515" i="9"/>
  <c r="M515" i="9"/>
  <c r="N515" i="9"/>
  <c r="O515" i="9"/>
  <c r="P515" i="9"/>
  <c r="Q515" i="9"/>
  <c r="R515" i="9"/>
  <c r="S515" i="9"/>
  <c r="T515" i="9"/>
  <c r="U515" i="9"/>
  <c r="V515" i="9"/>
  <c r="K516" i="9"/>
  <c r="L516" i="9"/>
  <c r="M516" i="9"/>
  <c r="N516" i="9"/>
  <c r="O516" i="9"/>
  <c r="P516" i="9"/>
  <c r="Q516" i="9"/>
  <c r="R516" i="9"/>
  <c r="S516" i="9"/>
  <c r="T516" i="9"/>
  <c r="U516" i="9"/>
  <c r="V516" i="9"/>
  <c r="K517" i="9"/>
  <c r="L517" i="9"/>
  <c r="M517" i="9"/>
  <c r="N517" i="9"/>
  <c r="O517" i="9"/>
  <c r="P517" i="9"/>
  <c r="Q517" i="9"/>
  <c r="R517" i="9"/>
  <c r="S517" i="9"/>
  <c r="T517" i="9"/>
  <c r="U517" i="9"/>
  <c r="V517" i="9"/>
  <c r="K518" i="9"/>
  <c r="L518" i="9"/>
  <c r="M518" i="9"/>
  <c r="N518" i="9"/>
  <c r="O518" i="9"/>
  <c r="P518" i="9"/>
  <c r="Q518" i="9"/>
  <c r="R518" i="9"/>
  <c r="S518" i="9"/>
  <c r="T518" i="9"/>
  <c r="U518" i="9"/>
  <c r="V518" i="9"/>
  <c r="K519" i="9"/>
  <c r="L519" i="9"/>
  <c r="M519" i="9"/>
  <c r="N519" i="9"/>
  <c r="O519" i="9"/>
  <c r="P519" i="9"/>
  <c r="Q519" i="9"/>
  <c r="R519" i="9"/>
  <c r="S519" i="9"/>
  <c r="T519" i="9"/>
  <c r="U519" i="9"/>
  <c r="V519" i="9"/>
  <c r="K520" i="9"/>
  <c r="L520" i="9"/>
  <c r="M520" i="9"/>
  <c r="N520" i="9"/>
  <c r="O520" i="9"/>
  <c r="P520" i="9"/>
  <c r="Q520" i="9"/>
  <c r="R520" i="9"/>
  <c r="S520" i="9"/>
  <c r="T520" i="9"/>
  <c r="U520" i="9"/>
  <c r="V520" i="9"/>
  <c r="K521" i="9"/>
  <c r="L521" i="9"/>
  <c r="M521" i="9"/>
  <c r="N521" i="9"/>
  <c r="O521" i="9"/>
  <c r="P521" i="9"/>
  <c r="Q521" i="9"/>
  <c r="R521" i="9"/>
  <c r="S521" i="9"/>
  <c r="T521" i="9"/>
  <c r="U521" i="9"/>
  <c r="V521" i="9"/>
  <c r="K522" i="9"/>
  <c r="L522" i="9"/>
  <c r="M522" i="9"/>
  <c r="N522" i="9"/>
  <c r="O522" i="9"/>
  <c r="P522" i="9"/>
  <c r="Q522" i="9"/>
  <c r="R522" i="9"/>
  <c r="S522" i="9"/>
  <c r="T522" i="9"/>
  <c r="U522" i="9"/>
  <c r="V522" i="9"/>
  <c r="K523" i="9"/>
  <c r="L523" i="9"/>
  <c r="M523" i="9"/>
  <c r="N523" i="9"/>
  <c r="O523" i="9"/>
  <c r="P523" i="9"/>
  <c r="Q523" i="9"/>
  <c r="R523" i="9"/>
  <c r="S523" i="9"/>
  <c r="T523" i="9"/>
  <c r="U523" i="9"/>
  <c r="V523" i="9"/>
  <c r="K524" i="9"/>
  <c r="L524" i="9"/>
  <c r="M524" i="9"/>
  <c r="N524" i="9"/>
  <c r="O524" i="9"/>
  <c r="P524" i="9"/>
  <c r="Q524" i="9"/>
  <c r="R524" i="9"/>
  <c r="S524" i="9"/>
  <c r="T524" i="9"/>
  <c r="U524" i="9"/>
  <c r="V524" i="9"/>
  <c r="K525" i="9"/>
  <c r="L525" i="9"/>
  <c r="M525" i="9"/>
  <c r="N525" i="9"/>
  <c r="O525" i="9"/>
  <c r="P525" i="9"/>
  <c r="Q525" i="9"/>
  <c r="R525" i="9"/>
  <c r="S525" i="9"/>
  <c r="T525" i="9"/>
  <c r="U525" i="9"/>
  <c r="V525" i="9"/>
  <c r="K526" i="9"/>
  <c r="L526" i="9"/>
  <c r="M526" i="9"/>
  <c r="N526" i="9"/>
  <c r="O526" i="9"/>
  <c r="P526" i="9"/>
  <c r="Q526" i="9"/>
  <c r="R526" i="9"/>
  <c r="S526" i="9"/>
  <c r="T526" i="9"/>
  <c r="U526" i="9"/>
  <c r="V526" i="9"/>
  <c r="K527" i="9"/>
  <c r="L527" i="9"/>
  <c r="M527" i="9"/>
  <c r="N527" i="9"/>
  <c r="O527" i="9"/>
  <c r="P527" i="9"/>
  <c r="Q527" i="9"/>
  <c r="R527" i="9"/>
  <c r="S527" i="9"/>
  <c r="T527" i="9"/>
  <c r="U527" i="9"/>
  <c r="V527" i="9"/>
  <c r="K528" i="9"/>
  <c r="L528" i="9"/>
  <c r="M528" i="9"/>
  <c r="N528" i="9"/>
  <c r="O528" i="9"/>
  <c r="P528" i="9"/>
  <c r="Q528" i="9"/>
  <c r="R528" i="9"/>
  <c r="S528" i="9"/>
  <c r="T528" i="9"/>
  <c r="U528" i="9"/>
  <c r="V528" i="9"/>
  <c r="K529" i="9"/>
  <c r="L529" i="9"/>
  <c r="M529" i="9"/>
  <c r="N529" i="9"/>
  <c r="O529" i="9"/>
  <c r="P529" i="9"/>
  <c r="Q529" i="9"/>
  <c r="R529" i="9"/>
  <c r="S529" i="9"/>
  <c r="T529" i="9"/>
  <c r="U529" i="9"/>
  <c r="V529" i="9"/>
  <c r="K530" i="9"/>
  <c r="L530" i="9"/>
  <c r="M530" i="9"/>
  <c r="N530" i="9"/>
  <c r="O530" i="9"/>
  <c r="P530" i="9"/>
  <c r="Q530" i="9"/>
  <c r="R530" i="9"/>
  <c r="S530" i="9"/>
  <c r="T530" i="9"/>
  <c r="U530" i="9"/>
  <c r="V530" i="9"/>
  <c r="K531" i="9"/>
  <c r="L531" i="9"/>
  <c r="M531" i="9"/>
  <c r="N531" i="9"/>
  <c r="O531" i="9"/>
  <c r="P531" i="9"/>
  <c r="Q531" i="9"/>
  <c r="R531" i="9"/>
  <c r="S531" i="9"/>
  <c r="T531" i="9"/>
  <c r="U531" i="9"/>
  <c r="V531" i="9"/>
  <c r="K532" i="9"/>
  <c r="L532" i="9"/>
  <c r="M532" i="9"/>
  <c r="N532" i="9"/>
  <c r="O532" i="9"/>
  <c r="P532" i="9"/>
  <c r="Q532" i="9"/>
  <c r="R532" i="9"/>
  <c r="S532" i="9"/>
  <c r="T532" i="9"/>
  <c r="U532" i="9"/>
  <c r="V532" i="9"/>
  <c r="K533" i="9"/>
  <c r="L533" i="9"/>
  <c r="M533" i="9"/>
  <c r="N533" i="9"/>
  <c r="O533" i="9"/>
  <c r="P533" i="9"/>
  <c r="Q533" i="9"/>
  <c r="R533" i="9"/>
  <c r="S533" i="9"/>
  <c r="T533" i="9"/>
  <c r="U533" i="9"/>
  <c r="V533" i="9"/>
  <c r="K534" i="9"/>
  <c r="L534" i="9"/>
  <c r="M534" i="9"/>
  <c r="N534" i="9"/>
  <c r="O534" i="9"/>
  <c r="P534" i="9"/>
  <c r="Q534" i="9"/>
  <c r="R534" i="9"/>
  <c r="S534" i="9"/>
  <c r="T534" i="9"/>
  <c r="U534" i="9"/>
  <c r="V534" i="9"/>
  <c r="K535" i="9"/>
  <c r="L535" i="9"/>
  <c r="M535" i="9"/>
  <c r="N535" i="9"/>
  <c r="O535" i="9"/>
  <c r="P535" i="9"/>
  <c r="Q535" i="9"/>
  <c r="R535" i="9"/>
  <c r="S535" i="9"/>
  <c r="T535" i="9"/>
  <c r="U535" i="9"/>
  <c r="V535" i="9"/>
  <c r="K536" i="9"/>
  <c r="L536" i="9"/>
  <c r="M536" i="9"/>
  <c r="N536" i="9"/>
  <c r="O536" i="9"/>
  <c r="P536" i="9"/>
  <c r="Q536" i="9"/>
  <c r="R536" i="9"/>
  <c r="S536" i="9"/>
  <c r="T536" i="9"/>
  <c r="U536" i="9"/>
  <c r="V536" i="9"/>
  <c r="K537" i="9"/>
  <c r="L537" i="9"/>
  <c r="M537" i="9"/>
  <c r="N537" i="9"/>
  <c r="O537" i="9"/>
  <c r="P537" i="9"/>
  <c r="Q537" i="9"/>
  <c r="R537" i="9"/>
  <c r="S537" i="9"/>
  <c r="T537" i="9"/>
  <c r="U537" i="9"/>
  <c r="V537" i="9"/>
  <c r="K538" i="9"/>
  <c r="L538" i="9"/>
  <c r="M538" i="9"/>
  <c r="N538" i="9"/>
  <c r="O538" i="9"/>
  <c r="P538" i="9"/>
  <c r="Q538" i="9"/>
  <c r="R538" i="9"/>
  <c r="S538" i="9"/>
  <c r="T538" i="9"/>
  <c r="U538" i="9"/>
  <c r="V538" i="9"/>
  <c r="K539" i="9"/>
  <c r="L539" i="9"/>
  <c r="M539" i="9"/>
  <c r="N539" i="9"/>
  <c r="O539" i="9"/>
  <c r="P539" i="9"/>
  <c r="Q539" i="9"/>
  <c r="R539" i="9"/>
  <c r="S539" i="9"/>
  <c r="T539" i="9"/>
  <c r="U539" i="9"/>
  <c r="V539" i="9"/>
  <c r="K540" i="9"/>
  <c r="L540" i="9"/>
  <c r="M540" i="9"/>
  <c r="N540" i="9"/>
  <c r="O540" i="9"/>
  <c r="P540" i="9"/>
  <c r="Q540" i="9"/>
  <c r="R540" i="9"/>
  <c r="S540" i="9"/>
  <c r="T540" i="9"/>
  <c r="U540" i="9"/>
  <c r="V540" i="9"/>
  <c r="K541" i="9"/>
  <c r="L541" i="9"/>
  <c r="M541" i="9"/>
  <c r="N541" i="9"/>
  <c r="O541" i="9"/>
  <c r="P541" i="9"/>
  <c r="Q541" i="9"/>
  <c r="R541" i="9"/>
  <c r="S541" i="9"/>
  <c r="T541" i="9"/>
  <c r="U541" i="9"/>
  <c r="V541" i="9"/>
  <c r="K542" i="9"/>
  <c r="L542" i="9"/>
  <c r="M542" i="9"/>
  <c r="N542" i="9"/>
  <c r="O542" i="9"/>
  <c r="P542" i="9"/>
  <c r="Q542" i="9"/>
  <c r="R542" i="9"/>
  <c r="S542" i="9"/>
  <c r="T542" i="9"/>
  <c r="U542" i="9"/>
  <c r="V542" i="9"/>
  <c r="K543" i="9"/>
  <c r="L543" i="9"/>
  <c r="M543" i="9"/>
  <c r="N543" i="9"/>
  <c r="O543" i="9"/>
  <c r="P543" i="9"/>
  <c r="Q543" i="9"/>
  <c r="R543" i="9"/>
  <c r="S543" i="9"/>
  <c r="T543" i="9"/>
  <c r="U543" i="9"/>
  <c r="V543" i="9"/>
  <c r="K544" i="9"/>
  <c r="L544" i="9"/>
  <c r="M544" i="9"/>
  <c r="N544" i="9"/>
  <c r="O544" i="9"/>
  <c r="P544" i="9"/>
  <c r="Q544" i="9"/>
  <c r="R544" i="9"/>
  <c r="S544" i="9"/>
  <c r="T544" i="9"/>
  <c r="U544" i="9"/>
  <c r="V544" i="9"/>
  <c r="K545" i="9"/>
  <c r="L545" i="9"/>
  <c r="M545" i="9"/>
  <c r="N545" i="9"/>
  <c r="O545" i="9"/>
  <c r="P545" i="9"/>
  <c r="Q545" i="9"/>
  <c r="R545" i="9"/>
  <c r="S545" i="9"/>
  <c r="T545" i="9"/>
  <c r="U545" i="9"/>
  <c r="V545" i="9"/>
  <c r="K546" i="9"/>
  <c r="L546" i="9"/>
  <c r="M546" i="9"/>
  <c r="N546" i="9"/>
  <c r="O546" i="9"/>
  <c r="P546" i="9"/>
  <c r="Q546" i="9"/>
  <c r="R546" i="9"/>
  <c r="S546" i="9"/>
  <c r="T546" i="9"/>
  <c r="U546" i="9"/>
  <c r="V546" i="9"/>
  <c r="K547" i="9"/>
  <c r="L547" i="9"/>
  <c r="M547" i="9"/>
  <c r="N547" i="9"/>
  <c r="O547" i="9"/>
  <c r="P547" i="9"/>
  <c r="Q547" i="9"/>
  <c r="R547" i="9"/>
  <c r="S547" i="9"/>
  <c r="T547" i="9"/>
  <c r="U547" i="9"/>
  <c r="V547" i="9"/>
  <c r="K548" i="9"/>
  <c r="L548" i="9"/>
  <c r="M548" i="9"/>
  <c r="N548" i="9"/>
  <c r="O548" i="9"/>
  <c r="P548" i="9"/>
  <c r="Q548" i="9"/>
  <c r="R548" i="9"/>
  <c r="S548" i="9"/>
  <c r="T548" i="9"/>
  <c r="U548" i="9"/>
  <c r="V548" i="9"/>
  <c r="K549" i="9"/>
  <c r="L549" i="9"/>
  <c r="M549" i="9"/>
  <c r="N549" i="9"/>
  <c r="O549" i="9"/>
  <c r="P549" i="9"/>
  <c r="Q549" i="9"/>
  <c r="R549" i="9"/>
  <c r="S549" i="9"/>
  <c r="T549" i="9"/>
  <c r="U549" i="9"/>
  <c r="V549" i="9"/>
  <c r="K550" i="9"/>
  <c r="L550" i="9"/>
  <c r="M550" i="9"/>
  <c r="N550" i="9"/>
  <c r="O550" i="9"/>
  <c r="P550" i="9"/>
  <c r="Q550" i="9"/>
  <c r="R550" i="9"/>
  <c r="S550" i="9"/>
  <c r="T550" i="9"/>
  <c r="U550" i="9"/>
  <c r="V550" i="9"/>
  <c r="K551" i="9"/>
  <c r="L551" i="9"/>
  <c r="M551" i="9"/>
  <c r="N551" i="9"/>
  <c r="O551" i="9"/>
  <c r="P551" i="9"/>
  <c r="Q551" i="9"/>
  <c r="R551" i="9"/>
  <c r="S551" i="9"/>
  <c r="T551" i="9"/>
  <c r="U551" i="9"/>
  <c r="V551" i="9"/>
  <c r="K552" i="9"/>
  <c r="L552" i="9"/>
  <c r="M552" i="9"/>
  <c r="N552" i="9"/>
  <c r="O552" i="9"/>
  <c r="P552" i="9"/>
  <c r="Q552" i="9"/>
  <c r="R552" i="9"/>
  <c r="S552" i="9"/>
  <c r="T552" i="9"/>
  <c r="U552" i="9"/>
  <c r="V552" i="9"/>
  <c r="K553" i="9"/>
  <c r="L553" i="9"/>
  <c r="M553" i="9"/>
  <c r="N553" i="9"/>
  <c r="O553" i="9"/>
  <c r="P553" i="9"/>
  <c r="Q553" i="9"/>
  <c r="R553" i="9"/>
  <c r="S553" i="9"/>
  <c r="T553" i="9"/>
  <c r="U553" i="9"/>
  <c r="V553" i="9"/>
  <c r="K554" i="9"/>
  <c r="L554" i="9"/>
  <c r="M554" i="9"/>
  <c r="N554" i="9"/>
  <c r="O554" i="9"/>
  <c r="P554" i="9"/>
  <c r="Q554" i="9"/>
  <c r="R554" i="9"/>
  <c r="S554" i="9"/>
  <c r="T554" i="9"/>
  <c r="U554" i="9"/>
  <c r="V554" i="9"/>
  <c r="K555" i="9"/>
  <c r="L555" i="9"/>
  <c r="M555" i="9"/>
  <c r="N555" i="9"/>
  <c r="O555" i="9"/>
  <c r="P555" i="9"/>
  <c r="Q555" i="9"/>
  <c r="R555" i="9"/>
  <c r="S555" i="9"/>
  <c r="T555" i="9"/>
  <c r="U555" i="9"/>
  <c r="V555" i="9"/>
  <c r="K556" i="9"/>
  <c r="L556" i="9"/>
  <c r="M556" i="9"/>
  <c r="N556" i="9"/>
  <c r="O556" i="9"/>
  <c r="P556" i="9"/>
  <c r="Q556" i="9"/>
  <c r="R556" i="9"/>
  <c r="S556" i="9"/>
  <c r="T556" i="9"/>
  <c r="U556" i="9"/>
  <c r="V556" i="9"/>
  <c r="K557" i="9"/>
  <c r="L557" i="9"/>
  <c r="M557" i="9"/>
  <c r="N557" i="9"/>
  <c r="O557" i="9"/>
  <c r="P557" i="9"/>
  <c r="Q557" i="9"/>
  <c r="R557" i="9"/>
  <c r="S557" i="9"/>
  <c r="T557" i="9"/>
  <c r="U557" i="9"/>
  <c r="V557" i="9"/>
  <c r="K558" i="9"/>
  <c r="L558" i="9"/>
  <c r="M558" i="9"/>
  <c r="N558" i="9"/>
  <c r="O558" i="9"/>
  <c r="P558" i="9"/>
  <c r="Q558" i="9"/>
  <c r="R558" i="9"/>
  <c r="S558" i="9"/>
  <c r="T558" i="9"/>
  <c r="U558" i="9"/>
  <c r="V558" i="9"/>
  <c r="K559" i="9"/>
  <c r="L559" i="9"/>
  <c r="M559" i="9"/>
  <c r="N559" i="9"/>
  <c r="O559" i="9"/>
  <c r="P559" i="9"/>
  <c r="Q559" i="9"/>
  <c r="R559" i="9"/>
  <c r="S559" i="9"/>
  <c r="T559" i="9"/>
  <c r="U559" i="9"/>
  <c r="V559" i="9"/>
  <c r="K560" i="9"/>
  <c r="L560" i="9"/>
  <c r="M560" i="9"/>
  <c r="N560" i="9"/>
  <c r="O560" i="9"/>
  <c r="P560" i="9"/>
  <c r="Q560" i="9"/>
  <c r="R560" i="9"/>
  <c r="S560" i="9"/>
  <c r="T560" i="9"/>
  <c r="U560" i="9"/>
  <c r="V560" i="9"/>
  <c r="K561" i="9"/>
  <c r="L561" i="9"/>
  <c r="M561" i="9"/>
  <c r="N561" i="9"/>
  <c r="O561" i="9"/>
  <c r="P561" i="9"/>
  <c r="Q561" i="9"/>
  <c r="R561" i="9"/>
  <c r="S561" i="9"/>
  <c r="T561" i="9"/>
  <c r="U561" i="9"/>
  <c r="V561" i="9"/>
  <c r="K562" i="9"/>
  <c r="L562" i="9"/>
  <c r="M562" i="9"/>
  <c r="N562" i="9"/>
  <c r="O562" i="9"/>
  <c r="P562" i="9"/>
  <c r="Q562" i="9"/>
  <c r="R562" i="9"/>
  <c r="S562" i="9"/>
  <c r="T562" i="9"/>
  <c r="U562" i="9"/>
  <c r="V562" i="9"/>
  <c r="K563" i="9"/>
  <c r="L563" i="9"/>
  <c r="M563" i="9"/>
  <c r="N563" i="9"/>
  <c r="O563" i="9"/>
  <c r="P563" i="9"/>
  <c r="Q563" i="9"/>
  <c r="R563" i="9"/>
  <c r="S563" i="9"/>
  <c r="T563" i="9"/>
  <c r="U563" i="9"/>
  <c r="V563" i="9"/>
  <c r="K564" i="9"/>
  <c r="L564" i="9"/>
  <c r="M564" i="9"/>
  <c r="N564" i="9"/>
  <c r="O564" i="9"/>
  <c r="P564" i="9"/>
  <c r="Q564" i="9"/>
  <c r="R564" i="9"/>
  <c r="S564" i="9"/>
  <c r="T564" i="9"/>
  <c r="U564" i="9"/>
  <c r="V564" i="9"/>
  <c r="K565" i="9"/>
  <c r="L565" i="9"/>
  <c r="M565" i="9"/>
  <c r="N565" i="9"/>
  <c r="O565" i="9"/>
  <c r="P565" i="9"/>
  <c r="Q565" i="9"/>
  <c r="R565" i="9"/>
  <c r="S565" i="9"/>
  <c r="T565" i="9"/>
  <c r="U565" i="9"/>
  <c r="V565" i="9"/>
  <c r="K566" i="9"/>
  <c r="L566" i="9"/>
  <c r="M566" i="9"/>
  <c r="N566" i="9"/>
  <c r="O566" i="9"/>
  <c r="P566" i="9"/>
  <c r="Q566" i="9"/>
  <c r="R566" i="9"/>
  <c r="S566" i="9"/>
  <c r="T566" i="9"/>
  <c r="U566" i="9"/>
  <c r="V566" i="9"/>
  <c r="K567" i="9"/>
  <c r="L567" i="9"/>
  <c r="M567" i="9"/>
  <c r="N567" i="9"/>
  <c r="O567" i="9"/>
  <c r="P567" i="9"/>
  <c r="Q567" i="9"/>
  <c r="R567" i="9"/>
  <c r="S567" i="9"/>
  <c r="T567" i="9"/>
  <c r="U567" i="9"/>
  <c r="V567" i="9"/>
  <c r="K568" i="9"/>
  <c r="L568" i="9"/>
  <c r="M568" i="9"/>
  <c r="N568" i="9"/>
  <c r="O568" i="9"/>
  <c r="P568" i="9"/>
  <c r="Q568" i="9"/>
  <c r="R568" i="9"/>
  <c r="S568" i="9"/>
  <c r="T568" i="9"/>
  <c r="U568" i="9"/>
  <c r="V568" i="9"/>
  <c r="K569" i="9"/>
  <c r="L569" i="9"/>
  <c r="M569" i="9"/>
  <c r="N569" i="9"/>
  <c r="O569" i="9"/>
  <c r="P569" i="9"/>
  <c r="Q569" i="9"/>
  <c r="R569" i="9"/>
  <c r="S569" i="9"/>
  <c r="T569" i="9"/>
  <c r="U569" i="9"/>
  <c r="V569" i="9"/>
  <c r="K570" i="9"/>
  <c r="L570" i="9"/>
  <c r="M570" i="9"/>
  <c r="N570" i="9"/>
  <c r="O570" i="9"/>
  <c r="P570" i="9"/>
  <c r="Q570" i="9"/>
  <c r="R570" i="9"/>
  <c r="S570" i="9"/>
  <c r="T570" i="9"/>
  <c r="U570" i="9"/>
  <c r="V570" i="9"/>
  <c r="K571" i="9"/>
  <c r="L571" i="9"/>
  <c r="M571" i="9"/>
  <c r="N571" i="9"/>
  <c r="O571" i="9"/>
  <c r="P571" i="9"/>
  <c r="Q571" i="9"/>
  <c r="R571" i="9"/>
  <c r="S571" i="9"/>
  <c r="T571" i="9"/>
  <c r="U571" i="9"/>
  <c r="V571" i="9"/>
  <c r="K572" i="9"/>
  <c r="L572" i="9"/>
  <c r="M572" i="9"/>
  <c r="N572" i="9"/>
  <c r="O572" i="9"/>
  <c r="P572" i="9"/>
  <c r="Q572" i="9"/>
  <c r="R572" i="9"/>
  <c r="S572" i="9"/>
  <c r="T572" i="9"/>
  <c r="U572" i="9"/>
  <c r="V572" i="9"/>
  <c r="K573" i="9"/>
  <c r="L573" i="9"/>
  <c r="M573" i="9"/>
  <c r="N573" i="9"/>
  <c r="O573" i="9"/>
  <c r="P573" i="9"/>
  <c r="Q573" i="9"/>
  <c r="R573" i="9"/>
  <c r="S573" i="9"/>
  <c r="T573" i="9"/>
  <c r="U573" i="9"/>
  <c r="V573" i="9"/>
  <c r="K574" i="9"/>
  <c r="L574" i="9"/>
  <c r="M574" i="9"/>
  <c r="N574" i="9"/>
  <c r="O574" i="9"/>
  <c r="P574" i="9"/>
  <c r="Q574" i="9"/>
  <c r="R574" i="9"/>
  <c r="S574" i="9"/>
  <c r="T574" i="9"/>
  <c r="U574" i="9"/>
  <c r="V574" i="9"/>
  <c r="K575" i="9"/>
  <c r="L575" i="9"/>
  <c r="M575" i="9"/>
  <c r="N575" i="9"/>
  <c r="O575" i="9"/>
  <c r="P575" i="9"/>
  <c r="Q575" i="9"/>
  <c r="R575" i="9"/>
  <c r="S575" i="9"/>
  <c r="T575" i="9"/>
  <c r="U575" i="9"/>
  <c r="V575" i="9"/>
  <c r="K576" i="9"/>
  <c r="L576" i="9"/>
  <c r="M576" i="9"/>
  <c r="N576" i="9"/>
  <c r="O576" i="9"/>
  <c r="P576" i="9"/>
  <c r="Q576" i="9"/>
  <c r="R576" i="9"/>
  <c r="S576" i="9"/>
  <c r="T576" i="9"/>
  <c r="U576" i="9"/>
  <c r="V576" i="9"/>
  <c r="K577" i="9"/>
  <c r="L577" i="9"/>
  <c r="M577" i="9"/>
  <c r="N577" i="9"/>
  <c r="O577" i="9"/>
  <c r="P577" i="9"/>
  <c r="Q577" i="9"/>
  <c r="R577" i="9"/>
  <c r="S577" i="9"/>
  <c r="T577" i="9"/>
  <c r="U577" i="9"/>
  <c r="V577" i="9"/>
  <c r="K578" i="9"/>
  <c r="L578" i="9"/>
  <c r="M578" i="9"/>
  <c r="N578" i="9"/>
  <c r="O578" i="9"/>
  <c r="P578" i="9"/>
  <c r="Q578" i="9"/>
  <c r="R578" i="9"/>
  <c r="S578" i="9"/>
  <c r="T578" i="9"/>
  <c r="U578" i="9"/>
  <c r="V578" i="9"/>
  <c r="K579" i="9"/>
  <c r="L579" i="9"/>
  <c r="M579" i="9"/>
  <c r="N579" i="9"/>
  <c r="O579" i="9"/>
  <c r="P579" i="9"/>
  <c r="Q579" i="9"/>
  <c r="R579" i="9"/>
  <c r="S579" i="9"/>
  <c r="T579" i="9"/>
  <c r="U579" i="9"/>
  <c r="V579" i="9"/>
  <c r="K580" i="9"/>
  <c r="L580" i="9"/>
  <c r="M580" i="9"/>
  <c r="N580" i="9"/>
  <c r="O580" i="9"/>
  <c r="P580" i="9"/>
  <c r="Q580" i="9"/>
  <c r="R580" i="9"/>
  <c r="S580" i="9"/>
  <c r="T580" i="9"/>
  <c r="U580" i="9"/>
  <c r="V580" i="9"/>
  <c r="K581" i="9"/>
  <c r="L581" i="9"/>
  <c r="M581" i="9"/>
  <c r="N581" i="9"/>
  <c r="O581" i="9"/>
  <c r="P581" i="9"/>
  <c r="Q581" i="9"/>
  <c r="R581" i="9"/>
  <c r="S581" i="9"/>
  <c r="T581" i="9"/>
  <c r="U581" i="9"/>
  <c r="V581" i="9"/>
  <c r="K582" i="9"/>
  <c r="L582" i="9"/>
  <c r="M582" i="9"/>
  <c r="N582" i="9"/>
  <c r="O582" i="9"/>
  <c r="P582" i="9"/>
  <c r="Q582" i="9"/>
  <c r="R582" i="9"/>
  <c r="S582" i="9"/>
  <c r="T582" i="9"/>
  <c r="U582" i="9"/>
  <c r="V582" i="9"/>
  <c r="K583" i="9"/>
  <c r="L583" i="9"/>
  <c r="M583" i="9"/>
  <c r="N583" i="9"/>
  <c r="O583" i="9"/>
  <c r="P583" i="9"/>
  <c r="Q583" i="9"/>
  <c r="R583" i="9"/>
  <c r="S583" i="9"/>
  <c r="T583" i="9"/>
  <c r="U583" i="9"/>
  <c r="V583" i="9"/>
  <c r="K584" i="9"/>
  <c r="L584" i="9"/>
  <c r="M584" i="9"/>
  <c r="N584" i="9"/>
  <c r="O584" i="9"/>
  <c r="P584" i="9"/>
  <c r="Q584" i="9"/>
  <c r="R584" i="9"/>
  <c r="S584" i="9"/>
  <c r="T584" i="9"/>
  <c r="U584" i="9"/>
  <c r="V584" i="9"/>
  <c r="K585" i="9"/>
  <c r="L585" i="9"/>
  <c r="M585" i="9"/>
  <c r="N585" i="9"/>
  <c r="O585" i="9"/>
  <c r="P585" i="9"/>
  <c r="Q585" i="9"/>
  <c r="R585" i="9"/>
  <c r="S585" i="9"/>
  <c r="T585" i="9"/>
  <c r="U585" i="9"/>
  <c r="V585" i="9"/>
  <c r="K586" i="9"/>
  <c r="L586" i="9"/>
  <c r="M586" i="9"/>
  <c r="N586" i="9"/>
  <c r="O586" i="9"/>
  <c r="P586" i="9"/>
  <c r="Q586" i="9"/>
  <c r="R586" i="9"/>
  <c r="S586" i="9"/>
  <c r="T586" i="9"/>
  <c r="U586" i="9"/>
  <c r="V586" i="9"/>
  <c r="K587" i="9"/>
  <c r="L587" i="9"/>
  <c r="M587" i="9"/>
  <c r="N587" i="9"/>
  <c r="O587" i="9"/>
  <c r="P587" i="9"/>
  <c r="Q587" i="9"/>
  <c r="R587" i="9"/>
  <c r="S587" i="9"/>
  <c r="T587" i="9"/>
  <c r="U587" i="9"/>
  <c r="V587" i="9"/>
  <c r="K588" i="9"/>
  <c r="L588" i="9"/>
  <c r="M588" i="9"/>
  <c r="N588" i="9"/>
  <c r="O588" i="9"/>
  <c r="P588" i="9"/>
  <c r="Q588" i="9"/>
  <c r="R588" i="9"/>
  <c r="S588" i="9"/>
  <c r="T588" i="9"/>
  <c r="U588" i="9"/>
  <c r="V588" i="9"/>
  <c r="K589" i="9"/>
  <c r="L589" i="9"/>
  <c r="M589" i="9"/>
  <c r="N589" i="9"/>
  <c r="O589" i="9"/>
  <c r="P589" i="9"/>
  <c r="Q589" i="9"/>
  <c r="R589" i="9"/>
  <c r="S589" i="9"/>
  <c r="T589" i="9"/>
  <c r="U589" i="9"/>
  <c r="V589" i="9"/>
  <c r="K590" i="9"/>
  <c r="L590" i="9"/>
  <c r="M590" i="9"/>
  <c r="N590" i="9"/>
  <c r="O590" i="9"/>
  <c r="P590" i="9"/>
  <c r="Q590" i="9"/>
  <c r="R590" i="9"/>
  <c r="S590" i="9"/>
  <c r="T590" i="9"/>
  <c r="U590" i="9"/>
  <c r="V590" i="9"/>
  <c r="K591" i="9"/>
  <c r="L591" i="9"/>
  <c r="M591" i="9"/>
  <c r="N591" i="9"/>
  <c r="O591" i="9"/>
  <c r="P591" i="9"/>
  <c r="Q591" i="9"/>
  <c r="R591" i="9"/>
  <c r="S591" i="9"/>
  <c r="T591" i="9"/>
  <c r="U591" i="9"/>
  <c r="V591" i="9"/>
  <c r="K592" i="9"/>
  <c r="L592" i="9"/>
  <c r="M592" i="9"/>
  <c r="N592" i="9"/>
  <c r="O592" i="9"/>
  <c r="P592" i="9"/>
  <c r="Q592" i="9"/>
  <c r="R592" i="9"/>
  <c r="S592" i="9"/>
  <c r="T592" i="9"/>
  <c r="U592" i="9"/>
  <c r="V592" i="9"/>
  <c r="K593" i="9"/>
  <c r="L593" i="9"/>
  <c r="M593" i="9"/>
  <c r="N593" i="9"/>
  <c r="O593" i="9"/>
  <c r="P593" i="9"/>
  <c r="Q593" i="9"/>
  <c r="R593" i="9"/>
  <c r="S593" i="9"/>
  <c r="T593" i="9"/>
  <c r="U593" i="9"/>
  <c r="V593" i="9"/>
  <c r="K594" i="9"/>
  <c r="L594" i="9"/>
  <c r="M594" i="9"/>
  <c r="N594" i="9"/>
  <c r="O594" i="9"/>
  <c r="P594" i="9"/>
  <c r="Q594" i="9"/>
  <c r="R594" i="9"/>
  <c r="S594" i="9"/>
  <c r="T594" i="9"/>
  <c r="U594" i="9"/>
  <c r="V594" i="9"/>
  <c r="K595" i="9"/>
  <c r="L595" i="9"/>
  <c r="M595" i="9"/>
  <c r="N595" i="9"/>
  <c r="O595" i="9"/>
  <c r="P595" i="9"/>
  <c r="Q595" i="9"/>
  <c r="R595" i="9"/>
  <c r="S595" i="9"/>
  <c r="T595" i="9"/>
  <c r="U595" i="9"/>
  <c r="V595" i="9"/>
  <c r="K596" i="9"/>
  <c r="L596" i="9"/>
  <c r="M596" i="9"/>
  <c r="N596" i="9"/>
  <c r="O596" i="9"/>
  <c r="P596" i="9"/>
  <c r="Q596" i="9"/>
  <c r="R596" i="9"/>
  <c r="S596" i="9"/>
  <c r="T596" i="9"/>
  <c r="U596" i="9"/>
  <c r="V596" i="9"/>
  <c r="K597" i="9"/>
  <c r="L597" i="9"/>
  <c r="M597" i="9"/>
  <c r="N597" i="9"/>
  <c r="O597" i="9"/>
  <c r="P597" i="9"/>
  <c r="Q597" i="9"/>
  <c r="R597" i="9"/>
  <c r="S597" i="9"/>
  <c r="T597" i="9"/>
  <c r="U597" i="9"/>
  <c r="V597" i="9"/>
  <c r="K598" i="9"/>
  <c r="L598" i="9"/>
  <c r="M598" i="9"/>
  <c r="N598" i="9"/>
  <c r="O598" i="9"/>
  <c r="P598" i="9"/>
  <c r="Q598" i="9"/>
  <c r="R598" i="9"/>
  <c r="S598" i="9"/>
  <c r="T598" i="9"/>
  <c r="U598" i="9"/>
  <c r="V598" i="9"/>
  <c r="K599" i="9"/>
  <c r="L599" i="9"/>
  <c r="M599" i="9"/>
  <c r="N599" i="9"/>
  <c r="O599" i="9"/>
  <c r="P599" i="9"/>
  <c r="Q599" i="9"/>
  <c r="R599" i="9"/>
  <c r="S599" i="9"/>
  <c r="T599" i="9"/>
  <c r="U599" i="9"/>
  <c r="V599" i="9"/>
  <c r="K600" i="9"/>
  <c r="L600" i="9"/>
  <c r="M600" i="9"/>
  <c r="N600" i="9"/>
  <c r="O600" i="9"/>
  <c r="P600" i="9"/>
  <c r="Q600" i="9"/>
  <c r="R600" i="9"/>
  <c r="S600" i="9"/>
  <c r="T600" i="9"/>
  <c r="U600" i="9"/>
  <c r="V600" i="9"/>
  <c r="K601" i="9"/>
  <c r="L601" i="9"/>
  <c r="M601" i="9"/>
  <c r="N601" i="9"/>
  <c r="O601" i="9"/>
  <c r="P601" i="9"/>
  <c r="Q601" i="9"/>
  <c r="R601" i="9"/>
  <c r="S601" i="9"/>
  <c r="T601" i="9"/>
  <c r="U601" i="9"/>
  <c r="V601" i="9"/>
  <c r="K602" i="9"/>
  <c r="L602" i="9"/>
  <c r="M602" i="9"/>
  <c r="N602" i="9"/>
  <c r="O602" i="9"/>
  <c r="P602" i="9"/>
  <c r="Q602" i="9"/>
  <c r="R602" i="9"/>
  <c r="S602" i="9"/>
  <c r="T602" i="9"/>
  <c r="U602" i="9"/>
  <c r="V602" i="9"/>
  <c r="K603" i="9"/>
  <c r="L603" i="9"/>
  <c r="M603" i="9"/>
  <c r="N603" i="9"/>
  <c r="O603" i="9"/>
  <c r="P603" i="9"/>
  <c r="Q603" i="9"/>
  <c r="R603" i="9"/>
  <c r="S603" i="9"/>
  <c r="T603" i="9"/>
  <c r="U603" i="9"/>
  <c r="V603" i="9"/>
  <c r="K604" i="9"/>
  <c r="L604" i="9"/>
  <c r="M604" i="9"/>
  <c r="N604" i="9"/>
  <c r="O604" i="9"/>
  <c r="P604" i="9"/>
  <c r="Q604" i="9"/>
  <c r="R604" i="9"/>
  <c r="S604" i="9"/>
  <c r="T604" i="9"/>
  <c r="U604" i="9"/>
  <c r="V604" i="9"/>
  <c r="K605" i="9"/>
  <c r="L605" i="9"/>
  <c r="M605" i="9"/>
  <c r="N605" i="9"/>
  <c r="O605" i="9"/>
  <c r="P605" i="9"/>
  <c r="Q605" i="9"/>
  <c r="R605" i="9"/>
  <c r="S605" i="9"/>
  <c r="T605" i="9"/>
  <c r="U605" i="9"/>
  <c r="V605" i="9"/>
  <c r="K606" i="9"/>
  <c r="L606" i="9"/>
  <c r="M606" i="9"/>
  <c r="N606" i="9"/>
  <c r="O606" i="9"/>
  <c r="P606" i="9"/>
  <c r="Q606" i="9"/>
  <c r="R606" i="9"/>
  <c r="S606" i="9"/>
  <c r="T606" i="9"/>
  <c r="U606" i="9"/>
  <c r="V606" i="9"/>
  <c r="K607" i="9"/>
  <c r="L607" i="9"/>
  <c r="M607" i="9"/>
  <c r="N607" i="9"/>
  <c r="O607" i="9"/>
  <c r="P607" i="9"/>
  <c r="Q607" i="9"/>
  <c r="R607" i="9"/>
  <c r="S607" i="9"/>
  <c r="T607" i="9"/>
  <c r="U607" i="9"/>
  <c r="V607" i="9"/>
  <c r="K608" i="9"/>
  <c r="L608" i="9"/>
  <c r="M608" i="9"/>
  <c r="N608" i="9"/>
  <c r="O608" i="9"/>
  <c r="P608" i="9"/>
  <c r="Q608" i="9"/>
  <c r="R608" i="9"/>
  <c r="S608" i="9"/>
  <c r="T608" i="9"/>
  <c r="U608" i="9"/>
  <c r="V608" i="9"/>
  <c r="K609" i="9"/>
  <c r="L609" i="9"/>
  <c r="M609" i="9"/>
  <c r="N609" i="9"/>
  <c r="O609" i="9"/>
  <c r="P609" i="9"/>
  <c r="Q609" i="9"/>
  <c r="R609" i="9"/>
  <c r="S609" i="9"/>
  <c r="T609" i="9"/>
  <c r="U609" i="9"/>
  <c r="V609" i="9"/>
  <c r="K610" i="9"/>
  <c r="L610" i="9"/>
  <c r="M610" i="9"/>
  <c r="N610" i="9"/>
  <c r="O610" i="9"/>
  <c r="P610" i="9"/>
  <c r="Q610" i="9"/>
  <c r="R610" i="9"/>
  <c r="S610" i="9"/>
  <c r="T610" i="9"/>
  <c r="U610" i="9"/>
  <c r="V610" i="9"/>
  <c r="K611" i="9"/>
  <c r="L611" i="9"/>
  <c r="M611" i="9"/>
  <c r="N611" i="9"/>
  <c r="O611" i="9"/>
  <c r="P611" i="9"/>
  <c r="Q611" i="9"/>
  <c r="R611" i="9"/>
  <c r="S611" i="9"/>
  <c r="T611" i="9"/>
  <c r="U611" i="9"/>
  <c r="V611" i="9"/>
  <c r="K612" i="9"/>
  <c r="L612" i="9"/>
  <c r="M612" i="9"/>
  <c r="N612" i="9"/>
  <c r="O612" i="9"/>
  <c r="P612" i="9"/>
  <c r="Q612" i="9"/>
  <c r="R612" i="9"/>
  <c r="S612" i="9"/>
  <c r="T612" i="9"/>
  <c r="U612" i="9"/>
  <c r="V612" i="9"/>
  <c r="K613" i="9"/>
  <c r="L613" i="9"/>
  <c r="M613" i="9"/>
  <c r="N613" i="9"/>
  <c r="O613" i="9"/>
  <c r="P613" i="9"/>
  <c r="Q613" i="9"/>
  <c r="R613" i="9"/>
  <c r="S613" i="9"/>
  <c r="T613" i="9"/>
  <c r="U613" i="9"/>
  <c r="V613" i="9"/>
  <c r="K614" i="9"/>
  <c r="L614" i="9"/>
  <c r="M614" i="9"/>
  <c r="N614" i="9"/>
  <c r="O614" i="9"/>
  <c r="P614" i="9"/>
  <c r="Q614" i="9"/>
  <c r="R614" i="9"/>
  <c r="S614" i="9"/>
  <c r="T614" i="9"/>
  <c r="U614" i="9"/>
  <c r="V614" i="9"/>
  <c r="K615" i="9"/>
  <c r="L615" i="9"/>
  <c r="M615" i="9"/>
  <c r="N615" i="9"/>
  <c r="O615" i="9"/>
  <c r="P615" i="9"/>
  <c r="Q615" i="9"/>
  <c r="R615" i="9"/>
  <c r="S615" i="9"/>
  <c r="T615" i="9"/>
  <c r="U615" i="9"/>
  <c r="V615" i="9"/>
  <c r="K616" i="9"/>
  <c r="L616" i="9"/>
  <c r="M616" i="9"/>
  <c r="N616" i="9"/>
  <c r="O616" i="9"/>
  <c r="P616" i="9"/>
  <c r="Q616" i="9"/>
  <c r="R616" i="9"/>
  <c r="S616" i="9"/>
  <c r="T616" i="9"/>
  <c r="U616" i="9"/>
  <c r="V616" i="9"/>
  <c r="K617" i="9"/>
  <c r="L617" i="9"/>
  <c r="M617" i="9"/>
  <c r="N617" i="9"/>
  <c r="O617" i="9"/>
  <c r="P617" i="9"/>
  <c r="Q617" i="9"/>
  <c r="R617" i="9"/>
  <c r="S617" i="9"/>
  <c r="T617" i="9"/>
  <c r="U617" i="9"/>
  <c r="V617" i="9"/>
  <c r="K618" i="9"/>
  <c r="L618" i="9"/>
  <c r="M618" i="9"/>
  <c r="N618" i="9"/>
  <c r="O618" i="9"/>
  <c r="P618" i="9"/>
  <c r="Q618" i="9"/>
  <c r="R618" i="9"/>
  <c r="S618" i="9"/>
  <c r="T618" i="9"/>
  <c r="U618" i="9"/>
  <c r="V618" i="9"/>
  <c r="K619" i="9"/>
  <c r="L619" i="9"/>
  <c r="M619" i="9"/>
  <c r="N619" i="9"/>
  <c r="O619" i="9"/>
  <c r="P619" i="9"/>
  <c r="Q619" i="9"/>
  <c r="R619" i="9"/>
  <c r="S619" i="9"/>
  <c r="T619" i="9"/>
  <c r="U619" i="9"/>
  <c r="V619" i="9"/>
  <c r="K620" i="9"/>
  <c r="L620" i="9"/>
  <c r="M620" i="9"/>
  <c r="N620" i="9"/>
  <c r="O620" i="9"/>
  <c r="P620" i="9"/>
  <c r="Q620" i="9"/>
  <c r="R620" i="9"/>
  <c r="S620" i="9"/>
  <c r="T620" i="9"/>
  <c r="U620" i="9"/>
  <c r="V620" i="9"/>
  <c r="K621" i="9"/>
  <c r="L621" i="9"/>
  <c r="M621" i="9"/>
  <c r="N621" i="9"/>
  <c r="O621" i="9"/>
  <c r="P621" i="9"/>
  <c r="Q621" i="9"/>
  <c r="R621" i="9"/>
  <c r="S621" i="9"/>
  <c r="T621" i="9"/>
  <c r="U621" i="9"/>
  <c r="V621" i="9"/>
  <c r="K622" i="9"/>
  <c r="L622" i="9"/>
  <c r="M622" i="9"/>
  <c r="N622" i="9"/>
  <c r="O622" i="9"/>
  <c r="P622" i="9"/>
  <c r="Q622" i="9"/>
  <c r="R622" i="9"/>
  <c r="S622" i="9"/>
  <c r="T622" i="9"/>
  <c r="U622" i="9"/>
  <c r="V622" i="9"/>
  <c r="K623" i="9"/>
  <c r="L623" i="9"/>
  <c r="M623" i="9"/>
  <c r="N623" i="9"/>
  <c r="O623" i="9"/>
  <c r="P623" i="9"/>
  <c r="Q623" i="9"/>
  <c r="R623" i="9"/>
  <c r="S623" i="9"/>
  <c r="T623" i="9"/>
  <c r="U623" i="9"/>
  <c r="V623" i="9"/>
  <c r="K624" i="9"/>
  <c r="L624" i="9"/>
  <c r="M624" i="9"/>
  <c r="N624" i="9"/>
  <c r="O624" i="9"/>
  <c r="P624" i="9"/>
  <c r="Q624" i="9"/>
  <c r="R624" i="9"/>
  <c r="S624" i="9"/>
  <c r="T624" i="9"/>
  <c r="U624" i="9"/>
  <c r="V624" i="9"/>
  <c r="K625" i="9"/>
  <c r="L625" i="9"/>
  <c r="M625" i="9"/>
  <c r="N625" i="9"/>
  <c r="O625" i="9"/>
  <c r="P625" i="9"/>
  <c r="Q625" i="9"/>
  <c r="R625" i="9"/>
  <c r="S625" i="9"/>
  <c r="T625" i="9"/>
  <c r="U625" i="9"/>
  <c r="V625" i="9"/>
  <c r="K626" i="9"/>
  <c r="L626" i="9"/>
  <c r="M626" i="9"/>
  <c r="N626" i="9"/>
  <c r="O626" i="9"/>
  <c r="P626" i="9"/>
  <c r="Q626" i="9"/>
  <c r="R626" i="9"/>
  <c r="S626" i="9"/>
  <c r="T626" i="9"/>
  <c r="U626" i="9"/>
  <c r="V626" i="9"/>
  <c r="K627" i="9"/>
  <c r="L627" i="9"/>
  <c r="M627" i="9"/>
  <c r="N627" i="9"/>
  <c r="O627" i="9"/>
  <c r="P627" i="9"/>
  <c r="Q627" i="9"/>
  <c r="R627" i="9"/>
  <c r="S627" i="9"/>
  <c r="T627" i="9"/>
  <c r="U627" i="9"/>
  <c r="V627" i="9"/>
  <c r="K628" i="9"/>
  <c r="L628" i="9"/>
  <c r="M628" i="9"/>
  <c r="N628" i="9"/>
  <c r="O628" i="9"/>
  <c r="P628" i="9"/>
  <c r="Q628" i="9"/>
  <c r="R628" i="9"/>
  <c r="S628" i="9"/>
  <c r="T628" i="9"/>
  <c r="U628" i="9"/>
  <c r="V628" i="9"/>
  <c r="K629" i="9"/>
  <c r="L629" i="9"/>
  <c r="M629" i="9"/>
  <c r="N629" i="9"/>
  <c r="O629" i="9"/>
  <c r="P629" i="9"/>
  <c r="Q629" i="9"/>
  <c r="R629" i="9"/>
  <c r="S629" i="9"/>
  <c r="T629" i="9"/>
  <c r="U629" i="9"/>
  <c r="V629" i="9"/>
  <c r="K630" i="9"/>
  <c r="L630" i="9"/>
  <c r="M630" i="9"/>
  <c r="N630" i="9"/>
  <c r="O630" i="9"/>
  <c r="P630" i="9"/>
  <c r="Q630" i="9"/>
  <c r="R630" i="9"/>
  <c r="S630" i="9"/>
  <c r="T630" i="9"/>
  <c r="U630" i="9"/>
  <c r="V630" i="9"/>
  <c r="K631" i="9"/>
  <c r="L631" i="9"/>
  <c r="M631" i="9"/>
  <c r="N631" i="9"/>
  <c r="O631" i="9"/>
  <c r="P631" i="9"/>
  <c r="Q631" i="9"/>
  <c r="R631" i="9"/>
  <c r="S631" i="9"/>
  <c r="T631" i="9"/>
  <c r="U631" i="9"/>
  <c r="V631" i="9"/>
  <c r="K632" i="9"/>
  <c r="L632" i="9"/>
  <c r="M632" i="9"/>
  <c r="N632" i="9"/>
  <c r="O632" i="9"/>
  <c r="P632" i="9"/>
  <c r="Q632" i="9"/>
  <c r="R632" i="9"/>
  <c r="S632" i="9"/>
  <c r="T632" i="9"/>
  <c r="U632" i="9"/>
  <c r="V632" i="9"/>
  <c r="K633" i="9"/>
  <c r="L633" i="9"/>
  <c r="M633" i="9"/>
  <c r="N633" i="9"/>
  <c r="O633" i="9"/>
  <c r="P633" i="9"/>
  <c r="Q633" i="9"/>
  <c r="R633" i="9"/>
  <c r="S633" i="9"/>
  <c r="T633" i="9"/>
  <c r="U633" i="9"/>
  <c r="V633" i="9"/>
  <c r="K634" i="9"/>
  <c r="L634" i="9"/>
  <c r="M634" i="9"/>
  <c r="N634" i="9"/>
  <c r="O634" i="9"/>
  <c r="P634" i="9"/>
  <c r="Q634" i="9"/>
  <c r="R634" i="9"/>
  <c r="S634" i="9"/>
  <c r="T634" i="9"/>
  <c r="U634" i="9"/>
  <c r="V634" i="9"/>
  <c r="K635" i="9"/>
  <c r="L635" i="9"/>
  <c r="M635" i="9"/>
  <c r="N635" i="9"/>
  <c r="O635" i="9"/>
  <c r="P635" i="9"/>
  <c r="Q635" i="9"/>
  <c r="R635" i="9"/>
  <c r="S635" i="9"/>
  <c r="T635" i="9"/>
  <c r="U635" i="9"/>
  <c r="V635" i="9"/>
  <c r="K636" i="9"/>
  <c r="L636" i="9"/>
  <c r="M636" i="9"/>
  <c r="N636" i="9"/>
  <c r="O636" i="9"/>
  <c r="P636" i="9"/>
  <c r="Q636" i="9"/>
  <c r="R636" i="9"/>
  <c r="S636" i="9"/>
  <c r="T636" i="9"/>
  <c r="U636" i="9"/>
  <c r="V636" i="9"/>
  <c r="K637" i="9"/>
  <c r="L637" i="9"/>
  <c r="M637" i="9"/>
  <c r="N637" i="9"/>
  <c r="O637" i="9"/>
  <c r="P637" i="9"/>
  <c r="Q637" i="9"/>
  <c r="R637" i="9"/>
  <c r="S637" i="9"/>
  <c r="T637" i="9"/>
  <c r="U637" i="9"/>
  <c r="V637" i="9"/>
  <c r="K638" i="9"/>
  <c r="L638" i="9"/>
  <c r="M638" i="9"/>
  <c r="N638" i="9"/>
  <c r="O638" i="9"/>
  <c r="P638" i="9"/>
  <c r="Q638" i="9"/>
  <c r="R638" i="9"/>
  <c r="S638" i="9"/>
  <c r="T638" i="9"/>
  <c r="U638" i="9"/>
  <c r="V638" i="9"/>
  <c r="K639" i="9"/>
  <c r="L639" i="9"/>
  <c r="M639" i="9"/>
  <c r="N639" i="9"/>
  <c r="O639" i="9"/>
  <c r="P639" i="9"/>
  <c r="Q639" i="9"/>
  <c r="R639" i="9"/>
  <c r="S639" i="9"/>
  <c r="T639" i="9"/>
  <c r="U639" i="9"/>
  <c r="V639" i="9"/>
  <c r="K640" i="9"/>
  <c r="L640" i="9"/>
  <c r="M640" i="9"/>
  <c r="N640" i="9"/>
  <c r="O640" i="9"/>
  <c r="P640" i="9"/>
  <c r="Q640" i="9"/>
  <c r="R640" i="9"/>
  <c r="S640" i="9"/>
  <c r="T640" i="9"/>
  <c r="U640" i="9"/>
  <c r="V640" i="9"/>
  <c r="K641" i="9"/>
  <c r="L641" i="9"/>
  <c r="M641" i="9"/>
  <c r="N641" i="9"/>
  <c r="O641" i="9"/>
  <c r="P641" i="9"/>
  <c r="Q641" i="9"/>
  <c r="R641" i="9"/>
  <c r="S641" i="9"/>
  <c r="T641" i="9"/>
  <c r="U641" i="9"/>
  <c r="V641" i="9"/>
  <c r="K642" i="9"/>
  <c r="L642" i="9"/>
  <c r="M642" i="9"/>
  <c r="N642" i="9"/>
  <c r="O642" i="9"/>
  <c r="P642" i="9"/>
  <c r="Q642" i="9"/>
  <c r="R642" i="9"/>
  <c r="S642" i="9"/>
  <c r="T642" i="9"/>
  <c r="U642" i="9"/>
  <c r="V642" i="9"/>
  <c r="K643" i="9"/>
  <c r="L643" i="9"/>
  <c r="M643" i="9"/>
  <c r="N643" i="9"/>
  <c r="O643" i="9"/>
  <c r="P643" i="9"/>
  <c r="Q643" i="9"/>
  <c r="R643" i="9"/>
  <c r="S643" i="9"/>
  <c r="T643" i="9"/>
  <c r="U643" i="9"/>
  <c r="V643" i="9"/>
  <c r="K644" i="9"/>
  <c r="L644" i="9"/>
  <c r="M644" i="9"/>
  <c r="N644" i="9"/>
  <c r="O644" i="9"/>
  <c r="P644" i="9"/>
  <c r="Q644" i="9"/>
  <c r="R644" i="9"/>
  <c r="S644" i="9"/>
  <c r="T644" i="9"/>
  <c r="U644" i="9"/>
  <c r="V644" i="9"/>
  <c r="K645" i="9"/>
  <c r="L645" i="9"/>
  <c r="M645" i="9"/>
  <c r="N645" i="9"/>
  <c r="O645" i="9"/>
  <c r="P645" i="9"/>
  <c r="Q645" i="9"/>
  <c r="R645" i="9"/>
  <c r="S645" i="9"/>
  <c r="T645" i="9"/>
  <c r="U645" i="9"/>
  <c r="V645" i="9"/>
  <c r="K646" i="9"/>
  <c r="L646" i="9"/>
  <c r="M646" i="9"/>
  <c r="N646" i="9"/>
  <c r="O646" i="9"/>
  <c r="P646" i="9"/>
  <c r="Q646" i="9"/>
  <c r="R646" i="9"/>
  <c r="S646" i="9"/>
  <c r="T646" i="9"/>
  <c r="U646" i="9"/>
  <c r="V646" i="9"/>
  <c r="K647" i="9"/>
  <c r="L647" i="9"/>
  <c r="M647" i="9"/>
  <c r="N647" i="9"/>
  <c r="O647" i="9"/>
  <c r="P647" i="9"/>
  <c r="Q647" i="9"/>
  <c r="R647" i="9"/>
  <c r="S647" i="9"/>
  <c r="T647" i="9"/>
  <c r="U647" i="9"/>
  <c r="V647" i="9"/>
  <c r="K648" i="9"/>
  <c r="L648" i="9"/>
  <c r="M648" i="9"/>
  <c r="N648" i="9"/>
  <c r="O648" i="9"/>
  <c r="P648" i="9"/>
  <c r="Q648" i="9"/>
  <c r="R648" i="9"/>
  <c r="S648" i="9"/>
  <c r="T648" i="9"/>
  <c r="U648" i="9"/>
  <c r="V648" i="9"/>
  <c r="K649" i="9"/>
  <c r="L649" i="9"/>
  <c r="M649" i="9"/>
  <c r="N649" i="9"/>
  <c r="O649" i="9"/>
  <c r="P649" i="9"/>
  <c r="Q649" i="9"/>
  <c r="R649" i="9"/>
  <c r="S649" i="9"/>
  <c r="T649" i="9"/>
  <c r="U649" i="9"/>
  <c r="V649" i="9"/>
  <c r="K650" i="9"/>
  <c r="L650" i="9"/>
  <c r="M650" i="9"/>
  <c r="N650" i="9"/>
  <c r="O650" i="9"/>
  <c r="P650" i="9"/>
  <c r="Q650" i="9"/>
  <c r="R650" i="9"/>
  <c r="S650" i="9"/>
  <c r="T650" i="9"/>
  <c r="U650" i="9"/>
  <c r="V650" i="9"/>
  <c r="K651" i="9"/>
  <c r="L651" i="9"/>
  <c r="M651" i="9"/>
  <c r="N651" i="9"/>
  <c r="O651" i="9"/>
  <c r="P651" i="9"/>
  <c r="Q651" i="9"/>
  <c r="R651" i="9"/>
  <c r="S651" i="9"/>
  <c r="T651" i="9"/>
  <c r="U651" i="9"/>
  <c r="V651" i="9"/>
  <c r="K652" i="9"/>
  <c r="L652" i="9"/>
  <c r="M652" i="9"/>
  <c r="N652" i="9"/>
  <c r="O652" i="9"/>
  <c r="P652" i="9"/>
  <c r="Q652" i="9"/>
  <c r="R652" i="9"/>
  <c r="S652" i="9"/>
  <c r="T652" i="9"/>
  <c r="U652" i="9"/>
  <c r="V652" i="9"/>
  <c r="K653" i="9"/>
  <c r="L653" i="9"/>
  <c r="M653" i="9"/>
  <c r="N653" i="9"/>
  <c r="O653" i="9"/>
  <c r="P653" i="9"/>
  <c r="Q653" i="9"/>
  <c r="R653" i="9"/>
  <c r="S653" i="9"/>
  <c r="T653" i="9"/>
  <c r="U653" i="9"/>
  <c r="V653" i="9"/>
  <c r="K654" i="9"/>
  <c r="L654" i="9"/>
  <c r="M654" i="9"/>
  <c r="N654" i="9"/>
  <c r="O654" i="9"/>
  <c r="P654" i="9"/>
  <c r="Q654" i="9"/>
  <c r="R654" i="9"/>
  <c r="S654" i="9"/>
  <c r="T654" i="9"/>
  <c r="U654" i="9"/>
  <c r="V654" i="9"/>
  <c r="K655" i="9"/>
  <c r="L655" i="9"/>
  <c r="M655" i="9"/>
  <c r="N655" i="9"/>
  <c r="O655" i="9"/>
  <c r="P655" i="9"/>
  <c r="Q655" i="9"/>
  <c r="R655" i="9"/>
  <c r="S655" i="9"/>
  <c r="T655" i="9"/>
  <c r="U655" i="9"/>
  <c r="V655" i="9"/>
  <c r="K656" i="9"/>
  <c r="L656" i="9"/>
  <c r="M656" i="9"/>
  <c r="N656" i="9"/>
  <c r="O656" i="9"/>
  <c r="P656" i="9"/>
  <c r="Q656" i="9"/>
  <c r="R656" i="9"/>
  <c r="S656" i="9"/>
  <c r="T656" i="9"/>
  <c r="U656" i="9"/>
  <c r="V656" i="9"/>
  <c r="K657" i="9"/>
  <c r="L657" i="9"/>
  <c r="M657" i="9"/>
  <c r="N657" i="9"/>
  <c r="O657" i="9"/>
  <c r="P657" i="9"/>
  <c r="Q657" i="9"/>
  <c r="R657" i="9"/>
  <c r="S657" i="9"/>
  <c r="T657" i="9"/>
  <c r="U657" i="9"/>
  <c r="V657" i="9"/>
  <c r="K658" i="9"/>
  <c r="L658" i="9"/>
  <c r="M658" i="9"/>
  <c r="N658" i="9"/>
  <c r="O658" i="9"/>
  <c r="P658" i="9"/>
  <c r="Q658" i="9"/>
  <c r="R658" i="9"/>
  <c r="S658" i="9"/>
  <c r="T658" i="9"/>
  <c r="U658" i="9"/>
  <c r="V658" i="9"/>
  <c r="K659" i="9"/>
  <c r="L659" i="9"/>
  <c r="M659" i="9"/>
  <c r="N659" i="9"/>
  <c r="O659" i="9"/>
  <c r="P659" i="9"/>
  <c r="Q659" i="9"/>
  <c r="R659" i="9"/>
  <c r="S659" i="9"/>
  <c r="T659" i="9"/>
  <c r="U659" i="9"/>
  <c r="V659" i="9"/>
  <c r="K660" i="9"/>
  <c r="L660" i="9"/>
  <c r="M660" i="9"/>
  <c r="N660" i="9"/>
  <c r="O660" i="9"/>
  <c r="P660" i="9"/>
  <c r="Q660" i="9"/>
  <c r="R660" i="9"/>
  <c r="S660" i="9"/>
  <c r="T660" i="9"/>
  <c r="U660" i="9"/>
  <c r="V660" i="9"/>
  <c r="K661" i="9"/>
  <c r="L661" i="9"/>
  <c r="M661" i="9"/>
  <c r="N661" i="9"/>
  <c r="O661" i="9"/>
  <c r="P661" i="9"/>
  <c r="Q661" i="9"/>
  <c r="R661" i="9"/>
  <c r="S661" i="9"/>
  <c r="T661" i="9"/>
  <c r="U661" i="9"/>
  <c r="V661" i="9"/>
  <c r="K662" i="9"/>
  <c r="L662" i="9"/>
  <c r="M662" i="9"/>
  <c r="N662" i="9"/>
  <c r="O662" i="9"/>
  <c r="P662" i="9"/>
  <c r="Q662" i="9"/>
  <c r="R662" i="9"/>
  <c r="S662" i="9"/>
  <c r="T662" i="9"/>
  <c r="U662" i="9"/>
  <c r="V662" i="9"/>
  <c r="K663" i="9"/>
  <c r="L663" i="9"/>
  <c r="M663" i="9"/>
  <c r="N663" i="9"/>
  <c r="O663" i="9"/>
  <c r="P663" i="9"/>
  <c r="Q663" i="9"/>
  <c r="R663" i="9"/>
  <c r="S663" i="9"/>
  <c r="T663" i="9"/>
  <c r="U663" i="9"/>
  <c r="V663" i="9"/>
  <c r="K664" i="9"/>
  <c r="L664" i="9"/>
  <c r="M664" i="9"/>
  <c r="N664" i="9"/>
  <c r="O664" i="9"/>
  <c r="P664" i="9"/>
  <c r="Q664" i="9"/>
  <c r="R664" i="9"/>
  <c r="S664" i="9"/>
  <c r="T664" i="9"/>
  <c r="U664" i="9"/>
  <c r="V664" i="9"/>
  <c r="K665" i="9"/>
  <c r="L665" i="9"/>
  <c r="M665" i="9"/>
  <c r="N665" i="9"/>
  <c r="O665" i="9"/>
  <c r="P665" i="9"/>
  <c r="Q665" i="9"/>
  <c r="R665" i="9"/>
  <c r="S665" i="9"/>
  <c r="T665" i="9"/>
  <c r="U665" i="9"/>
  <c r="V665" i="9"/>
  <c r="K666" i="9"/>
  <c r="L666" i="9"/>
  <c r="M666" i="9"/>
  <c r="N666" i="9"/>
  <c r="O666" i="9"/>
  <c r="P666" i="9"/>
  <c r="Q666" i="9"/>
  <c r="R666" i="9"/>
  <c r="S666" i="9"/>
  <c r="T666" i="9"/>
  <c r="U666" i="9"/>
  <c r="V666" i="9"/>
  <c r="K667" i="9"/>
  <c r="L667" i="9"/>
  <c r="M667" i="9"/>
  <c r="N667" i="9"/>
  <c r="O667" i="9"/>
  <c r="P667" i="9"/>
  <c r="Q667" i="9"/>
  <c r="R667" i="9"/>
  <c r="S667" i="9"/>
  <c r="T667" i="9"/>
  <c r="U667" i="9"/>
  <c r="V667" i="9"/>
  <c r="K668" i="9"/>
  <c r="L668" i="9"/>
  <c r="M668" i="9"/>
  <c r="N668" i="9"/>
  <c r="O668" i="9"/>
  <c r="P668" i="9"/>
  <c r="Q668" i="9"/>
  <c r="R668" i="9"/>
  <c r="S668" i="9"/>
  <c r="T668" i="9"/>
  <c r="U668" i="9"/>
  <c r="V668" i="9"/>
  <c r="K669" i="9"/>
  <c r="L669" i="9"/>
  <c r="M669" i="9"/>
  <c r="N669" i="9"/>
  <c r="O669" i="9"/>
  <c r="P669" i="9"/>
  <c r="Q669" i="9"/>
  <c r="R669" i="9"/>
  <c r="S669" i="9"/>
  <c r="T669" i="9"/>
  <c r="U669" i="9"/>
  <c r="V669" i="9"/>
  <c r="K670" i="9"/>
  <c r="L670" i="9"/>
  <c r="M670" i="9"/>
  <c r="N670" i="9"/>
  <c r="O670" i="9"/>
  <c r="P670" i="9"/>
  <c r="Q670" i="9"/>
  <c r="R670" i="9"/>
  <c r="S670" i="9"/>
  <c r="T670" i="9"/>
  <c r="U670" i="9"/>
  <c r="V670" i="9"/>
  <c r="K671" i="9"/>
  <c r="L671" i="9"/>
  <c r="M671" i="9"/>
  <c r="N671" i="9"/>
  <c r="O671" i="9"/>
  <c r="P671" i="9"/>
  <c r="Q671" i="9"/>
  <c r="R671" i="9"/>
  <c r="S671" i="9"/>
  <c r="T671" i="9"/>
  <c r="U671" i="9"/>
  <c r="V671" i="9"/>
  <c r="K672" i="9"/>
  <c r="L672" i="9"/>
  <c r="M672" i="9"/>
  <c r="N672" i="9"/>
  <c r="O672" i="9"/>
  <c r="P672" i="9"/>
  <c r="Q672" i="9"/>
  <c r="R672" i="9"/>
  <c r="S672" i="9"/>
  <c r="T672" i="9"/>
  <c r="U672" i="9"/>
  <c r="V672" i="9"/>
  <c r="K673" i="9"/>
  <c r="L673" i="9"/>
  <c r="M673" i="9"/>
  <c r="N673" i="9"/>
  <c r="O673" i="9"/>
  <c r="P673" i="9"/>
  <c r="Q673" i="9"/>
  <c r="R673" i="9"/>
  <c r="S673" i="9"/>
  <c r="T673" i="9"/>
  <c r="U673" i="9"/>
  <c r="V673" i="9"/>
  <c r="K674" i="9"/>
  <c r="L674" i="9"/>
  <c r="M674" i="9"/>
  <c r="N674" i="9"/>
  <c r="O674" i="9"/>
  <c r="P674" i="9"/>
  <c r="Q674" i="9"/>
  <c r="R674" i="9"/>
  <c r="S674" i="9"/>
  <c r="T674" i="9"/>
  <c r="U674" i="9"/>
  <c r="V674" i="9"/>
  <c r="K675" i="9"/>
  <c r="L675" i="9"/>
  <c r="M675" i="9"/>
  <c r="N675" i="9"/>
  <c r="O675" i="9"/>
  <c r="P675" i="9"/>
  <c r="Q675" i="9"/>
  <c r="R675" i="9"/>
  <c r="S675" i="9"/>
  <c r="T675" i="9"/>
  <c r="U675" i="9"/>
  <c r="V675" i="9"/>
  <c r="K676" i="9"/>
  <c r="L676" i="9"/>
  <c r="M676" i="9"/>
  <c r="N676" i="9"/>
  <c r="O676" i="9"/>
  <c r="P676" i="9"/>
  <c r="Q676" i="9"/>
  <c r="R676" i="9"/>
  <c r="S676" i="9"/>
  <c r="T676" i="9"/>
  <c r="U676" i="9"/>
  <c r="V676" i="9"/>
  <c r="K677" i="9"/>
  <c r="L677" i="9"/>
  <c r="M677" i="9"/>
  <c r="N677" i="9"/>
  <c r="O677" i="9"/>
  <c r="P677" i="9"/>
  <c r="Q677" i="9"/>
  <c r="R677" i="9"/>
  <c r="S677" i="9"/>
  <c r="T677" i="9"/>
  <c r="U677" i="9"/>
  <c r="V677" i="9"/>
  <c r="K678" i="9"/>
  <c r="L678" i="9"/>
  <c r="M678" i="9"/>
  <c r="N678" i="9"/>
  <c r="O678" i="9"/>
  <c r="P678" i="9"/>
  <c r="Q678" i="9"/>
  <c r="R678" i="9"/>
  <c r="S678" i="9"/>
  <c r="T678" i="9"/>
  <c r="U678" i="9"/>
  <c r="V678" i="9"/>
  <c r="K679" i="9"/>
  <c r="L679" i="9"/>
  <c r="M679" i="9"/>
  <c r="N679" i="9"/>
  <c r="O679" i="9"/>
  <c r="P679" i="9"/>
  <c r="Q679" i="9"/>
  <c r="R679" i="9"/>
  <c r="S679" i="9"/>
  <c r="T679" i="9"/>
  <c r="U679" i="9"/>
  <c r="V679" i="9"/>
  <c r="K680" i="9"/>
  <c r="L680" i="9"/>
  <c r="M680" i="9"/>
  <c r="N680" i="9"/>
  <c r="O680" i="9"/>
  <c r="P680" i="9"/>
  <c r="Q680" i="9"/>
  <c r="R680" i="9"/>
  <c r="S680" i="9"/>
  <c r="T680" i="9"/>
  <c r="U680" i="9"/>
  <c r="V680" i="9"/>
  <c r="K681" i="9"/>
  <c r="L681" i="9"/>
  <c r="M681" i="9"/>
  <c r="N681" i="9"/>
  <c r="O681" i="9"/>
  <c r="P681" i="9"/>
  <c r="Q681" i="9"/>
  <c r="R681" i="9"/>
  <c r="S681" i="9"/>
  <c r="T681" i="9"/>
  <c r="U681" i="9"/>
  <c r="V681" i="9"/>
  <c r="K682" i="9"/>
  <c r="L682" i="9"/>
  <c r="M682" i="9"/>
  <c r="N682" i="9"/>
  <c r="O682" i="9"/>
  <c r="P682" i="9"/>
  <c r="Q682" i="9"/>
  <c r="R682" i="9"/>
  <c r="S682" i="9"/>
  <c r="T682" i="9"/>
  <c r="U682" i="9"/>
  <c r="V682" i="9"/>
  <c r="K683" i="9"/>
  <c r="L683" i="9"/>
  <c r="M683" i="9"/>
  <c r="N683" i="9"/>
  <c r="O683" i="9"/>
  <c r="P683" i="9"/>
  <c r="Q683" i="9"/>
  <c r="R683" i="9"/>
  <c r="S683" i="9"/>
  <c r="T683" i="9"/>
  <c r="U683" i="9"/>
  <c r="V683" i="9"/>
  <c r="K684" i="9"/>
  <c r="L684" i="9"/>
  <c r="M684" i="9"/>
  <c r="N684" i="9"/>
  <c r="O684" i="9"/>
  <c r="P684" i="9"/>
  <c r="Q684" i="9"/>
  <c r="R684" i="9"/>
  <c r="S684" i="9"/>
  <c r="T684" i="9"/>
  <c r="U684" i="9"/>
  <c r="V684" i="9"/>
  <c r="K685" i="9"/>
  <c r="L685" i="9"/>
  <c r="M685" i="9"/>
  <c r="N685" i="9"/>
  <c r="O685" i="9"/>
  <c r="P685" i="9"/>
  <c r="Q685" i="9"/>
  <c r="R685" i="9"/>
  <c r="S685" i="9"/>
  <c r="T685" i="9"/>
  <c r="U685" i="9"/>
  <c r="V685" i="9"/>
  <c r="K686" i="9"/>
  <c r="L686" i="9"/>
  <c r="M686" i="9"/>
  <c r="N686" i="9"/>
  <c r="O686" i="9"/>
  <c r="P686" i="9"/>
  <c r="Q686" i="9"/>
  <c r="R686" i="9"/>
  <c r="S686" i="9"/>
  <c r="T686" i="9"/>
  <c r="U686" i="9"/>
  <c r="V686" i="9"/>
  <c r="K687" i="9"/>
  <c r="L687" i="9"/>
  <c r="M687" i="9"/>
  <c r="N687" i="9"/>
  <c r="O687" i="9"/>
  <c r="P687" i="9"/>
  <c r="Q687" i="9"/>
  <c r="R687" i="9"/>
  <c r="S687" i="9"/>
  <c r="T687" i="9"/>
  <c r="U687" i="9"/>
  <c r="V687" i="9"/>
  <c r="K688" i="9"/>
  <c r="L688" i="9"/>
  <c r="M688" i="9"/>
  <c r="N688" i="9"/>
  <c r="O688" i="9"/>
  <c r="P688" i="9"/>
  <c r="Q688" i="9"/>
  <c r="R688" i="9"/>
  <c r="S688" i="9"/>
  <c r="T688" i="9"/>
  <c r="U688" i="9"/>
  <c r="V688" i="9"/>
  <c r="K689" i="9"/>
  <c r="L689" i="9"/>
  <c r="M689" i="9"/>
  <c r="N689" i="9"/>
  <c r="O689" i="9"/>
  <c r="P689" i="9"/>
  <c r="Q689" i="9"/>
  <c r="R689" i="9"/>
  <c r="S689" i="9"/>
  <c r="T689" i="9"/>
  <c r="U689" i="9"/>
  <c r="V689" i="9"/>
  <c r="K690" i="9"/>
  <c r="L690" i="9"/>
  <c r="M690" i="9"/>
  <c r="N690" i="9"/>
  <c r="O690" i="9"/>
  <c r="P690" i="9"/>
  <c r="Q690" i="9"/>
  <c r="R690" i="9"/>
  <c r="S690" i="9"/>
  <c r="T690" i="9"/>
  <c r="U690" i="9"/>
  <c r="V690" i="9"/>
  <c r="K691" i="9"/>
  <c r="L691" i="9"/>
  <c r="M691" i="9"/>
  <c r="N691" i="9"/>
  <c r="O691" i="9"/>
  <c r="P691" i="9"/>
  <c r="Q691" i="9"/>
  <c r="R691" i="9"/>
  <c r="S691" i="9"/>
  <c r="T691" i="9"/>
  <c r="U691" i="9"/>
  <c r="V691" i="9"/>
  <c r="K692" i="9"/>
  <c r="L692" i="9"/>
  <c r="M692" i="9"/>
  <c r="N692" i="9"/>
  <c r="O692" i="9"/>
  <c r="P692" i="9"/>
  <c r="Q692" i="9"/>
  <c r="R692" i="9"/>
  <c r="S692" i="9"/>
  <c r="T692" i="9"/>
  <c r="U692" i="9"/>
  <c r="V692" i="9"/>
  <c r="K693" i="9"/>
  <c r="L693" i="9"/>
  <c r="M693" i="9"/>
  <c r="N693" i="9"/>
  <c r="O693" i="9"/>
  <c r="P693" i="9"/>
  <c r="Q693" i="9"/>
  <c r="R693" i="9"/>
  <c r="S693" i="9"/>
  <c r="T693" i="9"/>
  <c r="U693" i="9"/>
  <c r="V693" i="9"/>
  <c r="K694" i="9"/>
  <c r="L694" i="9"/>
  <c r="M694" i="9"/>
  <c r="N694" i="9"/>
  <c r="O694" i="9"/>
  <c r="P694" i="9"/>
  <c r="Q694" i="9"/>
  <c r="R694" i="9"/>
  <c r="S694" i="9"/>
  <c r="T694" i="9"/>
  <c r="U694" i="9"/>
  <c r="V694" i="9"/>
  <c r="K695" i="9"/>
  <c r="L695" i="9"/>
  <c r="M695" i="9"/>
  <c r="N695" i="9"/>
  <c r="O695" i="9"/>
  <c r="P695" i="9"/>
  <c r="Q695" i="9"/>
  <c r="R695" i="9"/>
  <c r="S695" i="9"/>
  <c r="T695" i="9"/>
  <c r="U695" i="9"/>
  <c r="V695" i="9"/>
  <c r="K696" i="9"/>
  <c r="L696" i="9"/>
  <c r="M696" i="9"/>
  <c r="N696" i="9"/>
  <c r="O696" i="9"/>
  <c r="P696" i="9"/>
  <c r="Q696" i="9"/>
  <c r="R696" i="9"/>
  <c r="S696" i="9"/>
  <c r="T696" i="9"/>
  <c r="U696" i="9"/>
  <c r="V696" i="9"/>
  <c r="K697" i="9"/>
  <c r="L697" i="9"/>
  <c r="M697" i="9"/>
  <c r="N697" i="9"/>
  <c r="O697" i="9"/>
  <c r="P697" i="9"/>
  <c r="Q697" i="9"/>
  <c r="R697" i="9"/>
  <c r="S697" i="9"/>
  <c r="T697" i="9"/>
  <c r="U697" i="9"/>
  <c r="V697" i="9"/>
  <c r="K698" i="9"/>
  <c r="L698" i="9"/>
  <c r="M698" i="9"/>
  <c r="N698" i="9"/>
  <c r="O698" i="9"/>
  <c r="P698" i="9"/>
  <c r="Q698" i="9"/>
  <c r="R698" i="9"/>
  <c r="S698" i="9"/>
  <c r="T698" i="9"/>
  <c r="U698" i="9"/>
  <c r="V698" i="9"/>
  <c r="K699" i="9"/>
  <c r="L699" i="9"/>
  <c r="M699" i="9"/>
  <c r="N699" i="9"/>
  <c r="O699" i="9"/>
  <c r="P699" i="9"/>
  <c r="Q699" i="9"/>
  <c r="R699" i="9"/>
  <c r="S699" i="9"/>
  <c r="T699" i="9"/>
  <c r="U699" i="9"/>
  <c r="V699" i="9"/>
  <c r="K700" i="9"/>
  <c r="L700" i="9"/>
  <c r="M700" i="9"/>
  <c r="N700" i="9"/>
  <c r="O700" i="9"/>
  <c r="P700" i="9"/>
  <c r="Q700" i="9"/>
  <c r="R700" i="9"/>
  <c r="S700" i="9"/>
  <c r="T700" i="9"/>
  <c r="U700" i="9"/>
  <c r="V700" i="9"/>
  <c r="K701" i="9"/>
  <c r="L701" i="9"/>
  <c r="M701" i="9"/>
  <c r="N701" i="9"/>
  <c r="O701" i="9"/>
  <c r="P701" i="9"/>
  <c r="Q701" i="9"/>
  <c r="R701" i="9"/>
  <c r="S701" i="9"/>
  <c r="T701" i="9"/>
  <c r="U701" i="9"/>
  <c r="V701" i="9"/>
  <c r="K702" i="9"/>
  <c r="L702" i="9"/>
  <c r="M702" i="9"/>
  <c r="N702" i="9"/>
  <c r="O702" i="9"/>
  <c r="P702" i="9"/>
  <c r="Q702" i="9"/>
  <c r="R702" i="9"/>
  <c r="S702" i="9"/>
  <c r="T702" i="9"/>
  <c r="U702" i="9"/>
  <c r="V702" i="9"/>
  <c r="K703" i="9"/>
  <c r="L703" i="9"/>
  <c r="M703" i="9"/>
  <c r="N703" i="9"/>
  <c r="O703" i="9"/>
  <c r="P703" i="9"/>
  <c r="Q703" i="9"/>
  <c r="R703" i="9"/>
  <c r="S703" i="9"/>
  <c r="T703" i="9"/>
  <c r="U703" i="9"/>
  <c r="V703" i="9"/>
  <c r="K704" i="9"/>
  <c r="L704" i="9"/>
  <c r="M704" i="9"/>
  <c r="N704" i="9"/>
  <c r="O704" i="9"/>
  <c r="P704" i="9"/>
  <c r="Q704" i="9"/>
  <c r="R704" i="9"/>
  <c r="S704" i="9"/>
  <c r="T704" i="9"/>
  <c r="U704" i="9"/>
  <c r="V704" i="9"/>
  <c r="K705" i="9"/>
  <c r="L705" i="9"/>
  <c r="M705" i="9"/>
  <c r="N705" i="9"/>
  <c r="O705" i="9"/>
  <c r="P705" i="9"/>
  <c r="Q705" i="9"/>
  <c r="R705" i="9"/>
  <c r="S705" i="9"/>
  <c r="T705" i="9"/>
  <c r="U705" i="9"/>
  <c r="V705" i="9"/>
  <c r="K706" i="9"/>
  <c r="L706" i="9"/>
  <c r="M706" i="9"/>
  <c r="N706" i="9"/>
  <c r="O706" i="9"/>
  <c r="P706" i="9"/>
  <c r="Q706" i="9"/>
  <c r="R706" i="9"/>
  <c r="S706" i="9"/>
  <c r="T706" i="9"/>
  <c r="U706" i="9"/>
  <c r="V706" i="9"/>
  <c r="K707" i="9"/>
  <c r="L707" i="9"/>
  <c r="M707" i="9"/>
  <c r="N707" i="9"/>
  <c r="O707" i="9"/>
  <c r="P707" i="9"/>
  <c r="Q707" i="9"/>
  <c r="R707" i="9"/>
  <c r="S707" i="9"/>
  <c r="T707" i="9"/>
  <c r="U707" i="9"/>
  <c r="V707" i="9"/>
  <c r="K708" i="9"/>
  <c r="L708" i="9"/>
  <c r="M708" i="9"/>
  <c r="N708" i="9"/>
  <c r="O708" i="9"/>
  <c r="P708" i="9"/>
  <c r="Q708" i="9"/>
  <c r="R708" i="9"/>
  <c r="S708" i="9"/>
  <c r="T708" i="9"/>
  <c r="U708" i="9"/>
  <c r="V708" i="9"/>
  <c r="K709" i="9"/>
  <c r="L709" i="9"/>
  <c r="M709" i="9"/>
  <c r="N709" i="9"/>
  <c r="O709" i="9"/>
  <c r="P709" i="9"/>
  <c r="Q709" i="9"/>
  <c r="R709" i="9"/>
  <c r="S709" i="9"/>
  <c r="T709" i="9"/>
  <c r="U709" i="9"/>
  <c r="V709" i="9"/>
  <c r="K710" i="9"/>
  <c r="L710" i="9"/>
  <c r="M710" i="9"/>
  <c r="N710" i="9"/>
  <c r="O710" i="9"/>
  <c r="P710" i="9"/>
  <c r="Q710" i="9"/>
  <c r="R710" i="9"/>
  <c r="S710" i="9"/>
  <c r="T710" i="9"/>
  <c r="U710" i="9"/>
  <c r="V710" i="9"/>
  <c r="K711" i="9"/>
  <c r="L711" i="9"/>
  <c r="M711" i="9"/>
  <c r="N711" i="9"/>
  <c r="O711" i="9"/>
  <c r="P711" i="9"/>
  <c r="Q711" i="9"/>
  <c r="R711" i="9"/>
  <c r="S711" i="9"/>
  <c r="T711" i="9"/>
  <c r="U711" i="9"/>
  <c r="V711" i="9"/>
  <c r="K712" i="9"/>
  <c r="L712" i="9"/>
  <c r="M712" i="9"/>
  <c r="N712" i="9"/>
  <c r="O712" i="9"/>
  <c r="P712" i="9"/>
  <c r="Q712" i="9"/>
  <c r="R712" i="9"/>
  <c r="S712" i="9"/>
  <c r="T712" i="9"/>
  <c r="U712" i="9"/>
  <c r="V712" i="9"/>
  <c r="K713" i="9"/>
  <c r="L713" i="9"/>
  <c r="M713" i="9"/>
  <c r="N713" i="9"/>
  <c r="O713" i="9"/>
  <c r="P713" i="9"/>
  <c r="Q713" i="9"/>
  <c r="R713" i="9"/>
  <c r="S713" i="9"/>
  <c r="T713" i="9"/>
  <c r="U713" i="9"/>
  <c r="V713" i="9"/>
  <c r="K714" i="9"/>
  <c r="L714" i="9"/>
  <c r="M714" i="9"/>
  <c r="N714" i="9"/>
  <c r="O714" i="9"/>
  <c r="P714" i="9"/>
  <c r="Q714" i="9"/>
  <c r="R714" i="9"/>
  <c r="S714" i="9"/>
  <c r="T714" i="9"/>
  <c r="U714" i="9"/>
  <c r="V714" i="9"/>
  <c r="K715" i="9"/>
  <c r="L715" i="9"/>
  <c r="M715" i="9"/>
  <c r="N715" i="9"/>
  <c r="O715" i="9"/>
  <c r="P715" i="9"/>
  <c r="Q715" i="9"/>
  <c r="R715" i="9"/>
  <c r="S715" i="9"/>
  <c r="T715" i="9"/>
  <c r="U715" i="9"/>
  <c r="V715" i="9"/>
  <c r="K716" i="9"/>
  <c r="L716" i="9"/>
  <c r="M716" i="9"/>
  <c r="N716" i="9"/>
  <c r="O716" i="9"/>
  <c r="P716" i="9"/>
  <c r="Q716" i="9"/>
  <c r="R716" i="9"/>
  <c r="S716" i="9"/>
  <c r="T716" i="9"/>
  <c r="U716" i="9"/>
  <c r="V716" i="9"/>
  <c r="K717" i="9"/>
  <c r="L717" i="9"/>
  <c r="M717" i="9"/>
  <c r="N717" i="9"/>
  <c r="O717" i="9"/>
  <c r="P717" i="9"/>
  <c r="Q717" i="9"/>
  <c r="R717" i="9"/>
  <c r="S717" i="9"/>
  <c r="T717" i="9"/>
  <c r="U717" i="9"/>
  <c r="V717" i="9"/>
  <c r="K718" i="9"/>
  <c r="L718" i="9"/>
  <c r="M718" i="9"/>
  <c r="N718" i="9"/>
  <c r="O718" i="9"/>
  <c r="P718" i="9"/>
  <c r="Q718" i="9"/>
  <c r="R718" i="9"/>
  <c r="S718" i="9"/>
  <c r="T718" i="9"/>
  <c r="U718" i="9"/>
  <c r="V718" i="9"/>
  <c r="K719" i="9"/>
  <c r="L719" i="9"/>
  <c r="M719" i="9"/>
  <c r="N719" i="9"/>
  <c r="O719" i="9"/>
  <c r="P719" i="9"/>
  <c r="Q719" i="9"/>
  <c r="R719" i="9"/>
  <c r="S719" i="9"/>
  <c r="T719" i="9"/>
  <c r="U719" i="9"/>
  <c r="V719" i="9"/>
  <c r="K720" i="9"/>
  <c r="L720" i="9"/>
  <c r="M720" i="9"/>
  <c r="N720" i="9"/>
  <c r="O720" i="9"/>
  <c r="P720" i="9"/>
  <c r="Q720" i="9"/>
  <c r="R720" i="9"/>
  <c r="S720" i="9"/>
  <c r="T720" i="9"/>
  <c r="U720" i="9"/>
  <c r="V720" i="9"/>
  <c r="K721" i="9"/>
  <c r="L721" i="9"/>
  <c r="M721" i="9"/>
  <c r="N721" i="9"/>
  <c r="O721" i="9"/>
  <c r="P721" i="9"/>
  <c r="Q721" i="9"/>
  <c r="R721" i="9"/>
  <c r="S721" i="9"/>
  <c r="T721" i="9"/>
  <c r="U721" i="9"/>
  <c r="V721" i="9"/>
  <c r="K722" i="9"/>
  <c r="L722" i="9"/>
  <c r="M722" i="9"/>
  <c r="N722" i="9"/>
  <c r="O722" i="9"/>
  <c r="P722" i="9"/>
  <c r="Q722" i="9"/>
  <c r="R722" i="9"/>
  <c r="S722" i="9"/>
  <c r="T722" i="9"/>
  <c r="U722" i="9"/>
  <c r="V722" i="9"/>
  <c r="K723" i="9"/>
  <c r="L723" i="9"/>
  <c r="M723" i="9"/>
  <c r="N723" i="9"/>
  <c r="O723" i="9"/>
  <c r="P723" i="9"/>
  <c r="Q723" i="9"/>
  <c r="R723" i="9"/>
  <c r="S723" i="9"/>
  <c r="T723" i="9"/>
  <c r="U723" i="9"/>
  <c r="V723" i="9"/>
  <c r="K724" i="9"/>
  <c r="L724" i="9"/>
  <c r="M724" i="9"/>
  <c r="N724" i="9"/>
  <c r="O724" i="9"/>
  <c r="P724" i="9"/>
  <c r="Q724" i="9"/>
  <c r="R724" i="9"/>
  <c r="S724" i="9"/>
  <c r="T724" i="9"/>
  <c r="U724" i="9"/>
  <c r="V724" i="9"/>
  <c r="K725" i="9"/>
  <c r="L725" i="9"/>
  <c r="M725" i="9"/>
  <c r="N725" i="9"/>
  <c r="O725" i="9"/>
  <c r="P725" i="9"/>
  <c r="Q725" i="9"/>
  <c r="R725" i="9"/>
  <c r="S725" i="9"/>
  <c r="T725" i="9"/>
  <c r="U725" i="9"/>
  <c r="V725" i="9"/>
  <c r="K726" i="9"/>
  <c r="L726" i="9"/>
  <c r="M726" i="9"/>
  <c r="N726" i="9"/>
  <c r="O726" i="9"/>
  <c r="P726" i="9"/>
  <c r="Q726" i="9"/>
  <c r="R726" i="9"/>
  <c r="S726" i="9"/>
  <c r="T726" i="9"/>
  <c r="U726" i="9"/>
  <c r="V726" i="9"/>
  <c r="K727" i="9"/>
  <c r="L727" i="9"/>
  <c r="M727" i="9"/>
  <c r="N727" i="9"/>
  <c r="O727" i="9"/>
  <c r="P727" i="9"/>
  <c r="Q727" i="9"/>
  <c r="R727" i="9"/>
  <c r="S727" i="9"/>
  <c r="T727" i="9"/>
  <c r="U727" i="9"/>
  <c r="V727" i="9"/>
  <c r="K728" i="9"/>
  <c r="L728" i="9"/>
  <c r="M728" i="9"/>
  <c r="N728" i="9"/>
  <c r="O728" i="9"/>
  <c r="P728" i="9"/>
  <c r="Q728" i="9"/>
  <c r="R728" i="9"/>
  <c r="S728" i="9"/>
  <c r="T728" i="9"/>
  <c r="U728" i="9"/>
  <c r="V728" i="9"/>
  <c r="K729" i="9"/>
  <c r="L729" i="9"/>
  <c r="M729" i="9"/>
  <c r="N729" i="9"/>
  <c r="O729" i="9"/>
  <c r="P729" i="9"/>
  <c r="Q729" i="9"/>
  <c r="R729" i="9"/>
  <c r="S729" i="9"/>
  <c r="T729" i="9"/>
  <c r="U729" i="9"/>
  <c r="V729" i="9"/>
  <c r="K730" i="9"/>
  <c r="L730" i="9"/>
  <c r="M730" i="9"/>
  <c r="N730" i="9"/>
  <c r="O730" i="9"/>
  <c r="P730" i="9"/>
  <c r="Q730" i="9"/>
  <c r="R730" i="9"/>
  <c r="S730" i="9"/>
  <c r="T730" i="9"/>
  <c r="U730" i="9"/>
  <c r="V730" i="9"/>
  <c r="K731" i="9"/>
  <c r="L731" i="9"/>
  <c r="M731" i="9"/>
  <c r="N731" i="9"/>
  <c r="O731" i="9"/>
  <c r="P731" i="9"/>
  <c r="Q731" i="9"/>
  <c r="R731" i="9"/>
  <c r="S731" i="9"/>
  <c r="T731" i="9"/>
  <c r="U731" i="9"/>
  <c r="V731" i="9"/>
  <c r="K732" i="9"/>
  <c r="L732" i="9"/>
  <c r="M732" i="9"/>
  <c r="N732" i="9"/>
  <c r="O732" i="9"/>
  <c r="P732" i="9"/>
  <c r="Q732" i="9"/>
  <c r="R732" i="9"/>
  <c r="S732" i="9"/>
  <c r="T732" i="9"/>
  <c r="U732" i="9"/>
  <c r="V732" i="9"/>
  <c r="K733" i="9"/>
  <c r="L733" i="9"/>
  <c r="M733" i="9"/>
  <c r="N733" i="9"/>
  <c r="O733" i="9"/>
  <c r="P733" i="9"/>
  <c r="Q733" i="9"/>
  <c r="R733" i="9"/>
  <c r="S733" i="9"/>
  <c r="T733" i="9"/>
  <c r="U733" i="9"/>
  <c r="V733" i="9"/>
  <c r="K734" i="9"/>
  <c r="L734" i="9"/>
  <c r="M734" i="9"/>
  <c r="N734" i="9"/>
  <c r="O734" i="9"/>
  <c r="P734" i="9"/>
  <c r="Q734" i="9"/>
  <c r="R734" i="9"/>
  <c r="S734" i="9"/>
  <c r="T734" i="9"/>
  <c r="U734" i="9"/>
  <c r="V734" i="9"/>
  <c r="K735" i="9"/>
  <c r="L735" i="9"/>
  <c r="M735" i="9"/>
  <c r="N735" i="9"/>
  <c r="O735" i="9"/>
  <c r="P735" i="9"/>
  <c r="Q735" i="9"/>
  <c r="R735" i="9"/>
  <c r="S735" i="9"/>
  <c r="T735" i="9"/>
  <c r="U735" i="9"/>
  <c r="V735" i="9"/>
  <c r="K736" i="9"/>
  <c r="L736" i="9"/>
  <c r="M736" i="9"/>
  <c r="N736" i="9"/>
  <c r="O736" i="9"/>
  <c r="P736" i="9"/>
  <c r="Q736" i="9"/>
  <c r="R736" i="9"/>
  <c r="S736" i="9"/>
  <c r="T736" i="9"/>
  <c r="U736" i="9"/>
  <c r="V736" i="9"/>
  <c r="K737" i="9"/>
  <c r="L737" i="9"/>
  <c r="M737" i="9"/>
  <c r="N737" i="9"/>
  <c r="O737" i="9"/>
  <c r="P737" i="9"/>
  <c r="Q737" i="9"/>
  <c r="R737" i="9"/>
  <c r="S737" i="9"/>
  <c r="T737" i="9"/>
  <c r="U737" i="9"/>
  <c r="V737" i="9"/>
  <c r="K738" i="9"/>
  <c r="L738" i="9"/>
  <c r="M738" i="9"/>
  <c r="N738" i="9"/>
  <c r="O738" i="9"/>
  <c r="P738" i="9"/>
  <c r="Q738" i="9"/>
  <c r="R738" i="9"/>
  <c r="S738" i="9"/>
  <c r="T738" i="9"/>
  <c r="U738" i="9"/>
  <c r="V738" i="9"/>
  <c r="K739" i="9"/>
  <c r="L739" i="9"/>
  <c r="M739" i="9"/>
  <c r="N739" i="9"/>
  <c r="O739" i="9"/>
  <c r="P739" i="9"/>
  <c r="Q739" i="9"/>
  <c r="R739" i="9"/>
  <c r="S739" i="9"/>
  <c r="T739" i="9"/>
  <c r="U739" i="9"/>
  <c r="V739" i="9"/>
  <c r="K740" i="9"/>
  <c r="L740" i="9"/>
  <c r="M740" i="9"/>
  <c r="N740" i="9"/>
  <c r="O740" i="9"/>
  <c r="P740" i="9"/>
  <c r="Q740" i="9"/>
  <c r="R740" i="9"/>
  <c r="S740" i="9"/>
  <c r="T740" i="9"/>
  <c r="U740" i="9"/>
  <c r="V740" i="9"/>
  <c r="K741" i="9"/>
  <c r="L741" i="9"/>
  <c r="M741" i="9"/>
  <c r="N741" i="9"/>
  <c r="O741" i="9"/>
  <c r="P741" i="9"/>
  <c r="Q741" i="9"/>
  <c r="R741" i="9"/>
  <c r="S741" i="9"/>
  <c r="T741" i="9"/>
  <c r="U741" i="9"/>
  <c r="V741" i="9"/>
  <c r="K742" i="9"/>
  <c r="L742" i="9"/>
  <c r="M742" i="9"/>
  <c r="N742" i="9"/>
  <c r="O742" i="9"/>
  <c r="P742" i="9"/>
  <c r="Q742" i="9"/>
  <c r="R742" i="9"/>
  <c r="S742" i="9"/>
  <c r="T742" i="9"/>
  <c r="U742" i="9"/>
  <c r="V742" i="9"/>
  <c r="K743" i="9"/>
  <c r="L743" i="9"/>
  <c r="M743" i="9"/>
  <c r="N743" i="9"/>
  <c r="O743" i="9"/>
  <c r="P743" i="9"/>
  <c r="Q743" i="9"/>
  <c r="R743" i="9"/>
  <c r="S743" i="9"/>
  <c r="T743" i="9"/>
  <c r="U743" i="9"/>
  <c r="V743" i="9"/>
  <c r="K744" i="9"/>
  <c r="L744" i="9"/>
  <c r="M744" i="9"/>
  <c r="N744" i="9"/>
  <c r="O744" i="9"/>
  <c r="P744" i="9"/>
  <c r="Q744" i="9"/>
  <c r="R744" i="9"/>
  <c r="S744" i="9"/>
  <c r="T744" i="9"/>
  <c r="U744" i="9"/>
  <c r="V744" i="9"/>
  <c r="K745" i="9"/>
  <c r="L745" i="9"/>
  <c r="M745" i="9"/>
  <c r="N745" i="9"/>
  <c r="O745" i="9"/>
  <c r="P745" i="9"/>
  <c r="Q745" i="9"/>
  <c r="R745" i="9"/>
  <c r="S745" i="9"/>
  <c r="T745" i="9"/>
  <c r="U745" i="9"/>
  <c r="V745" i="9"/>
  <c r="K746" i="9"/>
  <c r="L746" i="9"/>
  <c r="M746" i="9"/>
  <c r="N746" i="9"/>
  <c r="O746" i="9"/>
  <c r="P746" i="9"/>
  <c r="Q746" i="9"/>
  <c r="R746" i="9"/>
  <c r="S746" i="9"/>
  <c r="T746" i="9"/>
  <c r="U746" i="9"/>
  <c r="V746" i="9"/>
  <c r="K747" i="9"/>
  <c r="L747" i="9"/>
  <c r="M747" i="9"/>
  <c r="N747" i="9"/>
  <c r="O747" i="9"/>
  <c r="P747" i="9"/>
  <c r="Q747" i="9"/>
  <c r="R747" i="9"/>
  <c r="S747" i="9"/>
  <c r="T747" i="9"/>
  <c r="U747" i="9"/>
  <c r="V747" i="9"/>
  <c r="K748" i="9"/>
  <c r="L748" i="9"/>
  <c r="M748" i="9"/>
  <c r="N748" i="9"/>
  <c r="O748" i="9"/>
  <c r="P748" i="9"/>
  <c r="Q748" i="9"/>
  <c r="R748" i="9"/>
  <c r="S748" i="9"/>
  <c r="T748" i="9"/>
  <c r="U748" i="9"/>
  <c r="V748" i="9"/>
  <c r="K749" i="9"/>
  <c r="L749" i="9"/>
  <c r="M749" i="9"/>
  <c r="N749" i="9"/>
  <c r="O749" i="9"/>
  <c r="P749" i="9"/>
  <c r="Q749" i="9"/>
  <c r="R749" i="9"/>
  <c r="S749" i="9"/>
  <c r="T749" i="9"/>
  <c r="U749" i="9"/>
  <c r="V749" i="9"/>
  <c r="K750" i="9"/>
  <c r="L750" i="9"/>
  <c r="M750" i="9"/>
  <c r="N750" i="9"/>
  <c r="O750" i="9"/>
  <c r="P750" i="9"/>
  <c r="Q750" i="9"/>
  <c r="R750" i="9"/>
  <c r="S750" i="9"/>
  <c r="T750" i="9"/>
  <c r="U750" i="9"/>
  <c r="V750" i="9"/>
  <c r="K751" i="9"/>
  <c r="L751" i="9"/>
  <c r="M751" i="9"/>
  <c r="N751" i="9"/>
  <c r="O751" i="9"/>
  <c r="P751" i="9"/>
  <c r="Q751" i="9"/>
  <c r="R751" i="9"/>
  <c r="S751" i="9"/>
  <c r="T751" i="9"/>
  <c r="U751" i="9"/>
  <c r="V751" i="9"/>
  <c r="K752" i="9"/>
  <c r="L752" i="9"/>
  <c r="M752" i="9"/>
  <c r="N752" i="9"/>
  <c r="O752" i="9"/>
  <c r="P752" i="9"/>
  <c r="Q752" i="9"/>
  <c r="R752" i="9"/>
  <c r="S752" i="9"/>
  <c r="T752" i="9"/>
  <c r="U752" i="9"/>
  <c r="V752" i="9"/>
  <c r="K753" i="9"/>
  <c r="L753" i="9"/>
  <c r="M753" i="9"/>
  <c r="N753" i="9"/>
  <c r="O753" i="9"/>
  <c r="P753" i="9"/>
  <c r="Q753" i="9"/>
  <c r="R753" i="9"/>
  <c r="S753" i="9"/>
  <c r="T753" i="9"/>
  <c r="U753" i="9"/>
  <c r="V753" i="9"/>
  <c r="K754" i="9"/>
  <c r="L754" i="9"/>
  <c r="M754" i="9"/>
  <c r="N754" i="9"/>
  <c r="O754" i="9"/>
  <c r="P754" i="9"/>
  <c r="Q754" i="9"/>
  <c r="R754" i="9"/>
  <c r="S754" i="9"/>
  <c r="T754" i="9"/>
  <c r="U754" i="9"/>
  <c r="V754" i="9"/>
  <c r="K755" i="9"/>
  <c r="L755" i="9"/>
  <c r="M755" i="9"/>
  <c r="N755" i="9"/>
  <c r="O755" i="9"/>
  <c r="P755" i="9"/>
  <c r="Q755" i="9"/>
  <c r="R755" i="9"/>
  <c r="S755" i="9"/>
  <c r="T755" i="9"/>
  <c r="U755" i="9"/>
  <c r="V755" i="9"/>
  <c r="K756" i="9"/>
  <c r="L756" i="9"/>
  <c r="M756" i="9"/>
  <c r="N756" i="9"/>
  <c r="O756" i="9"/>
  <c r="P756" i="9"/>
  <c r="Q756" i="9"/>
  <c r="R756" i="9"/>
  <c r="S756" i="9"/>
  <c r="T756" i="9"/>
  <c r="U756" i="9"/>
  <c r="V756" i="9"/>
  <c r="K757" i="9"/>
  <c r="L757" i="9"/>
  <c r="M757" i="9"/>
  <c r="N757" i="9"/>
  <c r="O757" i="9"/>
  <c r="P757" i="9"/>
  <c r="Q757" i="9"/>
  <c r="R757" i="9"/>
  <c r="S757" i="9"/>
  <c r="T757" i="9"/>
  <c r="U757" i="9"/>
  <c r="V757" i="9"/>
  <c r="K758" i="9"/>
  <c r="L758" i="9"/>
  <c r="M758" i="9"/>
  <c r="N758" i="9"/>
  <c r="O758" i="9"/>
  <c r="P758" i="9"/>
  <c r="Q758" i="9"/>
  <c r="R758" i="9"/>
  <c r="S758" i="9"/>
  <c r="T758" i="9"/>
  <c r="U758" i="9"/>
  <c r="V758" i="9"/>
  <c r="K759" i="9"/>
  <c r="L759" i="9"/>
  <c r="M759" i="9"/>
  <c r="N759" i="9"/>
  <c r="O759" i="9"/>
  <c r="P759" i="9"/>
  <c r="Q759" i="9"/>
  <c r="R759" i="9"/>
  <c r="S759" i="9"/>
  <c r="T759" i="9"/>
  <c r="U759" i="9"/>
  <c r="V759" i="9"/>
  <c r="K760" i="9"/>
  <c r="L760" i="9"/>
  <c r="M760" i="9"/>
  <c r="N760" i="9"/>
  <c r="O760" i="9"/>
  <c r="P760" i="9"/>
  <c r="Q760" i="9"/>
  <c r="R760" i="9"/>
  <c r="S760" i="9"/>
  <c r="T760" i="9"/>
  <c r="U760" i="9"/>
  <c r="V760" i="9"/>
  <c r="K761" i="9"/>
  <c r="L761" i="9"/>
  <c r="M761" i="9"/>
  <c r="N761" i="9"/>
  <c r="O761" i="9"/>
  <c r="P761" i="9"/>
  <c r="Q761" i="9"/>
  <c r="R761" i="9"/>
  <c r="S761" i="9"/>
  <c r="T761" i="9"/>
  <c r="U761" i="9"/>
  <c r="V761" i="9"/>
  <c r="K762" i="9"/>
  <c r="L762" i="9"/>
  <c r="M762" i="9"/>
  <c r="N762" i="9"/>
  <c r="O762" i="9"/>
  <c r="P762" i="9"/>
  <c r="Q762" i="9"/>
  <c r="R762" i="9"/>
  <c r="S762" i="9"/>
  <c r="T762" i="9"/>
  <c r="U762" i="9"/>
  <c r="V762" i="9"/>
  <c r="K763" i="9"/>
  <c r="L763" i="9"/>
  <c r="M763" i="9"/>
  <c r="N763" i="9"/>
  <c r="O763" i="9"/>
  <c r="P763" i="9"/>
  <c r="Q763" i="9"/>
  <c r="R763" i="9"/>
  <c r="S763" i="9"/>
  <c r="T763" i="9"/>
  <c r="U763" i="9"/>
  <c r="V763" i="9"/>
  <c r="K764" i="9"/>
  <c r="L764" i="9"/>
  <c r="M764" i="9"/>
  <c r="N764" i="9"/>
  <c r="O764" i="9"/>
  <c r="P764" i="9"/>
  <c r="Q764" i="9"/>
  <c r="R764" i="9"/>
  <c r="S764" i="9"/>
  <c r="T764" i="9"/>
  <c r="U764" i="9"/>
  <c r="V764" i="9"/>
  <c r="K765" i="9"/>
  <c r="L765" i="9"/>
  <c r="M765" i="9"/>
  <c r="N765" i="9"/>
  <c r="O765" i="9"/>
  <c r="P765" i="9"/>
  <c r="Q765" i="9"/>
  <c r="R765" i="9"/>
  <c r="S765" i="9"/>
  <c r="T765" i="9"/>
  <c r="U765" i="9"/>
  <c r="V765" i="9"/>
  <c r="K766" i="9"/>
  <c r="L766" i="9"/>
  <c r="M766" i="9"/>
  <c r="N766" i="9"/>
  <c r="O766" i="9"/>
  <c r="P766" i="9"/>
  <c r="Q766" i="9"/>
  <c r="R766" i="9"/>
  <c r="S766" i="9"/>
  <c r="T766" i="9"/>
  <c r="U766" i="9"/>
  <c r="V766" i="9"/>
  <c r="K767" i="9"/>
  <c r="L767" i="9"/>
  <c r="M767" i="9"/>
  <c r="N767" i="9"/>
  <c r="O767" i="9"/>
  <c r="P767" i="9"/>
  <c r="Q767" i="9"/>
  <c r="R767" i="9"/>
  <c r="S767" i="9"/>
  <c r="T767" i="9"/>
  <c r="U767" i="9"/>
  <c r="V767" i="9"/>
  <c r="K768" i="9"/>
  <c r="L768" i="9"/>
  <c r="M768" i="9"/>
  <c r="N768" i="9"/>
  <c r="O768" i="9"/>
  <c r="P768" i="9"/>
  <c r="Q768" i="9"/>
  <c r="R768" i="9"/>
  <c r="S768" i="9"/>
  <c r="T768" i="9"/>
  <c r="U768" i="9"/>
  <c r="V768" i="9"/>
  <c r="K769" i="9"/>
  <c r="L769" i="9"/>
  <c r="M769" i="9"/>
  <c r="N769" i="9"/>
  <c r="O769" i="9"/>
  <c r="P769" i="9"/>
  <c r="Q769" i="9"/>
  <c r="R769" i="9"/>
  <c r="S769" i="9"/>
  <c r="T769" i="9"/>
  <c r="U769" i="9"/>
  <c r="V769" i="9"/>
  <c r="K770" i="9"/>
  <c r="L770" i="9"/>
  <c r="M770" i="9"/>
  <c r="N770" i="9"/>
  <c r="O770" i="9"/>
  <c r="P770" i="9"/>
  <c r="Q770" i="9"/>
  <c r="R770" i="9"/>
  <c r="S770" i="9"/>
  <c r="T770" i="9"/>
  <c r="U770" i="9"/>
  <c r="V770" i="9"/>
  <c r="K771" i="9"/>
  <c r="L771" i="9"/>
  <c r="M771" i="9"/>
  <c r="N771" i="9"/>
  <c r="O771" i="9"/>
  <c r="P771" i="9"/>
  <c r="Q771" i="9"/>
  <c r="R771" i="9"/>
  <c r="S771" i="9"/>
  <c r="T771" i="9"/>
  <c r="U771" i="9"/>
  <c r="V771" i="9"/>
  <c r="K772" i="9"/>
  <c r="L772" i="9"/>
  <c r="M772" i="9"/>
  <c r="N772" i="9"/>
  <c r="O772" i="9"/>
  <c r="P772" i="9"/>
  <c r="Q772" i="9"/>
  <c r="R772" i="9"/>
  <c r="S772" i="9"/>
  <c r="T772" i="9"/>
  <c r="U772" i="9"/>
  <c r="V772" i="9"/>
  <c r="K773" i="9"/>
  <c r="L773" i="9"/>
  <c r="M773" i="9"/>
  <c r="N773" i="9"/>
  <c r="O773" i="9"/>
  <c r="P773" i="9"/>
  <c r="Q773" i="9"/>
  <c r="R773" i="9"/>
  <c r="S773" i="9"/>
  <c r="T773" i="9"/>
  <c r="U773" i="9"/>
  <c r="V773" i="9"/>
  <c r="K774" i="9"/>
  <c r="L774" i="9"/>
  <c r="M774" i="9"/>
  <c r="N774" i="9"/>
  <c r="O774" i="9"/>
  <c r="P774" i="9"/>
  <c r="Q774" i="9"/>
  <c r="R774" i="9"/>
  <c r="S774" i="9"/>
  <c r="T774" i="9"/>
  <c r="U774" i="9"/>
  <c r="V774" i="9"/>
  <c r="K775" i="9"/>
  <c r="L775" i="9"/>
  <c r="M775" i="9"/>
  <c r="N775" i="9"/>
  <c r="O775" i="9"/>
  <c r="P775" i="9"/>
  <c r="Q775" i="9"/>
  <c r="R775" i="9"/>
  <c r="S775" i="9"/>
  <c r="T775" i="9"/>
  <c r="U775" i="9"/>
  <c r="V775" i="9"/>
  <c r="K776" i="9"/>
  <c r="L776" i="9"/>
  <c r="M776" i="9"/>
  <c r="N776" i="9"/>
  <c r="O776" i="9"/>
  <c r="P776" i="9"/>
  <c r="Q776" i="9"/>
  <c r="R776" i="9"/>
  <c r="S776" i="9"/>
  <c r="T776" i="9"/>
  <c r="U776" i="9"/>
  <c r="V776" i="9"/>
  <c r="K777" i="9"/>
  <c r="L777" i="9"/>
  <c r="M777" i="9"/>
  <c r="N777" i="9"/>
  <c r="O777" i="9"/>
  <c r="P777" i="9"/>
  <c r="Q777" i="9"/>
  <c r="R777" i="9"/>
  <c r="S777" i="9"/>
  <c r="T777" i="9"/>
  <c r="U777" i="9"/>
  <c r="V777" i="9"/>
  <c r="K778" i="9"/>
  <c r="L778" i="9"/>
  <c r="M778" i="9"/>
  <c r="N778" i="9"/>
  <c r="O778" i="9"/>
  <c r="P778" i="9"/>
  <c r="Q778" i="9"/>
  <c r="R778" i="9"/>
  <c r="S778" i="9"/>
  <c r="T778" i="9"/>
  <c r="U778" i="9"/>
  <c r="V778" i="9"/>
  <c r="K779" i="9"/>
  <c r="L779" i="9"/>
  <c r="M779" i="9"/>
  <c r="N779" i="9"/>
  <c r="O779" i="9"/>
  <c r="P779" i="9"/>
  <c r="Q779" i="9"/>
  <c r="R779" i="9"/>
  <c r="S779" i="9"/>
  <c r="T779" i="9"/>
  <c r="U779" i="9"/>
  <c r="V779" i="9"/>
  <c r="K780" i="9"/>
  <c r="L780" i="9"/>
  <c r="M780" i="9"/>
  <c r="N780" i="9"/>
  <c r="O780" i="9"/>
  <c r="P780" i="9"/>
  <c r="Q780" i="9"/>
  <c r="R780" i="9"/>
  <c r="S780" i="9"/>
  <c r="T780" i="9"/>
  <c r="U780" i="9"/>
  <c r="V780" i="9"/>
  <c r="K781" i="9"/>
  <c r="L781" i="9"/>
  <c r="M781" i="9"/>
  <c r="N781" i="9"/>
  <c r="O781" i="9"/>
  <c r="P781" i="9"/>
  <c r="Q781" i="9"/>
  <c r="R781" i="9"/>
  <c r="S781" i="9"/>
  <c r="T781" i="9"/>
  <c r="U781" i="9"/>
  <c r="V781" i="9"/>
  <c r="K782" i="9"/>
  <c r="L782" i="9"/>
  <c r="M782" i="9"/>
  <c r="N782" i="9"/>
  <c r="O782" i="9"/>
  <c r="P782" i="9"/>
  <c r="Q782" i="9"/>
  <c r="R782" i="9"/>
  <c r="S782" i="9"/>
  <c r="T782" i="9"/>
  <c r="U782" i="9"/>
  <c r="V782" i="9"/>
  <c r="K783" i="9"/>
  <c r="L783" i="9"/>
  <c r="M783" i="9"/>
  <c r="N783" i="9"/>
  <c r="O783" i="9"/>
  <c r="P783" i="9"/>
  <c r="Q783" i="9"/>
  <c r="R783" i="9"/>
  <c r="S783" i="9"/>
  <c r="T783" i="9"/>
  <c r="U783" i="9"/>
  <c r="V783" i="9"/>
  <c r="K784" i="9"/>
  <c r="L784" i="9"/>
  <c r="M784" i="9"/>
  <c r="N784" i="9"/>
  <c r="O784" i="9"/>
  <c r="P784" i="9"/>
  <c r="Q784" i="9"/>
  <c r="R784" i="9"/>
  <c r="S784" i="9"/>
  <c r="T784" i="9"/>
  <c r="U784" i="9"/>
  <c r="V784" i="9"/>
  <c r="K785" i="9"/>
  <c r="L785" i="9"/>
  <c r="M785" i="9"/>
  <c r="N785" i="9"/>
  <c r="O785" i="9"/>
  <c r="P785" i="9"/>
  <c r="Q785" i="9"/>
  <c r="R785" i="9"/>
  <c r="S785" i="9"/>
  <c r="T785" i="9"/>
  <c r="U785" i="9"/>
  <c r="V785" i="9"/>
  <c r="K786" i="9"/>
  <c r="L786" i="9"/>
  <c r="M786" i="9"/>
  <c r="N786" i="9"/>
  <c r="O786" i="9"/>
  <c r="P786" i="9"/>
  <c r="Q786" i="9"/>
  <c r="R786" i="9"/>
  <c r="S786" i="9"/>
  <c r="T786" i="9"/>
  <c r="U786" i="9"/>
  <c r="V786" i="9"/>
  <c r="K787" i="9"/>
  <c r="L787" i="9"/>
  <c r="M787" i="9"/>
  <c r="N787" i="9"/>
  <c r="O787" i="9"/>
  <c r="P787" i="9"/>
  <c r="Q787" i="9"/>
  <c r="R787" i="9"/>
  <c r="S787" i="9"/>
  <c r="T787" i="9"/>
  <c r="U787" i="9"/>
  <c r="V787" i="9"/>
  <c r="K788" i="9"/>
  <c r="L788" i="9"/>
  <c r="M788" i="9"/>
  <c r="N788" i="9"/>
  <c r="O788" i="9"/>
  <c r="P788" i="9"/>
  <c r="Q788" i="9"/>
  <c r="R788" i="9"/>
  <c r="S788" i="9"/>
  <c r="T788" i="9"/>
  <c r="U788" i="9"/>
  <c r="V788" i="9"/>
  <c r="K789" i="9"/>
  <c r="L789" i="9"/>
  <c r="M789" i="9"/>
  <c r="N789" i="9"/>
  <c r="O789" i="9"/>
  <c r="P789" i="9"/>
  <c r="Q789" i="9"/>
  <c r="R789" i="9"/>
  <c r="S789" i="9"/>
  <c r="T789" i="9"/>
  <c r="U789" i="9"/>
  <c r="V789" i="9"/>
  <c r="K790" i="9"/>
  <c r="L790" i="9"/>
  <c r="M790" i="9"/>
  <c r="N790" i="9"/>
  <c r="O790" i="9"/>
  <c r="P790" i="9"/>
  <c r="Q790" i="9"/>
  <c r="R790" i="9"/>
  <c r="S790" i="9"/>
  <c r="T790" i="9"/>
  <c r="U790" i="9"/>
  <c r="V790" i="9"/>
  <c r="K791" i="9"/>
  <c r="L791" i="9"/>
  <c r="M791" i="9"/>
  <c r="N791" i="9"/>
  <c r="O791" i="9"/>
  <c r="P791" i="9"/>
  <c r="Q791" i="9"/>
  <c r="R791" i="9"/>
  <c r="S791" i="9"/>
  <c r="T791" i="9"/>
  <c r="U791" i="9"/>
  <c r="V791" i="9"/>
  <c r="K792" i="9"/>
  <c r="L792" i="9"/>
  <c r="M792" i="9"/>
  <c r="N792" i="9"/>
  <c r="O792" i="9"/>
  <c r="P792" i="9"/>
  <c r="Q792" i="9"/>
  <c r="R792" i="9"/>
  <c r="S792" i="9"/>
  <c r="T792" i="9"/>
  <c r="U792" i="9"/>
  <c r="V792" i="9"/>
  <c r="K793" i="9"/>
  <c r="L793" i="9"/>
  <c r="M793" i="9"/>
  <c r="N793" i="9"/>
  <c r="O793" i="9"/>
  <c r="P793" i="9"/>
  <c r="Q793" i="9"/>
  <c r="R793" i="9"/>
  <c r="S793" i="9"/>
  <c r="T793" i="9"/>
  <c r="U793" i="9"/>
  <c r="V793" i="9"/>
  <c r="K794" i="9"/>
  <c r="L794" i="9"/>
  <c r="M794" i="9"/>
  <c r="N794" i="9"/>
  <c r="O794" i="9"/>
  <c r="P794" i="9"/>
  <c r="Q794" i="9"/>
  <c r="R794" i="9"/>
  <c r="S794" i="9"/>
  <c r="T794" i="9"/>
  <c r="U794" i="9"/>
  <c r="V794" i="9"/>
  <c r="K795" i="9"/>
  <c r="L795" i="9"/>
  <c r="M795" i="9"/>
  <c r="N795" i="9"/>
  <c r="O795" i="9"/>
  <c r="P795" i="9"/>
  <c r="Q795" i="9"/>
  <c r="R795" i="9"/>
  <c r="S795" i="9"/>
  <c r="T795" i="9"/>
  <c r="U795" i="9"/>
  <c r="V795" i="9"/>
  <c r="K796" i="9"/>
  <c r="L796" i="9"/>
  <c r="M796" i="9"/>
  <c r="N796" i="9"/>
  <c r="O796" i="9"/>
  <c r="P796" i="9"/>
  <c r="Q796" i="9"/>
  <c r="R796" i="9"/>
  <c r="S796" i="9"/>
  <c r="T796" i="9"/>
  <c r="U796" i="9"/>
  <c r="V796" i="9"/>
  <c r="K797" i="9"/>
  <c r="L797" i="9"/>
  <c r="M797" i="9"/>
  <c r="N797" i="9"/>
  <c r="O797" i="9"/>
  <c r="P797" i="9"/>
  <c r="Q797" i="9"/>
  <c r="R797" i="9"/>
  <c r="S797" i="9"/>
  <c r="T797" i="9"/>
  <c r="U797" i="9"/>
  <c r="V797" i="9"/>
  <c r="K798" i="9"/>
  <c r="L798" i="9"/>
  <c r="M798" i="9"/>
  <c r="N798" i="9"/>
  <c r="O798" i="9"/>
  <c r="P798" i="9"/>
  <c r="Q798" i="9"/>
  <c r="R798" i="9"/>
  <c r="S798" i="9"/>
  <c r="T798" i="9"/>
  <c r="U798" i="9"/>
  <c r="V798" i="9"/>
  <c r="K799" i="9"/>
  <c r="L799" i="9"/>
  <c r="M799" i="9"/>
  <c r="N799" i="9"/>
  <c r="O799" i="9"/>
  <c r="P799" i="9"/>
  <c r="Q799" i="9"/>
  <c r="R799" i="9"/>
  <c r="S799" i="9"/>
  <c r="T799" i="9"/>
  <c r="U799" i="9"/>
  <c r="V799" i="9"/>
  <c r="K800" i="9"/>
  <c r="L800" i="9"/>
  <c r="M800" i="9"/>
  <c r="N800" i="9"/>
  <c r="O800" i="9"/>
  <c r="P800" i="9"/>
  <c r="Q800" i="9"/>
  <c r="R800" i="9"/>
  <c r="S800" i="9"/>
  <c r="T800" i="9"/>
  <c r="U800" i="9"/>
  <c r="V800" i="9"/>
  <c r="K801" i="9"/>
  <c r="L801" i="9"/>
  <c r="M801" i="9"/>
  <c r="N801" i="9"/>
  <c r="O801" i="9"/>
  <c r="P801" i="9"/>
  <c r="Q801" i="9"/>
  <c r="R801" i="9"/>
  <c r="S801" i="9"/>
  <c r="T801" i="9"/>
  <c r="U801" i="9"/>
  <c r="V801" i="9"/>
  <c r="K802" i="9"/>
  <c r="L802" i="9"/>
  <c r="M802" i="9"/>
  <c r="N802" i="9"/>
  <c r="O802" i="9"/>
  <c r="P802" i="9"/>
  <c r="Q802" i="9"/>
  <c r="R802" i="9"/>
  <c r="S802" i="9"/>
  <c r="T802" i="9"/>
  <c r="U802" i="9"/>
  <c r="V802" i="9"/>
  <c r="K803" i="9"/>
  <c r="L803" i="9"/>
  <c r="M803" i="9"/>
  <c r="N803" i="9"/>
  <c r="O803" i="9"/>
  <c r="P803" i="9"/>
  <c r="Q803" i="9"/>
  <c r="R803" i="9"/>
  <c r="S803" i="9"/>
  <c r="T803" i="9"/>
  <c r="U803" i="9"/>
  <c r="V803" i="9"/>
  <c r="K804" i="9"/>
  <c r="L804" i="9"/>
  <c r="M804" i="9"/>
  <c r="N804" i="9"/>
  <c r="O804" i="9"/>
  <c r="P804" i="9"/>
  <c r="Q804" i="9"/>
  <c r="R804" i="9"/>
  <c r="S804" i="9"/>
  <c r="T804" i="9"/>
  <c r="U804" i="9"/>
  <c r="V804" i="9"/>
  <c r="K805" i="9"/>
  <c r="L805" i="9"/>
  <c r="M805" i="9"/>
  <c r="N805" i="9"/>
  <c r="O805" i="9"/>
  <c r="P805" i="9"/>
  <c r="Q805" i="9"/>
  <c r="R805" i="9"/>
  <c r="S805" i="9"/>
  <c r="T805" i="9"/>
  <c r="U805" i="9"/>
  <c r="V805" i="9"/>
  <c r="K806" i="9"/>
  <c r="L806" i="9"/>
  <c r="M806" i="9"/>
  <c r="N806" i="9"/>
  <c r="O806" i="9"/>
  <c r="P806" i="9"/>
  <c r="Q806" i="9"/>
  <c r="R806" i="9"/>
  <c r="S806" i="9"/>
  <c r="T806" i="9"/>
  <c r="U806" i="9"/>
  <c r="V806" i="9"/>
  <c r="K807" i="9"/>
  <c r="L807" i="9"/>
  <c r="M807" i="9"/>
  <c r="N807" i="9"/>
  <c r="O807" i="9"/>
  <c r="P807" i="9"/>
  <c r="Q807" i="9"/>
  <c r="R807" i="9"/>
  <c r="S807" i="9"/>
  <c r="T807" i="9"/>
  <c r="U807" i="9"/>
  <c r="V807" i="9"/>
  <c r="K808" i="9"/>
  <c r="L808" i="9"/>
  <c r="M808" i="9"/>
  <c r="N808" i="9"/>
  <c r="O808" i="9"/>
  <c r="P808" i="9"/>
  <c r="Q808" i="9"/>
  <c r="R808" i="9"/>
  <c r="S808" i="9"/>
  <c r="T808" i="9"/>
  <c r="U808" i="9"/>
  <c r="V808" i="9"/>
  <c r="K809" i="9"/>
  <c r="L809" i="9"/>
  <c r="M809" i="9"/>
  <c r="N809" i="9"/>
  <c r="O809" i="9"/>
  <c r="P809" i="9"/>
  <c r="Q809" i="9"/>
  <c r="R809" i="9"/>
  <c r="S809" i="9"/>
  <c r="T809" i="9"/>
  <c r="U809" i="9"/>
  <c r="V809" i="9"/>
  <c r="K810" i="9"/>
  <c r="L810" i="9"/>
  <c r="M810" i="9"/>
  <c r="N810" i="9"/>
  <c r="O810" i="9"/>
  <c r="P810" i="9"/>
  <c r="Q810" i="9"/>
  <c r="R810" i="9"/>
  <c r="S810" i="9"/>
  <c r="T810" i="9"/>
  <c r="U810" i="9"/>
  <c r="V810" i="9"/>
  <c r="K811" i="9"/>
  <c r="L811" i="9"/>
  <c r="M811" i="9"/>
  <c r="N811" i="9"/>
  <c r="O811" i="9"/>
  <c r="P811" i="9"/>
  <c r="Q811" i="9"/>
  <c r="R811" i="9"/>
  <c r="S811" i="9"/>
  <c r="T811" i="9"/>
  <c r="U811" i="9"/>
  <c r="V811" i="9"/>
  <c r="K812" i="9"/>
  <c r="L812" i="9"/>
  <c r="M812" i="9"/>
  <c r="N812" i="9"/>
  <c r="O812" i="9"/>
  <c r="P812" i="9"/>
  <c r="Q812" i="9"/>
  <c r="R812" i="9"/>
  <c r="S812" i="9"/>
  <c r="T812" i="9"/>
  <c r="U812" i="9"/>
  <c r="V812" i="9"/>
  <c r="K813" i="9"/>
  <c r="L813" i="9"/>
  <c r="M813" i="9"/>
  <c r="N813" i="9"/>
  <c r="O813" i="9"/>
  <c r="P813" i="9"/>
  <c r="Q813" i="9"/>
  <c r="R813" i="9"/>
  <c r="S813" i="9"/>
  <c r="T813" i="9"/>
  <c r="U813" i="9"/>
  <c r="V813" i="9"/>
  <c r="K814" i="9"/>
  <c r="L814" i="9"/>
  <c r="M814" i="9"/>
  <c r="N814" i="9"/>
  <c r="O814" i="9"/>
  <c r="P814" i="9"/>
  <c r="Q814" i="9"/>
  <c r="R814" i="9"/>
  <c r="S814" i="9"/>
  <c r="T814" i="9"/>
  <c r="U814" i="9"/>
  <c r="V814" i="9"/>
  <c r="K815" i="9"/>
  <c r="L815" i="9"/>
  <c r="M815" i="9"/>
  <c r="N815" i="9"/>
  <c r="O815" i="9"/>
  <c r="P815" i="9"/>
  <c r="Q815" i="9"/>
  <c r="R815" i="9"/>
  <c r="S815" i="9"/>
  <c r="T815" i="9"/>
  <c r="U815" i="9"/>
  <c r="V815" i="9"/>
  <c r="K816" i="9"/>
  <c r="L816" i="9"/>
  <c r="M816" i="9"/>
  <c r="N816" i="9"/>
  <c r="O816" i="9"/>
  <c r="P816" i="9"/>
  <c r="Q816" i="9"/>
  <c r="R816" i="9"/>
  <c r="S816" i="9"/>
  <c r="T816" i="9"/>
  <c r="U816" i="9"/>
  <c r="V816" i="9"/>
  <c r="K817" i="9"/>
  <c r="L817" i="9"/>
  <c r="M817" i="9"/>
  <c r="N817" i="9"/>
  <c r="O817" i="9"/>
  <c r="P817" i="9"/>
  <c r="Q817" i="9"/>
  <c r="R817" i="9"/>
  <c r="S817" i="9"/>
  <c r="T817" i="9"/>
  <c r="U817" i="9"/>
  <c r="V817" i="9"/>
  <c r="K818" i="9"/>
  <c r="L818" i="9"/>
  <c r="M818" i="9"/>
  <c r="N818" i="9"/>
  <c r="O818" i="9"/>
  <c r="P818" i="9"/>
  <c r="Q818" i="9"/>
  <c r="R818" i="9"/>
  <c r="S818" i="9"/>
  <c r="T818" i="9"/>
  <c r="U818" i="9"/>
  <c r="V818" i="9"/>
  <c r="K819" i="9"/>
  <c r="L819" i="9"/>
  <c r="M819" i="9"/>
  <c r="N819" i="9"/>
  <c r="O819" i="9"/>
  <c r="P819" i="9"/>
  <c r="Q819" i="9"/>
  <c r="R819" i="9"/>
  <c r="S819" i="9"/>
  <c r="T819" i="9"/>
  <c r="U819" i="9"/>
  <c r="V819" i="9"/>
  <c r="K820" i="9"/>
  <c r="L820" i="9"/>
  <c r="M820" i="9"/>
  <c r="N820" i="9"/>
  <c r="O820" i="9"/>
  <c r="P820" i="9"/>
  <c r="Q820" i="9"/>
  <c r="R820" i="9"/>
  <c r="S820" i="9"/>
  <c r="T820" i="9"/>
  <c r="U820" i="9"/>
  <c r="V820" i="9"/>
  <c r="K821" i="9"/>
  <c r="L821" i="9"/>
  <c r="M821" i="9"/>
  <c r="N821" i="9"/>
  <c r="O821" i="9"/>
  <c r="P821" i="9"/>
  <c r="Q821" i="9"/>
  <c r="R821" i="9"/>
  <c r="S821" i="9"/>
  <c r="T821" i="9"/>
  <c r="U821" i="9"/>
  <c r="V821" i="9"/>
  <c r="K822" i="9"/>
  <c r="L822" i="9"/>
  <c r="M822" i="9"/>
  <c r="N822" i="9"/>
  <c r="O822" i="9"/>
  <c r="P822" i="9"/>
  <c r="Q822" i="9"/>
  <c r="R822" i="9"/>
  <c r="S822" i="9"/>
  <c r="T822" i="9"/>
  <c r="U822" i="9"/>
  <c r="V822" i="9"/>
  <c r="K823" i="9"/>
  <c r="L823" i="9"/>
  <c r="M823" i="9"/>
  <c r="N823" i="9"/>
  <c r="O823" i="9"/>
  <c r="P823" i="9"/>
  <c r="Q823" i="9"/>
  <c r="R823" i="9"/>
  <c r="S823" i="9"/>
  <c r="T823" i="9"/>
  <c r="U823" i="9"/>
  <c r="V823" i="9"/>
  <c r="K824" i="9"/>
  <c r="L824" i="9"/>
  <c r="M824" i="9"/>
  <c r="N824" i="9"/>
  <c r="O824" i="9"/>
  <c r="P824" i="9"/>
  <c r="Q824" i="9"/>
  <c r="R824" i="9"/>
  <c r="S824" i="9"/>
  <c r="T824" i="9"/>
  <c r="U824" i="9"/>
  <c r="V824" i="9"/>
  <c r="K825" i="9"/>
  <c r="L825" i="9"/>
  <c r="M825" i="9"/>
  <c r="N825" i="9"/>
  <c r="O825" i="9"/>
  <c r="P825" i="9"/>
  <c r="Q825" i="9"/>
  <c r="R825" i="9"/>
  <c r="S825" i="9"/>
  <c r="T825" i="9"/>
  <c r="U825" i="9"/>
  <c r="V825" i="9"/>
  <c r="K826" i="9"/>
  <c r="L826" i="9"/>
  <c r="M826" i="9"/>
  <c r="N826" i="9"/>
  <c r="O826" i="9"/>
  <c r="P826" i="9"/>
  <c r="Q826" i="9"/>
  <c r="R826" i="9"/>
  <c r="S826" i="9"/>
  <c r="T826" i="9"/>
  <c r="U826" i="9"/>
  <c r="V826" i="9"/>
  <c r="K827" i="9"/>
  <c r="L827" i="9"/>
  <c r="M827" i="9"/>
  <c r="N827" i="9"/>
  <c r="O827" i="9"/>
  <c r="P827" i="9"/>
  <c r="Q827" i="9"/>
  <c r="R827" i="9"/>
  <c r="S827" i="9"/>
  <c r="T827" i="9"/>
  <c r="U827" i="9"/>
  <c r="V827" i="9"/>
  <c r="K828" i="9"/>
  <c r="L828" i="9"/>
  <c r="M828" i="9"/>
  <c r="N828" i="9"/>
  <c r="O828" i="9"/>
  <c r="P828" i="9"/>
  <c r="Q828" i="9"/>
  <c r="R828" i="9"/>
  <c r="S828" i="9"/>
  <c r="T828" i="9"/>
  <c r="U828" i="9"/>
  <c r="V828" i="9"/>
  <c r="K829" i="9"/>
  <c r="L829" i="9"/>
  <c r="M829" i="9"/>
  <c r="N829" i="9"/>
  <c r="O829" i="9"/>
  <c r="P829" i="9"/>
  <c r="Q829" i="9"/>
  <c r="R829" i="9"/>
  <c r="S829" i="9"/>
  <c r="T829" i="9"/>
  <c r="U829" i="9"/>
  <c r="V829" i="9"/>
  <c r="K830" i="9"/>
  <c r="L830" i="9"/>
  <c r="M830" i="9"/>
  <c r="N830" i="9"/>
  <c r="O830" i="9"/>
  <c r="P830" i="9"/>
  <c r="Q830" i="9"/>
  <c r="R830" i="9"/>
  <c r="S830" i="9"/>
  <c r="T830" i="9"/>
  <c r="U830" i="9"/>
  <c r="V830" i="9"/>
  <c r="K831" i="9"/>
  <c r="L831" i="9"/>
  <c r="M831" i="9"/>
  <c r="N831" i="9"/>
  <c r="O831" i="9"/>
  <c r="P831" i="9"/>
  <c r="Q831" i="9"/>
  <c r="R831" i="9"/>
  <c r="S831" i="9"/>
  <c r="T831" i="9"/>
  <c r="U831" i="9"/>
  <c r="V831" i="9"/>
  <c r="K832" i="9"/>
  <c r="L832" i="9"/>
  <c r="M832" i="9"/>
  <c r="N832" i="9"/>
  <c r="O832" i="9"/>
  <c r="P832" i="9"/>
  <c r="Q832" i="9"/>
  <c r="R832" i="9"/>
  <c r="S832" i="9"/>
  <c r="T832" i="9"/>
  <c r="U832" i="9"/>
  <c r="V832" i="9"/>
  <c r="K833" i="9"/>
  <c r="L833" i="9"/>
  <c r="M833" i="9"/>
  <c r="N833" i="9"/>
  <c r="O833" i="9"/>
  <c r="P833" i="9"/>
  <c r="Q833" i="9"/>
  <c r="R833" i="9"/>
  <c r="S833" i="9"/>
  <c r="T833" i="9"/>
  <c r="U833" i="9"/>
  <c r="V833" i="9"/>
  <c r="K834" i="9"/>
  <c r="L834" i="9"/>
  <c r="M834" i="9"/>
  <c r="N834" i="9"/>
  <c r="O834" i="9"/>
  <c r="P834" i="9"/>
  <c r="Q834" i="9"/>
  <c r="R834" i="9"/>
  <c r="S834" i="9"/>
  <c r="T834" i="9"/>
  <c r="U834" i="9"/>
  <c r="V834" i="9"/>
  <c r="K835" i="9"/>
  <c r="L835" i="9"/>
  <c r="M835" i="9"/>
  <c r="N835" i="9"/>
  <c r="O835" i="9"/>
  <c r="P835" i="9"/>
  <c r="Q835" i="9"/>
  <c r="R835" i="9"/>
  <c r="S835" i="9"/>
  <c r="T835" i="9"/>
  <c r="U835" i="9"/>
  <c r="V835" i="9"/>
  <c r="K836" i="9"/>
  <c r="L836" i="9"/>
  <c r="M836" i="9"/>
  <c r="N836" i="9"/>
  <c r="O836" i="9"/>
  <c r="P836" i="9"/>
  <c r="Q836" i="9"/>
  <c r="R836" i="9"/>
  <c r="S836" i="9"/>
  <c r="T836" i="9"/>
  <c r="U836" i="9"/>
  <c r="V836" i="9"/>
  <c r="K837" i="9"/>
  <c r="L837" i="9"/>
  <c r="M837" i="9"/>
  <c r="N837" i="9"/>
  <c r="O837" i="9"/>
  <c r="P837" i="9"/>
  <c r="Q837" i="9"/>
  <c r="R837" i="9"/>
  <c r="S837" i="9"/>
  <c r="T837" i="9"/>
  <c r="U837" i="9"/>
  <c r="V837" i="9"/>
  <c r="K838" i="9"/>
  <c r="L838" i="9"/>
  <c r="M838" i="9"/>
  <c r="N838" i="9"/>
  <c r="O838" i="9"/>
  <c r="P838" i="9"/>
  <c r="Q838" i="9"/>
  <c r="R838" i="9"/>
  <c r="S838" i="9"/>
  <c r="T838" i="9"/>
  <c r="U838" i="9"/>
  <c r="V838" i="9"/>
  <c r="K839" i="9"/>
  <c r="L839" i="9"/>
  <c r="M839" i="9"/>
  <c r="N839" i="9"/>
  <c r="O839" i="9"/>
  <c r="P839" i="9"/>
  <c r="Q839" i="9"/>
  <c r="R839" i="9"/>
  <c r="S839" i="9"/>
  <c r="T839" i="9"/>
  <c r="U839" i="9"/>
  <c r="V839" i="9"/>
  <c r="K840" i="9"/>
  <c r="L840" i="9"/>
  <c r="M840" i="9"/>
  <c r="N840" i="9"/>
  <c r="O840" i="9"/>
  <c r="P840" i="9"/>
  <c r="Q840" i="9"/>
  <c r="R840" i="9"/>
  <c r="S840" i="9"/>
  <c r="T840" i="9"/>
  <c r="U840" i="9"/>
  <c r="V840" i="9"/>
  <c r="K841" i="9"/>
  <c r="L841" i="9"/>
  <c r="M841" i="9"/>
  <c r="N841" i="9"/>
  <c r="O841" i="9"/>
  <c r="P841" i="9"/>
  <c r="Q841" i="9"/>
  <c r="R841" i="9"/>
  <c r="S841" i="9"/>
  <c r="T841" i="9"/>
  <c r="U841" i="9"/>
  <c r="V841" i="9"/>
  <c r="K842" i="9"/>
  <c r="L842" i="9"/>
  <c r="M842" i="9"/>
  <c r="N842" i="9"/>
  <c r="O842" i="9"/>
  <c r="P842" i="9"/>
  <c r="Q842" i="9"/>
  <c r="R842" i="9"/>
  <c r="S842" i="9"/>
  <c r="T842" i="9"/>
  <c r="U842" i="9"/>
  <c r="V842" i="9"/>
  <c r="K843" i="9"/>
  <c r="L843" i="9"/>
  <c r="M843" i="9"/>
  <c r="N843" i="9"/>
  <c r="O843" i="9"/>
  <c r="P843" i="9"/>
  <c r="Q843" i="9"/>
  <c r="R843" i="9"/>
  <c r="S843" i="9"/>
  <c r="T843" i="9"/>
  <c r="U843" i="9"/>
  <c r="V843" i="9"/>
  <c r="K844" i="9"/>
  <c r="L844" i="9"/>
  <c r="M844" i="9"/>
  <c r="N844" i="9"/>
  <c r="O844" i="9"/>
  <c r="P844" i="9"/>
  <c r="Q844" i="9"/>
  <c r="R844" i="9"/>
  <c r="S844" i="9"/>
  <c r="T844" i="9"/>
  <c r="U844" i="9"/>
  <c r="V844" i="9"/>
  <c r="K845" i="9"/>
  <c r="L845" i="9"/>
  <c r="M845" i="9"/>
  <c r="N845" i="9"/>
  <c r="O845" i="9"/>
  <c r="P845" i="9"/>
  <c r="Q845" i="9"/>
  <c r="R845" i="9"/>
  <c r="S845" i="9"/>
  <c r="T845" i="9"/>
  <c r="U845" i="9"/>
  <c r="V845" i="9"/>
  <c r="K846" i="9"/>
  <c r="L846" i="9"/>
  <c r="M846" i="9"/>
  <c r="N846" i="9"/>
  <c r="O846" i="9"/>
  <c r="P846" i="9"/>
  <c r="Q846" i="9"/>
  <c r="R846" i="9"/>
  <c r="S846" i="9"/>
  <c r="T846" i="9"/>
  <c r="U846" i="9"/>
  <c r="V846" i="9"/>
  <c r="K847" i="9"/>
  <c r="L847" i="9"/>
  <c r="M847" i="9"/>
  <c r="N847" i="9"/>
  <c r="O847" i="9"/>
  <c r="P847" i="9"/>
  <c r="Q847" i="9"/>
  <c r="R847" i="9"/>
  <c r="S847" i="9"/>
  <c r="T847" i="9"/>
  <c r="U847" i="9"/>
  <c r="V847" i="9"/>
  <c r="K848" i="9"/>
  <c r="L848" i="9"/>
  <c r="M848" i="9"/>
  <c r="N848" i="9"/>
  <c r="O848" i="9"/>
  <c r="P848" i="9"/>
  <c r="Q848" i="9"/>
  <c r="R848" i="9"/>
  <c r="S848" i="9"/>
  <c r="T848" i="9"/>
  <c r="U848" i="9"/>
  <c r="V848" i="9"/>
  <c r="K849" i="9"/>
  <c r="L849" i="9"/>
  <c r="M849" i="9"/>
  <c r="N849" i="9"/>
  <c r="O849" i="9"/>
  <c r="P849" i="9"/>
  <c r="Q849" i="9"/>
  <c r="R849" i="9"/>
  <c r="S849" i="9"/>
  <c r="T849" i="9"/>
  <c r="U849" i="9"/>
  <c r="V849" i="9"/>
  <c r="K850" i="9"/>
  <c r="L850" i="9"/>
  <c r="M850" i="9"/>
  <c r="N850" i="9"/>
  <c r="O850" i="9"/>
  <c r="P850" i="9"/>
  <c r="Q850" i="9"/>
  <c r="R850" i="9"/>
  <c r="S850" i="9"/>
  <c r="T850" i="9"/>
  <c r="U850" i="9"/>
  <c r="V850" i="9"/>
  <c r="K851" i="9"/>
  <c r="L851" i="9"/>
  <c r="M851" i="9"/>
  <c r="N851" i="9"/>
  <c r="O851" i="9"/>
  <c r="P851" i="9"/>
  <c r="Q851" i="9"/>
  <c r="R851" i="9"/>
  <c r="S851" i="9"/>
  <c r="T851" i="9"/>
  <c r="U851" i="9"/>
  <c r="V851" i="9"/>
  <c r="K852" i="9"/>
  <c r="L852" i="9"/>
  <c r="M852" i="9"/>
  <c r="N852" i="9"/>
  <c r="O852" i="9"/>
  <c r="P852" i="9"/>
  <c r="Q852" i="9"/>
  <c r="R852" i="9"/>
  <c r="S852" i="9"/>
  <c r="T852" i="9"/>
  <c r="U852" i="9"/>
  <c r="V852" i="9"/>
  <c r="K853" i="9"/>
  <c r="L853" i="9"/>
  <c r="M853" i="9"/>
  <c r="N853" i="9"/>
  <c r="O853" i="9"/>
  <c r="P853" i="9"/>
  <c r="Q853" i="9"/>
  <c r="R853" i="9"/>
  <c r="S853" i="9"/>
  <c r="T853" i="9"/>
  <c r="U853" i="9"/>
  <c r="V853" i="9"/>
  <c r="K854" i="9"/>
  <c r="L854" i="9"/>
  <c r="M854" i="9"/>
  <c r="N854" i="9"/>
  <c r="O854" i="9"/>
  <c r="P854" i="9"/>
  <c r="Q854" i="9"/>
  <c r="R854" i="9"/>
  <c r="S854" i="9"/>
  <c r="T854" i="9"/>
  <c r="U854" i="9"/>
  <c r="V854" i="9"/>
  <c r="K855" i="9"/>
  <c r="L855" i="9"/>
  <c r="M855" i="9"/>
  <c r="N855" i="9"/>
  <c r="O855" i="9"/>
  <c r="P855" i="9"/>
  <c r="Q855" i="9"/>
  <c r="R855" i="9"/>
  <c r="S855" i="9"/>
  <c r="T855" i="9"/>
  <c r="U855" i="9"/>
  <c r="V855" i="9"/>
  <c r="K856" i="9"/>
  <c r="L856" i="9"/>
  <c r="M856" i="9"/>
  <c r="N856" i="9"/>
  <c r="O856" i="9"/>
  <c r="P856" i="9"/>
  <c r="Q856" i="9"/>
  <c r="R856" i="9"/>
  <c r="S856" i="9"/>
  <c r="T856" i="9"/>
  <c r="U856" i="9"/>
  <c r="V856" i="9"/>
  <c r="K857" i="9"/>
  <c r="L857" i="9"/>
  <c r="M857" i="9"/>
  <c r="N857" i="9"/>
  <c r="O857" i="9"/>
  <c r="P857" i="9"/>
  <c r="Q857" i="9"/>
  <c r="R857" i="9"/>
  <c r="S857" i="9"/>
  <c r="T857" i="9"/>
  <c r="U857" i="9"/>
  <c r="V857" i="9"/>
  <c r="K858" i="9"/>
  <c r="L858" i="9"/>
  <c r="M858" i="9"/>
  <c r="N858" i="9"/>
  <c r="O858" i="9"/>
  <c r="P858" i="9"/>
  <c r="Q858" i="9"/>
  <c r="R858" i="9"/>
  <c r="S858" i="9"/>
  <c r="T858" i="9"/>
  <c r="U858" i="9"/>
  <c r="V858" i="9"/>
  <c r="K859" i="9"/>
  <c r="L859" i="9"/>
  <c r="M859" i="9"/>
  <c r="N859" i="9"/>
  <c r="O859" i="9"/>
  <c r="P859" i="9"/>
  <c r="Q859" i="9"/>
  <c r="R859" i="9"/>
  <c r="S859" i="9"/>
  <c r="T859" i="9"/>
  <c r="U859" i="9"/>
  <c r="V859" i="9"/>
  <c r="K860" i="9"/>
  <c r="L860" i="9"/>
  <c r="M860" i="9"/>
  <c r="N860" i="9"/>
  <c r="O860" i="9"/>
  <c r="P860" i="9"/>
  <c r="Q860" i="9"/>
  <c r="R860" i="9"/>
  <c r="S860" i="9"/>
  <c r="T860" i="9"/>
  <c r="U860" i="9"/>
  <c r="V860" i="9"/>
  <c r="K861" i="9"/>
  <c r="L861" i="9"/>
  <c r="M861" i="9"/>
  <c r="N861" i="9"/>
  <c r="O861" i="9"/>
  <c r="P861" i="9"/>
  <c r="Q861" i="9"/>
  <c r="R861" i="9"/>
  <c r="S861" i="9"/>
  <c r="T861" i="9"/>
  <c r="U861" i="9"/>
  <c r="V861" i="9"/>
  <c r="K862" i="9"/>
  <c r="L862" i="9"/>
  <c r="M862" i="9"/>
  <c r="N862" i="9"/>
  <c r="O862" i="9"/>
  <c r="P862" i="9"/>
  <c r="Q862" i="9"/>
  <c r="R862" i="9"/>
  <c r="S862" i="9"/>
  <c r="T862" i="9"/>
  <c r="U862" i="9"/>
  <c r="V862" i="9"/>
  <c r="K863" i="9"/>
  <c r="L863" i="9"/>
  <c r="M863" i="9"/>
  <c r="N863" i="9"/>
  <c r="O863" i="9"/>
  <c r="P863" i="9"/>
  <c r="Q863" i="9"/>
  <c r="R863" i="9"/>
  <c r="S863" i="9"/>
  <c r="T863" i="9"/>
  <c r="U863" i="9"/>
  <c r="V863" i="9"/>
  <c r="K864" i="9"/>
  <c r="L864" i="9"/>
  <c r="M864" i="9"/>
  <c r="N864" i="9"/>
  <c r="O864" i="9"/>
  <c r="P864" i="9"/>
  <c r="Q864" i="9"/>
  <c r="R864" i="9"/>
  <c r="S864" i="9"/>
  <c r="T864" i="9"/>
  <c r="U864" i="9"/>
  <c r="V864" i="9"/>
  <c r="K865" i="9"/>
  <c r="L865" i="9"/>
  <c r="M865" i="9"/>
  <c r="N865" i="9"/>
  <c r="O865" i="9"/>
  <c r="P865" i="9"/>
  <c r="Q865" i="9"/>
  <c r="R865" i="9"/>
  <c r="S865" i="9"/>
  <c r="T865" i="9"/>
  <c r="U865" i="9"/>
  <c r="V865" i="9"/>
  <c r="K866" i="9"/>
  <c r="L866" i="9"/>
  <c r="M866" i="9"/>
  <c r="N866" i="9"/>
  <c r="O866" i="9"/>
  <c r="P866" i="9"/>
  <c r="Q866" i="9"/>
  <c r="R866" i="9"/>
  <c r="S866" i="9"/>
  <c r="T866" i="9"/>
  <c r="U866" i="9"/>
  <c r="V866" i="9"/>
  <c r="K867" i="9"/>
  <c r="L867" i="9"/>
  <c r="M867" i="9"/>
  <c r="N867" i="9"/>
  <c r="O867" i="9"/>
  <c r="P867" i="9"/>
  <c r="Q867" i="9"/>
  <c r="R867" i="9"/>
  <c r="S867" i="9"/>
  <c r="T867" i="9"/>
  <c r="U867" i="9"/>
  <c r="V867" i="9"/>
  <c r="K868" i="9"/>
  <c r="L868" i="9"/>
  <c r="M868" i="9"/>
  <c r="N868" i="9"/>
  <c r="O868" i="9"/>
  <c r="P868" i="9"/>
  <c r="Q868" i="9"/>
  <c r="R868" i="9"/>
  <c r="S868" i="9"/>
  <c r="T868" i="9"/>
  <c r="U868" i="9"/>
  <c r="V868" i="9"/>
  <c r="K869" i="9"/>
  <c r="L869" i="9"/>
  <c r="M869" i="9"/>
  <c r="N869" i="9"/>
  <c r="O869" i="9"/>
  <c r="P869" i="9"/>
  <c r="Q869" i="9"/>
  <c r="R869" i="9"/>
  <c r="S869" i="9"/>
  <c r="T869" i="9"/>
  <c r="U869" i="9"/>
  <c r="V869" i="9"/>
  <c r="K870" i="9"/>
  <c r="L870" i="9"/>
  <c r="M870" i="9"/>
  <c r="N870" i="9"/>
  <c r="O870" i="9"/>
  <c r="P870" i="9"/>
  <c r="Q870" i="9"/>
  <c r="R870" i="9"/>
  <c r="S870" i="9"/>
  <c r="T870" i="9"/>
  <c r="U870" i="9"/>
  <c r="V870" i="9"/>
  <c r="K871" i="9"/>
  <c r="L871" i="9"/>
  <c r="M871" i="9"/>
  <c r="N871" i="9"/>
  <c r="O871" i="9"/>
  <c r="P871" i="9"/>
  <c r="Q871" i="9"/>
  <c r="R871" i="9"/>
  <c r="S871" i="9"/>
  <c r="T871" i="9"/>
  <c r="U871" i="9"/>
  <c r="V871" i="9"/>
  <c r="K872" i="9"/>
  <c r="L872" i="9"/>
  <c r="M872" i="9"/>
  <c r="N872" i="9"/>
  <c r="O872" i="9"/>
  <c r="P872" i="9"/>
  <c r="Q872" i="9"/>
  <c r="R872" i="9"/>
  <c r="S872" i="9"/>
  <c r="T872" i="9"/>
  <c r="U872" i="9"/>
  <c r="V872" i="9"/>
  <c r="K873" i="9"/>
  <c r="L873" i="9"/>
  <c r="M873" i="9"/>
  <c r="N873" i="9"/>
  <c r="O873" i="9"/>
  <c r="P873" i="9"/>
  <c r="Q873" i="9"/>
  <c r="R873" i="9"/>
  <c r="S873" i="9"/>
  <c r="T873" i="9"/>
  <c r="U873" i="9"/>
  <c r="V873" i="9"/>
  <c r="K874" i="9"/>
  <c r="L874" i="9"/>
  <c r="M874" i="9"/>
  <c r="N874" i="9"/>
  <c r="O874" i="9"/>
  <c r="P874" i="9"/>
  <c r="Q874" i="9"/>
  <c r="R874" i="9"/>
  <c r="S874" i="9"/>
  <c r="T874" i="9"/>
  <c r="U874" i="9"/>
  <c r="V874" i="9"/>
  <c r="K875" i="9"/>
  <c r="L875" i="9"/>
  <c r="M875" i="9"/>
  <c r="N875" i="9"/>
  <c r="O875" i="9"/>
  <c r="P875" i="9"/>
  <c r="Q875" i="9"/>
  <c r="R875" i="9"/>
  <c r="S875" i="9"/>
  <c r="T875" i="9"/>
  <c r="U875" i="9"/>
  <c r="V875" i="9"/>
  <c r="K876" i="9"/>
  <c r="L876" i="9"/>
  <c r="M876" i="9"/>
  <c r="N876" i="9"/>
  <c r="O876" i="9"/>
  <c r="P876" i="9"/>
  <c r="Q876" i="9"/>
  <c r="R876" i="9"/>
  <c r="S876" i="9"/>
  <c r="T876" i="9"/>
  <c r="U876" i="9"/>
  <c r="V876" i="9"/>
  <c r="K877" i="9"/>
  <c r="L877" i="9"/>
  <c r="M877" i="9"/>
  <c r="N877" i="9"/>
  <c r="O877" i="9"/>
  <c r="P877" i="9"/>
  <c r="Q877" i="9"/>
  <c r="R877" i="9"/>
  <c r="S877" i="9"/>
  <c r="T877" i="9"/>
  <c r="U877" i="9"/>
  <c r="V877" i="9"/>
  <c r="K878" i="9"/>
  <c r="L878" i="9"/>
  <c r="M878" i="9"/>
  <c r="N878" i="9"/>
  <c r="O878" i="9"/>
  <c r="P878" i="9"/>
  <c r="Q878" i="9"/>
  <c r="R878" i="9"/>
  <c r="S878" i="9"/>
  <c r="T878" i="9"/>
  <c r="U878" i="9"/>
  <c r="V878" i="9"/>
  <c r="K879" i="9"/>
  <c r="L879" i="9"/>
  <c r="M879" i="9"/>
  <c r="N879" i="9"/>
  <c r="O879" i="9"/>
  <c r="P879" i="9"/>
  <c r="Q879" i="9"/>
  <c r="R879" i="9"/>
  <c r="S879" i="9"/>
  <c r="T879" i="9"/>
  <c r="U879" i="9"/>
  <c r="V879" i="9"/>
  <c r="K880" i="9"/>
  <c r="L880" i="9"/>
  <c r="M880" i="9"/>
  <c r="N880" i="9"/>
  <c r="O880" i="9"/>
  <c r="P880" i="9"/>
  <c r="Q880" i="9"/>
  <c r="R880" i="9"/>
  <c r="S880" i="9"/>
  <c r="T880" i="9"/>
  <c r="U880" i="9"/>
  <c r="V880" i="9"/>
  <c r="K881" i="9"/>
  <c r="L881" i="9"/>
  <c r="M881" i="9"/>
  <c r="N881" i="9"/>
  <c r="O881" i="9"/>
  <c r="P881" i="9"/>
  <c r="Q881" i="9"/>
  <c r="R881" i="9"/>
  <c r="S881" i="9"/>
  <c r="T881" i="9"/>
  <c r="U881" i="9"/>
  <c r="V881" i="9"/>
  <c r="K882" i="9"/>
  <c r="L882" i="9"/>
  <c r="M882" i="9"/>
  <c r="N882" i="9"/>
  <c r="O882" i="9"/>
  <c r="P882" i="9"/>
  <c r="Q882" i="9"/>
  <c r="R882" i="9"/>
  <c r="S882" i="9"/>
  <c r="T882" i="9"/>
  <c r="U882" i="9"/>
  <c r="V882" i="9"/>
  <c r="K883" i="9"/>
  <c r="L883" i="9"/>
  <c r="M883" i="9"/>
  <c r="N883" i="9"/>
  <c r="O883" i="9"/>
  <c r="P883" i="9"/>
  <c r="Q883" i="9"/>
  <c r="R883" i="9"/>
  <c r="S883" i="9"/>
  <c r="T883" i="9"/>
  <c r="U883" i="9"/>
  <c r="V883" i="9"/>
  <c r="K884" i="9"/>
  <c r="L884" i="9"/>
  <c r="M884" i="9"/>
  <c r="N884" i="9"/>
  <c r="O884" i="9"/>
  <c r="P884" i="9"/>
  <c r="Q884" i="9"/>
  <c r="R884" i="9"/>
  <c r="S884" i="9"/>
  <c r="T884" i="9"/>
  <c r="U884" i="9"/>
  <c r="V884" i="9"/>
  <c r="K885" i="9"/>
  <c r="L885" i="9"/>
  <c r="M885" i="9"/>
  <c r="N885" i="9"/>
  <c r="O885" i="9"/>
  <c r="P885" i="9"/>
  <c r="Q885" i="9"/>
  <c r="R885" i="9"/>
  <c r="S885" i="9"/>
  <c r="T885" i="9"/>
  <c r="U885" i="9"/>
  <c r="V885" i="9"/>
  <c r="K886" i="9"/>
  <c r="L886" i="9"/>
  <c r="M886" i="9"/>
  <c r="N886" i="9"/>
  <c r="O886" i="9"/>
  <c r="P886" i="9"/>
  <c r="Q886" i="9"/>
  <c r="R886" i="9"/>
  <c r="S886" i="9"/>
  <c r="T886" i="9"/>
  <c r="U886" i="9"/>
  <c r="V886" i="9"/>
  <c r="K887" i="9"/>
  <c r="L887" i="9"/>
  <c r="M887" i="9"/>
  <c r="N887" i="9"/>
  <c r="O887" i="9"/>
  <c r="P887" i="9"/>
  <c r="Q887" i="9"/>
  <c r="R887" i="9"/>
  <c r="S887" i="9"/>
  <c r="T887" i="9"/>
  <c r="U887" i="9"/>
  <c r="V887" i="9"/>
  <c r="K888" i="9"/>
  <c r="L888" i="9"/>
  <c r="M888" i="9"/>
  <c r="N888" i="9"/>
  <c r="O888" i="9"/>
  <c r="P888" i="9"/>
  <c r="Q888" i="9"/>
  <c r="R888" i="9"/>
  <c r="S888" i="9"/>
  <c r="T888" i="9"/>
  <c r="U888" i="9"/>
  <c r="V888" i="9"/>
  <c r="K889" i="9"/>
  <c r="L889" i="9"/>
  <c r="M889" i="9"/>
  <c r="N889" i="9"/>
  <c r="O889" i="9"/>
  <c r="P889" i="9"/>
  <c r="Q889" i="9"/>
  <c r="R889" i="9"/>
  <c r="S889" i="9"/>
  <c r="T889" i="9"/>
  <c r="U889" i="9"/>
  <c r="V889" i="9"/>
  <c r="K890" i="9"/>
  <c r="L890" i="9"/>
  <c r="M890" i="9"/>
  <c r="N890" i="9"/>
  <c r="O890" i="9"/>
  <c r="P890" i="9"/>
  <c r="Q890" i="9"/>
  <c r="R890" i="9"/>
  <c r="S890" i="9"/>
  <c r="T890" i="9"/>
  <c r="U890" i="9"/>
  <c r="V890" i="9"/>
  <c r="K891" i="9"/>
  <c r="L891" i="9"/>
  <c r="M891" i="9"/>
  <c r="N891" i="9"/>
  <c r="O891" i="9"/>
  <c r="P891" i="9"/>
  <c r="Q891" i="9"/>
  <c r="R891" i="9"/>
  <c r="S891" i="9"/>
  <c r="T891" i="9"/>
  <c r="U891" i="9"/>
  <c r="V891" i="9"/>
  <c r="K892" i="9"/>
  <c r="L892" i="9"/>
  <c r="M892" i="9"/>
  <c r="N892" i="9"/>
  <c r="O892" i="9"/>
  <c r="P892" i="9"/>
  <c r="Q892" i="9"/>
  <c r="R892" i="9"/>
  <c r="S892" i="9"/>
  <c r="T892" i="9"/>
  <c r="U892" i="9"/>
  <c r="V892" i="9"/>
  <c r="K893" i="9"/>
  <c r="L893" i="9"/>
  <c r="M893" i="9"/>
  <c r="N893" i="9"/>
  <c r="O893" i="9"/>
  <c r="P893" i="9"/>
  <c r="Q893" i="9"/>
  <c r="R893" i="9"/>
  <c r="S893" i="9"/>
  <c r="T893" i="9"/>
  <c r="U893" i="9"/>
  <c r="V893" i="9"/>
  <c r="K894" i="9"/>
  <c r="L894" i="9"/>
  <c r="M894" i="9"/>
  <c r="N894" i="9"/>
  <c r="O894" i="9"/>
  <c r="P894" i="9"/>
  <c r="Q894" i="9"/>
  <c r="R894" i="9"/>
  <c r="S894" i="9"/>
  <c r="T894" i="9"/>
  <c r="U894" i="9"/>
  <c r="V894" i="9"/>
  <c r="K895" i="9"/>
  <c r="L895" i="9"/>
  <c r="M895" i="9"/>
  <c r="N895" i="9"/>
  <c r="O895" i="9"/>
  <c r="P895" i="9"/>
  <c r="Q895" i="9"/>
  <c r="R895" i="9"/>
  <c r="S895" i="9"/>
  <c r="T895" i="9"/>
  <c r="U895" i="9"/>
  <c r="V895" i="9"/>
  <c r="K896" i="9"/>
  <c r="L896" i="9"/>
  <c r="M896" i="9"/>
  <c r="N896" i="9"/>
  <c r="O896" i="9"/>
  <c r="P896" i="9"/>
  <c r="Q896" i="9"/>
  <c r="R896" i="9"/>
  <c r="S896" i="9"/>
  <c r="T896" i="9"/>
  <c r="U896" i="9"/>
  <c r="V896" i="9"/>
  <c r="K897" i="9"/>
  <c r="L897" i="9"/>
  <c r="M897" i="9"/>
  <c r="N897" i="9"/>
  <c r="O897" i="9"/>
  <c r="P897" i="9"/>
  <c r="Q897" i="9"/>
  <c r="R897" i="9"/>
  <c r="S897" i="9"/>
  <c r="T897" i="9"/>
  <c r="U897" i="9"/>
  <c r="V897" i="9"/>
  <c r="K898" i="9"/>
  <c r="L898" i="9"/>
  <c r="M898" i="9"/>
  <c r="N898" i="9"/>
  <c r="O898" i="9"/>
  <c r="P898" i="9"/>
  <c r="Q898" i="9"/>
  <c r="R898" i="9"/>
  <c r="S898" i="9"/>
  <c r="T898" i="9"/>
  <c r="U898" i="9"/>
  <c r="V898" i="9"/>
  <c r="K899" i="9"/>
  <c r="L899" i="9"/>
  <c r="M899" i="9"/>
  <c r="N899" i="9"/>
  <c r="O899" i="9"/>
  <c r="P899" i="9"/>
  <c r="Q899" i="9"/>
  <c r="R899" i="9"/>
  <c r="S899" i="9"/>
  <c r="T899" i="9"/>
  <c r="U899" i="9"/>
  <c r="V899" i="9"/>
  <c r="K900" i="9"/>
  <c r="L900" i="9"/>
  <c r="M900" i="9"/>
  <c r="N900" i="9"/>
  <c r="O900" i="9"/>
  <c r="P900" i="9"/>
  <c r="Q900" i="9"/>
  <c r="R900" i="9"/>
  <c r="S900" i="9"/>
  <c r="T900" i="9"/>
  <c r="U900" i="9"/>
  <c r="V900" i="9"/>
  <c r="K901" i="9"/>
  <c r="L901" i="9"/>
  <c r="M901" i="9"/>
  <c r="N901" i="9"/>
  <c r="O901" i="9"/>
  <c r="P901" i="9"/>
  <c r="Q901" i="9"/>
  <c r="R901" i="9"/>
  <c r="S901" i="9"/>
  <c r="T901" i="9"/>
  <c r="U901" i="9"/>
  <c r="V901" i="9"/>
  <c r="K902" i="9"/>
  <c r="L902" i="9"/>
  <c r="M902" i="9"/>
  <c r="N902" i="9"/>
  <c r="O902" i="9"/>
  <c r="P902" i="9"/>
  <c r="Q902" i="9"/>
  <c r="R902" i="9"/>
  <c r="S902" i="9"/>
  <c r="T902" i="9"/>
  <c r="U902" i="9"/>
  <c r="V902" i="9"/>
  <c r="K903" i="9"/>
  <c r="L903" i="9"/>
  <c r="M903" i="9"/>
  <c r="N903" i="9"/>
  <c r="O903" i="9"/>
  <c r="P903" i="9"/>
  <c r="Q903" i="9"/>
  <c r="R903" i="9"/>
  <c r="S903" i="9"/>
  <c r="T903" i="9"/>
  <c r="U903" i="9"/>
  <c r="V903" i="9"/>
  <c r="K904" i="9"/>
  <c r="L904" i="9"/>
  <c r="M904" i="9"/>
  <c r="N904" i="9"/>
  <c r="O904" i="9"/>
  <c r="P904" i="9"/>
  <c r="Q904" i="9"/>
  <c r="R904" i="9"/>
  <c r="S904" i="9"/>
  <c r="T904" i="9"/>
  <c r="U904" i="9"/>
  <c r="V904" i="9"/>
  <c r="K905" i="9"/>
  <c r="L905" i="9"/>
  <c r="M905" i="9"/>
  <c r="N905" i="9"/>
  <c r="O905" i="9"/>
  <c r="P905" i="9"/>
  <c r="Q905" i="9"/>
  <c r="R905" i="9"/>
  <c r="S905" i="9"/>
  <c r="T905" i="9"/>
  <c r="U905" i="9"/>
  <c r="V905" i="9"/>
  <c r="K906" i="9"/>
  <c r="L906" i="9"/>
  <c r="M906" i="9"/>
  <c r="N906" i="9"/>
  <c r="O906" i="9"/>
  <c r="P906" i="9"/>
  <c r="Q906" i="9"/>
  <c r="R906" i="9"/>
  <c r="S906" i="9"/>
  <c r="T906" i="9"/>
  <c r="U906" i="9"/>
  <c r="V906" i="9"/>
  <c r="K907" i="9"/>
  <c r="L907" i="9"/>
  <c r="M907" i="9"/>
  <c r="N907" i="9"/>
  <c r="O907" i="9"/>
  <c r="P907" i="9"/>
  <c r="Q907" i="9"/>
  <c r="R907" i="9"/>
  <c r="S907" i="9"/>
  <c r="T907" i="9"/>
  <c r="U907" i="9"/>
  <c r="V907" i="9"/>
  <c r="K908" i="9"/>
  <c r="L908" i="9"/>
  <c r="M908" i="9"/>
  <c r="N908" i="9"/>
  <c r="O908" i="9"/>
  <c r="P908" i="9"/>
  <c r="Q908" i="9"/>
  <c r="R908" i="9"/>
  <c r="S908" i="9"/>
  <c r="T908" i="9"/>
  <c r="U908" i="9"/>
  <c r="V908" i="9"/>
  <c r="K909" i="9"/>
  <c r="L909" i="9"/>
  <c r="M909" i="9"/>
  <c r="N909" i="9"/>
  <c r="O909" i="9"/>
  <c r="P909" i="9"/>
  <c r="Q909" i="9"/>
  <c r="R909" i="9"/>
  <c r="S909" i="9"/>
  <c r="T909" i="9"/>
  <c r="U909" i="9"/>
  <c r="V909" i="9"/>
  <c r="K910" i="9"/>
  <c r="L910" i="9"/>
  <c r="M910" i="9"/>
  <c r="N910" i="9"/>
  <c r="O910" i="9"/>
  <c r="P910" i="9"/>
  <c r="Q910" i="9"/>
  <c r="R910" i="9"/>
  <c r="S910" i="9"/>
  <c r="T910" i="9"/>
  <c r="U910" i="9"/>
  <c r="V910" i="9"/>
  <c r="K911" i="9"/>
  <c r="L911" i="9"/>
  <c r="M911" i="9"/>
  <c r="N911" i="9"/>
  <c r="O911" i="9"/>
  <c r="P911" i="9"/>
  <c r="Q911" i="9"/>
  <c r="R911" i="9"/>
  <c r="S911" i="9"/>
  <c r="T911" i="9"/>
  <c r="U911" i="9"/>
  <c r="V911" i="9"/>
  <c r="K912" i="9"/>
  <c r="L912" i="9"/>
  <c r="M912" i="9"/>
  <c r="N912" i="9"/>
  <c r="O912" i="9"/>
  <c r="P912" i="9"/>
  <c r="Q912" i="9"/>
  <c r="R912" i="9"/>
  <c r="S912" i="9"/>
  <c r="T912" i="9"/>
  <c r="U912" i="9"/>
  <c r="V912" i="9"/>
  <c r="K913" i="9"/>
  <c r="L913" i="9"/>
  <c r="M913" i="9"/>
  <c r="N913" i="9"/>
  <c r="O913" i="9"/>
  <c r="P913" i="9"/>
  <c r="Q913" i="9"/>
  <c r="R913" i="9"/>
  <c r="S913" i="9"/>
  <c r="T913" i="9"/>
  <c r="U913" i="9"/>
  <c r="V913" i="9"/>
  <c r="K914" i="9"/>
  <c r="L914" i="9"/>
  <c r="M914" i="9"/>
  <c r="N914" i="9"/>
  <c r="O914" i="9"/>
  <c r="P914" i="9"/>
  <c r="Q914" i="9"/>
  <c r="R914" i="9"/>
  <c r="S914" i="9"/>
  <c r="T914" i="9"/>
  <c r="U914" i="9"/>
  <c r="V914" i="9"/>
  <c r="K915" i="9"/>
  <c r="L915" i="9"/>
  <c r="M915" i="9"/>
  <c r="N915" i="9"/>
  <c r="O915" i="9"/>
  <c r="P915" i="9"/>
  <c r="Q915" i="9"/>
  <c r="R915" i="9"/>
  <c r="S915" i="9"/>
  <c r="T915" i="9"/>
  <c r="U915" i="9"/>
  <c r="V915" i="9"/>
  <c r="K916" i="9"/>
  <c r="L916" i="9"/>
  <c r="M916" i="9"/>
  <c r="N916" i="9"/>
  <c r="O916" i="9"/>
  <c r="P916" i="9"/>
  <c r="Q916" i="9"/>
  <c r="R916" i="9"/>
  <c r="S916" i="9"/>
  <c r="T916" i="9"/>
  <c r="U916" i="9"/>
  <c r="V916" i="9"/>
  <c r="K917" i="9"/>
  <c r="L917" i="9"/>
  <c r="M917" i="9"/>
  <c r="N917" i="9"/>
  <c r="O917" i="9"/>
  <c r="P917" i="9"/>
  <c r="Q917" i="9"/>
  <c r="R917" i="9"/>
  <c r="S917" i="9"/>
  <c r="T917" i="9"/>
  <c r="U917" i="9"/>
  <c r="V917" i="9"/>
  <c r="K918" i="9"/>
  <c r="L918" i="9"/>
  <c r="M918" i="9"/>
  <c r="N918" i="9"/>
  <c r="O918" i="9"/>
  <c r="P918" i="9"/>
  <c r="Q918" i="9"/>
  <c r="R918" i="9"/>
  <c r="S918" i="9"/>
  <c r="T918" i="9"/>
  <c r="U918" i="9"/>
  <c r="V918" i="9"/>
  <c r="K919" i="9"/>
  <c r="L919" i="9"/>
  <c r="M919" i="9"/>
  <c r="N919" i="9"/>
  <c r="O919" i="9"/>
  <c r="P919" i="9"/>
  <c r="Q919" i="9"/>
  <c r="R919" i="9"/>
  <c r="S919" i="9"/>
  <c r="T919" i="9"/>
  <c r="U919" i="9"/>
  <c r="V919" i="9"/>
  <c r="K920" i="9"/>
  <c r="L920" i="9"/>
  <c r="M920" i="9"/>
  <c r="N920" i="9"/>
  <c r="O920" i="9"/>
  <c r="P920" i="9"/>
  <c r="Q920" i="9"/>
  <c r="R920" i="9"/>
  <c r="S920" i="9"/>
  <c r="T920" i="9"/>
  <c r="U920" i="9"/>
  <c r="V920" i="9"/>
  <c r="K921" i="9"/>
  <c r="L921" i="9"/>
  <c r="M921" i="9"/>
  <c r="N921" i="9"/>
  <c r="O921" i="9"/>
  <c r="P921" i="9"/>
  <c r="Q921" i="9"/>
  <c r="R921" i="9"/>
  <c r="S921" i="9"/>
  <c r="T921" i="9"/>
  <c r="U921" i="9"/>
  <c r="V921" i="9"/>
  <c r="K922" i="9"/>
  <c r="L922" i="9"/>
  <c r="M922" i="9"/>
  <c r="N922" i="9"/>
  <c r="O922" i="9"/>
  <c r="P922" i="9"/>
  <c r="Q922" i="9"/>
  <c r="R922" i="9"/>
  <c r="S922" i="9"/>
  <c r="T922" i="9"/>
  <c r="U922" i="9"/>
  <c r="V922" i="9"/>
  <c r="K923" i="9"/>
  <c r="L923" i="9"/>
  <c r="M923" i="9"/>
  <c r="N923" i="9"/>
  <c r="O923" i="9"/>
  <c r="P923" i="9"/>
  <c r="Q923" i="9"/>
  <c r="R923" i="9"/>
  <c r="S923" i="9"/>
  <c r="T923" i="9"/>
  <c r="U923" i="9"/>
  <c r="V923" i="9"/>
  <c r="K924" i="9"/>
  <c r="L924" i="9"/>
  <c r="M924" i="9"/>
  <c r="N924" i="9"/>
  <c r="O924" i="9"/>
  <c r="P924" i="9"/>
  <c r="Q924" i="9"/>
  <c r="R924" i="9"/>
  <c r="S924" i="9"/>
  <c r="T924" i="9"/>
  <c r="U924" i="9"/>
  <c r="V924" i="9"/>
  <c r="K925" i="9"/>
  <c r="L925" i="9"/>
  <c r="M925" i="9"/>
  <c r="N925" i="9"/>
  <c r="O925" i="9"/>
  <c r="P925" i="9"/>
  <c r="Q925" i="9"/>
  <c r="R925" i="9"/>
  <c r="S925" i="9"/>
  <c r="T925" i="9"/>
  <c r="U925" i="9"/>
  <c r="V925" i="9"/>
  <c r="K926" i="9"/>
  <c r="L926" i="9"/>
  <c r="M926" i="9"/>
  <c r="N926" i="9"/>
  <c r="O926" i="9"/>
  <c r="P926" i="9"/>
  <c r="Q926" i="9"/>
  <c r="R926" i="9"/>
  <c r="S926" i="9"/>
  <c r="T926" i="9"/>
  <c r="U926" i="9"/>
  <c r="V926" i="9"/>
  <c r="K927" i="9"/>
  <c r="L927" i="9"/>
  <c r="M927" i="9"/>
  <c r="N927" i="9"/>
  <c r="O927" i="9"/>
  <c r="P927" i="9"/>
  <c r="Q927" i="9"/>
  <c r="R927" i="9"/>
  <c r="S927" i="9"/>
  <c r="T927" i="9"/>
  <c r="U927" i="9"/>
  <c r="V927" i="9"/>
  <c r="K928" i="9"/>
  <c r="L928" i="9"/>
  <c r="M928" i="9"/>
  <c r="N928" i="9"/>
  <c r="O928" i="9"/>
  <c r="P928" i="9"/>
  <c r="Q928" i="9"/>
  <c r="R928" i="9"/>
  <c r="S928" i="9"/>
  <c r="T928" i="9"/>
  <c r="U928" i="9"/>
  <c r="V928" i="9"/>
  <c r="K929" i="9"/>
  <c r="L929" i="9"/>
  <c r="M929" i="9"/>
  <c r="N929" i="9"/>
  <c r="O929" i="9"/>
  <c r="P929" i="9"/>
  <c r="Q929" i="9"/>
  <c r="R929" i="9"/>
  <c r="S929" i="9"/>
  <c r="T929" i="9"/>
  <c r="U929" i="9"/>
  <c r="V929" i="9"/>
  <c r="K930" i="9"/>
  <c r="L930" i="9"/>
  <c r="M930" i="9"/>
  <c r="N930" i="9"/>
  <c r="O930" i="9"/>
  <c r="P930" i="9"/>
  <c r="Q930" i="9"/>
  <c r="R930" i="9"/>
  <c r="S930" i="9"/>
  <c r="T930" i="9"/>
  <c r="U930" i="9"/>
  <c r="V930" i="9"/>
  <c r="K931" i="9"/>
  <c r="L931" i="9"/>
  <c r="M931" i="9"/>
  <c r="N931" i="9"/>
  <c r="O931" i="9"/>
  <c r="P931" i="9"/>
  <c r="Q931" i="9"/>
  <c r="R931" i="9"/>
  <c r="S931" i="9"/>
  <c r="T931" i="9"/>
  <c r="U931" i="9"/>
  <c r="V931" i="9"/>
  <c r="K932" i="9"/>
  <c r="L932" i="9"/>
  <c r="M932" i="9"/>
  <c r="N932" i="9"/>
  <c r="O932" i="9"/>
  <c r="P932" i="9"/>
  <c r="Q932" i="9"/>
  <c r="R932" i="9"/>
  <c r="S932" i="9"/>
  <c r="T932" i="9"/>
  <c r="U932" i="9"/>
  <c r="V932" i="9"/>
  <c r="K933" i="9"/>
  <c r="L933" i="9"/>
  <c r="M933" i="9"/>
  <c r="N933" i="9"/>
  <c r="O933" i="9"/>
  <c r="P933" i="9"/>
  <c r="Q933" i="9"/>
  <c r="R933" i="9"/>
  <c r="S933" i="9"/>
  <c r="T933" i="9"/>
  <c r="U933" i="9"/>
  <c r="V933" i="9"/>
  <c r="K934" i="9"/>
  <c r="L934" i="9"/>
  <c r="M934" i="9"/>
  <c r="N934" i="9"/>
  <c r="O934" i="9"/>
  <c r="P934" i="9"/>
  <c r="Q934" i="9"/>
  <c r="R934" i="9"/>
  <c r="S934" i="9"/>
  <c r="T934" i="9"/>
  <c r="U934" i="9"/>
  <c r="V934" i="9"/>
  <c r="K935" i="9"/>
  <c r="L935" i="9"/>
  <c r="M935" i="9"/>
  <c r="N935" i="9"/>
  <c r="O935" i="9"/>
  <c r="P935" i="9"/>
  <c r="Q935" i="9"/>
  <c r="R935" i="9"/>
  <c r="S935" i="9"/>
  <c r="T935" i="9"/>
  <c r="U935" i="9"/>
  <c r="V935" i="9"/>
  <c r="K936" i="9"/>
  <c r="L936" i="9"/>
  <c r="M936" i="9"/>
  <c r="N936" i="9"/>
  <c r="O936" i="9"/>
  <c r="P936" i="9"/>
  <c r="Q936" i="9"/>
  <c r="R936" i="9"/>
  <c r="S936" i="9"/>
  <c r="T936" i="9"/>
  <c r="U936" i="9"/>
  <c r="V936" i="9"/>
  <c r="K937" i="9"/>
  <c r="L937" i="9"/>
  <c r="M937" i="9"/>
  <c r="N937" i="9"/>
  <c r="O937" i="9"/>
  <c r="P937" i="9"/>
  <c r="Q937" i="9"/>
  <c r="R937" i="9"/>
  <c r="S937" i="9"/>
  <c r="T937" i="9"/>
  <c r="U937" i="9"/>
  <c r="V937" i="9"/>
  <c r="K938" i="9"/>
  <c r="L938" i="9"/>
  <c r="M938" i="9"/>
  <c r="N938" i="9"/>
  <c r="O938" i="9"/>
  <c r="P938" i="9"/>
  <c r="Q938" i="9"/>
  <c r="R938" i="9"/>
  <c r="S938" i="9"/>
  <c r="T938" i="9"/>
  <c r="U938" i="9"/>
  <c r="V938" i="9"/>
  <c r="K939" i="9"/>
  <c r="L939" i="9"/>
  <c r="M939" i="9"/>
  <c r="N939" i="9"/>
  <c r="O939" i="9"/>
  <c r="P939" i="9"/>
  <c r="Q939" i="9"/>
  <c r="R939" i="9"/>
  <c r="S939" i="9"/>
  <c r="T939" i="9"/>
  <c r="U939" i="9"/>
  <c r="V939" i="9"/>
  <c r="K940" i="9"/>
  <c r="L940" i="9"/>
  <c r="M940" i="9"/>
  <c r="N940" i="9"/>
  <c r="O940" i="9"/>
  <c r="P940" i="9"/>
  <c r="Q940" i="9"/>
  <c r="R940" i="9"/>
  <c r="S940" i="9"/>
  <c r="T940" i="9"/>
  <c r="U940" i="9"/>
  <c r="V940" i="9"/>
  <c r="K941" i="9"/>
  <c r="L941" i="9"/>
  <c r="M941" i="9"/>
  <c r="N941" i="9"/>
  <c r="O941" i="9"/>
  <c r="P941" i="9"/>
  <c r="Q941" i="9"/>
  <c r="R941" i="9"/>
  <c r="S941" i="9"/>
  <c r="T941" i="9"/>
  <c r="U941" i="9"/>
  <c r="V941" i="9"/>
  <c r="K942" i="9"/>
  <c r="L942" i="9"/>
  <c r="M942" i="9"/>
  <c r="N942" i="9"/>
  <c r="O942" i="9"/>
  <c r="P942" i="9"/>
  <c r="Q942" i="9"/>
  <c r="R942" i="9"/>
  <c r="S942" i="9"/>
  <c r="T942" i="9"/>
  <c r="U942" i="9"/>
  <c r="V942" i="9"/>
  <c r="K943" i="9"/>
  <c r="L943" i="9"/>
  <c r="M943" i="9"/>
  <c r="N943" i="9"/>
  <c r="O943" i="9"/>
  <c r="P943" i="9"/>
  <c r="Q943" i="9"/>
  <c r="R943" i="9"/>
  <c r="S943" i="9"/>
  <c r="T943" i="9"/>
  <c r="U943" i="9"/>
  <c r="V943" i="9"/>
  <c r="K944" i="9"/>
  <c r="L944" i="9"/>
  <c r="M944" i="9"/>
  <c r="N944" i="9"/>
  <c r="O944" i="9"/>
  <c r="P944" i="9"/>
  <c r="Q944" i="9"/>
  <c r="R944" i="9"/>
  <c r="S944" i="9"/>
  <c r="T944" i="9"/>
  <c r="U944" i="9"/>
  <c r="V944" i="9"/>
  <c r="K945" i="9"/>
  <c r="L945" i="9"/>
  <c r="M945" i="9"/>
  <c r="N945" i="9"/>
  <c r="O945" i="9"/>
  <c r="P945" i="9"/>
  <c r="Q945" i="9"/>
  <c r="R945" i="9"/>
  <c r="S945" i="9"/>
  <c r="T945" i="9"/>
  <c r="U945" i="9"/>
  <c r="V945" i="9"/>
  <c r="K946" i="9"/>
  <c r="L946" i="9"/>
  <c r="M946" i="9"/>
  <c r="N946" i="9"/>
  <c r="O946" i="9"/>
  <c r="P946" i="9"/>
  <c r="Q946" i="9"/>
  <c r="R946" i="9"/>
  <c r="S946" i="9"/>
  <c r="T946" i="9"/>
  <c r="U946" i="9"/>
  <c r="V946" i="9"/>
  <c r="K947" i="9"/>
  <c r="L947" i="9"/>
  <c r="M947" i="9"/>
  <c r="N947" i="9"/>
  <c r="O947" i="9"/>
  <c r="P947" i="9"/>
  <c r="Q947" i="9"/>
  <c r="R947" i="9"/>
  <c r="S947" i="9"/>
  <c r="T947" i="9"/>
  <c r="U947" i="9"/>
  <c r="V947" i="9"/>
  <c r="K948" i="9"/>
  <c r="L948" i="9"/>
  <c r="M948" i="9"/>
  <c r="N948" i="9"/>
  <c r="O948" i="9"/>
  <c r="P948" i="9"/>
  <c r="Q948" i="9"/>
  <c r="R948" i="9"/>
  <c r="S948" i="9"/>
  <c r="T948" i="9"/>
  <c r="U948" i="9"/>
  <c r="V948" i="9"/>
  <c r="K949" i="9"/>
  <c r="L949" i="9"/>
  <c r="M949" i="9"/>
  <c r="N949" i="9"/>
  <c r="O949" i="9"/>
  <c r="P949" i="9"/>
  <c r="Q949" i="9"/>
  <c r="R949" i="9"/>
  <c r="S949" i="9"/>
  <c r="T949" i="9"/>
  <c r="U949" i="9"/>
  <c r="V949" i="9"/>
  <c r="K950" i="9"/>
  <c r="L950" i="9"/>
  <c r="M950" i="9"/>
  <c r="N950" i="9"/>
  <c r="O950" i="9"/>
  <c r="P950" i="9"/>
  <c r="Q950" i="9"/>
  <c r="R950" i="9"/>
  <c r="S950" i="9"/>
  <c r="T950" i="9"/>
  <c r="U950" i="9"/>
  <c r="V950" i="9"/>
  <c r="K951" i="9"/>
  <c r="L951" i="9"/>
  <c r="M951" i="9"/>
  <c r="N951" i="9"/>
  <c r="O951" i="9"/>
  <c r="P951" i="9"/>
  <c r="Q951" i="9"/>
  <c r="R951" i="9"/>
  <c r="S951" i="9"/>
  <c r="T951" i="9"/>
  <c r="U951" i="9"/>
  <c r="V951" i="9"/>
  <c r="K952" i="9"/>
  <c r="L952" i="9"/>
  <c r="M952" i="9"/>
  <c r="N952" i="9"/>
  <c r="O952" i="9"/>
  <c r="P952" i="9"/>
  <c r="Q952" i="9"/>
  <c r="R952" i="9"/>
  <c r="S952" i="9"/>
  <c r="T952" i="9"/>
  <c r="U952" i="9"/>
  <c r="V952" i="9"/>
  <c r="K953" i="9"/>
  <c r="L953" i="9"/>
  <c r="M953" i="9"/>
  <c r="N953" i="9"/>
  <c r="O953" i="9"/>
  <c r="P953" i="9"/>
  <c r="Q953" i="9"/>
  <c r="R953" i="9"/>
  <c r="S953" i="9"/>
  <c r="T953" i="9"/>
  <c r="U953" i="9"/>
  <c r="V953" i="9"/>
  <c r="K954" i="9"/>
  <c r="L954" i="9"/>
  <c r="M954" i="9"/>
  <c r="N954" i="9"/>
  <c r="O954" i="9"/>
  <c r="P954" i="9"/>
  <c r="Q954" i="9"/>
  <c r="R954" i="9"/>
  <c r="S954" i="9"/>
  <c r="T954" i="9"/>
  <c r="U954" i="9"/>
  <c r="V954" i="9"/>
  <c r="K955" i="9"/>
  <c r="L955" i="9"/>
  <c r="M955" i="9"/>
  <c r="N955" i="9"/>
  <c r="O955" i="9"/>
  <c r="P955" i="9"/>
  <c r="Q955" i="9"/>
  <c r="R955" i="9"/>
  <c r="S955" i="9"/>
  <c r="T955" i="9"/>
  <c r="U955" i="9"/>
  <c r="V955" i="9"/>
  <c r="K956" i="9"/>
  <c r="L956" i="9"/>
  <c r="M956" i="9"/>
  <c r="N956" i="9"/>
  <c r="O956" i="9"/>
  <c r="P956" i="9"/>
  <c r="Q956" i="9"/>
  <c r="R956" i="9"/>
  <c r="S956" i="9"/>
  <c r="T956" i="9"/>
  <c r="U956" i="9"/>
  <c r="V956" i="9"/>
  <c r="K957" i="9"/>
  <c r="L957" i="9"/>
  <c r="M957" i="9"/>
  <c r="N957" i="9"/>
  <c r="O957" i="9"/>
  <c r="P957" i="9"/>
  <c r="Q957" i="9"/>
  <c r="R957" i="9"/>
  <c r="S957" i="9"/>
  <c r="T957" i="9"/>
  <c r="U957" i="9"/>
  <c r="V957" i="9"/>
  <c r="K958" i="9"/>
  <c r="L958" i="9"/>
  <c r="M958" i="9"/>
  <c r="N958" i="9"/>
  <c r="O958" i="9"/>
  <c r="P958" i="9"/>
  <c r="Q958" i="9"/>
  <c r="R958" i="9"/>
  <c r="S958" i="9"/>
  <c r="T958" i="9"/>
  <c r="U958" i="9"/>
  <c r="V958" i="9"/>
  <c r="K959" i="9"/>
  <c r="L959" i="9"/>
  <c r="M959" i="9"/>
  <c r="N959" i="9"/>
  <c r="O959" i="9"/>
  <c r="P959" i="9"/>
  <c r="Q959" i="9"/>
  <c r="R959" i="9"/>
  <c r="S959" i="9"/>
  <c r="T959" i="9"/>
  <c r="U959" i="9"/>
  <c r="V959" i="9"/>
  <c r="K960" i="9"/>
  <c r="L960" i="9"/>
  <c r="M960" i="9"/>
  <c r="N960" i="9"/>
  <c r="O960" i="9"/>
  <c r="P960" i="9"/>
  <c r="Q960" i="9"/>
  <c r="R960" i="9"/>
  <c r="S960" i="9"/>
  <c r="T960" i="9"/>
  <c r="U960" i="9"/>
  <c r="V960" i="9"/>
  <c r="K961" i="9"/>
  <c r="L961" i="9"/>
  <c r="M961" i="9"/>
  <c r="N961" i="9"/>
  <c r="O961" i="9"/>
  <c r="P961" i="9"/>
  <c r="Q961" i="9"/>
  <c r="R961" i="9"/>
  <c r="S961" i="9"/>
  <c r="T961" i="9"/>
  <c r="U961" i="9"/>
  <c r="V961" i="9"/>
  <c r="K962" i="9"/>
  <c r="L962" i="9"/>
  <c r="M962" i="9"/>
  <c r="N962" i="9"/>
  <c r="O962" i="9"/>
  <c r="P962" i="9"/>
  <c r="Q962" i="9"/>
  <c r="R962" i="9"/>
  <c r="S962" i="9"/>
  <c r="T962" i="9"/>
  <c r="U962" i="9"/>
  <c r="V962" i="9"/>
  <c r="K963" i="9"/>
  <c r="L963" i="9"/>
  <c r="M963" i="9"/>
  <c r="N963" i="9"/>
  <c r="O963" i="9"/>
  <c r="P963" i="9"/>
  <c r="Q963" i="9"/>
  <c r="R963" i="9"/>
  <c r="S963" i="9"/>
  <c r="T963" i="9"/>
  <c r="U963" i="9"/>
  <c r="V963" i="9"/>
  <c r="K964" i="9"/>
  <c r="L964" i="9"/>
  <c r="M964" i="9"/>
  <c r="N964" i="9"/>
  <c r="O964" i="9"/>
  <c r="P964" i="9"/>
  <c r="Q964" i="9"/>
  <c r="R964" i="9"/>
  <c r="S964" i="9"/>
  <c r="T964" i="9"/>
  <c r="U964" i="9"/>
  <c r="V964" i="9"/>
  <c r="K965" i="9"/>
  <c r="L965" i="9"/>
  <c r="M965" i="9"/>
  <c r="N965" i="9"/>
  <c r="O965" i="9"/>
  <c r="P965" i="9"/>
  <c r="Q965" i="9"/>
  <c r="R965" i="9"/>
  <c r="S965" i="9"/>
  <c r="T965" i="9"/>
  <c r="U965" i="9"/>
  <c r="V965" i="9"/>
  <c r="K966" i="9"/>
  <c r="L966" i="9"/>
  <c r="M966" i="9"/>
  <c r="N966" i="9"/>
  <c r="O966" i="9"/>
  <c r="P966" i="9"/>
  <c r="Q966" i="9"/>
  <c r="R966" i="9"/>
  <c r="S966" i="9"/>
  <c r="T966" i="9"/>
  <c r="U966" i="9"/>
  <c r="V966" i="9"/>
  <c r="K967" i="9"/>
  <c r="L967" i="9"/>
  <c r="M967" i="9"/>
  <c r="N967" i="9"/>
  <c r="O967" i="9"/>
  <c r="P967" i="9"/>
  <c r="Q967" i="9"/>
  <c r="R967" i="9"/>
  <c r="S967" i="9"/>
  <c r="T967" i="9"/>
  <c r="U967" i="9"/>
  <c r="V967" i="9"/>
  <c r="K968" i="9"/>
  <c r="L968" i="9"/>
  <c r="M968" i="9"/>
  <c r="N968" i="9"/>
  <c r="O968" i="9"/>
  <c r="P968" i="9"/>
  <c r="Q968" i="9"/>
  <c r="R968" i="9"/>
  <c r="S968" i="9"/>
  <c r="T968" i="9"/>
  <c r="U968" i="9"/>
  <c r="V968" i="9"/>
  <c r="K969" i="9"/>
  <c r="L969" i="9"/>
  <c r="M969" i="9"/>
  <c r="N969" i="9"/>
  <c r="O969" i="9"/>
  <c r="P969" i="9"/>
  <c r="Q969" i="9"/>
  <c r="R969" i="9"/>
  <c r="S969" i="9"/>
  <c r="T969" i="9"/>
  <c r="U969" i="9"/>
  <c r="V969" i="9"/>
  <c r="K970" i="9"/>
  <c r="L970" i="9"/>
  <c r="M970" i="9"/>
  <c r="N970" i="9"/>
  <c r="O970" i="9"/>
  <c r="P970" i="9"/>
  <c r="Q970" i="9"/>
  <c r="R970" i="9"/>
  <c r="S970" i="9"/>
  <c r="T970" i="9"/>
  <c r="U970" i="9"/>
  <c r="V970" i="9"/>
  <c r="K971" i="9"/>
  <c r="L971" i="9"/>
  <c r="M971" i="9"/>
  <c r="N971" i="9"/>
  <c r="O971" i="9"/>
  <c r="P971" i="9"/>
  <c r="Q971" i="9"/>
  <c r="R971" i="9"/>
  <c r="S971" i="9"/>
  <c r="T971" i="9"/>
  <c r="U971" i="9"/>
  <c r="V971" i="9"/>
  <c r="K972" i="9"/>
  <c r="L972" i="9"/>
  <c r="M972" i="9"/>
  <c r="N972" i="9"/>
  <c r="O972" i="9"/>
  <c r="P972" i="9"/>
  <c r="Q972" i="9"/>
  <c r="R972" i="9"/>
  <c r="S972" i="9"/>
  <c r="T972" i="9"/>
  <c r="U972" i="9"/>
  <c r="V972" i="9"/>
  <c r="K973" i="9"/>
  <c r="L973" i="9"/>
  <c r="M973" i="9"/>
  <c r="N973" i="9"/>
  <c r="O973" i="9"/>
  <c r="P973" i="9"/>
  <c r="Q973" i="9"/>
  <c r="R973" i="9"/>
  <c r="S973" i="9"/>
  <c r="T973" i="9"/>
  <c r="U973" i="9"/>
  <c r="V973" i="9"/>
  <c r="K974" i="9"/>
  <c r="L974" i="9"/>
  <c r="M974" i="9"/>
  <c r="N974" i="9"/>
  <c r="O974" i="9"/>
  <c r="P974" i="9"/>
  <c r="Q974" i="9"/>
  <c r="R974" i="9"/>
  <c r="S974" i="9"/>
  <c r="T974" i="9"/>
  <c r="U974" i="9"/>
  <c r="V974" i="9"/>
  <c r="K975" i="9"/>
  <c r="L975" i="9"/>
  <c r="M975" i="9"/>
  <c r="N975" i="9"/>
  <c r="O975" i="9"/>
  <c r="P975" i="9"/>
  <c r="Q975" i="9"/>
  <c r="R975" i="9"/>
  <c r="S975" i="9"/>
  <c r="T975" i="9"/>
  <c r="U975" i="9"/>
  <c r="V975" i="9"/>
  <c r="K976" i="9"/>
  <c r="L976" i="9"/>
  <c r="M976" i="9"/>
  <c r="N976" i="9"/>
  <c r="O976" i="9"/>
  <c r="P976" i="9"/>
  <c r="Q976" i="9"/>
  <c r="R976" i="9"/>
  <c r="S976" i="9"/>
  <c r="T976" i="9"/>
  <c r="U976" i="9"/>
  <c r="V976" i="9"/>
  <c r="K977" i="9"/>
  <c r="L977" i="9"/>
  <c r="M977" i="9"/>
  <c r="N977" i="9"/>
  <c r="O977" i="9"/>
  <c r="P977" i="9"/>
  <c r="Q977" i="9"/>
  <c r="R977" i="9"/>
  <c r="S977" i="9"/>
  <c r="T977" i="9"/>
  <c r="U977" i="9"/>
  <c r="V977" i="9"/>
  <c r="K978" i="9"/>
  <c r="L978" i="9"/>
  <c r="M978" i="9"/>
  <c r="N978" i="9"/>
  <c r="O978" i="9"/>
  <c r="P978" i="9"/>
  <c r="Q978" i="9"/>
  <c r="R978" i="9"/>
  <c r="S978" i="9"/>
  <c r="T978" i="9"/>
  <c r="U978" i="9"/>
  <c r="V978" i="9"/>
  <c r="K979" i="9"/>
  <c r="L979" i="9"/>
  <c r="M979" i="9"/>
  <c r="N979" i="9"/>
  <c r="O979" i="9"/>
  <c r="P979" i="9"/>
  <c r="Q979" i="9"/>
  <c r="R979" i="9"/>
  <c r="S979" i="9"/>
  <c r="T979" i="9"/>
  <c r="U979" i="9"/>
  <c r="V979" i="9"/>
  <c r="K980" i="9"/>
  <c r="L980" i="9"/>
  <c r="M980" i="9"/>
  <c r="N980" i="9"/>
  <c r="O980" i="9"/>
  <c r="P980" i="9"/>
  <c r="Q980" i="9"/>
  <c r="R980" i="9"/>
  <c r="S980" i="9"/>
  <c r="T980" i="9"/>
  <c r="U980" i="9"/>
  <c r="V980" i="9"/>
  <c r="K981" i="9"/>
  <c r="L981" i="9"/>
  <c r="M981" i="9"/>
  <c r="N981" i="9"/>
  <c r="O981" i="9"/>
  <c r="P981" i="9"/>
  <c r="Q981" i="9"/>
  <c r="R981" i="9"/>
  <c r="S981" i="9"/>
  <c r="T981" i="9"/>
  <c r="U981" i="9"/>
  <c r="V981" i="9"/>
  <c r="K982" i="9"/>
  <c r="L982" i="9"/>
  <c r="M982" i="9"/>
  <c r="N982" i="9"/>
  <c r="O982" i="9"/>
  <c r="P982" i="9"/>
  <c r="Q982" i="9"/>
  <c r="R982" i="9"/>
  <c r="S982" i="9"/>
  <c r="T982" i="9"/>
  <c r="U982" i="9"/>
  <c r="V982" i="9"/>
  <c r="K983" i="9"/>
  <c r="L983" i="9"/>
  <c r="M983" i="9"/>
  <c r="N983" i="9"/>
  <c r="O983" i="9"/>
  <c r="P983" i="9"/>
  <c r="Q983" i="9"/>
  <c r="R983" i="9"/>
  <c r="S983" i="9"/>
  <c r="T983" i="9"/>
  <c r="U983" i="9"/>
  <c r="V983" i="9"/>
  <c r="K984" i="9"/>
  <c r="L984" i="9"/>
  <c r="M984" i="9"/>
  <c r="N984" i="9"/>
  <c r="O984" i="9"/>
  <c r="P984" i="9"/>
  <c r="Q984" i="9"/>
  <c r="R984" i="9"/>
  <c r="S984" i="9"/>
  <c r="T984" i="9"/>
  <c r="U984" i="9"/>
  <c r="V984" i="9"/>
  <c r="K985" i="9"/>
  <c r="L985" i="9"/>
  <c r="M985" i="9"/>
  <c r="N985" i="9"/>
  <c r="O985" i="9"/>
  <c r="P985" i="9"/>
  <c r="Q985" i="9"/>
  <c r="R985" i="9"/>
  <c r="S985" i="9"/>
  <c r="T985" i="9"/>
  <c r="U985" i="9"/>
  <c r="V985" i="9"/>
  <c r="K986" i="9"/>
  <c r="L986" i="9"/>
  <c r="M986" i="9"/>
  <c r="N986" i="9"/>
  <c r="O986" i="9"/>
  <c r="P986" i="9"/>
  <c r="Q986" i="9"/>
  <c r="R986" i="9"/>
  <c r="S986" i="9"/>
  <c r="T986" i="9"/>
  <c r="U986" i="9"/>
  <c r="V986" i="9"/>
  <c r="K987" i="9"/>
  <c r="L987" i="9"/>
  <c r="M987" i="9"/>
  <c r="N987" i="9"/>
  <c r="O987" i="9"/>
  <c r="P987" i="9"/>
  <c r="Q987" i="9"/>
  <c r="R987" i="9"/>
  <c r="S987" i="9"/>
  <c r="T987" i="9"/>
  <c r="U987" i="9"/>
  <c r="V987" i="9"/>
  <c r="K988" i="9"/>
  <c r="L988" i="9"/>
  <c r="M988" i="9"/>
  <c r="N988" i="9"/>
  <c r="O988" i="9"/>
  <c r="P988" i="9"/>
  <c r="Q988" i="9"/>
  <c r="R988" i="9"/>
  <c r="S988" i="9"/>
  <c r="T988" i="9"/>
  <c r="U988" i="9"/>
  <c r="V988" i="9"/>
  <c r="K989" i="9"/>
  <c r="L989" i="9"/>
  <c r="M989" i="9"/>
  <c r="N989" i="9"/>
  <c r="O989" i="9"/>
  <c r="P989" i="9"/>
  <c r="Q989" i="9"/>
  <c r="R989" i="9"/>
  <c r="S989" i="9"/>
  <c r="T989" i="9"/>
  <c r="U989" i="9"/>
  <c r="V989" i="9"/>
  <c r="K990" i="9"/>
  <c r="L990" i="9"/>
  <c r="M990" i="9"/>
  <c r="N990" i="9"/>
  <c r="O990" i="9"/>
  <c r="P990" i="9"/>
  <c r="Q990" i="9"/>
  <c r="R990" i="9"/>
  <c r="S990" i="9"/>
  <c r="T990" i="9"/>
  <c r="U990" i="9"/>
  <c r="V990" i="9"/>
  <c r="K991" i="9"/>
  <c r="L991" i="9"/>
  <c r="M991" i="9"/>
  <c r="N991" i="9"/>
  <c r="O991" i="9"/>
  <c r="P991" i="9"/>
  <c r="Q991" i="9"/>
  <c r="R991" i="9"/>
  <c r="S991" i="9"/>
  <c r="T991" i="9"/>
  <c r="U991" i="9"/>
  <c r="V991" i="9"/>
  <c r="K992" i="9"/>
  <c r="L992" i="9"/>
  <c r="M992" i="9"/>
  <c r="N992" i="9"/>
  <c r="O992" i="9"/>
  <c r="P992" i="9"/>
  <c r="Q992" i="9"/>
  <c r="R992" i="9"/>
  <c r="S992" i="9"/>
  <c r="T992" i="9"/>
  <c r="U992" i="9"/>
  <c r="V992" i="9"/>
  <c r="K993" i="9"/>
  <c r="L993" i="9"/>
  <c r="M993" i="9"/>
  <c r="N993" i="9"/>
  <c r="O993" i="9"/>
  <c r="P993" i="9"/>
  <c r="Q993" i="9"/>
  <c r="R993" i="9"/>
  <c r="S993" i="9"/>
  <c r="T993" i="9"/>
  <c r="U993" i="9"/>
  <c r="V993" i="9"/>
  <c r="K994" i="9"/>
  <c r="L994" i="9"/>
  <c r="M994" i="9"/>
  <c r="N994" i="9"/>
  <c r="O994" i="9"/>
  <c r="P994" i="9"/>
  <c r="Q994" i="9"/>
  <c r="R994" i="9"/>
  <c r="S994" i="9"/>
  <c r="T994" i="9"/>
  <c r="U994" i="9"/>
  <c r="V994" i="9"/>
  <c r="K995" i="9"/>
  <c r="L995" i="9"/>
  <c r="M995" i="9"/>
  <c r="N995" i="9"/>
  <c r="O995" i="9"/>
  <c r="P995" i="9"/>
  <c r="Q995" i="9"/>
  <c r="R995" i="9"/>
  <c r="S995" i="9"/>
  <c r="T995" i="9"/>
  <c r="U995" i="9"/>
  <c r="V995" i="9"/>
  <c r="K996" i="9"/>
  <c r="L996" i="9"/>
  <c r="M996" i="9"/>
  <c r="N996" i="9"/>
  <c r="O996" i="9"/>
  <c r="P996" i="9"/>
  <c r="Q996" i="9"/>
  <c r="R996" i="9"/>
  <c r="S996" i="9"/>
  <c r="T996" i="9"/>
  <c r="U996" i="9"/>
  <c r="V996" i="9"/>
  <c r="K997" i="9"/>
  <c r="L997" i="9"/>
  <c r="M997" i="9"/>
  <c r="N997" i="9"/>
  <c r="O997" i="9"/>
  <c r="P997" i="9"/>
  <c r="Q997" i="9"/>
  <c r="R997" i="9"/>
  <c r="S997" i="9"/>
  <c r="T997" i="9"/>
  <c r="U997" i="9"/>
  <c r="V997" i="9"/>
  <c r="K998" i="9"/>
  <c r="L998" i="9"/>
  <c r="M998" i="9"/>
  <c r="N998" i="9"/>
  <c r="O998" i="9"/>
  <c r="P998" i="9"/>
  <c r="Q998" i="9"/>
  <c r="R998" i="9"/>
  <c r="S998" i="9"/>
  <c r="T998" i="9"/>
  <c r="U998" i="9"/>
  <c r="V998" i="9"/>
  <c r="K999" i="9"/>
  <c r="L999" i="9"/>
  <c r="M999" i="9"/>
  <c r="N999" i="9"/>
  <c r="O999" i="9"/>
  <c r="P999" i="9"/>
  <c r="Q999" i="9"/>
  <c r="R999" i="9"/>
  <c r="S999" i="9"/>
  <c r="T999" i="9"/>
  <c r="U999" i="9"/>
  <c r="V999" i="9"/>
  <c r="K1000" i="9"/>
  <c r="L1000" i="9"/>
  <c r="M1000" i="9"/>
  <c r="N1000" i="9"/>
  <c r="O1000" i="9"/>
  <c r="P1000" i="9"/>
  <c r="Q1000" i="9"/>
  <c r="R1000" i="9"/>
  <c r="S1000" i="9"/>
  <c r="T1000" i="9"/>
  <c r="U1000" i="9"/>
  <c r="V1000" i="9"/>
  <c r="K1001" i="9"/>
  <c r="L1001" i="9"/>
  <c r="M1001" i="9"/>
  <c r="N1001" i="9"/>
  <c r="O1001" i="9"/>
  <c r="P1001" i="9"/>
  <c r="Q1001" i="9"/>
  <c r="R1001" i="9"/>
  <c r="S1001" i="9"/>
  <c r="T1001" i="9"/>
  <c r="U1001" i="9"/>
  <c r="V1001" i="9"/>
  <c r="S5" i="4"/>
  <c r="S6" i="4"/>
  <c r="S7" i="4"/>
  <c r="S8" i="4"/>
  <c r="S9" i="4"/>
  <c r="S10" i="4"/>
  <c r="S11" i="4"/>
  <c r="S12" i="4"/>
  <c r="U5" i="4"/>
  <c r="U6" i="4"/>
  <c r="U7" i="4"/>
  <c r="U8" i="4"/>
  <c r="U9" i="4"/>
  <c r="U10" i="4"/>
  <c r="U11" i="4"/>
  <c r="U12" i="4"/>
  <c r="T5" i="4"/>
  <c r="T6" i="4"/>
  <c r="T7" i="4"/>
  <c r="T8" i="4"/>
  <c r="T9" i="4"/>
  <c r="T10" i="4"/>
  <c r="T11" i="4"/>
  <c r="T12" i="4"/>
  <c r="R5" i="4"/>
  <c r="R6" i="4"/>
  <c r="R7" i="4"/>
  <c r="R8" i="4"/>
  <c r="R9" i="4"/>
  <c r="R10" i="4"/>
  <c r="R11" i="4"/>
  <c r="R12" i="4"/>
  <c r="I5" i="4"/>
  <c r="I6" i="4"/>
  <c r="I7" i="4"/>
  <c r="I8" i="4"/>
  <c r="I9" i="4"/>
  <c r="I10" i="4"/>
  <c r="I11" i="4"/>
  <c r="I12" i="4"/>
  <c r="H5" i="4"/>
  <c r="Q5" i="4" s="1"/>
  <c r="H6" i="4"/>
  <c r="Q6" i="4" s="1"/>
  <c r="H7" i="4"/>
  <c r="Q7" i="4" s="1"/>
  <c r="H8" i="4"/>
  <c r="Q8" i="4" s="1"/>
  <c r="H9" i="4"/>
  <c r="Q9" i="4" s="1"/>
  <c r="H10" i="4"/>
  <c r="Q10" i="4" s="1"/>
  <c r="H11" i="4"/>
  <c r="Q11" i="4" s="1"/>
  <c r="H12" i="4"/>
  <c r="Q12" i="4" s="1"/>
  <c r="G5" i="4"/>
  <c r="G6" i="4"/>
  <c r="G7" i="4"/>
  <c r="G8" i="4"/>
  <c r="G9" i="4"/>
  <c r="G10" i="4"/>
  <c r="G11" i="4"/>
  <c r="G12" i="4"/>
  <c r="L4" i="4"/>
  <c r="L5" i="4"/>
  <c r="L6" i="4"/>
  <c r="L7" i="4"/>
  <c r="L8" i="4"/>
  <c r="L9" i="4"/>
  <c r="L10" i="4"/>
  <c r="L11" i="4"/>
  <c r="L12" i="4"/>
  <c r="L3" i="4"/>
  <c r="J13" i="9"/>
  <c r="J14" i="9"/>
  <c r="D2" i="9"/>
  <c r="I5" i="9"/>
  <c r="J5" i="9" s="1"/>
  <c r="K4" i="4"/>
  <c r="K5" i="4"/>
  <c r="K6" i="4"/>
  <c r="K7" i="4"/>
  <c r="K8" i="4"/>
  <c r="K9" i="4"/>
  <c r="K10" i="4"/>
  <c r="K11" i="4"/>
  <c r="K12" i="4"/>
  <c r="K3" i="4"/>
  <c r="J4" i="4"/>
  <c r="J5" i="4"/>
  <c r="J6" i="4"/>
  <c r="J7" i="4"/>
  <c r="J8" i="4"/>
  <c r="J9" i="4"/>
  <c r="J10" i="4"/>
  <c r="J11" i="4"/>
  <c r="J12" i="4"/>
  <c r="J3" i="4"/>
  <c r="I3" i="3" l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2" i="3"/>
  <c r="N4" i="6"/>
  <c r="N5" i="6"/>
  <c r="N6" i="6"/>
  <c r="N7" i="6"/>
  <c r="N8" i="6"/>
  <c r="N9" i="6"/>
  <c r="N10" i="6"/>
  <c r="N11" i="6"/>
  <c r="N12" i="6"/>
  <c r="N3" i="6"/>
  <c r="N2" i="6" l="1"/>
  <c r="AV25" i="4"/>
  <c r="AT25" i="4"/>
  <c r="AV15" i="4"/>
  <c r="AT19" i="4"/>
  <c r="AT15" i="4"/>
  <c r="C17" i="5" l="1"/>
  <c r="B4" i="6" l="1"/>
  <c r="B5" i="6"/>
  <c r="B6" i="6"/>
  <c r="B7" i="6"/>
  <c r="B8" i="6"/>
  <c r="B9" i="6"/>
  <c r="B10" i="6"/>
  <c r="B11" i="6"/>
  <c r="B12" i="6"/>
  <c r="B3" i="6"/>
  <c r="H1" i="6" l="1"/>
  <c r="H4" i="6"/>
  <c r="H3" i="6"/>
  <c r="I4" i="6" l="1"/>
  <c r="A17" i="5"/>
  <c r="C20" i="5"/>
  <c r="F2" i="4" l="1"/>
  <c r="H5" i="6" l="1"/>
  <c r="H6" i="6"/>
  <c r="H7" i="6"/>
  <c r="H8" i="6"/>
  <c r="H9" i="6"/>
  <c r="H10" i="6"/>
  <c r="H11" i="6"/>
  <c r="H12" i="6"/>
  <c r="I9" i="6" l="1"/>
  <c r="I10" i="6"/>
  <c r="I11" i="6"/>
  <c r="I12" i="6"/>
  <c r="G4" i="9"/>
  <c r="G5" i="9"/>
  <c r="G6" i="9"/>
  <c r="G7" i="9"/>
  <c r="G8" i="9"/>
  <c r="G9" i="9"/>
  <c r="G10" i="9"/>
  <c r="G11" i="9"/>
  <c r="G12" i="9"/>
  <c r="G13" i="9"/>
  <c r="G14" i="9"/>
  <c r="G3" i="9"/>
  <c r="E3" i="4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877" i="9"/>
  <c r="A878" i="9"/>
  <c r="A879" i="9"/>
  <c r="A880" i="9"/>
  <c r="A881" i="9"/>
  <c r="A882" i="9"/>
  <c r="A883" i="9"/>
  <c r="A884" i="9"/>
  <c r="A885" i="9"/>
  <c r="A886" i="9"/>
  <c r="A887" i="9"/>
  <c r="A888" i="9"/>
  <c r="A889" i="9"/>
  <c r="A890" i="9"/>
  <c r="A891" i="9"/>
  <c r="A892" i="9"/>
  <c r="A893" i="9"/>
  <c r="A894" i="9"/>
  <c r="A895" i="9"/>
  <c r="A896" i="9"/>
  <c r="A897" i="9"/>
  <c r="A898" i="9"/>
  <c r="A899" i="9"/>
  <c r="A900" i="9"/>
  <c r="A901" i="9"/>
  <c r="A902" i="9"/>
  <c r="A903" i="9"/>
  <c r="A904" i="9"/>
  <c r="A905" i="9"/>
  <c r="A906" i="9"/>
  <c r="A907" i="9"/>
  <c r="A908" i="9"/>
  <c r="A909" i="9"/>
  <c r="A910" i="9"/>
  <c r="A911" i="9"/>
  <c r="A912" i="9"/>
  <c r="A913" i="9"/>
  <c r="A914" i="9"/>
  <c r="A915" i="9"/>
  <c r="A916" i="9"/>
  <c r="A917" i="9"/>
  <c r="A918" i="9"/>
  <c r="A919" i="9"/>
  <c r="A920" i="9"/>
  <c r="A921" i="9"/>
  <c r="A922" i="9"/>
  <c r="A923" i="9"/>
  <c r="A924" i="9"/>
  <c r="A925" i="9"/>
  <c r="A926" i="9"/>
  <c r="A927" i="9"/>
  <c r="A928" i="9"/>
  <c r="A929" i="9"/>
  <c r="A930" i="9"/>
  <c r="A931" i="9"/>
  <c r="A932" i="9"/>
  <c r="A933" i="9"/>
  <c r="A934" i="9"/>
  <c r="A935" i="9"/>
  <c r="A936" i="9"/>
  <c r="A937" i="9"/>
  <c r="A938" i="9"/>
  <c r="A939" i="9"/>
  <c r="A940" i="9"/>
  <c r="A941" i="9"/>
  <c r="A942" i="9"/>
  <c r="A943" i="9"/>
  <c r="A944" i="9"/>
  <c r="A945" i="9"/>
  <c r="A946" i="9"/>
  <c r="A947" i="9"/>
  <c r="A948" i="9"/>
  <c r="A949" i="9"/>
  <c r="A950" i="9"/>
  <c r="A951" i="9"/>
  <c r="A952" i="9"/>
  <c r="A953" i="9"/>
  <c r="A954" i="9"/>
  <c r="A955" i="9"/>
  <c r="A956" i="9"/>
  <c r="A957" i="9"/>
  <c r="A958" i="9"/>
  <c r="A959" i="9"/>
  <c r="A960" i="9"/>
  <c r="A961" i="9"/>
  <c r="A962" i="9"/>
  <c r="A963" i="9"/>
  <c r="A964" i="9"/>
  <c r="A965" i="9"/>
  <c r="A966" i="9"/>
  <c r="A967" i="9"/>
  <c r="A968" i="9"/>
  <c r="A969" i="9"/>
  <c r="A970" i="9"/>
  <c r="A971" i="9"/>
  <c r="A972" i="9"/>
  <c r="A973" i="9"/>
  <c r="A974" i="9"/>
  <c r="A975" i="9"/>
  <c r="A976" i="9"/>
  <c r="A977" i="9"/>
  <c r="A978" i="9"/>
  <c r="A979" i="9"/>
  <c r="A980" i="9"/>
  <c r="A981" i="9"/>
  <c r="A982" i="9"/>
  <c r="A983" i="9"/>
  <c r="A984" i="9"/>
  <c r="A985" i="9"/>
  <c r="A986" i="9"/>
  <c r="A987" i="9"/>
  <c r="A988" i="9"/>
  <c r="A989" i="9"/>
  <c r="A990" i="9"/>
  <c r="A991" i="9"/>
  <c r="A992" i="9"/>
  <c r="A993" i="9"/>
  <c r="A994" i="9"/>
  <c r="A995" i="9"/>
  <c r="A996" i="9"/>
  <c r="A997" i="9"/>
  <c r="A998" i="9"/>
  <c r="A999" i="9"/>
  <c r="A1000" i="9"/>
  <c r="A1001" i="9"/>
  <c r="A5" i="9"/>
  <c r="A6" i="9"/>
  <c r="A7" i="9"/>
  <c r="A8" i="9"/>
  <c r="A9" i="9"/>
  <c r="A10" i="9"/>
  <c r="A11" i="9"/>
  <c r="A12" i="9"/>
  <c r="A13" i="9"/>
  <c r="A14" i="9"/>
  <c r="A4" i="9"/>
  <c r="B2" i="9"/>
  <c r="S4" i="9" l="1"/>
  <c r="S6" i="9"/>
  <c r="S8" i="9"/>
  <c r="S10" i="9"/>
  <c r="S12" i="9"/>
  <c r="S14" i="9"/>
  <c r="S5" i="9"/>
  <c r="S7" i="9"/>
  <c r="S9" i="9"/>
  <c r="S11" i="9"/>
  <c r="S13" i="9"/>
  <c r="S15" i="9"/>
  <c r="S3" i="9"/>
  <c r="O4" i="9"/>
  <c r="O6" i="9"/>
  <c r="O8" i="9"/>
  <c r="O10" i="9"/>
  <c r="O12" i="9"/>
  <c r="O14" i="9"/>
  <c r="O5" i="9"/>
  <c r="O7" i="9"/>
  <c r="O9" i="9"/>
  <c r="O11" i="9"/>
  <c r="O13" i="9"/>
  <c r="O15" i="9"/>
  <c r="O3" i="9"/>
  <c r="V2" i="9"/>
  <c r="V4" i="9"/>
  <c r="V6" i="9"/>
  <c r="V8" i="9"/>
  <c r="V10" i="9"/>
  <c r="V12" i="9"/>
  <c r="V14" i="9"/>
  <c r="V5" i="9"/>
  <c r="V7" i="9"/>
  <c r="V9" i="9"/>
  <c r="V11" i="9"/>
  <c r="V13" i="9"/>
  <c r="V15" i="9"/>
  <c r="V3" i="9"/>
  <c r="R4" i="9"/>
  <c r="R6" i="9"/>
  <c r="R8" i="9"/>
  <c r="R10" i="9"/>
  <c r="R12" i="9"/>
  <c r="R14" i="9"/>
  <c r="R5" i="9"/>
  <c r="R7" i="9"/>
  <c r="R9" i="9"/>
  <c r="R11" i="9"/>
  <c r="R13" i="9"/>
  <c r="R15" i="9"/>
  <c r="R3" i="9"/>
  <c r="N4" i="9"/>
  <c r="N6" i="9"/>
  <c r="N8" i="9"/>
  <c r="N10" i="9"/>
  <c r="N12" i="9"/>
  <c r="N14" i="9"/>
  <c r="N5" i="9"/>
  <c r="N7" i="9"/>
  <c r="N9" i="9"/>
  <c r="N11" i="9"/>
  <c r="N13" i="9"/>
  <c r="N15" i="9"/>
  <c r="N3" i="9"/>
  <c r="U2" i="9"/>
  <c r="U5" i="9"/>
  <c r="U7" i="9"/>
  <c r="U9" i="9"/>
  <c r="U11" i="9"/>
  <c r="U13" i="9"/>
  <c r="U15" i="9"/>
  <c r="U4" i="9"/>
  <c r="U6" i="9"/>
  <c r="U8" i="9"/>
  <c r="U10" i="9"/>
  <c r="U12" i="9"/>
  <c r="U14" i="9"/>
  <c r="U3" i="9"/>
  <c r="Q5" i="9"/>
  <c r="Q7" i="9"/>
  <c r="Q9" i="9"/>
  <c r="Q11" i="9"/>
  <c r="Q13" i="9"/>
  <c r="Q15" i="9"/>
  <c r="Q4" i="9"/>
  <c r="Q6" i="9"/>
  <c r="Q8" i="9"/>
  <c r="Q10" i="9"/>
  <c r="Q12" i="9"/>
  <c r="Q14" i="9"/>
  <c r="Q3" i="9"/>
  <c r="M5" i="9"/>
  <c r="M7" i="9"/>
  <c r="M9" i="9"/>
  <c r="M11" i="9"/>
  <c r="M13" i="9"/>
  <c r="M15" i="9"/>
  <c r="M4" i="9"/>
  <c r="M6" i="9"/>
  <c r="M8" i="9"/>
  <c r="M10" i="9"/>
  <c r="M12" i="9"/>
  <c r="M14" i="9"/>
  <c r="M3" i="9"/>
  <c r="I12" i="9"/>
  <c r="J12" i="9" s="1"/>
  <c r="T5" i="9"/>
  <c r="T7" i="9"/>
  <c r="T9" i="9"/>
  <c r="T11" i="9"/>
  <c r="T13" i="9"/>
  <c r="T15" i="9"/>
  <c r="T4" i="9"/>
  <c r="T6" i="9"/>
  <c r="T8" i="9"/>
  <c r="T10" i="9"/>
  <c r="T12" i="9"/>
  <c r="T14" i="9"/>
  <c r="T3" i="9"/>
  <c r="P5" i="9"/>
  <c r="P7" i="9"/>
  <c r="P9" i="9"/>
  <c r="P11" i="9"/>
  <c r="P13" i="9"/>
  <c r="P15" i="9"/>
  <c r="P4" i="9"/>
  <c r="P6" i="9"/>
  <c r="P8" i="9"/>
  <c r="P10" i="9"/>
  <c r="P12" i="9"/>
  <c r="P14" i="9"/>
  <c r="P3" i="9"/>
  <c r="M18" i="5"/>
  <c r="M17" i="5"/>
  <c r="L7" i="9"/>
  <c r="L11" i="9"/>
  <c r="L15" i="9"/>
  <c r="L10" i="9"/>
  <c r="L13" i="9"/>
  <c r="L3" i="9"/>
  <c r="L6" i="9"/>
  <c r="L9" i="9"/>
  <c r="L12" i="9"/>
  <c r="L4" i="9"/>
  <c r="L14" i="9"/>
  <c r="L5" i="9"/>
  <c r="L8" i="9"/>
  <c r="K3" i="9"/>
  <c r="K4" i="9"/>
  <c r="K9" i="9"/>
  <c r="K12" i="9"/>
  <c r="K6" i="9"/>
  <c r="K8" i="9"/>
  <c r="K13" i="9"/>
  <c r="K15" i="9"/>
  <c r="K10" i="9"/>
  <c r="K5" i="9"/>
  <c r="K7" i="9"/>
  <c r="K11" i="9"/>
  <c r="K14" i="9"/>
  <c r="M2" i="9"/>
  <c r="Q2" i="9"/>
  <c r="I9" i="9"/>
  <c r="J9" i="9" s="1"/>
  <c r="I10" i="9"/>
  <c r="J10" i="9" s="1"/>
  <c r="N2" i="9"/>
  <c r="P2" i="9"/>
  <c r="L2" i="9"/>
  <c r="K2" i="9"/>
  <c r="I11" i="9"/>
  <c r="J11" i="9" s="1"/>
  <c r="O2" i="9"/>
  <c r="R2" i="9"/>
  <c r="T2" i="9"/>
  <c r="S2" i="9"/>
  <c r="I3" i="6"/>
  <c r="I3" i="9" l="1"/>
  <c r="I4" i="9"/>
  <c r="J4" i="9" s="1"/>
  <c r="U4" i="4" s="1"/>
  <c r="I8" i="6"/>
  <c r="I7" i="6"/>
  <c r="I6" i="6"/>
  <c r="I5" i="6"/>
  <c r="I7" i="9"/>
  <c r="J7" i="9" s="1"/>
  <c r="I8" i="9"/>
  <c r="J8" i="9" s="1"/>
  <c r="I6" i="9"/>
  <c r="J6" i="9" s="1"/>
  <c r="C21" i="4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E9" i="4"/>
  <c r="D2" i="6"/>
  <c r="E2" i="9" l="1"/>
  <c r="J3" i="9"/>
  <c r="B9" i="4"/>
  <c r="V9" i="4" s="1"/>
  <c r="B3" i="4"/>
  <c r="O9" i="4"/>
  <c r="P9" i="4"/>
  <c r="J2" i="6"/>
  <c r="C2" i="4"/>
  <c r="U3" i="4" l="1"/>
  <c r="U2" i="4" s="1"/>
  <c r="M2" i="4" s="1"/>
  <c r="G3" i="4"/>
  <c r="R3" i="4" s="1"/>
  <c r="G4" i="4"/>
  <c r="R4" i="4" s="1"/>
  <c r="H2" i="4"/>
  <c r="G2" i="4"/>
  <c r="E2" i="4"/>
  <c r="E4" i="4"/>
  <c r="E5" i="4"/>
  <c r="E6" i="4"/>
  <c r="E7" i="4"/>
  <c r="E8" i="4"/>
  <c r="E10" i="4"/>
  <c r="E11" i="4"/>
  <c r="E12" i="4"/>
  <c r="J2" i="4" l="1"/>
  <c r="K2" i="4"/>
  <c r="B10" i="4"/>
  <c r="V10" i="4" s="1"/>
  <c r="B5" i="4"/>
  <c r="V5" i="4" s="1"/>
  <c r="B8" i="4"/>
  <c r="V8" i="4" s="1"/>
  <c r="B12" i="4"/>
  <c r="V12" i="4" s="1"/>
  <c r="B7" i="4"/>
  <c r="V7" i="4" s="1"/>
  <c r="B11" i="4"/>
  <c r="V11" i="4" s="1"/>
  <c r="B6" i="4"/>
  <c r="V6" i="4" s="1"/>
  <c r="B4" i="4"/>
  <c r="B2" i="4"/>
  <c r="O2" i="5"/>
  <c r="O6" i="4"/>
  <c r="O7" i="4"/>
  <c r="O11" i="4"/>
  <c r="O10" i="4"/>
  <c r="O5" i="4"/>
  <c r="O12" i="4"/>
  <c r="O8" i="4"/>
  <c r="P10" i="4"/>
  <c r="P12" i="4"/>
  <c r="P11" i="4"/>
  <c r="O12" i="5"/>
  <c r="O10" i="5"/>
  <c r="C12" i="4"/>
  <c r="N12" i="5" s="1"/>
  <c r="C11" i="4"/>
  <c r="N11" i="5" s="1"/>
  <c r="O7" i="5"/>
  <c r="O6" i="5"/>
  <c r="C10" i="4"/>
  <c r="N10" i="5" s="1"/>
  <c r="C9" i="4"/>
  <c r="N9" i="5" s="1"/>
  <c r="O11" i="5"/>
  <c r="P11" i="5" s="1"/>
  <c r="C3" i="4"/>
  <c r="N3" i="5" s="1"/>
  <c r="C7" i="4"/>
  <c r="N7" i="5" s="1"/>
  <c r="N2" i="5"/>
  <c r="C6" i="4"/>
  <c r="N6" i="5" s="1"/>
  <c r="C5" i="4"/>
  <c r="N5" i="5" s="1"/>
  <c r="C8" i="4"/>
  <c r="N8" i="5" s="1"/>
  <c r="C4" i="4"/>
  <c r="N4" i="5" s="1"/>
  <c r="O5" i="5"/>
  <c r="P5" i="5" s="1"/>
  <c r="O9" i="5"/>
  <c r="O4" i="5"/>
  <c r="O8" i="5"/>
  <c r="P8" i="5" s="1"/>
  <c r="O3" i="5"/>
  <c r="A12" i="6"/>
  <c r="A9" i="6"/>
  <c r="A10" i="6"/>
  <c r="A11" i="6"/>
  <c r="T2" i="4" l="1"/>
  <c r="Q2" i="4"/>
  <c r="P2" i="5"/>
  <c r="Q2" i="5" s="1"/>
  <c r="P6" i="5"/>
  <c r="P7" i="5"/>
  <c r="P4" i="5"/>
  <c r="T4" i="4" s="1"/>
  <c r="P12" i="5"/>
  <c r="Q12" i="5" s="1"/>
  <c r="A11" i="4"/>
  <c r="P10" i="5"/>
  <c r="Q10" i="5" s="1"/>
  <c r="P9" i="5"/>
  <c r="Q9" i="5" s="1"/>
  <c r="P3" i="5"/>
  <c r="T3" i="4" s="1"/>
  <c r="A12" i="4"/>
  <c r="A10" i="4"/>
  <c r="Q11" i="5"/>
  <c r="A9" i="4"/>
  <c r="A7" i="6"/>
  <c r="A4" i="6"/>
  <c r="A8" i="6"/>
  <c r="A5" i="6"/>
  <c r="A6" i="6"/>
  <c r="I2" i="4"/>
  <c r="A3" i="6"/>
  <c r="A2" i="6"/>
  <c r="Q3" i="5" l="1"/>
  <c r="R2" i="4"/>
  <c r="Q6" i="5"/>
  <c r="P6" i="4" s="1"/>
  <c r="Q4" i="5"/>
  <c r="Q7" i="5"/>
  <c r="Q5" i="5"/>
  <c r="P5" i="4" s="1"/>
  <c r="Q8" i="5"/>
  <c r="A3" i="4"/>
  <c r="A4" i="4"/>
  <c r="A5" i="4"/>
  <c r="A6" i="4"/>
  <c r="A7" i="4"/>
  <c r="A8" i="4"/>
  <c r="A2" i="4"/>
  <c r="I4" i="4" l="1"/>
  <c r="H4" i="4"/>
  <c r="H3" i="4"/>
  <c r="I3" i="4"/>
  <c r="P3" i="4"/>
  <c r="O3" i="4"/>
  <c r="O4" i="4"/>
  <c r="P8" i="4"/>
  <c r="P4" i="4"/>
  <c r="P7" i="4"/>
  <c r="S4" i="4" l="1"/>
  <c r="S3" i="4"/>
  <c r="Q3" i="4"/>
  <c r="Q4" i="4"/>
  <c r="V4" i="4" s="1"/>
  <c r="S2" i="4" l="1"/>
  <c r="V2" i="4" s="1"/>
  <c r="V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Жигульских Евгений Олегович</author>
  </authors>
  <commentList>
    <comment ref="E1" authorId="0" shapeId="0" xr:uid="{8E3C945C-1AF9-4521-99B1-53013785574F}">
      <text>
        <r>
          <rPr>
            <b/>
            <sz val="9"/>
            <color indexed="81"/>
            <rFont val="Tahoma"/>
            <family val="2"/>
            <charset val="204"/>
          </rPr>
          <t>Запись как в 1С!</t>
        </r>
      </text>
    </comment>
    <comment ref="O1" authorId="0" shapeId="0" xr:uid="{B8CA6F67-B14A-41DD-9FC6-97183B223954}">
      <text>
        <r>
          <rPr>
            <b/>
            <sz val="9"/>
            <color indexed="81"/>
            <rFont val="Tahoma"/>
            <family val="2"/>
            <charset val="204"/>
          </rPr>
          <t>Ручные KPI, 
Если данных нет, то берутся расчетные KPI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" authorId="0" shapeId="0" xr:uid="{4433EA91-0188-4D54-97E1-B1901B3BD387}">
      <text>
        <r>
          <rPr>
            <b/>
            <sz val="9"/>
            <color indexed="81"/>
            <rFont val="Tahoma"/>
            <family val="2"/>
            <charset val="204"/>
          </rPr>
          <t xml:space="preserve">Ручные KPI, 
Если данных нет, то берутся расчетные KPI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1" authorId="0" shapeId="0" xr:uid="{4F2630F7-1F68-4473-B8B7-A1AEC215548E}">
      <text>
        <r>
          <rPr>
            <b/>
            <sz val="9"/>
            <color indexed="81"/>
            <rFont val="Tahoma"/>
            <family val="2"/>
            <charset val="204"/>
          </rPr>
          <t xml:space="preserve">Ручные KPI, 
Если данных нет, то берутся расчетные KPI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" authorId="0" shapeId="0" xr:uid="{29DFBA5F-AE71-4809-8078-44F2D9A0296E}">
      <text>
        <r>
          <rPr>
            <b/>
            <sz val="9"/>
            <color indexed="81"/>
            <rFont val="Tahoma"/>
            <family val="2"/>
            <charset val="204"/>
          </rPr>
          <t xml:space="preserve">Ручные KPI, 
Если данных нет, то берутся расчетные KPI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Жигульских Евгений Олегович</author>
  </authors>
  <commentList>
    <comment ref="A1" authorId="0" shapeId="0" xr:uid="{A8221DC4-0DE7-4969-ACFB-A1A7DCACCD5C}">
      <text>
        <r>
          <rPr>
            <b/>
            <sz val="9"/>
            <color indexed="81"/>
            <rFont val="Tahoma"/>
            <family val="2"/>
            <charset val="204"/>
          </rPr>
          <t>Для СФО переименовать сегмент ДВО в "Сибирский ФО" с заливкой желтым цветом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263A83D-C9EC-44A0-A4B1-74A993F65500}" keepAlive="1" name="ModelConnection_ExternalData_3" description="Модель данных" type="5" refreshedVersion="7" minRefreshableVersion="5" saveData="1">
    <dbPr connection="Data Model Connection" command="Новые_клиенты_для_премии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3C9238C-A1FC-441D-A8B7-740AD11CA521}" keepAlive="1" name="ThisWorkbookDataModel" description="Модель данных" type="5" refreshedVersion="7" minRefreshableVersion="5" saveData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4AE9E507-03BE-483D-AEE7-BDC13BBECC8A}" keepAlive="1" name="Запрос — ИД_Акция" description="Соединение с запросом &quot;ИД_Акция&quot; в книге." type="5" refreshedVersion="7" background="1" saveData="1">
    <dbPr connection="Provider=Microsoft.Mashup.OleDb.1;Data Source=$Workbook$;Location=ИД_Акция;Extended Properties=&quot;&quot;" command="SELECT * FROM [ИД_Акция]"/>
  </connection>
  <connection id="4" xr16:uid="{9134B0E1-8F96-4AE5-A008-26DFAA9F1D19}" keepAlive="1" name="Запрос — ИД_ТГ" description="Соединение с запросом &quot;ИД_ТГ&quot; в книге." type="5" refreshedVersion="7" background="1" saveData="1">
    <dbPr connection="Provider=Microsoft.Mashup.OleDb.1;Data Source=$Workbook$;Location=ИД_ТГ;Extended Properties=&quot;&quot;" command="SELECT * FROM [ИД_ТГ]"/>
  </connection>
  <connection id="5" xr16:uid="{E0AA2FAE-DE37-40D3-B68B-EA2C72FBD0AD}" keepAlive="1" name="Запрос — ИД_Факт_Отгрузок" description="Соединение с запросом &quot;ИД_Факт_Отгрузок&quot; в книге." type="5" refreshedVersion="7" background="1" saveData="1">
    <dbPr connection="Provider=Microsoft.Mashup.OleDb.1;Data Source=$Workbook$;Location=ИД_Факт_Отгрузок;Extended Properties=&quot;&quot;" command="SELECT * FROM [ИД_Факт_Отгрузок]"/>
  </connection>
  <connection id="6" xr16:uid="{42AF9AF3-036C-492E-9B8F-D7699997470D}" name="Запрос — Новые_клиенты_для_премии" description="Соединение с запросом &quot;Новые_клиенты_для_премии&quot; в книге." type="100" refreshedVersion="7" minRefreshableVersion="5" saveData="1">
    <extLst>
      <ext xmlns:x15="http://schemas.microsoft.com/office/spreadsheetml/2010/11/main" uri="{DE250136-89BD-433C-8126-D09CA5730AF9}">
        <x15:connection id="afb6db8a-e2ca-4833-a98a-41494a104282"/>
      </ext>
    </extLst>
  </connection>
  <connection id="7" xr16:uid="{369DF9D1-5743-4DEC-9C99-4DEA58510812}" keepAlive="1" name="Запрос — Оплаты" description="Соединение с запросом &quot;Оплаты&quot; в книге." type="5" refreshedVersion="7" background="1" saveData="1">
    <dbPr connection="Provider=Microsoft.Mashup.OleDb.1;Data Source=$Workbook$;Location=Оплаты;Extended Properties=&quot;&quot;" command="SELECT * FROM [Оплаты]"/>
  </connection>
  <connection id="8" xr16:uid="{895D7E08-BC01-4FDA-8208-AA50BDA5ACB8}" keepAlive="1" name="Запрос — Продажи_артикулов" description="Соединение с запросом &quot;Продажи_артикулов&quot; в книге." type="5" refreshedVersion="7" background="1" saveData="1">
    <dbPr connection="Provider=Microsoft.Mashup.OleDb.1;Data Source=$Workbook$;Location=Продажи_артикулов;Extended Properties=&quot;&quot;" command="SELECT * FROM [Продажи_артикулов]"/>
  </connection>
  <connection id="9" xr16:uid="{03B597BA-9DFA-4849-81B6-3481762918C0}" keepAlive="1" name="Запрос — Продажи_НДС" description="Соединение с запросом &quot;Продажи_НДС&quot; в книге." type="5" refreshedVersion="7" background="1" saveData="1">
    <dbPr connection="Provider=Microsoft.Mashup.OleDb.1;Data Source=$Workbook$;Location=Продажи_НДС;Extended Properties=&quot;&quot;" command="SELECT * FROM [Продажи_НДС]"/>
  </connection>
  <connection id="10" xr16:uid="{3EC68A20-5C7E-46CF-B28D-EF3777990888}" keepAlive="1" name="Запрос — СВОД_расходы" description="Соединение с запросом &quot;СВОД_расходы&quot; в книге." type="5" refreshedVersion="7" background="1" saveData="1">
    <dbPr connection="Provider=Microsoft.Mashup.OleDb.1;Data Source=$Workbook$;Location=СВОД_расходы;Extended Properties=&quot;&quot;" command="SELECT * FROM [СВОД_расходы]"/>
  </connection>
  <connection id="11" xr16:uid="{919C3E08-6533-4D51-B37A-DCC74F69A452}" keepAlive="1" name="Запрос — СВОД_штрафы" description="Соединение с запросом &quot;СВОД_штрафы&quot; в книге." type="5" refreshedVersion="7" background="1" saveData="1">
    <dbPr connection="Provider=Microsoft.Mashup.OleDb.1;Data Source=$Workbook$;Location=СВОД_штрафы;Extended Properties=&quot;&quot;" command="SELECT * FROM [СВОД_штрафы]"/>
  </connection>
  <connection id="12" xr16:uid="{096790D0-7ABE-438A-ACA7-320131805F8A}" name="Запрос — Список_столбцов" description="Соединение с запросом &quot;Список_столбцов&quot; в книге." type="100" refreshedVersion="7" minRefreshableVersion="5" refreshOnLoad="1" saveData="1">
    <extLst>
      <ext xmlns:x15="http://schemas.microsoft.com/office/spreadsheetml/2010/11/main" uri="{DE250136-89BD-433C-8126-D09CA5730AF9}">
        <x15:connection id="46f3ad74-7ae0-41f5-80b6-5dae3d59ad55">
          <x15:oledbPr connection="Provider=Microsoft.Mashup.OleDb.1;Data Source=$Workbook$;Location=Список_столбцов;Extended Properties=&quot;&quot;">
            <x15:dbTables>
              <x15:dbTable name="Список_столбцов"/>
            </x15:dbTables>
          </x15:oledbPr>
        </x15:connection>
      </ext>
    </extLst>
  </connection>
</connections>
</file>

<file path=xl/sharedStrings.xml><?xml version="1.0" encoding="utf-8"?>
<sst xmlns="http://schemas.openxmlformats.org/spreadsheetml/2006/main" count="14264" uniqueCount="1186">
  <si>
    <t>Сегмент</t>
  </si>
  <si>
    <t>Клиент.Группа доступа</t>
  </si>
  <si>
    <t>Клиент.Основной менеджер</t>
  </si>
  <si>
    <t>Выручка</t>
  </si>
  <si>
    <t>ЕАЭС</t>
  </si>
  <si>
    <t>Приволжский ФО</t>
  </si>
  <si>
    <t>Сибирский ФО</t>
  </si>
  <si>
    <t>Уральский ФО</t>
  </si>
  <si>
    <t>Центральный ФО</t>
  </si>
  <si>
    <t>Южный + Кавказский ФО</t>
  </si>
  <si>
    <t>Уменьшение долга клиента</t>
  </si>
  <si>
    <t>Группа доступа</t>
  </si>
  <si>
    <t>Основной менеджер</t>
  </si>
  <si>
    <t>Клиент</t>
  </si>
  <si>
    <t>Договор</t>
  </si>
  <si>
    <t>Документ</t>
  </si>
  <si>
    <t>СЕГМЕНТ</t>
  </si>
  <si>
    <t>ГРУППА ДОСТУПА</t>
  </si>
  <si>
    <t>Телефон</t>
  </si>
  <si>
    <t>Тип мотивации (Адаптационный/постоянный)</t>
  </si>
  <si>
    <t>Должность</t>
  </si>
  <si>
    <t>Тип должности</t>
  </si>
  <si>
    <t>Процессинг</t>
  </si>
  <si>
    <t>Развитие</t>
  </si>
  <si>
    <t>Региональный менеджер</t>
  </si>
  <si>
    <t>Директор</t>
  </si>
  <si>
    <t>Развитие_СНГ</t>
  </si>
  <si>
    <t>Дата приема</t>
  </si>
  <si>
    <t>Тип мотивации</t>
  </si>
  <si>
    <t>Постоянный</t>
  </si>
  <si>
    <t>Адаптационный</t>
  </si>
  <si>
    <t>Испытательный срок</t>
  </si>
  <si>
    <t>для расчета стажа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</si>
  <si>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</si>
  <si>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</si>
  <si>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</si>
  <si>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</si>
  <si>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</si>
  <si>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</si>
  <si>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</si>
  <si>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</si>
  <si>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</si>
  <si>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</si>
  <si>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</si>
  <si>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</si>
  <si>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год</t>
  </si>
  <si>
    <t>месяц</t>
  </si>
  <si>
    <t>день</t>
  </si>
  <si>
    <t>года</t>
  </si>
  <si>
    <t>месяца</t>
  </si>
  <si>
    <t>дня</t>
  </si>
  <si>
    <t>дней</t>
  </si>
  <si>
    <t>лет</t>
  </si>
  <si>
    <t>месяцев</t>
  </si>
  <si>
    <t>Стаж</t>
  </si>
  <si>
    <t>KPI - План/Факт</t>
  </si>
  <si>
    <t>KPI - ДЗ</t>
  </si>
  <si>
    <t>KPI - Клиенты</t>
  </si>
  <si>
    <t>KPI - Звонки</t>
  </si>
  <si>
    <t>Статус развития сотрудника</t>
  </si>
  <si>
    <t>Факт Сумма</t>
  </si>
  <si>
    <t>ПДЗ</t>
  </si>
  <si>
    <t>ВСЕГО ПРОСРОЧЕНО</t>
  </si>
  <si>
    <t>Рабочие дни</t>
  </si>
  <si>
    <t>Новые клиенты</t>
  </si>
  <si>
    <t>Тип</t>
  </si>
  <si>
    <t>Список сотрудников</t>
  </si>
  <si>
    <t>Коэф.расчета</t>
  </si>
  <si>
    <t>расчет коэфициентов</t>
  </si>
  <si>
    <t>Приход Сумма</t>
  </si>
  <si>
    <t>Комментарии:</t>
  </si>
  <si>
    <t>1.</t>
  </si>
  <si>
    <t>Тип МОТИВАЦИИ:</t>
  </si>
  <si>
    <t>Процессинг:</t>
  </si>
  <si>
    <t>ИС пройден</t>
  </si>
  <si>
    <t>Развитие:</t>
  </si>
  <si>
    <t>с 13 мес. работы в компании</t>
  </si>
  <si>
    <t>1-12 мес. Работы в компании</t>
  </si>
  <si>
    <t>С 4 - го мес. работы в компании</t>
  </si>
  <si>
    <t>1-3 мес. работы в компании</t>
  </si>
  <si>
    <t>Проставляем KPI только в случае согласования с Директором по продажам.</t>
  </si>
  <si>
    <t>ПЛАН сумма</t>
  </si>
  <si>
    <t>Северо-Западный ФО</t>
  </si>
  <si>
    <t>Просроченоменее3мес.</t>
  </si>
  <si>
    <t>Просроченоболее3мес.</t>
  </si>
  <si>
    <t>KPI - План/ Факт</t>
  </si>
  <si>
    <t>К</t>
  </si>
  <si>
    <t>Значение</t>
  </si>
  <si>
    <t>П/Ф</t>
  </si>
  <si>
    <t>дз</t>
  </si>
  <si>
    <t>оборот</t>
  </si>
  <si>
    <t>Планы по клиентам</t>
  </si>
  <si>
    <t>KPI -ТГ</t>
  </si>
  <si>
    <t>Дата отчета</t>
  </si>
  <si>
    <t>ИТОГО:</t>
  </si>
  <si>
    <t>Артикул</t>
  </si>
  <si>
    <t>Номенклатура</t>
  </si>
  <si>
    <t>Коллекторная группа с настр. и рег. клапанами, авт. возд-ками и дренаж. клап. нерж. сталь 1", 2х3/4"</t>
  </si>
  <si>
    <t>Коллекторная группа с настр. и рег. клапанами, авт. возд-ками и дренаж. клап. нерж. сталь 1", 3х3/4"</t>
  </si>
  <si>
    <t>Коллекторная группа с настр. и рег. клапанами, авт. возд-ками и дренаж. клап. нерж. сталь 1", 4х3/4"</t>
  </si>
  <si>
    <t>Коллекторная группа с настр. и рег. клапанами, авт. возд-ками и дренаж. клап. нерж. сталь 1", 5х3/4"</t>
  </si>
  <si>
    <t>Коллекторная группа с настр. и рег. клапанами, авт. возд-ками и дренаж. клап. нерж. сталь 1", 6х3/4"</t>
  </si>
  <si>
    <t>Коллекторная группа с настр. и рег. клапанами, авт. возд-ками и дренаж. клап. нерж. сталь 1", 7х3/4"</t>
  </si>
  <si>
    <t>Коллекторная группа с настр. и рег. клапанами, авт. возд-ками и дренаж. клап. нерж. сталь 1", 8х3/4"</t>
  </si>
  <si>
    <t>Коллекторная группа с настр. и рег. клапанами, авт. возд-ками и дренаж. клап. нерж. сталь 1", 9х3/4"</t>
  </si>
  <si>
    <t>Коллекторная группа с настр. и рег. клапанами, авт. возд-ками и дренаж. клап. нерж. сталь 1",10х3/4"</t>
  </si>
  <si>
    <t>Коллекторная группа с настр. и рег. клапанами, авт. возд-ками и дренаж. клап. нерж. сталь 1",11х3/4"</t>
  </si>
  <si>
    <t>Коллекторная группа с настр. и рег. клапанами, авт. возд-ками и дренаж. клап. нерж. сталь 1",12х3/4"</t>
  </si>
  <si>
    <t>Насосно-смесительный узел универсальный с байпасом</t>
  </si>
  <si>
    <t>Клапан регулирующий для радиатора с уплотнением прямой вн-нар 1/2"</t>
  </si>
  <si>
    <t>Клапан регулирующий для радиатора с уплотнением прямой вн-нар 3/4"</t>
  </si>
  <si>
    <t>Клапан регулирующий для радиатора с уплотнением угловой вн-нар 1/2"</t>
  </si>
  <si>
    <t>Клапан регулирующий для радиатора с уплотнением угловой вн-нар 3/4"</t>
  </si>
  <si>
    <t>Клапан настроечный для радиатора с уплотнением прямой вн-нар 1/2"</t>
  </si>
  <si>
    <t>Клапан настроечный для радиатора с уплотнением прямой вн-нар 3/4"</t>
  </si>
  <si>
    <t>Клапан настроечный для радиатора с уплотнением угловой вн-нар 1/2"</t>
  </si>
  <si>
    <t>Клапан настроечный для радиатора с уплотнением угловой вн-нар 3/4"</t>
  </si>
  <si>
    <t>Клапан термостатический для радиатора с уплотнением прямой вн-нар 1/2"</t>
  </si>
  <si>
    <t>Клапан термостатический для радиатора с уплотнением прямой вн-нар 3/4"</t>
  </si>
  <si>
    <t>Клапан термостатический для радиатора с уплотнением угловой вн-нар 1/2"</t>
  </si>
  <si>
    <t>Клапан термостатический для радиатора с уплотнением угловой вн-нар 3/4"</t>
  </si>
  <si>
    <t>Узел нижнего подключения радиатора Н-образный прямой 1/2" нар х 3/4" нар (евроконус)</t>
  </si>
  <si>
    <t>Узел нижнего подключения радиатора Н-образный угловой 1/2" нар х 3/4" нар (евроконус)</t>
  </si>
  <si>
    <t>Термостатическая головка (жидкостная) M30x1,5</t>
  </si>
  <si>
    <t>Сильфонная подводка для газа 1/2" в/в  30 см</t>
  </si>
  <si>
    <t>Сильфонная подводка для газа 1/2" в/в  40 см</t>
  </si>
  <si>
    <t>Сильфонная подводка для газа 1/2" в/в  50 см</t>
  </si>
  <si>
    <t>Сильфонная подводка для газа 1/2" в/в  60 см</t>
  </si>
  <si>
    <t>Сильфонная подводка для газа 1/2" в/в  80 см</t>
  </si>
  <si>
    <t>Сильфонная подводка для газа 1/2" в/в 100 см</t>
  </si>
  <si>
    <t>Сильфонная подводка для газа 1/2" в/в 120 см</t>
  </si>
  <si>
    <t>Сильфонная подводка для газа 1/2" в/в 150 см</t>
  </si>
  <si>
    <t>Сильфонная подводка для газа 1/2" в/в 180 см</t>
  </si>
  <si>
    <t>Сильфонная подводка для газа 1/2" в/в 200 см</t>
  </si>
  <si>
    <t>Сильфонная подводка для газа 1/2" в/в 250 см</t>
  </si>
  <si>
    <t>Сильфонная подводка для газа 1/2" в/в 300 см</t>
  </si>
  <si>
    <t>Сильфонная подводка для газа 1/2" в/в 400 см</t>
  </si>
  <si>
    <t>Сильфонная подводка для газа 1/2" в/в 500 см</t>
  </si>
  <si>
    <t>Сильфонная подводка для газа 1/2" в/н  30 см</t>
  </si>
  <si>
    <t>Сильфонная подводка для газа 1/2" в/н  40 см</t>
  </si>
  <si>
    <t>Сильфонная подводка для газа 1/2" в/н  50 см</t>
  </si>
  <si>
    <t>Сильфонная подводка для газа 1/2" в/н  60 см</t>
  </si>
  <si>
    <t>Сильфонная подводка для газа 1/2" в/н  80 см</t>
  </si>
  <si>
    <t>Сильфонная подводка для газа 1/2" в/н 100 см</t>
  </si>
  <si>
    <t>Сильфонная подводка для газа 1/2" в/н 120 см</t>
  </si>
  <si>
    <t>Сильфонная подводка для газа 1/2" в/н 150 см</t>
  </si>
  <si>
    <t>Сильфонная подводка для газа 1/2" в/н 180 см</t>
  </si>
  <si>
    <t>Сильфонная подводка для газа 1/2" в/н 200 см</t>
  </si>
  <si>
    <t>Сильфонная подводка для газа 1/2" в/н 250 см</t>
  </si>
  <si>
    <t>Сильфонная подводка для газа 1/2" в/н 300 см</t>
  </si>
  <si>
    <t>Сильфонная подводка для газа 1/2" в/н 400 см</t>
  </si>
  <si>
    <t>Сильфонная подводка для газа 1/2" в/н 500 см</t>
  </si>
  <si>
    <t>Сильфонная подводка для газа 3/4" в/в  40 см</t>
  </si>
  <si>
    <t>Сильфонная подводка для газа 3/4" в/в  50 см</t>
  </si>
  <si>
    <t>Сильфонная подводка для газа 3/4" в/в  60 см</t>
  </si>
  <si>
    <t>Сильфонная подводка для газа 3/4" в/в  80 см</t>
  </si>
  <si>
    <t>Сильфонная подводка для газа 3/4" в/в 100 см</t>
  </si>
  <si>
    <t>Сильфонная подводка для газа 3/4" в/в 120 см</t>
  </si>
  <si>
    <t>Сильфонная подводка для газа 3/4" в/в 150 см</t>
  </si>
  <si>
    <t>Сильфонная подводка для газа 3/4" в/в 200 см</t>
  </si>
  <si>
    <t>Сильфонная подводка для газа 3/4" в/в 250 см</t>
  </si>
  <si>
    <t>Сильфонная подводка для газа 3/4" в/в 300 см</t>
  </si>
  <si>
    <t>Сильфонная подводка для газа 3/4" в/н  40 см</t>
  </si>
  <si>
    <t>Сильфонная подводка для газа 3/4" в/н  50 см</t>
  </si>
  <si>
    <t>Сильфонная подводка для газа 3/4" в/н  60 см</t>
  </si>
  <si>
    <t>Сильфонная подводка для газа 3/4" в/н  80 см</t>
  </si>
  <si>
    <t>Сильфонная подводка для газа 3/4" в/н 100 см</t>
  </si>
  <si>
    <t>Сильфонная подводка для газа 3/4" в/н 120 см</t>
  </si>
  <si>
    <t>Сильфонная подводка для газа 3/4" в/н 150 см</t>
  </si>
  <si>
    <t>Сильфонная подводка для газа 3/4" в/н 200 см</t>
  </si>
  <si>
    <t>Сильфонная подводка для газа 3/4" в/н 250 см</t>
  </si>
  <si>
    <t>Сильфонная подводка для газа 3/4" в/н 300 см</t>
  </si>
  <si>
    <t>Подводка ПВХ для газа 1/2" вн-вн  30 см</t>
  </si>
  <si>
    <t>Подводка ПВХ для газа 1/2" вн-вн  40 см</t>
  </si>
  <si>
    <t>Подводка ПВХ для газа 1/2" вн-вн  50 см</t>
  </si>
  <si>
    <t>Подводка ПВХ для газа 1/2" вн-вн  60 см</t>
  </si>
  <si>
    <t>Подводка ПВХ для газа 1/2" вн-вн  80 см</t>
  </si>
  <si>
    <t>Подводка ПВХ для газа 1/2" вн-вн 100 см</t>
  </si>
  <si>
    <t>Подводка ПВХ для газа 1/2" вн-вн 120 см</t>
  </si>
  <si>
    <t>Подводка ПВХ для газа 1/2" вн-вн 150 см</t>
  </si>
  <si>
    <t>Подводка ПВХ для газа 1/2" вн-вн 180 см</t>
  </si>
  <si>
    <t>Подводка ПВХ для газа 1/2" вн-вн 200 см</t>
  </si>
  <si>
    <t>Подводка ПВХ для газа 1/2" вн-вн 250 см</t>
  </si>
  <si>
    <t>Подводка ПВХ для газа 1/2" вн-вн 300 см</t>
  </si>
  <si>
    <t>Подводка ПВХ для газа 1/2" вн-вн 400 см</t>
  </si>
  <si>
    <t>Подводка ПВХ для газа 1/2" вн-вн 500 см</t>
  </si>
  <si>
    <t>Подводка ПВХ для газа 1/2" вн-нар  30 см</t>
  </si>
  <si>
    <t>Подводка ПВХ для газа 1/2" вн-нар  40 см</t>
  </si>
  <si>
    <t>Подводка ПВХ для газа 1/2" вн-нар  50 см</t>
  </si>
  <si>
    <t>Подводка ПВХ для газа 1/2" вн-нар  60 см</t>
  </si>
  <si>
    <t>Подводка ПВХ для газа 1/2" вн-нар  80 см</t>
  </si>
  <si>
    <t>Подводка ПВХ для газа 1/2" вн-нар 100 см</t>
  </si>
  <si>
    <t>Подводка ПВХ для газа 1/2" вн-нар 120 см</t>
  </si>
  <si>
    <t>Подводка ПВХ для газа 1/2" вн-нар 150 см</t>
  </si>
  <si>
    <t>Подводка ПВХ для газа 1/2" вн-нар 180 см</t>
  </si>
  <si>
    <t>Подводка ПВХ для газа 1/2" вн-нар 200 см</t>
  </si>
  <si>
    <t>Подводка ПВХ для газа 1/2" вн-нар 250 см</t>
  </si>
  <si>
    <t>Подводка ПВХ для газа 1/2" вн-нар 300 см</t>
  </si>
  <si>
    <t>Подводка ПВХ для газа 1/2" вн-нар 400 см</t>
  </si>
  <si>
    <t>Подводка ПВХ для газа 1/2" вн-нар 500 см</t>
  </si>
  <si>
    <t>Подводка ПВХ для газа 3/4" вн-вн 100 см</t>
  </si>
  <si>
    <t>Подводка ПВХ для газа 3/4" вн-вн 120 см</t>
  </si>
  <si>
    <t>Подводка ПВХ для газа 3/4" вн-вн 150 см</t>
  </si>
  <si>
    <t>Подводка ПВХ для газа 3/4" вн-вн  40 см</t>
  </si>
  <si>
    <t>Подводка ПВХ для газа 3/4" вн-вн  50 см</t>
  </si>
  <si>
    <t>Подводка ПВХ для газа 3/4" вн-вн  60 см</t>
  </si>
  <si>
    <t>Подводка ПВХ для газа 3/4" вн-вн  80 см</t>
  </si>
  <si>
    <t>Подводка ПВХ для газа 3/4" вн-вн 200 см</t>
  </si>
  <si>
    <t>Подводка ПВХ для газа 3/4" вн-вн 250 см</t>
  </si>
  <si>
    <t>Подводка ПВХ для газа 3/4" вн-вн 300 см</t>
  </si>
  <si>
    <t>Подводка ПВХ для газа 3/4" вн-нар  40 см</t>
  </si>
  <si>
    <t>Подводка ПВХ для газа 3/4" вн-нар  50 см</t>
  </si>
  <si>
    <t>Подводка ПВХ для газа 3/4" вн-нар  60 см</t>
  </si>
  <si>
    <t>Подводка ПВХ для газа 3/4" вн-нар  80 см</t>
  </si>
  <si>
    <t>Подводка ПВХ для газа 3/4" вн-нар 100 см</t>
  </si>
  <si>
    <t>Подводка ПВХ для газа 3/4" вн-нар 120 см</t>
  </si>
  <si>
    <t>Подводка ПВХ для газа 3/4" вн-нар 150 см</t>
  </si>
  <si>
    <t>Подводка ПВХ для газа 3/4" вн-нар 200 см</t>
  </si>
  <si>
    <t>Подводка ПВХ для газа 3/4" вн-нар 250 см</t>
  </si>
  <si>
    <t>Подводка ПВХ для газа 3/4" вн-нар 300 см</t>
  </si>
  <si>
    <t xml:space="preserve">Менеджер. Группа доступа </t>
  </si>
  <si>
    <t>План в руб.</t>
  </si>
  <si>
    <t>Факт в руб.</t>
  </si>
  <si>
    <t>План</t>
  </si>
  <si>
    <t>факт</t>
  </si>
  <si>
    <t>Список для активации расчета</t>
  </si>
  <si>
    <t>ДА</t>
  </si>
  <si>
    <t>НЕТ</t>
  </si>
  <si>
    <t>Включить в расчет</t>
  </si>
  <si>
    <t>Отчетный месяц</t>
  </si>
  <si>
    <t>KPI</t>
  </si>
  <si>
    <t>С НДС!!!</t>
  </si>
  <si>
    <t>04774</t>
  </si>
  <si>
    <t>04775</t>
  </si>
  <si>
    <t>00161</t>
  </si>
  <si>
    <t>00167</t>
  </si>
  <si>
    <t>00172</t>
  </si>
  <si>
    <t>02524</t>
  </si>
  <si>
    <t>02525</t>
  </si>
  <si>
    <t>02526</t>
  </si>
  <si>
    <t>02535</t>
  </si>
  <si>
    <t>02534</t>
  </si>
  <si>
    <t>02552</t>
  </si>
  <si>
    <t>02554</t>
  </si>
  <si>
    <t>03724</t>
  </si>
  <si>
    <t>03725</t>
  </si>
  <si>
    <t>03726</t>
  </si>
  <si>
    <t>03728</t>
  </si>
  <si>
    <t>03727</t>
  </si>
  <si>
    <t>03729</t>
  </si>
  <si>
    <t>03732</t>
  </si>
  <si>
    <t>01155</t>
  </si>
  <si>
    <t>01167</t>
  </si>
  <si>
    <t>01168</t>
  </si>
  <si>
    <t>01462</t>
  </si>
  <si>
    <t>00289</t>
  </si>
  <si>
    <t>03937</t>
  </si>
  <si>
    <t>02708</t>
  </si>
  <si>
    <t>02706</t>
  </si>
  <si>
    <t>02730</t>
  </si>
  <si>
    <t>01144</t>
  </si>
  <si>
    <t>01158</t>
  </si>
  <si>
    <t>03899</t>
  </si>
  <si>
    <t>02589</t>
  </si>
  <si>
    <t>01415</t>
  </si>
  <si>
    <t>02340</t>
  </si>
  <si>
    <t>02533</t>
  </si>
  <si>
    <t>01318</t>
  </si>
  <si>
    <t>05164</t>
  </si>
  <si>
    <t>02703</t>
  </si>
  <si>
    <t>04702</t>
  </si>
  <si>
    <t>07107</t>
  </si>
  <si>
    <t>07104</t>
  </si>
  <si>
    <t>01325</t>
  </si>
  <si>
    <t>02581</t>
  </si>
  <si>
    <t>02335</t>
  </si>
  <si>
    <t>02485</t>
  </si>
  <si>
    <t>00162</t>
  </si>
  <si>
    <t>00160</t>
  </si>
  <si>
    <t>00159</t>
  </si>
  <si>
    <t>02686</t>
  </si>
  <si>
    <t>02540</t>
  </si>
  <si>
    <t>02548</t>
  </si>
  <si>
    <t>04910</t>
  </si>
  <si>
    <t>02058</t>
  </si>
  <si>
    <t>02059</t>
  </si>
  <si>
    <t>02060</t>
  </si>
  <si>
    <t>04700</t>
  </si>
  <si>
    <t>04701</t>
  </si>
  <si>
    <t>07101</t>
  </si>
  <si>
    <t>07102</t>
  </si>
  <si>
    <t>07061</t>
  </si>
  <si>
    <t>07063</t>
  </si>
  <si>
    <t>02583</t>
  </si>
  <si>
    <t>02529</t>
  </si>
  <si>
    <t>02530</t>
  </si>
  <si>
    <t>02550</t>
  </si>
  <si>
    <t>02370</t>
  </si>
  <si>
    <t>02561</t>
  </si>
  <si>
    <t>02563</t>
  </si>
  <si>
    <t>04559</t>
  </si>
  <si>
    <t>07109</t>
  </si>
  <si>
    <t>05103</t>
  </si>
  <si>
    <t>02584</t>
  </si>
  <si>
    <t>07059</t>
  </si>
  <si>
    <t>02765</t>
  </si>
  <si>
    <t>04802</t>
  </si>
  <si>
    <t>02700</t>
  </si>
  <si>
    <t>04745</t>
  </si>
  <si>
    <t>02720</t>
  </si>
  <si>
    <t>01324</t>
  </si>
  <si>
    <t>02342</t>
  </si>
  <si>
    <t>02575</t>
  </si>
  <si>
    <t>02690</t>
  </si>
  <si>
    <t>01562</t>
  </si>
  <si>
    <t>01554</t>
  </si>
  <si>
    <t>02922</t>
  </si>
  <si>
    <t>04476</t>
  </si>
  <si>
    <t>04102</t>
  </si>
  <si>
    <t>02339</t>
  </si>
  <si>
    <t>01308</t>
  </si>
  <si>
    <t>04706</t>
  </si>
  <si>
    <t>01149</t>
  </si>
  <si>
    <t>03965</t>
  </si>
  <si>
    <t>03966</t>
  </si>
  <si>
    <t>05151</t>
  </si>
  <si>
    <t>03828</t>
  </si>
  <si>
    <t>00286</t>
  </si>
  <si>
    <t>02651</t>
  </si>
  <si>
    <t>00876</t>
  </si>
  <si>
    <t>03969</t>
  </si>
  <si>
    <t>01534</t>
  </si>
  <si>
    <t>01148</t>
  </si>
  <si>
    <t>02061</t>
  </si>
  <si>
    <t>03427</t>
  </si>
  <si>
    <t>03428</t>
  </si>
  <si>
    <t>04103</t>
  </si>
  <si>
    <t>01330</t>
  </si>
  <si>
    <t>02582</t>
  </si>
  <si>
    <t>02574</t>
  </si>
  <si>
    <t>04593</t>
  </si>
  <si>
    <t>02760</t>
  </si>
  <si>
    <t>03970</t>
  </si>
  <si>
    <t>01418</t>
  </si>
  <si>
    <t>02580</t>
  </si>
  <si>
    <t>02569</t>
  </si>
  <si>
    <t>02570</t>
  </si>
  <si>
    <t>02403</t>
  </si>
  <si>
    <t>02404</t>
  </si>
  <si>
    <t>02406</t>
  </si>
  <si>
    <t>01322</t>
  </si>
  <si>
    <t>01171</t>
  </si>
  <si>
    <t>01553</t>
  </si>
  <si>
    <t>01708</t>
  </si>
  <si>
    <t>04808</t>
  </si>
  <si>
    <t>04836</t>
  </si>
  <si>
    <t>03703</t>
  </si>
  <si>
    <t>04101</t>
  </si>
  <si>
    <t>00163</t>
  </si>
  <si>
    <t>01561</t>
  </si>
  <si>
    <t>01550</t>
  </si>
  <si>
    <t>02921</t>
  </si>
  <si>
    <t>02745</t>
  </si>
  <si>
    <t>02341</t>
  </si>
  <si>
    <t>02390</t>
  </si>
  <si>
    <t>02568</t>
  </si>
  <si>
    <t>01160</t>
  </si>
  <si>
    <t>01432</t>
  </si>
  <si>
    <t>04805</t>
  </si>
  <si>
    <t>02481</t>
  </si>
  <si>
    <t>04707</t>
  </si>
  <si>
    <t>04708</t>
  </si>
  <si>
    <t>04950</t>
  </si>
  <si>
    <t>07065</t>
  </si>
  <si>
    <t>07077</t>
  </si>
  <si>
    <t>01560</t>
  </si>
  <si>
    <t>01551</t>
  </si>
  <si>
    <t>02704</t>
  </si>
  <si>
    <t>02741</t>
  </si>
  <si>
    <t>04703</t>
  </si>
  <si>
    <t>04705</t>
  </si>
  <si>
    <t>01416</t>
  </si>
  <si>
    <t>01419</t>
  </si>
  <si>
    <t>02544</t>
  </si>
  <si>
    <t>03872</t>
  </si>
  <si>
    <t>04803</t>
  </si>
  <si>
    <t>04804</t>
  </si>
  <si>
    <t>04806</t>
  </si>
  <si>
    <t>04807</t>
  </si>
  <si>
    <t>04833</t>
  </si>
  <si>
    <t>00290</t>
  </si>
  <si>
    <t>00165</t>
  </si>
  <si>
    <t>00169</t>
  </si>
  <si>
    <t>01166</t>
  </si>
  <si>
    <t>02557</t>
  </si>
  <si>
    <t>04560</t>
  </si>
  <si>
    <t>01323</t>
  </si>
  <si>
    <t>04864</t>
  </si>
  <si>
    <t>04865</t>
  </si>
  <si>
    <t>04866</t>
  </si>
  <si>
    <t>04889</t>
  </si>
  <si>
    <t>04890</t>
  </si>
  <si>
    <t>07057</t>
  </si>
  <si>
    <t>02585</t>
  </si>
  <si>
    <t>04481</t>
  </si>
  <si>
    <t>02541</t>
  </si>
  <si>
    <t>04480</t>
  </si>
  <si>
    <t>02365</t>
  </si>
  <si>
    <t>02538</t>
  </si>
  <si>
    <t>04483</t>
  </si>
  <si>
    <t>02553</t>
  </si>
  <si>
    <t>02692</t>
  </si>
  <si>
    <t>02693</t>
  </si>
  <si>
    <t>02699</t>
  </si>
  <si>
    <t>07000</t>
  </si>
  <si>
    <t>07009</t>
  </si>
  <si>
    <t>07011</t>
  </si>
  <si>
    <t>07015</t>
  </si>
  <si>
    <t>01552</t>
  </si>
  <si>
    <t>04770</t>
  </si>
  <si>
    <t>04771</t>
  </si>
  <si>
    <t>04780</t>
  </si>
  <si>
    <t>04782</t>
  </si>
  <si>
    <t>04783</t>
  </si>
  <si>
    <t>07103</t>
  </si>
  <si>
    <t>04835</t>
  </si>
  <si>
    <t>04837</t>
  </si>
  <si>
    <t>04834</t>
  </si>
  <si>
    <t>02701</t>
  </si>
  <si>
    <t>02702</t>
  </si>
  <si>
    <t>03900</t>
  </si>
  <si>
    <t>01302</t>
  </si>
  <si>
    <t>07035</t>
  </si>
  <si>
    <t>07045</t>
  </si>
  <si>
    <t>02387</t>
  </si>
  <si>
    <t>04502</t>
  </si>
  <si>
    <t>04595</t>
  </si>
  <si>
    <t>02930</t>
  </si>
  <si>
    <t>01331</t>
  </si>
  <si>
    <t>04876</t>
  </si>
  <si>
    <t>01443</t>
  </si>
  <si>
    <t>02593</t>
  </si>
  <si>
    <t>02366</t>
  </si>
  <si>
    <t>02546</t>
  </si>
  <si>
    <t>02361</t>
  </si>
  <si>
    <t>02683</t>
  </si>
  <si>
    <t>02372</t>
  </si>
  <si>
    <t>04491</t>
  </si>
  <si>
    <t>02572</t>
  </si>
  <si>
    <t>04521</t>
  </si>
  <si>
    <t>04515</t>
  </si>
  <si>
    <t>02380</t>
  </si>
  <si>
    <t>04519</t>
  </si>
  <si>
    <t>02577</t>
  </si>
  <si>
    <t>02558</t>
  </si>
  <si>
    <t>02562</t>
  </si>
  <si>
    <t>02565</t>
  </si>
  <si>
    <t>02691</t>
  </si>
  <si>
    <t>02696</t>
  </si>
  <si>
    <t>02698</t>
  </si>
  <si>
    <t>04594</t>
  </si>
  <si>
    <t>05101</t>
  </si>
  <si>
    <t>00287</t>
  </si>
  <si>
    <t>02381</t>
  </si>
  <si>
    <t>02564</t>
  </si>
  <si>
    <t>04554</t>
  </si>
  <si>
    <t>04555</t>
  </si>
  <si>
    <t>04556</t>
  </si>
  <si>
    <t>02695</t>
  </si>
  <si>
    <t>03731</t>
  </si>
  <si>
    <t>04867</t>
  </si>
  <si>
    <t>04532</t>
  </si>
  <si>
    <t>04891</t>
  </si>
  <si>
    <t>00464</t>
  </si>
  <si>
    <t>02527</t>
  </si>
  <si>
    <t>02688</t>
  </si>
  <si>
    <t>02697</t>
  </si>
  <si>
    <t>04580</t>
  </si>
  <si>
    <t>07013</t>
  </si>
  <si>
    <t>07027</t>
  </si>
  <si>
    <t>01143</t>
  </si>
  <si>
    <t>01145</t>
  </si>
  <si>
    <t>01147</t>
  </si>
  <si>
    <t>02427</t>
  </si>
  <si>
    <t>04980</t>
  </si>
  <si>
    <t>04981</t>
  </si>
  <si>
    <t>07037</t>
  </si>
  <si>
    <t>07025</t>
  </si>
  <si>
    <t>01564</t>
  </si>
  <si>
    <t>01565</t>
  </si>
  <si>
    <t>04801</t>
  </si>
  <si>
    <t>04868</t>
  </si>
  <si>
    <t>04874</t>
  </si>
  <si>
    <t>04875</t>
  </si>
  <si>
    <t>01563</t>
  </si>
  <si>
    <t>04976</t>
  </si>
  <si>
    <t>02590</t>
  </si>
  <si>
    <t>02592</t>
  </si>
  <si>
    <t>02588</t>
  </si>
  <si>
    <t>04524</t>
  </si>
  <si>
    <t>02531</t>
  </si>
  <si>
    <t>02536</t>
  </si>
  <si>
    <t>02746</t>
  </si>
  <si>
    <t>04533</t>
  </si>
  <si>
    <t>07029</t>
  </si>
  <si>
    <t>04773</t>
  </si>
  <si>
    <t>04583</t>
  </si>
  <si>
    <t>04596</t>
  </si>
  <si>
    <t>01175</t>
  </si>
  <si>
    <t>03702</t>
  </si>
  <si>
    <t>01309</t>
  </si>
  <si>
    <t>02766</t>
  </si>
  <si>
    <t>02362</t>
  </si>
  <si>
    <t>02379</t>
  </si>
  <si>
    <t>02389</t>
  </si>
  <si>
    <t>01489</t>
  </si>
  <si>
    <t>04772</t>
  </si>
  <si>
    <t>05162</t>
  </si>
  <si>
    <t>02386</t>
  </si>
  <si>
    <t>01153</t>
  </si>
  <si>
    <t>01152</t>
  </si>
  <si>
    <t>03959</t>
  </si>
  <si>
    <t>00275</t>
  </si>
  <si>
    <t>01555</t>
  </si>
  <si>
    <t>04784</t>
  </si>
  <si>
    <t>02336</t>
  </si>
  <si>
    <t>02412</t>
  </si>
  <si>
    <t>02407</t>
  </si>
  <si>
    <t>02408</t>
  </si>
  <si>
    <t>02409</t>
  </si>
  <si>
    <t>02395</t>
  </si>
  <si>
    <t>02771</t>
  </si>
  <si>
    <t>02676</t>
  </si>
  <si>
    <t>00288</t>
  </si>
  <si>
    <t>00182</t>
  </si>
  <si>
    <t>03958</t>
  </si>
  <si>
    <t>00285</t>
  </si>
  <si>
    <t>07023</t>
  </si>
  <si>
    <t>04831</t>
  </si>
  <si>
    <t>02388</t>
  </si>
  <si>
    <t>04539</t>
  </si>
  <si>
    <t>04541</t>
  </si>
  <si>
    <t>04542</t>
  </si>
  <si>
    <t>02674</t>
  </si>
  <si>
    <t>05187</t>
  </si>
  <si>
    <t>04505</t>
  </si>
  <si>
    <t>04504</t>
  </si>
  <si>
    <t>04597</t>
  </si>
  <si>
    <t>00174</t>
  </si>
  <si>
    <t>02405</t>
  </si>
  <si>
    <t>02397</t>
  </si>
  <si>
    <t>00872</t>
  </si>
  <si>
    <t>00873</t>
  </si>
  <si>
    <t>01310</t>
  </si>
  <si>
    <t>03952</t>
  </si>
  <si>
    <t>00874</t>
  </si>
  <si>
    <t>02587</t>
  </si>
  <si>
    <t>04789</t>
  </si>
  <si>
    <t>01163</t>
  </si>
  <si>
    <t>02772</t>
  </si>
  <si>
    <t>02705</t>
  </si>
  <si>
    <t>02707</t>
  </si>
  <si>
    <t>01319</t>
  </si>
  <si>
    <t>07021</t>
  </si>
  <si>
    <t>04546</t>
  </si>
  <si>
    <t>04550</t>
  </si>
  <si>
    <t>01165</t>
  </si>
  <si>
    <t>04905</t>
  </si>
  <si>
    <t>01569</t>
  </si>
  <si>
    <t>01172</t>
  </si>
  <si>
    <t>02709</t>
  </si>
  <si>
    <t>07096</t>
  </si>
  <si>
    <t>02673</t>
  </si>
  <si>
    <t>04475</t>
  </si>
  <si>
    <t>СНГ Герасимкова</t>
  </si>
  <si>
    <t>04903</t>
  </si>
  <si>
    <t>02675</t>
  </si>
  <si>
    <t>02679</t>
  </si>
  <si>
    <t>02623</t>
  </si>
  <si>
    <t>СНГ Фёдоров</t>
  </si>
  <si>
    <t>Период отчета</t>
  </si>
  <si>
    <t>Дата_для_оборота</t>
  </si>
  <si>
    <t>Штрафы</t>
  </si>
  <si>
    <t>Расходы</t>
  </si>
  <si>
    <t>ИТОГО</t>
  </si>
  <si>
    <t>Р.К. %</t>
  </si>
  <si>
    <t>Акция для менеджеров Руб/шт</t>
  </si>
  <si>
    <t>Период, месяц</t>
  </si>
  <si>
    <t>Количество</t>
  </si>
  <si>
    <t>Пользовательский</t>
  </si>
  <si>
    <t>Акция</t>
  </si>
  <si>
    <t>Премия Руководителя</t>
  </si>
  <si>
    <t>Премия фиксир-я</t>
  </si>
  <si>
    <t>Ключевой показатель</t>
  </si>
  <si>
    <t xml:space="preserve">Вес показателя, % </t>
  </si>
  <si>
    <t>KPI1- Объем продаж</t>
  </si>
  <si>
    <t>KPI2- Новые клиенты</t>
  </si>
  <si>
    <t>KPI3- исходящие звонки</t>
  </si>
  <si>
    <t>KPI1- План/Факт</t>
  </si>
  <si>
    <t>KPI2- ПДЗ</t>
  </si>
  <si>
    <t>KPI3-новые клиенты</t>
  </si>
  <si>
    <t>KPI1- ТГ</t>
  </si>
  <si>
    <t>Тугумов А.А.</t>
  </si>
  <si>
    <t>Региональный Коеффициент</t>
  </si>
  <si>
    <t>Региональный</t>
  </si>
  <si>
    <t>KPI1- Продажи</t>
  </si>
  <si>
    <t>KPI3- ПДЗ</t>
  </si>
  <si>
    <t>Excel.CurrentWorkbook(){[Name="Сегмент_отчета"]}[Content]{0}[Сегмент]</t>
  </si>
  <si>
    <t>Фаттакова Наиля</t>
  </si>
  <si>
    <t>00490</t>
  </si>
  <si>
    <t>03619</t>
  </si>
  <si>
    <t>03620</t>
  </si>
  <si>
    <t>03621</t>
  </si>
  <si>
    <t>ИС.131086</t>
  </si>
  <si>
    <t>01414</t>
  </si>
  <si>
    <t>04488</t>
  </si>
  <si>
    <t>02547</t>
  </si>
  <si>
    <t>02382</t>
  </si>
  <si>
    <t>01570</t>
  </si>
  <si>
    <t>03897</t>
  </si>
  <si>
    <t>03893</t>
  </si>
  <si>
    <t>03895</t>
  </si>
  <si>
    <t>03572</t>
  </si>
  <si>
    <t>03574</t>
  </si>
  <si>
    <t>03546</t>
  </si>
  <si>
    <t>03459</t>
  </si>
  <si>
    <t>03469</t>
  </si>
  <si>
    <t>04527</t>
  </si>
  <si>
    <t>04486</t>
  </si>
  <si>
    <t>03953</t>
  </si>
  <si>
    <t>01304</t>
  </si>
  <si>
    <t>00171</t>
  </si>
  <si>
    <t>03957</t>
  </si>
  <si>
    <t>02537</t>
  </si>
  <si>
    <t>02469</t>
  </si>
  <si>
    <t>02694</t>
  </si>
  <si>
    <t>01156</t>
  </si>
  <si>
    <t>01146</t>
  </si>
  <si>
    <t>01151</t>
  </si>
  <si>
    <t>03430</t>
  </si>
  <si>
    <t>03663</t>
  </si>
  <si>
    <t>03486</t>
  </si>
  <si>
    <t>03577</t>
  </si>
  <si>
    <t>03477</t>
  </si>
  <si>
    <t>03478</t>
  </si>
  <si>
    <t>03468</t>
  </si>
  <si>
    <t>03470</t>
  </si>
  <si>
    <t>03556</t>
  </si>
  <si>
    <t>03543</t>
  </si>
  <si>
    <t>03640</t>
  </si>
  <si>
    <t>02398</t>
  </si>
  <si>
    <t>02555</t>
  </si>
  <si>
    <t>02622</t>
  </si>
  <si>
    <t>02611</t>
  </si>
  <si>
    <t>02607</t>
  </si>
  <si>
    <t>02721</t>
  </si>
  <si>
    <t>00173</t>
  </si>
  <si>
    <t>00292</t>
  </si>
  <si>
    <t>02343</t>
  </si>
  <si>
    <t>02542</t>
  </si>
  <si>
    <t>04484</t>
  </si>
  <si>
    <t>02935</t>
  </si>
  <si>
    <t>02167</t>
  </si>
  <si>
    <t>02169</t>
  </si>
  <si>
    <t>01434</t>
  </si>
  <si>
    <t>01446</t>
  </si>
  <si>
    <t>04581</t>
  </si>
  <si>
    <t>04982</t>
  </si>
  <si>
    <t>03782</t>
  </si>
  <si>
    <t>03783</t>
  </si>
  <si>
    <t>03784</t>
  </si>
  <si>
    <t>03785</t>
  </si>
  <si>
    <t>03641</t>
  </si>
  <si>
    <t>05110</t>
  </si>
  <si>
    <t>04911</t>
  </si>
  <si>
    <t>01422</t>
  </si>
  <si>
    <t>05102</t>
  </si>
  <si>
    <t>05109</t>
  </si>
  <si>
    <t>05120</t>
  </si>
  <si>
    <t>00894</t>
  </si>
  <si>
    <t>04489</t>
  </si>
  <si>
    <t>02556</t>
  </si>
  <si>
    <t>02428</t>
  </si>
  <si>
    <t>03951</t>
  </si>
  <si>
    <t>02399</t>
  </si>
  <si>
    <t>02687</t>
  </si>
  <si>
    <t>02689</t>
  </si>
  <si>
    <t>01157</t>
  </si>
  <si>
    <t>01150</t>
  </si>
  <si>
    <t>01154</t>
  </si>
  <si>
    <t>01412</t>
  </si>
  <si>
    <t>01444</t>
  </si>
  <si>
    <t>01447</t>
  </si>
  <si>
    <t>01448</t>
  </si>
  <si>
    <t>03669</t>
  </si>
  <si>
    <t>03670</t>
  </si>
  <si>
    <t>04525</t>
  </si>
  <si>
    <t>02369</t>
  </si>
  <si>
    <t>02472</t>
  </si>
  <si>
    <t>02311</t>
  </si>
  <si>
    <t>02337</t>
  </si>
  <si>
    <t>05091</t>
  </si>
  <si>
    <t>05092</t>
  </si>
  <si>
    <t>01441</t>
  </si>
  <si>
    <t>01442</t>
  </si>
  <si>
    <t>04523</t>
  </si>
  <si>
    <t>01420</t>
  </si>
  <si>
    <t>01421</t>
  </si>
  <si>
    <t>04485</t>
  </si>
  <si>
    <t>00875</t>
  </si>
  <si>
    <t>04482</t>
  </si>
  <si>
    <t>04493</t>
  </si>
  <si>
    <t>04492</t>
  </si>
  <si>
    <t>02937</t>
  </si>
  <si>
    <t>04704</t>
  </si>
  <si>
    <t>02543</t>
  </si>
  <si>
    <t>02528</t>
  </si>
  <si>
    <t>02400</t>
  </si>
  <si>
    <t>07036</t>
  </si>
  <si>
    <t>03730</t>
  </si>
  <si>
    <t>05166</t>
  </si>
  <si>
    <t>02608</t>
  </si>
  <si>
    <t>02474</t>
  </si>
  <si>
    <t>01413</t>
  </si>
  <si>
    <t>04490</t>
  </si>
  <si>
    <t>02551</t>
  </si>
  <si>
    <t>02591</t>
  </si>
  <si>
    <t>ИС.131109</t>
  </si>
  <si>
    <t>03657</t>
  </si>
  <si>
    <t>03566</t>
  </si>
  <si>
    <t>02751</t>
  </si>
  <si>
    <t>01429</t>
  </si>
  <si>
    <t>04949</t>
  </si>
  <si>
    <t>04511</t>
  </si>
  <si>
    <t>02559</t>
  </si>
  <si>
    <t>04500</t>
  </si>
  <si>
    <t>02170</t>
  </si>
  <si>
    <t>03944</t>
  </si>
  <si>
    <t>05095</t>
  </si>
  <si>
    <t>05097</t>
  </si>
  <si>
    <t>02601</t>
  </si>
  <si>
    <t>02609</t>
  </si>
  <si>
    <t>03834</t>
  </si>
  <si>
    <t>03548</t>
  </si>
  <si>
    <t>07094</t>
  </si>
  <si>
    <t>07095</t>
  </si>
  <si>
    <t>07099</t>
  </si>
  <si>
    <t>02360</t>
  </si>
  <si>
    <t>02532</t>
  </si>
  <si>
    <t>02363</t>
  </si>
  <si>
    <t>04506</t>
  </si>
  <si>
    <t>04540</t>
  </si>
  <si>
    <t>04503</t>
  </si>
  <si>
    <t>ИС.131817</t>
  </si>
  <si>
    <t>ИС.131813</t>
  </si>
  <si>
    <t>ИС.131814</t>
  </si>
  <si>
    <t>ИС.131815</t>
  </si>
  <si>
    <t>ИС.131087</t>
  </si>
  <si>
    <t>04787</t>
  </si>
  <si>
    <t>02624</t>
  </si>
  <si>
    <t>02807</t>
  </si>
  <si>
    <t>02808</t>
  </si>
  <si>
    <t>02810</t>
  </si>
  <si>
    <t>07084</t>
  </si>
  <si>
    <t>07086</t>
  </si>
  <si>
    <t>07087</t>
  </si>
  <si>
    <t>03487</t>
  </si>
  <si>
    <t>03585</t>
  </si>
  <si>
    <t>03573</t>
  </si>
  <si>
    <t>03588</t>
  </si>
  <si>
    <t>03501</t>
  </si>
  <si>
    <t>03504</t>
  </si>
  <si>
    <t>03571</t>
  </si>
  <si>
    <t>07038</t>
  </si>
  <si>
    <t>02747</t>
  </si>
  <si>
    <t>02750</t>
  </si>
  <si>
    <t>02804</t>
  </si>
  <si>
    <t>04526</t>
  </si>
  <si>
    <t>03946</t>
  </si>
  <si>
    <t>04536</t>
  </si>
  <si>
    <t>02549</t>
  </si>
  <si>
    <t>02805</t>
  </si>
  <si>
    <t>00164</t>
  </si>
  <si>
    <t>03659</t>
  </si>
  <si>
    <t>03637</t>
  </si>
  <si>
    <t>03517</t>
  </si>
  <si>
    <t>03518</t>
  </si>
  <si>
    <t>03519</t>
  </si>
  <si>
    <t>04529</t>
  </si>
  <si>
    <t>04487</t>
  </si>
  <si>
    <t>02425</t>
  </si>
  <si>
    <t>00291</t>
  </si>
  <si>
    <t>02476</t>
  </si>
  <si>
    <t>03435</t>
  </si>
  <si>
    <t>03647</t>
  </si>
  <si>
    <t>03648</t>
  </si>
  <si>
    <t>03658</t>
  </si>
  <si>
    <t>03490</t>
  </si>
  <si>
    <t>03694</t>
  </si>
  <si>
    <t>03497</t>
  </si>
  <si>
    <t>04779</t>
  </si>
  <si>
    <t>03780</t>
  </si>
  <si>
    <t>07019</t>
  </si>
  <si>
    <t>07022</t>
  </si>
  <si>
    <t>07047</t>
  </si>
  <si>
    <t>04516</t>
  </si>
  <si>
    <t>02576</t>
  </si>
  <si>
    <t>01426</t>
  </si>
  <si>
    <t>04582</t>
  </si>
  <si>
    <t>01709</t>
  </si>
  <si>
    <t>05096</t>
  </si>
  <si>
    <t>01211</t>
  </si>
  <si>
    <t>07044</t>
  </si>
  <si>
    <t>07046</t>
  </si>
  <si>
    <t>04563</t>
  </si>
  <si>
    <t>02560</t>
  </si>
  <si>
    <t>04477</t>
  </si>
  <si>
    <t>04478</t>
  </si>
  <si>
    <t>00897</t>
  </si>
  <si>
    <t>02752</t>
  </si>
  <si>
    <t>04965</t>
  </si>
  <si>
    <t>03653</t>
  </si>
  <si>
    <t>03649</t>
  </si>
  <si>
    <t>03575</t>
  </si>
  <si>
    <t>03559</t>
  </si>
  <si>
    <t>02354</t>
  </si>
  <si>
    <t>03934</t>
  </si>
  <si>
    <t>00895</t>
  </si>
  <si>
    <t>04501</t>
  </si>
  <si>
    <t>03667</t>
  </si>
  <si>
    <t>03668</t>
  </si>
  <si>
    <t>02770</t>
  </si>
  <si>
    <t>03655</t>
  </si>
  <si>
    <t>03654</t>
  </si>
  <si>
    <t>03777</t>
  </si>
  <si>
    <t>03665</t>
  </si>
  <si>
    <t>03666</t>
  </si>
  <si>
    <t>03676</t>
  </si>
  <si>
    <t>03677</t>
  </si>
  <si>
    <t>03488</t>
  </si>
  <si>
    <t>03586</t>
  </si>
  <si>
    <t>03576</t>
  </si>
  <si>
    <t>03547</t>
  </si>
  <si>
    <t>03461</t>
  </si>
  <si>
    <t>03550</t>
  </si>
  <si>
    <t>03613</t>
  </si>
  <si>
    <t>03614</t>
  </si>
  <si>
    <t>03776</t>
  </si>
  <si>
    <t>03656</t>
  </si>
  <si>
    <t>03664</t>
  </si>
  <si>
    <t>02424</t>
  </si>
  <si>
    <t>02426</t>
  </si>
  <si>
    <t>02936</t>
  </si>
  <si>
    <t>03971</t>
  </si>
  <si>
    <t>04510</t>
  </si>
  <si>
    <t>QAZSNAB, ИП, Шымкент</t>
  </si>
  <si>
    <t>Договор №138 СТ-22 от 08.04.2022</t>
  </si>
  <si>
    <t>Алматерм Batys,  ИП, Актау</t>
  </si>
  <si>
    <t>Алматерм Jetisu, ИП, Алматы (Абашев)</t>
  </si>
  <si>
    <t>Договор №30 СТ-23 от 01.02.2023</t>
  </si>
  <si>
    <t>Алматерм KZ, ИП, Караганда</t>
  </si>
  <si>
    <t>Договор №36 СТ-23 от 03.02.2023</t>
  </si>
  <si>
    <t>Алматерм Ontustik, ИП, Шымкент (Абдилов)</t>
  </si>
  <si>
    <t>Договор №143 СТ-22 от 04.04.2022</t>
  </si>
  <si>
    <t>Реализация товаров и услуг Ст00-011233 от 20.07.2023 12:00:21</t>
  </si>
  <si>
    <t>Алматерм Актобе, ИП, Актобе</t>
  </si>
  <si>
    <t>Договор №412 СТ-21 от 12.10.2021</t>
  </si>
  <si>
    <t>Алматерм Солтүстік, ИП, Кокшетау (Байшин)</t>
  </si>
  <si>
    <t>Договор №460 СТ-22 от 03.10.2022</t>
  </si>
  <si>
    <t>Алматерм Шығыс, ИП, Павлодар (Кумажанов)</t>
  </si>
  <si>
    <t>Договор №109 СТ-23 от 27.03.2023 вал</t>
  </si>
  <si>
    <t>Реализация товаров и услуг Ст00-010622 от 12.07.2023 0:00:00</t>
  </si>
  <si>
    <t>Реализация товаров и услуг Ст00-010646 от 12.07.2023 12:00:41</t>
  </si>
  <si>
    <t>Реализация товаров и услуг Ст00-010647 от 12.07.2023 12:00:43</t>
  </si>
  <si>
    <t>Реализация товаров и услуг Ст00-011441 от 21.07.2023 5:54:57</t>
  </si>
  <si>
    <t>Договор №2 СТ-23 от 09.01.2023</t>
  </si>
  <si>
    <t>Реализация товаров и услуг Ст00-010316 от 05.07.2023 9:34:04</t>
  </si>
  <si>
    <t>Реализация товаров и услуг Ст00-010375 от 06.07.2023 6:48:39</t>
  </si>
  <si>
    <t>Реализация товаров и услуг Ст00-010376 от 06.07.2023 6:49:22</t>
  </si>
  <si>
    <t>Реализация товаров и услуг Ст00-010377 от 06.07.2023 6:49:53</t>
  </si>
  <si>
    <t>Реализация товаров и услуг Ст00-010424 от 07.07.2023 12:00:00</t>
  </si>
  <si>
    <t>Байгелов БЖ, ИП, Караганда</t>
  </si>
  <si>
    <t>Договор №502 СТ-22 от 31.10.2022</t>
  </si>
  <si>
    <t>Иванова ИН, ИП, Челябинск</t>
  </si>
  <si>
    <t>Договор №110 СТ-21  от 09.04.2021</t>
  </si>
  <si>
    <t>Пластерм, ИП, Атырау</t>
  </si>
  <si>
    <t>Договор №301 СТ-23 от 10.07.2023</t>
  </si>
  <si>
    <t>Реализация товаров и услуг Ст00-011609 от 25.07.2023 13:50:50</t>
  </si>
  <si>
    <t>Реализация товаров и услуг Ст00-011618 от 25.07.2023 14:02:44</t>
  </si>
  <si>
    <t>Реализация товаров и услуг Ст00-011623 от 25.07.2023 14:04:44</t>
  </si>
  <si>
    <t>ТАТ, ИП, Алматы</t>
  </si>
  <si>
    <t>Договор №166 СТ-22 от 21.04.2022</t>
  </si>
  <si>
    <t>ТеплоВодоПрибор, ИП, Кызылорда</t>
  </si>
  <si>
    <t>Договор №289 СТ-23 от 05.07.2023</t>
  </si>
  <si>
    <t>Реализация товаров и услуг Ст00-010649 от 12.07.2023 12:00:47</t>
  </si>
  <si>
    <t>ВИТТОРГКОМПЛЕКТ, ЧТПУП, Витебск</t>
  </si>
  <si>
    <t>Договор №59 СТ-23 от 17.02.2023</t>
  </si>
  <si>
    <t>Мега Сантех Склад, ОсОО, Бишкек</t>
  </si>
  <si>
    <t>Договор №359 СТ-20 от 26.11.2020</t>
  </si>
  <si>
    <t>Реализация товаров и услуг Ст00-000891 от 29.01.2021 4:00:02</t>
  </si>
  <si>
    <t xml:space="preserve">Мир Сантехника, ООО, Гомель         </t>
  </si>
  <si>
    <t>Договор №274 СТ-20 от 25.09.2020</t>
  </si>
  <si>
    <t>Реализация товаров и услуг Ст00-009733 от 28.06.2023 15:48:59</t>
  </si>
  <si>
    <t>РОМИС, ОДО, Витебск</t>
  </si>
  <si>
    <t>Договор №90 СТ-23 от 17.03.2023</t>
  </si>
  <si>
    <t>Сантех КЗ, ТОО, Астана</t>
  </si>
  <si>
    <t>ТСК НАСОСЫ, ООО Минск</t>
  </si>
  <si>
    <t>Договор №5 СТ-22 от 10.01.2022</t>
  </si>
  <si>
    <t>Шакиртов С.С., ИП, Алматы</t>
  </si>
  <si>
    <t>Договор №309 СТ-23 от 29.06.2023</t>
  </si>
  <si>
    <t>{"Сегмент", "Группа доступа", "Основной менеджер", "Период, месяц"}</t>
  </si>
  <si>
    <t>Список столбцов</t>
  </si>
  <si>
    <t>Лещиков А.С.</t>
  </si>
  <si>
    <t>Фёдоров Артём</t>
  </si>
  <si>
    <t>Количество клиентов</t>
  </si>
  <si>
    <t>07098</t>
  </si>
  <si>
    <t>03701</t>
  </si>
  <si>
    <t>07062</t>
  </si>
  <si>
    <t>07064</t>
  </si>
  <si>
    <t>07076</t>
  </si>
  <si>
    <t>07078</t>
  </si>
  <si>
    <t>07079</t>
  </si>
  <si>
    <t>07085</t>
  </si>
  <si>
    <t>07088</t>
  </si>
  <si>
    <t>07089</t>
  </si>
  <si>
    <t>02359</t>
  </si>
  <si>
    <t>03635</t>
  </si>
  <si>
    <t>03636</t>
  </si>
  <si>
    <t>01581</t>
  </si>
  <si>
    <t>01582</t>
  </si>
  <si>
    <t>04904</t>
  </si>
  <si>
    <t>04901</t>
  </si>
  <si>
    <t>07071</t>
  </si>
  <si>
    <t>07073</t>
  </si>
  <si>
    <t>07075</t>
  </si>
  <si>
    <t>04830</t>
  </si>
  <si>
    <t>02621</t>
  </si>
  <si>
    <t>02802</t>
  </si>
  <si>
    <t>02806</t>
  </si>
  <si>
    <t>02731</t>
  </si>
  <si>
    <t>00473</t>
  </si>
  <si>
    <t>02586</t>
  </si>
  <si>
    <t>04535</t>
  </si>
  <si>
    <t>04534</t>
  </si>
  <si>
    <t>02539</t>
  </si>
  <si>
    <t>02545</t>
  </si>
  <si>
    <t>02571</t>
  </si>
  <si>
    <t>04514</t>
  </si>
  <si>
    <t>04513</t>
  </si>
  <si>
    <t>02573</t>
  </si>
  <si>
    <t>02578</t>
  </si>
  <si>
    <t>04518</t>
  </si>
  <si>
    <t>04517</t>
  </si>
  <si>
    <t>04509</t>
  </si>
  <si>
    <t>02567</t>
  </si>
  <si>
    <t>01491</t>
  </si>
  <si>
    <t>02566</t>
  </si>
  <si>
    <t>02470</t>
  </si>
  <si>
    <t>04499</t>
  </si>
  <si>
    <t>01566</t>
  </si>
  <si>
    <t>01567</t>
  </si>
  <si>
    <t>01568</t>
  </si>
  <si>
    <t>01557</t>
  </si>
  <si>
    <t>02933</t>
  </si>
  <si>
    <t>02932</t>
  </si>
  <si>
    <t>03968</t>
  </si>
  <si>
    <t>02421</t>
  </si>
  <si>
    <t>02422</t>
  </si>
  <si>
    <t>02423</t>
  </si>
  <si>
    <t>03933</t>
  </si>
  <si>
    <t>03935</t>
  </si>
  <si>
    <t>02429</t>
  </si>
  <si>
    <t>04861</t>
  </si>
  <si>
    <t>04862</t>
  </si>
  <si>
    <t>04863</t>
  </si>
  <si>
    <t>04887</t>
  </si>
  <si>
    <t>04888</t>
  </si>
  <si>
    <t>04892</t>
  </si>
  <si>
    <t>04893</t>
  </si>
  <si>
    <t>04894</t>
  </si>
  <si>
    <t>00492</t>
  </si>
  <si>
    <t>01161</t>
  </si>
  <si>
    <t>02677</t>
  </si>
  <si>
    <t>03898</t>
  </si>
  <si>
    <t>04931</t>
  </si>
  <si>
    <t>04932</t>
  </si>
  <si>
    <t>04947</t>
  </si>
  <si>
    <t>03904</t>
  </si>
  <si>
    <t>01556</t>
  </si>
  <si>
    <t>01440</t>
  </si>
  <si>
    <t>02680</t>
  </si>
  <si>
    <t>01940</t>
  </si>
  <si>
    <t>01941</t>
  </si>
  <si>
    <t>01490</t>
  </si>
  <si>
    <t>04600</t>
  </si>
  <si>
    <t>04601</t>
  </si>
  <si>
    <t>07110</t>
  </si>
  <si>
    <t>01424</t>
  </si>
  <si>
    <t>02368</t>
  </si>
  <si>
    <t>04791</t>
  </si>
  <si>
    <t>04900</t>
  </si>
  <si>
    <t>04964</t>
  </si>
  <si>
    <t>07092</t>
  </si>
  <si>
    <t>07093</t>
  </si>
  <si>
    <t>02484</t>
  </si>
  <si>
    <t>04531</t>
  </si>
  <si>
    <t>03945</t>
  </si>
  <si>
    <t>03943</t>
  </si>
  <si>
    <t>03492</t>
  </si>
  <si>
    <t>03493</t>
  </si>
  <si>
    <t>03494</t>
  </si>
  <si>
    <t>03485</t>
  </si>
  <si>
    <t>03483</t>
  </si>
  <si>
    <t>03484</t>
  </si>
  <si>
    <t>03476</t>
  </si>
  <si>
    <t>03474</t>
  </si>
  <si>
    <t>03475</t>
  </si>
  <si>
    <t>03948</t>
  </si>
  <si>
    <t>04786</t>
  </si>
  <si>
    <t>03534</t>
  </si>
  <si>
    <t>01558</t>
  </si>
  <si>
    <t>01580</t>
  </si>
  <si>
    <t>01939</t>
  </si>
  <si>
    <t>03638</t>
  </si>
  <si>
    <t>04915</t>
  </si>
  <si>
    <t>02652</t>
  </si>
  <si>
    <t>07108</t>
  </si>
  <si>
    <t>04591</t>
  </si>
  <si>
    <t>03903</t>
  </si>
  <si>
    <t>05182</t>
  </si>
  <si>
    <t>02803</t>
  </si>
  <si>
    <t>00472</t>
  </si>
  <si>
    <t>02685</t>
  </si>
  <si>
    <t>04528</t>
  </si>
  <si>
    <t>02371</t>
  </si>
  <si>
    <t>04512</t>
  </si>
  <si>
    <t>04522</t>
  </si>
  <si>
    <t>07003</t>
  </si>
  <si>
    <t>07001</t>
  </si>
  <si>
    <t>07007</t>
  </si>
  <si>
    <t>07008</t>
  </si>
  <si>
    <t>07034</t>
  </si>
  <si>
    <t>07039</t>
  </si>
  <si>
    <t>07048</t>
  </si>
  <si>
    <t>07106</t>
  </si>
  <si>
    <t>07105</t>
  </si>
  <si>
    <t>04838</t>
  </si>
  <si>
    <t>00470</t>
  </si>
  <si>
    <t>03603</t>
  </si>
  <si>
    <t>03598</t>
  </si>
  <si>
    <t>02483</t>
  </si>
  <si>
    <t>02396</t>
  </si>
  <si>
    <t>07070</t>
  </si>
  <si>
    <t>02934</t>
  </si>
  <si>
    <t>02801</t>
  </si>
  <si>
    <t>03678</t>
  </si>
  <si>
    <t>03679</t>
  </si>
  <si>
    <t>03680</t>
  </si>
  <si>
    <t>03541</t>
  </si>
  <si>
    <t>02355</t>
  </si>
  <si>
    <t>02357</t>
  </si>
  <si>
    <t>01428</t>
  </si>
  <si>
    <t>01430</t>
  </si>
  <si>
    <t>01433</t>
  </si>
  <si>
    <t>01435</t>
  </si>
  <si>
    <t>03781</t>
  </si>
  <si>
    <t>03622</t>
  </si>
  <si>
    <t>04507</t>
  </si>
  <si>
    <t>02392</t>
  </si>
  <si>
    <t>04869</t>
  </si>
  <si>
    <t>04870</t>
  </si>
  <si>
    <t>04879</t>
  </si>
  <si>
    <t>00306</t>
  </si>
  <si>
    <t>02671</t>
  </si>
  <si>
    <t>07010</t>
  </si>
  <si>
    <t>07014</t>
  </si>
  <si>
    <t>07024</t>
  </si>
  <si>
    <t>07028</t>
  </si>
  <si>
    <t>07049</t>
  </si>
  <si>
    <t>07050</t>
  </si>
  <si>
    <t>04562</t>
  </si>
  <si>
    <t>02065</t>
  </si>
  <si>
    <t>07020</t>
  </si>
  <si>
    <t>07042</t>
  </si>
  <si>
    <t>07043</t>
  </si>
  <si>
    <t>03432</t>
  </si>
  <si>
    <t>03650</t>
  </si>
  <si>
    <t>03660</t>
  </si>
  <si>
    <t>03675</t>
  </si>
  <si>
    <t>03489</t>
  </si>
  <si>
    <t>03889</t>
  </si>
  <si>
    <t>03891</t>
  </si>
  <si>
    <t>03892</t>
  </si>
  <si>
    <t>03579</t>
  </si>
  <si>
    <t>03592</t>
  </si>
  <si>
    <t>03503</t>
  </si>
  <si>
    <t>03562</t>
  </si>
  <si>
    <t>03568</t>
  </si>
  <si>
    <t>03549</t>
  </si>
  <si>
    <t>01710</t>
  </si>
  <si>
    <t>04877</t>
  </si>
  <si>
    <t>04878</t>
  </si>
  <si>
    <t>04880</t>
  </si>
  <si>
    <t>04912</t>
  </si>
  <si>
    <t>04747</t>
  </si>
  <si>
    <t>00588</t>
  </si>
  <si>
    <t>02931</t>
  </si>
  <si>
    <t>01436</t>
  </si>
  <si>
    <t>01942</t>
  </si>
  <si>
    <t>00307</t>
  </si>
  <si>
    <t>00896</t>
  </si>
  <si>
    <t>00469</t>
  </si>
  <si>
    <t>00467</t>
  </si>
  <si>
    <t>00471</t>
  </si>
  <si>
    <t>02672</t>
  </si>
  <si>
    <t>04584</t>
  </si>
  <si>
    <t>03922</t>
  </si>
  <si>
    <t>03564</t>
  </si>
  <si>
    <t>02402</t>
  </si>
  <si>
    <t>Август 2023 г.</t>
  </si>
  <si>
    <t>Комментарий</t>
  </si>
  <si>
    <t>Реализация товаров и услуг Ст00-012328 от 04.08.2023 0:00:23</t>
  </si>
  <si>
    <t>Реализация товаров и услуг Ст00-012351 от 04.08.2023 0:00:53</t>
  </si>
  <si>
    <t>Договор №336 СТ-23 от 24.07.2023</t>
  </si>
  <si>
    <t>Реализация товаров и услуг Ст00-012504 от 08.08.2023 8:58:01</t>
  </si>
  <si>
    <t>Реализация товаров и услуг Ст00-013076 от 16.08.2023 8:20:45</t>
  </si>
  <si>
    <t>Реализация товаров и услуг Ст00-013391 от 22.08.2023 8:22:02</t>
  </si>
  <si>
    <t>Реализация товаров и услуг Ст00-013239 от 18.08.2023 12:00:28</t>
  </si>
  <si>
    <t>Реализация товаров и услуг Ст00-012374 от 04.08.2023 4:12:46</t>
  </si>
  <si>
    <t>Реализация товаров и услуг Ст00-013713 от 25.08.2023 12:01:11</t>
  </si>
  <si>
    <t>Реализация товаров и услуг Ст00-013870 от 29.08.2023 3:52:10</t>
  </si>
  <si>
    <t>Реализация товаров и услуг Ст00-012259 от 03.08.2023 12:00:53</t>
  </si>
  <si>
    <t>Реализация товаров и услуг Ст00-012325 от 04.08.2023 0:00:17</t>
  </si>
  <si>
    <t>Реализация товаров и услуг Ст00-012373 от 04.08.2023 3:47:12</t>
  </si>
  <si>
    <t>Реализация товаров и услуг Ст00-013286 от 18.08.2023 12:30:10</t>
  </si>
  <si>
    <t>Реализация товаров и услуг Ст00-013820 от 28.08.2023 7:39:47</t>
  </si>
  <si>
    <t>Реализация товаров и услуг Ст00-013077 от 16.08.2023 8:21:57</t>
  </si>
  <si>
    <t>Реализация товаров и услуг Ст00-012095 от 02.08.2023 12:00:25</t>
  </si>
  <si>
    <t>Реализация товаров и услуг Ст00-013128 от 17.08.2023 12:00:26</t>
  </si>
  <si>
    <t>Реализация товаров и услуг Ст00-013129 от 17.08.2023 12:00:28</t>
  </si>
  <si>
    <t>Реализация товаров и услуг Ст00-013763 от 30.08.2023 0:00:00</t>
  </si>
  <si>
    <t>Реализация товаров и услуг Ст00-012436 от 07.08.2023 3:53:39</t>
  </si>
  <si>
    <t>Реализация товаров и услуг Ст00-012437 от 07.08.2023 3:54:11</t>
  </si>
  <si>
    <t>Реализация товаров и услуг Ст00-012903 от 14.08.2023 3:53:21</t>
  </si>
  <si>
    <t>Реализация товаров и услуг Ст00-012971 от 15.08.2023 7:03:46</t>
  </si>
  <si>
    <t>Реализация товаров и услуг Ст00-013165 от 17.08.2023 7:33:05</t>
  </si>
  <si>
    <t>Реализация товаров и услуг Ст00-013015 от 16.08.2023 12:00:52</t>
  </si>
  <si>
    <t>Реализация товаров и услуг Ст00-013555 от 24.08.2023 12:00:18</t>
  </si>
  <si>
    <t>Реализация товаров и услуг Ст00-013576 от 24.08.2023 12:01:01</t>
  </si>
  <si>
    <t>Реализация товаров и услуг Ст00-012872 от 11.08.2023 13:05:31</t>
  </si>
  <si>
    <t>Реализация товаров и услуг Ст00-012873 от 11.08.2023 13:09:36</t>
  </si>
  <si>
    <t>Реализация товаров и услуг Ст00-012874 от 11.08.2023 13:10:46</t>
  </si>
  <si>
    <t>Реализация товаров и услуг Ст00-013825 от 28.08.2023 10:18:06</t>
  </si>
  <si>
    <t>Реализация товаров и услуг Ст00-012618 от 09.08.2023 8:41:43</t>
  </si>
  <si>
    <t>Реализация товаров и услуг Ст00-012619 от 09.08.2023 8:42:50</t>
  </si>
  <si>
    <t>Реализация товаров и услуг Ст00-012620 от 09.08.2023 8:43:51</t>
  </si>
  <si>
    <t>Реализация товаров и услуг Ст00-012621 от 09.08.2023 8:49:49</t>
  </si>
  <si>
    <t>Реализация товаров и услуг Ст00-012977 от 15.08.2023 8:44:13</t>
  </si>
  <si>
    <t>Реализация товаров и услуг Ст00-012978 от 15.08.2023 8:45:09</t>
  </si>
  <si>
    <t>АЙРОН ПЛАСТ, ТОО, Астана</t>
  </si>
  <si>
    <t>Договор №198 СТ-22 от 13.05.2022 вал</t>
  </si>
  <si>
    <t>Реализация товаров и услуг Ст00-013262 от 18.08.2023 6:23:19</t>
  </si>
  <si>
    <t>Реализация товаров и услуг Ст00-012580 от 09.08.2023 12:02:09</t>
  </si>
  <si>
    <t>Реализация товаров и услуг Ст00-013446 от 23.08.2023 12:01:38</t>
  </si>
  <si>
    <t>Реализация товаров и услуг Ст00-013444 от 23.08.2023 12:01:34</t>
  </si>
  <si>
    <t>Договор №343 СТ-23 от 20.06.2023</t>
  </si>
  <si>
    <t>Реализация товаров и услуг Ст00-013901 от 30.08.2023 0:00:00</t>
  </si>
  <si>
    <t>Реализация товаров и услуг Ст00-012582 от 09.08.2023 12:02:13</t>
  </si>
  <si>
    <t>Реализация товаров и услуг Ст00-013711 от 25.08.2023 12:01:08</t>
  </si>
  <si>
    <t>Реализация товаров и услуг Ст00-013934 от 30.08.2023 3:59:47</t>
  </si>
  <si>
    <t>Есть комментарии во вкладке ПДЗ</t>
  </si>
  <si>
    <t>Фигурирует у Фёдорова и Фаттаковой, у меня дважды</t>
  </si>
  <si>
    <t>Не считать есть согласование в элме</t>
  </si>
  <si>
    <t>Коэффициенты</t>
  </si>
  <si>
    <t>Вид номенклатуры</t>
  </si>
  <si>
    <t>Сварочники</t>
  </si>
  <si>
    <t>Шаровые краны</t>
  </si>
  <si>
    <t>ППР фитинги</t>
  </si>
  <si>
    <t>Обжимные фитинги</t>
  </si>
  <si>
    <t>ДЗ развитие</t>
  </si>
  <si>
    <t>ДЗ процессинг</t>
  </si>
  <si>
    <t>02630</t>
  </si>
  <si>
    <t>02610</t>
  </si>
  <si>
    <t>7 лет 3 месяца 28 дней</t>
  </si>
  <si>
    <t>5 месяца 5 дней</t>
  </si>
  <si>
    <t>1 год  26 дней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</si>
</sst>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2" formatCode="_-* #,##0\ &quot;₽&quot;_-;\-* #,##0\ &quot;₽&quot;_-;_-* &quot;-&quot;\ &quot;₽&quot;_-;_-@_-"/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_-* #,##0.0_-;\-* #,##0.0_-;_-* &quot;-&quot;??_-;_-@_-"/>
    <numFmt numFmtId="167" formatCode="0.00000%"/>
    <numFmt numFmtId="168" formatCode="0.0000000"/>
    <numFmt numFmtId="169" formatCode="_-* #,##0.00\ _₽_-;\-* #,##0.00\ _₽_-;_-* &quot;-&quot;?????\ _₽_-;_-@_-"/>
    <numFmt numFmtId="170" formatCode="0.000"/>
    <numFmt numFmtId="171" formatCode="_-* #,##0.00\ _₽_-;\-* #,##0.00\ _₽_-;_-* &quot;-&quot;??\ _₽_-;_-@_-"/>
    <numFmt numFmtId="172" formatCode="_-* #,##0\ _₽_-;\-* #,##0\ _₽_-;_-* &quot;-&quot;\ _₽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u/>
      <sz val="16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u/>
      <sz val="18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  <charset val="204"/>
    </font>
    <font>
      <sz val="1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0"/>
      </left>
      <right style="thin">
        <color indexed="6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3" fillId="0" borderId="0"/>
    <xf numFmtId="0" fontId="3" fillId="0" borderId="0"/>
    <xf numFmtId="0" fontId="3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197">
    <xf numFmtId="0" fontId="0" fillId="0" borderId="0" xfId="0"/>
    <xf numFmtId="0" fontId="0" fillId="0" borderId="0" xfId="0" applyProtection="1">
      <protection hidden="1"/>
    </xf>
    <xf numFmtId="0" fontId="5" fillId="3" borderId="1" xfId="0" applyFont="1" applyFill="1" applyBorder="1" applyAlignment="1" applyProtection="1">
      <alignment horizontal="center" vertical="center"/>
      <protection hidden="1"/>
    </xf>
    <xf numFmtId="3" fontId="2" fillId="4" borderId="0" xfId="0" applyNumberFormat="1" applyFont="1" applyFill="1" applyProtection="1">
      <protection hidden="1"/>
    </xf>
    <xf numFmtId="3" fontId="5" fillId="4" borderId="1" xfId="0" applyNumberFormat="1" applyFont="1" applyFill="1" applyBorder="1" applyProtection="1"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5" borderId="0" xfId="0" applyFill="1"/>
    <xf numFmtId="0" fontId="7" fillId="0" borderId="0" xfId="0" applyFont="1"/>
    <xf numFmtId="3" fontId="0" fillId="0" borderId="1" xfId="0" applyNumberFormat="1" applyBorder="1"/>
    <xf numFmtId="0" fontId="0" fillId="0" borderId="1" xfId="0" applyBorder="1"/>
    <xf numFmtId="0" fontId="1" fillId="0" borderId="0" xfId="0" applyFont="1"/>
    <xf numFmtId="0" fontId="0" fillId="5" borderId="1" xfId="0" applyFill="1" applyBorder="1"/>
    <xf numFmtId="14" fontId="5" fillId="4" borderId="3" xfId="0" applyNumberFormat="1" applyFont="1" applyFill="1" applyBorder="1" applyAlignment="1" applyProtection="1">
      <alignment horizontal="center"/>
      <protection hidden="1"/>
    </xf>
    <xf numFmtId="3" fontId="5" fillId="4" borderId="1" xfId="0" applyNumberFormat="1" applyFont="1" applyFill="1" applyBorder="1" applyProtection="1">
      <protection locked="0" hidden="1"/>
    </xf>
    <xf numFmtId="14" fontId="5" fillId="4" borderId="1" xfId="0" applyNumberFormat="1" applyFont="1" applyFill="1" applyBorder="1" applyAlignment="1" applyProtection="1">
      <alignment horizontal="center"/>
      <protection locked="0" hidden="1"/>
    </xf>
    <xf numFmtId="3" fontId="5" fillId="4" borderId="3" xfId="0" applyNumberFormat="1" applyFont="1" applyFill="1" applyBorder="1" applyAlignment="1" applyProtection="1">
      <alignment horizontal="center"/>
      <protection hidden="1"/>
    </xf>
    <xf numFmtId="0" fontId="0" fillId="0" borderId="1" xfId="0" applyBorder="1" applyProtection="1">
      <protection locked="0" hidden="1"/>
    </xf>
    <xf numFmtId="14" fontId="0" fillId="0" borderId="1" xfId="0" applyNumberFormat="1" applyBorder="1" applyAlignment="1" applyProtection="1">
      <alignment horizontal="center"/>
      <protection locked="0" hidden="1"/>
    </xf>
    <xf numFmtId="3" fontId="1" fillId="0" borderId="3" xfId="0" applyNumberFormat="1" applyFont="1" applyBorder="1" applyAlignment="1" applyProtection="1">
      <alignment horizontal="center"/>
      <protection locked="0" hidden="1"/>
    </xf>
    <xf numFmtId="3" fontId="0" fillId="0" borderId="1" xfId="0" applyNumberFormat="1" applyBorder="1" applyAlignment="1" applyProtection="1">
      <alignment horizontal="center" vertical="center"/>
      <protection locked="0" hidden="1"/>
    </xf>
    <xf numFmtId="3" fontId="0" fillId="0" borderId="2" xfId="0" applyNumberFormat="1" applyBorder="1" applyAlignment="1" applyProtection="1">
      <alignment horizontal="center" vertical="center"/>
      <protection locked="0" hidden="1"/>
    </xf>
    <xf numFmtId="0" fontId="0" fillId="0" borderId="1" xfId="0" applyBorder="1" applyProtection="1">
      <protection locked="0"/>
    </xf>
    <xf numFmtId="0" fontId="1" fillId="10" borderId="1" xfId="0" applyFont="1" applyFill="1" applyBorder="1" applyProtection="1">
      <protection hidden="1"/>
    </xf>
    <xf numFmtId="14" fontId="0" fillId="10" borderId="3" xfId="0" applyNumberFormat="1" applyFill="1" applyBorder="1" applyAlignment="1" applyProtection="1">
      <alignment horizontal="center"/>
      <protection hidden="1"/>
    </xf>
    <xf numFmtId="0" fontId="0" fillId="10" borderId="1" xfId="0" applyFill="1" applyBorder="1" applyProtection="1">
      <protection hidden="1"/>
    </xf>
    <xf numFmtId="3" fontId="0" fillId="10" borderId="1" xfId="0" applyNumberFormat="1" applyFill="1" applyBorder="1" applyAlignment="1" applyProtection="1">
      <alignment horizontal="center" vertical="center"/>
      <protection hidden="1"/>
    </xf>
    <xf numFmtId="164" fontId="0" fillId="10" borderId="1" xfId="0" applyNumberFormat="1" applyFill="1" applyBorder="1" applyAlignment="1" applyProtection="1">
      <alignment horizontal="center" vertical="center"/>
      <protection hidden="1"/>
    </xf>
    <xf numFmtId="0" fontId="0" fillId="5" borderId="5" xfId="0" applyFill="1" applyBorder="1"/>
    <xf numFmtId="14" fontId="0" fillId="0" borderId="9" xfId="0" applyNumberFormat="1" applyBorder="1"/>
    <xf numFmtId="0" fontId="0" fillId="10" borderId="0" xfId="0" applyFill="1"/>
    <xf numFmtId="3" fontId="2" fillId="4" borderId="1" xfId="0" applyNumberFormat="1" applyFont="1" applyFill="1" applyBorder="1" applyProtection="1">
      <protection locked="0" hidden="1"/>
    </xf>
    <xf numFmtId="0" fontId="2" fillId="10" borderId="1" xfId="0" applyFont="1" applyFill="1" applyBorder="1" applyProtection="1">
      <protection locked="0" hidden="1"/>
    </xf>
    <xf numFmtId="14" fontId="5" fillId="4" borderId="3" xfId="0" applyNumberFormat="1" applyFont="1" applyFill="1" applyBorder="1" applyAlignment="1" applyProtection="1">
      <alignment horizontal="center"/>
      <protection locked="0" hidden="1"/>
    </xf>
    <xf numFmtId="165" fontId="2" fillId="4" borderId="1" xfId="4" applyNumberFormat="1" applyFont="1" applyFill="1" applyBorder="1" applyAlignment="1" applyProtection="1">
      <alignment horizontal="center" vertical="center"/>
      <protection hidden="1"/>
    </xf>
    <xf numFmtId="165" fontId="0" fillId="10" borderId="1" xfId="4" applyNumberFormat="1" applyFont="1" applyFill="1" applyBorder="1" applyAlignment="1" applyProtection="1">
      <alignment horizontal="center" vertical="center"/>
      <protection hidden="1"/>
    </xf>
    <xf numFmtId="0" fontId="5" fillId="3" borderId="4" xfId="0" applyFont="1" applyFill="1" applyBorder="1" applyAlignment="1" applyProtection="1">
      <alignment horizontal="center" vertical="center" wrapText="1"/>
      <protection hidden="1"/>
    </xf>
    <xf numFmtId="14" fontId="0" fillId="0" borderId="3" xfId="0" applyNumberFormat="1" applyBorder="1" applyAlignment="1" applyProtection="1">
      <alignment horizontal="center"/>
      <protection locked="0" hidden="1"/>
    </xf>
    <xf numFmtId="0" fontId="0" fillId="5" borderId="20" xfId="0" applyFill="1" applyBorder="1"/>
    <xf numFmtId="0" fontId="0" fillId="0" borderId="10" xfId="0" applyBorder="1"/>
    <xf numFmtId="0" fontId="5" fillId="5" borderId="21" xfId="0" applyFont="1" applyFill="1" applyBorder="1"/>
    <xf numFmtId="3" fontId="0" fillId="14" borderId="10" xfId="0" applyNumberFormat="1" applyFill="1" applyBorder="1"/>
    <xf numFmtId="166" fontId="2" fillId="4" borderId="1" xfId="4" applyNumberFormat="1" applyFont="1" applyFill="1" applyBorder="1" applyAlignment="1" applyProtection="1">
      <alignment horizontal="center" vertical="center"/>
      <protection hidden="1"/>
    </xf>
    <xf numFmtId="166" fontId="2" fillId="4" borderId="1" xfId="0" applyNumberFormat="1" applyFont="1" applyFill="1" applyBorder="1" applyAlignment="1" applyProtection="1">
      <alignment horizontal="center" vertical="center"/>
      <protection hidden="1"/>
    </xf>
    <xf numFmtId="0" fontId="0" fillId="5" borderId="22" xfId="0" applyFill="1" applyBorder="1"/>
    <xf numFmtId="14" fontId="0" fillId="0" borderId="23" xfId="0" applyNumberFormat="1" applyBorder="1"/>
    <xf numFmtId="43" fontId="0" fillId="15" borderId="1" xfId="4" applyFont="1" applyFill="1" applyBorder="1" applyProtection="1">
      <protection hidden="1"/>
    </xf>
    <xf numFmtId="0" fontId="5" fillId="16" borderId="4" xfId="0" applyFont="1" applyFill="1" applyBorder="1" applyAlignment="1" applyProtection="1">
      <alignment horizontal="center" vertical="center" wrapText="1"/>
      <protection hidden="1"/>
    </xf>
    <xf numFmtId="167" fontId="0" fillId="10" borderId="1" xfId="5" applyNumberFormat="1" applyFont="1" applyFill="1" applyBorder="1" applyAlignment="1" applyProtection="1">
      <alignment horizontal="center" vertical="center"/>
      <protection hidden="1"/>
    </xf>
    <xf numFmtId="0" fontId="0" fillId="0" borderId="31" xfId="0" applyBorder="1"/>
    <xf numFmtId="167" fontId="2" fillId="4" borderId="1" xfId="5" applyNumberFormat="1" applyFont="1" applyFill="1" applyBorder="1" applyAlignment="1" applyProtection="1">
      <alignment horizontal="center" vertical="center"/>
      <protection hidden="1"/>
    </xf>
    <xf numFmtId="43" fontId="2" fillId="4" borderId="1" xfId="4" applyFont="1" applyFill="1" applyBorder="1" applyAlignment="1" applyProtection="1">
      <alignment horizontal="center" vertical="center"/>
      <protection hidden="1"/>
    </xf>
    <xf numFmtId="43" fontId="0" fillId="10" borderId="1" xfId="4" applyFont="1" applyFill="1" applyBorder="1" applyAlignment="1" applyProtection="1">
      <alignment horizontal="center" vertical="center"/>
      <protection hidden="1"/>
    </xf>
    <xf numFmtId="167" fontId="0" fillId="0" borderId="31" xfId="5" applyNumberFormat="1" applyFont="1" applyBorder="1"/>
    <xf numFmtId="0" fontId="0" fillId="0" borderId="32" xfId="0" applyBorder="1"/>
    <xf numFmtId="0" fontId="2" fillId="5" borderId="3" xfId="0" applyFont="1" applyFill="1" applyBorder="1" applyAlignment="1" applyProtection="1">
      <alignment horizontal="centerContinuous"/>
      <protection locked="0"/>
    </xf>
    <xf numFmtId="0" fontId="2" fillId="5" borderId="2" xfId="0" applyFont="1" applyFill="1" applyBorder="1" applyAlignment="1" applyProtection="1">
      <alignment horizontal="centerContinuous"/>
      <protection locked="0"/>
    </xf>
    <xf numFmtId="0" fontId="0" fillId="0" borderId="24" xfId="0" applyBorder="1" applyAlignment="1" applyProtection="1">
      <alignment horizontal="center" vertical="center"/>
      <protection hidden="1"/>
    </xf>
    <xf numFmtId="0" fontId="0" fillId="0" borderId="38" xfId="0" applyBorder="1"/>
    <xf numFmtId="0" fontId="12" fillId="0" borderId="1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11" borderId="1" xfId="0" applyFont="1" applyFill="1" applyBorder="1" applyAlignment="1" applyProtection="1">
      <alignment horizontal="center" vertical="center"/>
      <protection hidden="1"/>
    </xf>
    <xf numFmtId="10" fontId="0" fillId="0" borderId="1" xfId="0" applyNumberFormat="1" applyBorder="1" applyAlignment="1" applyProtection="1">
      <alignment horizontal="center" vertical="center"/>
      <protection hidden="1"/>
    </xf>
    <xf numFmtId="0" fontId="13" fillId="11" borderId="1" xfId="0" applyFont="1" applyFill="1" applyBorder="1" applyAlignment="1" applyProtection="1">
      <alignment horizontal="center" vertical="center"/>
      <protection hidden="1"/>
    </xf>
    <xf numFmtId="9" fontId="0" fillId="0" borderId="1" xfId="0" applyNumberFormat="1" applyBorder="1" applyAlignment="1" applyProtection="1">
      <alignment horizontal="center" vertical="center" wrapText="1"/>
      <protection hidden="1"/>
    </xf>
    <xf numFmtId="9" fontId="0" fillId="0" borderId="1" xfId="0" applyNumberFormat="1" applyBorder="1" applyAlignment="1" applyProtection="1">
      <alignment horizontal="center" vertical="center"/>
      <protection hidden="1"/>
    </xf>
    <xf numFmtId="0" fontId="2" fillId="11" borderId="7" xfId="0" applyFont="1" applyFill="1" applyBorder="1" applyAlignment="1" applyProtection="1">
      <alignment horizontal="center" vertical="center"/>
      <protection hidden="1"/>
    </xf>
    <xf numFmtId="10" fontId="0" fillId="0" borderId="7" xfId="0" applyNumberFormat="1" applyBorder="1" applyAlignment="1" applyProtection="1">
      <alignment horizontal="center" vertical="center"/>
      <protection hidden="1"/>
    </xf>
    <xf numFmtId="0" fontId="13" fillId="11" borderId="7" xfId="0" applyFont="1" applyFill="1" applyBorder="1" applyAlignment="1" applyProtection="1">
      <alignment horizontal="center" vertical="center"/>
      <protection hidden="1"/>
    </xf>
    <xf numFmtId="9" fontId="0" fillId="0" borderId="7" xfId="0" applyNumberForma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2" fillId="11" borderId="26" xfId="0" applyFont="1" applyFill="1" applyBorder="1" applyAlignment="1" applyProtection="1">
      <alignment horizontal="center" vertical="center"/>
      <protection hidden="1"/>
    </xf>
    <xf numFmtId="0" fontId="2" fillId="11" borderId="27" xfId="0" applyFont="1" applyFill="1" applyBorder="1" applyAlignment="1" applyProtection="1">
      <alignment horizontal="center" vertical="center" wrapText="1"/>
      <protection hidden="1"/>
    </xf>
    <xf numFmtId="0" fontId="0" fillId="0" borderId="24" xfId="0" applyBorder="1" applyAlignment="1" applyProtection="1">
      <alignment horizontal="left" vertical="center"/>
      <protection hidden="1"/>
    </xf>
    <xf numFmtId="9" fontId="19" fillId="0" borderId="28" xfId="0" applyNumberFormat="1" applyFont="1" applyBorder="1" applyAlignment="1" applyProtection="1">
      <alignment horizontal="center" vertical="center"/>
      <protection hidden="1"/>
    </xf>
    <xf numFmtId="16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168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167" fontId="0" fillId="0" borderId="0" xfId="5" applyNumberFormat="1" applyFont="1" applyProtection="1">
      <protection hidden="1"/>
    </xf>
    <xf numFmtId="170" fontId="0" fillId="0" borderId="0" xfId="0" applyNumberFormat="1" applyProtection="1">
      <protection hidden="1"/>
    </xf>
    <xf numFmtId="165" fontId="0" fillId="0" borderId="0" xfId="0" applyNumberFormat="1" applyProtection="1">
      <protection hidden="1"/>
    </xf>
    <xf numFmtId="0" fontId="2" fillId="11" borderId="29" xfId="0" applyFont="1" applyFill="1" applyBorder="1" applyAlignment="1" applyProtection="1">
      <alignment horizontal="left" vertical="center"/>
      <protection hidden="1"/>
    </xf>
    <xf numFmtId="9" fontId="2" fillId="11" borderId="30" xfId="0" applyNumberFormat="1" applyFont="1" applyFill="1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left" vertical="center"/>
      <protection hidden="1"/>
    </xf>
    <xf numFmtId="9" fontId="19" fillId="0" borderId="27" xfId="0" applyNumberFormat="1" applyFont="1" applyBorder="1" applyAlignment="1" applyProtection="1">
      <alignment horizontal="center" vertical="center"/>
      <protection hidden="1"/>
    </xf>
    <xf numFmtId="0" fontId="2" fillId="11" borderId="33" xfId="0" applyFont="1" applyFill="1" applyBorder="1" applyAlignment="1" applyProtection="1">
      <alignment horizontal="left" vertical="center"/>
      <protection hidden="1"/>
    </xf>
    <xf numFmtId="9" fontId="2" fillId="11" borderId="34" xfId="0" applyNumberFormat="1" applyFont="1" applyFill="1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centerContinuous" vertical="center"/>
      <protection hidden="1"/>
    </xf>
    <xf numFmtId="0" fontId="0" fillId="0" borderId="18" xfId="0" applyBorder="1" applyAlignment="1" applyProtection="1">
      <alignment horizontal="centerContinuous"/>
      <protection hidden="1"/>
    </xf>
    <xf numFmtId="0" fontId="0" fillId="0" borderId="36" xfId="0" applyBorder="1" applyAlignment="1" applyProtection="1">
      <alignment horizontal="centerContinuous"/>
      <protection hidden="1"/>
    </xf>
    <xf numFmtId="0" fontId="2" fillId="11" borderId="25" xfId="0" applyFont="1" applyFill="1" applyBorder="1" applyAlignment="1" applyProtection="1">
      <alignment horizontal="center" vertical="center"/>
      <protection hidden="1"/>
    </xf>
    <xf numFmtId="0" fontId="2" fillId="11" borderId="35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wrapText="1"/>
      <protection hidden="1"/>
    </xf>
    <xf numFmtId="0" fontId="5" fillId="3" borderId="1" xfId="0" applyFont="1" applyFill="1" applyBorder="1" applyAlignment="1" applyProtection="1">
      <alignment horizontal="center" vertical="center" wrapText="1"/>
      <protection hidden="1"/>
    </xf>
    <xf numFmtId="14" fontId="5" fillId="3" borderId="1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1" xfId="0" applyNumberFormat="1" applyFont="1" applyFill="1" applyBorder="1" applyAlignment="1" applyProtection="1">
      <alignment horizontal="center" vertical="center"/>
      <protection hidden="1"/>
    </xf>
    <xf numFmtId="3" fontId="2" fillId="4" borderId="2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2" fontId="0" fillId="10" borderId="1" xfId="0" applyNumberFormat="1" applyFill="1" applyBorder="1" applyAlignment="1" applyProtection="1">
      <alignment horizontal="center"/>
      <protection hidden="1"/>
    </xf>
    <xf numFmtId="0" fontId="2" fillId="6" borderId="1" xfId="0" applyFont="1" applyFill="1" applyBorder="1" applyAlignment="1" applyProtection="1">
      <alignment horizontal="centerContinuous" vertical="center"/>
      <protection hidden="1"/>
    </xf>
    <xf numFmtId="0" fontId="2" fillId="6" borderId="0" xfId="0" applyFont="1" applyFill="1" applyAlignment="1" applyProtection="1">
      <alignment horizontal="centerContinuous" vertic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0" fontId="0" fillId="8" borderId="1" xfId="0" applyFill="1" applyBorder="1" applyAlignment="1" applyProtection="1">
      <alignment horizontal="centerContinuous" vertical="center" wrapText="1"/>
      <protection hidden="1"/>
    </xf>
    <xf numFmtId="0" fontId="11" fillId="8" borderId="1" xfId="0" applyFont="1" applyFill="1" applyBorder="1" applyProtection="1">
      <protection hidden="1"/>
    </xf>
    <xf numFmtId="0" fontId="0" fillId="8" borderId="1" xfId="0" applyFill="1" applyBorder="1" applyProtection="1">
      <protection hidden="1"/>
    </xf>
    <xf numFmtId="0" fontId="0" fillId="0" borderId="0" xfId="0" applyAlignment="1" applyProtection="1">
      <alignment horizontal="centerContinuous" vertical="center" wrapText="1"/>
      <protection hidden="1"/>
    </xf>
    <xf numFmtId="0" fontId="2" fillId="4" borderId="1" xfId="0" applyFont="1" applyFill="1" applyBorder="1" applyProtection="1">
      <protection hidden="1"/>
    </xf>
    <xf numFmtId="0" fontId="0" fillId="4" borderId="1" xfId="0" applyFill="1" applyBorder="1" applyProtection="1">
      <protection hidden="1"/>
    </xf>
    <xf numFmtId="0" fontId="14" fillId="6" borderId="9" xfId="0" applyFont="1" applyFill="1" applyBorder="1" applyAlignment="1" applyProtection="1">
      <alignment horizontal="centerContinuous" vertical="center"/>
      <protection hidden="1"/>
    </xf>
    <xf numFmtId="0" fontId="15" fillId="7" borderId="9" xfId="0" applyFont="1" applyFill="1" applyBorder="1" applyAlignment="1" applyProtection="1">
      <alignment horizontal="center" vertical="center"/>
      <protection locked="0" hidden="1"/>
    </xf>
    <xf numFmtId="3" fontId="0" fillId="10" borderId="0" xfId="0" applyNumberFormat="1" applyFill="1" applyAlignment="1" applyProtection="1">
      <alignment horizontal="center" vertical="center" wrapText="1"/>
      <protection hidden="1"/>
    </xf>
    <xf numFmtId="0" fontId="0" fillId="7" borderId="0" xfId="0" applyFill="1" applyAlignment="1" applyProtection="1">
      <alignment horizontal="right" vertical="center"/>
      <protection hidden="1"/>
    </xf>
    <xf numFmtId="0" fontId="2" fillId="12" borderId="5" xfId="0" applyFont="1" applyFill="1" applyBorder="1" applyAlignment="1" applyProtection="1">
      <alignment horizontal="center" vertical="center" wrapText="1"/>
      <protection hidden="1"/>
    </xf>
    <xf numFmtId="0" fontId="0" fillId="12" borderId="10" xfId="0" applyFill="1" applyBorder="1" applyProtection="1">
      <protection hidden="1"/>
    </xf>
    <xf numFmtId="0" fontId="0" fillId="0" borderId="2" xfId="0" applyBorder="1" applyProtection="1">
      <protection hidden="1"/>
    </xf>
    <xf numFmtId="0" fontId="0" fillId="12" borderId="12" xfId="0" applyFill="1" applyBorder="1" applyProtection="1">
      <protection hidden="1"/>
    </xf>
    <xf numFmtId="0" fontId="0" fillId="12" borderId="11" xfId="0" applyFill="1" applyBorder="1" applyProtection="1">
      <protection hidden="1"/>
    </xf>
    <xf numFmtId="165" fontId="0" fillId="0" borderId="1" xfId="4" applyNumberFormat="1" applyFont="1" applyBorder="1" applyProtection="1">
      <protection locked="0" hidden="1"/>
    </xf>
    <xf numFmtId="43" fontId="0" fillId="0" borderId="0" xfId="4" applyFont="1" applyProtection="1">
      <protection hidden="1"/>
    </xf>
    <xf numFmtId="0" fontId="4" fillId="2" borderId="1" xfId="1" applyFont="1" applyFill="1" applyBorder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3" fillId="0" borderId="39" xfId="2" applyBorder="1" applyAlignment="1" applyProtection="1">
      <alignment vertical="top" wrapText="1"/>
      <protection locked="0"/>
    </xf>
    <xf numFmtId="0" fontId="3" fillId="0" borderId="39" xfId="2" applyBorder="1" applyAlignment="1" applyProtection="1">
      <alignment horizontal="right" vertical="top"/>
      <protection locked="0"/>
    </xf>
    <xf numFmtId="4" fontId="3" fillId="0" borderId="39" xfId="2" applyNumberFormat="1" applyBorder="1" applyAlignment="1" applyProtection="1">
      <alignment horizontal="right" vertical="top"/>
      <protection locked="0"/>
    </xf>
    <xf numFmtId="0" fontId="3" fillId="0" borderId="1" xfId="2" applyBorder="1" applyAlignment="1" applyProtection="1">
      <alignment vertical="top" wrapText="1"/>
      <protection locked="0"/>
    </xf>
    <xf numFmtId="0" fontId="3" fillId="0" borderId="1" xfId="2" applyBorder="1" applyAlignment="1" applyProtection="1">
      <alignment horizontal="right" vertical="top"/>
      <protection locked="0"/>
    </xf>
    <xf numFmtId="2" fontId="3" fillId="0" borderId="1" xfId="2" applyNumberFormat="1" applyBorder="1" applyAlignment="1" applyProtection="1">
      <alignment horizontal="right" vertical="top"/>
      <protection locked="0"/>
    </xf>
    <xf numFmtId="4" fontId="3" fillId="0" borderId="1" xfId="2" applyNumberFormat="1" applyBorder="1" applyAlignment="1" applyProtection="1">
      <alignment horizontal="right" vertical="top"/>
      <protection locked="0"/>
    </xf>
    <xf numFmtId="2" fontId="0" fillId="0" borderId="0" xfId="0" applyNumberFormat="1" applyProtection="1">
      <protection locked="0"/>
    </xf>
    <xf numFmtId="0" fontId="0" fillId="0" borderId="0" xfId="0" applyProtection="1">
      <protection locked="0" hidden="1"/>
    </xf>
    <xf numFmtId="43" fontId="0" fillId="0" borderId="0" xfId="4" applyFont="1" applyProtection="1">
      <protection locked="0"/>
    </xf>
    <xf numFmtId="43" fontId="0" fillId="0" borderId="0" xfId="4" applyFont="1" applyProtection="1">
      <protection locked="0" hidden="1"/>
    </xf>
    <xf numFmtId="42" fontId="16" fillId="12" borderId="1" xfId="0" applyNumberFormat="1" applyFont="1" applyFill="1" applyBorder="1" applyAlignment="1" applyProtection="1">
      <alignment horizontal="center" vertical="center"/>
      <protection locked="0" hidden="1"/>
    </xf>
    <xf numFmtId="0" fontId="2" fillId="7" borderId="1" xfId="0" applyFont="1" applyFill="1" applyBorder="1" applyAlignment="1" applyProtection="1">
      <alignment horizontal="center" vertical="center" wrapText="1"/>
      <protection locked="0" hidden="1"/>
    </xf>
    <xf numFmtId="0" fontId="2" fillId="7" borderId="1" xfId="0" applyFont="1" applyFill="1" applyBorder="1" applyAlignment="1" applyProtection="1">
      <alignment horizontal="center" vertical="center"/>
      <protection locked="0" hidden="1"/>
    </xf>
    <xf numFmtId="0" fontId="0" fillId="12" borderId="1" xfId="0" applyFill="1" applyBorder="1" applyProtection="1">
      <protection locked="0" hidden="1"/>
    </xf>
    <xf numFmtId="0" fontId="0" fillId="0" borderId="1" xfId="0" applyBorder="1" applyAlignment="1" applyProtection="1">
      <alignment horizontal="center" vertical="center"/>
      <protection locked="0" hidden="1"/>
    </xf>
    <xf numFmtId="0" fontId="0" fillId="12" borderId="1" xfId="0" applyFill="1" applyBorder="1" applyAlignment="1" applyProtection="1">
      <alignment horizontal="center" vertical="center"/>
      <protection locked="0" hidden="1"/>
    </xf>
    <xf numFmtId="2" fontId="0" fillId="0" borderId="0" xfId="0" applyNumberFormat="1" applyProtection="1">
      <protection locked="0" hidden="1"/>
    </xf>
    <xf numFmtId="0" fontId="0" fillId="10" borderId="1" xfId="0" applyFill="1" applyBorder="1" applyProtection="1">
      <protection locked="0" hidden="1"/>
    </xf>
    <xf numFmtId="165" fontId="0" fillId="10" borderId="1" xfId="4" applyNumberFormat="1" applyFont="1" applyFill="1" applyBorder="1" applyProtection="1">
      <protection locked="0" hidden="1"/>
    </xf>
    <xf numFmtId="43" fontId="0" fillId="10" borderId="1" xfId="4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18" fillId="13" borderId="13" xfId="3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wrapText="1"/>
      <protection locked="0"/>
    </xf>
    <xf numFmtId="172" fontId="0" fillId="0" borderId="31" xfId="0" applyNumberFormat="1" applyBorder="1" applyAlignment="1" applyProtection="1">
      <alignment horizontal="center" vertical="center"/>
      <protection locked="0"/>
    </xf>
    <xf numFmtId="3" fontId="0" fillId="10" borderId="2" xfId="0" applyNumberFormat="1" applyFill="1" applyBorder="1" applyAlignment="1" applyProtection="1">
      <alignment horizontal="center" vertical="center"/>
      <protection hidden="1"/>
    </xf>
    <xf numFmtId="165" fontId="2" fillId="4" borderId="1" xfId="4" applyNumberFormat="1" applyFont="1" applyFill="1" applyBorder="1" applyAlignment="1" applyProtection="1">
      <alignment horizontal="center" vertical="center"/>
      <protection locked="0" hidden="1"/>
    </xf>
    <xf numFmtId="165" fontId="0" fillId="0" borderId="1" xfId="4" applyNumberFormat="1" applyFont="1" applyFill="1" applyBorder="1" applyAlignment="1" applyProtection="1">
      <alignment horizontal="center" vertical="center"/>
      <protection locked="0" hidden="1"/>
    </xf>
    <xf numFmtId="43" fontId="4" fillId="5" borderId="37" xfId="4" applyFont="1" applyFill="1" applyBorder="1" applyAlignment="1" applyProtection="1">
      <alignment vertical="top" wrapText="1"/>
      <protection hidden="1"/>
    </xf>
    <xf numFmtId="43" fontId="2" fillId="10" borderId="6" xfId="4" applyFont="1" applyFill="1" applyBorder="1" applyProtection="1">
      <protection hidden="1"/>
    </xf>
    <xf numFmtId="0" fontId="16" fillId="5" borderId="40" xfId="0" applyFont="1" applyFill="1" applyBorder="1" applyAlignment="1" applyProtection="1">
      <alignment horizontal="center" vertical="center"/>
      <protection locked="0"/>
    </xf>
    <xf numFmtId="0" fontId="0" fillId="0" borderId="41" xfId="0" applyBorder="1" applyProtection="1">
      <protection locked="0"/>
    </xf>
    <xf numFmtId="0" fontId="0" fillId="0" borderId="42" xfId="0" applyBorder="1" applyProtection="1">
      <protection locked="0"/>
    </xf>
    <xf numFmtId="0" fontId="3" fillId="0" borderId="43" xfId="2" applyBorder="1" applyAlignment="1">
      <alignment vertical="top" wrapText="1"/>
    </xf>
    <xf numFmtId="0" fontId="3" fillId="0" borderId="43" xfId="2" applyBorder="1" applyAlignment="1">
      <alignment horizontal="right" vertical="top"/>
    </xf>
    <xf numFmtId="2" fontId="3" fillId="0" borderId="43" xfId="2" applyNumberFormat="1" applyBorder="1" applyAlignment="1">
      <alignment horizontal="right" vertical="top"/>
    </xf>
    <xf numFmtId="0" fontId="0" fillId="17" borderId="41" xfId="0" applyFill="1" applyBorder="1" applyProtection="1">
      <protection locked="0"/>
    </xf>
    <xf numFmtId="0" fontId="3" fillId="17" borderId="43" xfId="2" applyFill="1" applyBorder="1" applyAlignment="1">
      <alignment vertical="top" wrapText="1"/>
    </xf>
    <xf numFmtId="0" fontId="3" fillId="17" borderId="43" xfId="2" applyFill="1" applyBorder="1" applyAlignment="1">
      <alignment horizontal="right" vertical="top"/>
    </xf>
    <xf numFmtId="4" fontId="3" fillId="17" borderId="43" xfId="2" applyNumberFormat="1" applyFill="1" applyBorder="1" applyAlignment="1">
      <alignment horizontal="right" vertical="top"/>
    </xf>
    <xf numFmtId="0" fontId="12" fillId="0" borderId="32" xfId="0" applyFont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0" fontId="13" fillId="11" borderId="44" xfId="0" applyFont="1" applyFill="1" applyBorder="1" applyAlignment="1">
      <alignment horizontal="center" vertical="center"/>
    </xf>
    <xf numFmtId="9" fontId="0" fillId="0" borderId="44" xfId="0" applyNumberFormat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9" fontId="0" fillId="0" borderId="45" xfId="0" applyNumberFormat="1" applyBorder="1" applyAlignment="1">
      <alignment horizontal="center" vertical="center"/>
    </xf>
    <xf numFmtId="0" fontId="0" fillId="0" borderId="44" xfId="0" applyBorder="1"/>
    <xf numFmtId="42" fontId="16" fillId="10" borderId="1" xfId="0" applyNumberFormat="1" applyFont="1" applyFill="1" applyBorder="1" applyAlignment="1" applyProtection="1">
      <alignment horizontal="center" vertical="center"/>
      <protection hidden="1"/>
    </xf>
    <xf numFmtId="4" fontId="3" fillId="0" borderId="43" xfId="2" applyNumberFormat="1" applyBorder="1" applyAlignment="1">
      <alignment horizontal="right" vertical="top"/>
    </xf>
    <xf numFmtId="0" fontId="12" fillId="0" borderId="44" xfId="0" applyFont="1" applyBorder="1" applyAlignment="1" applyProtection="1">
      <alignment horizontal="center" vertical="center"/>
      <protection hidden="1"/>
    </xf>
    <xf numFmtId="0" fontId="2" fillId="0" borderId="44" xfId="0" applyFont="1" applyBorder="1" applyAlignment="1" applyProtection="1">
      <alignment horizontal="center" vertical="center"/>
      <protection hidden="1"/>
    </xf>
    <xf numFmtId="0" fontId="2" fillId="11" borderId="44" xfId="0" applyFont="1" applyFill="1" applyBorder="1" applyAlignment="1" applyProtection="1">
      <alignment horizontal="center" vertical="center"/>
      <protection hidden="1"/>
    </xf>
    <xf numFmtId="10" fontId="0" fillId="0" borderId="44" xfId="0" applyNumberFormat="1" applyBorder="1" applyAlignment="1" applyProtection="1">
      <alignment horizontal="center" vertical="center"/>
      <protection hidden="1"/>
    </xf>
    <xf numFmtId="0" fontId="2" fillId="11" borderId="45" xfId="0" applyFont="1" applyFill="1" applyBorder="1" applyAlignment="1" applyProtection="1">
      <alignment horizontal="center" vertical="center"/>
      <protection hidden="1"/>
    </xf>
    <xf numFmtId="10" fontId="0" fillId="0" borderId="45" xfId="0" applyNumberFormat="1" applyBorder="1" applyAlignment="1" applyProtection="1">
      <alignment horizontal="center" vertical="center"/>
      <protection hidden="1"/>
    </xf>
    <xf numFmtId="0" fontId="0" fillId="5" borderId="0" xfId="0" applyFill="1" applyAlignment="1">
      <alignment horizontal="center"/>
    </xf>
    <xf numFmtId="0" fontId="0" fillId="0" borderId="8" xfId="0" applyBorder="1" applyAlignment="1" applyProtection="1">
      <alignment horizontal="center"/>
      <protection hidden="1"/>
    </xf>
    <xf numFmtId="0" fontId="5" fillId="3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10" borderId="1" xfId="0" applyFont="1" applyFill="1" applyBorder="1" applyAlignment="1" applyProtection="1">
      <alignment horizontal="center"/>
      <protection hidden="1"/>
    </xf>
    <xf numFmtId="3" fontId="5" fillId="4" borderId="1" xfId="0" applyNumberFormat="1" applyFont="1" applyFill="1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 wrapText="1"/>
      <protection locked="0" hidden="1"/>
    </xf>
    <xf numFmtId="0" fontId="0" fillId="0" borderId="6" xfId="0" applyBorder="1" applyAlignment="1" applyProtection="1">
      <alignment horizontal="center" wrapText="1"/>
      <protection locked="0" hidden="1"/>
    </xf>
    <xf numFmtId="0" fontId="0" fillId="0" borderId="19" xfId="0" applyBorder="1" applyAlignment="1" applyProtection="1">
      <alignment horizontal="center" wrapText="1"/>
      <protection locked="0" hidden="1"/>
    </xf>
    <xf numFmtId="0" fontId="10" fillId="0" borderId="36" xfId="0" applyFont="1" applyBorder="1" applyAlignment="1" applyProtection="1">
      <alignment horizontal="center" vertical="center"/>
      <protection hidden="1"/>
    </xf>
    <xf numFmtId="0" fontId="10" fillId="0" borderId="37" xfId="0" applyFont="1" applyBorder="1" applyAlignment="1" applyProtection="1">
      <alignment horizontal="center" vertical="center"/>
      <protection hidden="1"/>
    </xf>
    <xf numFmtId="0" fontId="10" fillId="0" borderId="18" xfId="0" applyFont="1" applyBorder="1" applyAlignment="1" applyProtection="1">
      <alignment horizontal="center" vertical="center"/>
      <protection hidden="1"/>
    </xf>
    <xf numFmtId="0" fontId="0" fillId="9" borderId="14" xfId="0" applyFill="1" applyBorder="1" applyAlignment="1" applyProtection="1">
      <alignment horizontal="center" vertical="center"/>
      <protection hidden="1"/>
    </xf>
    <xf numFmtId="0" fontId="0" fillId="9" borderId="15" xfId="0" applyFill="1" applyBorder="1" applyAlignment="1" applyProtection="1">
      <alignment horizontal="center" vertical="center"/>
      <protection hidden="1"/>
    </xf>
    <xf numFmtId="0" fontId="0" fillId="9" borderId="16" xfId="0" applyFill="1" applyBorder="1" applyAlignment="1" applyProtection="1">
      <alignment horizontal="center" vertical="center"/>
      <protection hidden="1"/>
    </xf>
    <xf numFmtId="0" fontId="0" fillId="9" borderId="17" xfId="0" applyFill="1" applyBorder="1" applyAlignment="1" applyProtection="1">
      <alignment horizontal="center" vertical="center"/>
      <protection hidden="1"/>
    </xf>
    <xf numFmtId="0" fontId="0" fillId="7" borderId="14" xfId="0" applyFill="1" applyBorder="1" applyAlignment="1" applyProtection="1">
      <alignment horizontal="center" vertical="center"/>
      <protection hidden="1"/>
    </xf>
    <xf numFmtId="0" fontId="0" fillId="7" borderId="15" xfId="0" applyFill="1" applyBorder="1" applyAlignment="1" applyProtection="1">
      <alignment horizontal="center" vertical="center"/>
      <protection hidden="1"/>
    </xf>
    <xf numFmtId="0" fontId="0" fillId="7" borderId="16" xfId="0" applyFill="1" applyBorder="1" applyAlignment="1" applyProtection="1">
      <alignment horizontal="center" vertical="center"/>
      <protection hidden="1"/>
    </xf>
    <xf numFmtId="0" fontId="0" fillId="7" borderId="17" xfId="0" applyFill="1" applyBorder="1" applyAlignment="1" applyProtection="1">
      <alignment horizontal="center" vertical="center"/>
      <protection hidden="1"/>
    </xf>
  </cellXfs>
  <cellStyles count="6">
    <cellStyle name="Обычный" xfId="0" builtinId="0"/>
    <cellStyle name="Обычный_Лист2" xfId="1" xr:uid="{B005BD54-F0EB-4AE6-A1B2-92231E183BEC}"/>
    <cellStyle name="Обычный_ОБОРОТ" xfId="3" xr:uid="{5AB17402-1F31-4EB4-B4AB-850CD6C7B8A3}"/>
    <cellStyle name="Обычный_ПДЗ" xfId="2" xr:uid="{87A441F3-1096-433D-A937-82594ECABD03}"/>
    <cellStyle name="Процентный" xfId="5" builtinId="5"/>
    <cellStyle name="Финансовый" xfId="4" builtinId="3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1"/>
    </dxf>
    <dxf>
      <protection locked="0" hidden="1"/>
    </dxf>
    <dxf>
      <protection locked="0" hidden="1"/>
    </dxf>
    <dxf>
      <numFmt numFmtId="0" formatCode="General"/>
      <protection locked="0" hidden="1"/>
    </dxf>
    <dxf>
      <numFmt numFmtId="0" formatCode="General"/>
      <protection locked="0" hidden="1"/>
    </dxf>
    <dxf>
      <numFmt numFmtId="0" formatCode="General"/>
      <protection locked="0" hidden="1"/>
    </dxf>
    <dxf>
      <numFmt numFmtId="0" formatCode="General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1"/>
    </dxf>
    <dxf>
      <numFmt numFmtId="0" formatCode="General"/>
      <protection locked="0" hidden="1"/>
    </dxf>
    <dxf>
      <numFmt numFmtId="0" formatCode="General"/>
      <protection locked="0" hidden="1"/>
    </dxf>
    <dxf>
      <numFmt numFmtId="0" formatCode="General"/>
      <protection locked="0" hidden="1"/>
    </dxf>
    <dxf>
      <numFmt numFmtId="0" formatCode="General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0"/>
        </right>
      </border>
    </dxf>
    <dxf>
      <protection locked="0" hidden="1"/>
    </dxf>
    <dxf>
      <protection locked="0" hidden="1"/>
    </dxf>
    <dxf>
      <protection locked="0"/>
    </dxf>
    <dxf>
      <protection locked="0"/>
    </dxf>
    <dxf>
      <protection locked="0"/>
    </dxf>
    <dxf>
      <protection locked="0"/>
    </dxf>
    <dxf>
      <border outline="0">
        <right style="thin">
          <color indexed="60"/>
        </right>
      </border>
    </dxf>
    <dxf>
      <protection locked="0"/>
    </dxf>
    <dxf>
      <protection locked="0"/>
    </dxf>
    <dxf>
      <numFmt numFmtId="0" formatCode="General"/>
    </dxf>
    <dxf>
      <protection locked="0" hidden="1"/>
    </dxf>
    <dxf>
      <protection locked="0" hidden="1"/>
    </dxf>
    <dxf>
      <font>
        <color rgb="FF002060"/>
      </font>
      <fill>
        <gradientFill degree="90">
          <stop position="0">
            <color theme="0"/>
          </stop>
          <stop position="0.5">
            <color rgb="FFC85C83"/>
          </stop>
          <stop position="1">
            <color theme="0"/>
          </stop>
        </gradientFill>
      </fill>
    </dxf>
    <dxf>
      <font>
        <color rgb="FF7030A0"/>
      </font>
      <fill>
        <gradientFill degree="90">
          <stop position="0">
            <color theme="0"/>
          </stop>
          <stop position="0.5">
            <color rgb="FF4CEA81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4F456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4F456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4F456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4F456"/>
          </stop>
          <stop position="1">
            <color theme="0"/>
          </stop>
        </gradient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numFmt numFmtId="19" formatCode="dd/mm/yyyy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numFmt numFmtId="19" formatCode="dd/mm/yyyy"/>
    </dxf>
    <dxf>
      <border outline="0">
        <top style="thin">
          <color indexed="64"/>
        </top>
        <bottom style="medium">
          <color indexed="64"/>
        </bottom>
      </border>
    </dxf>
    <dxf>
      <numFmt numFmtId="19" formatCode="dd/mm/yyyy"/>
    </dxf>
    <dxf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border outline="0">
        <top style="medium">
          <color indexed="64"/>
        </top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border outline="0">
        <top style="thin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4" tint="0.599993896298104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Стиль таблицы 1" pivot="0" count="2" xr9:uid="{871FD0E3-78D8-44C8-93F7-C2601E876BA3}">
      <tableStyleElement type="wholeTable" dxfId="73"/>
      <tableStyleElement type="headerRow" dxfId="72"/>
    </tableStyle>
  </tableStyles>
  <colors>
    <mruColors>
      <color rgb="FF4CEA81"/>
      <color rgb="FFC85C83"/>
      <color rgb="FFF4F456"/>
      <color rgb="FFDDC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466725</xdr:colOff>
          <xdr:row>14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12</xdr:row>
          <xdr:rowOff>9525</xdr:rowOff>
        </xdr:from>
        <xdr:to>
          <xdr:col>6</xdr:col>
          <xdr:colOff>552450</xdr:colOff>
          <xdr:row>14</xdr:row>
          <xdr:rowOff>9525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96ABE56-82D4-44DD-AAA9-004B3D73DA99}" autoFormatId="16" applyNumberFormats="0" applyBorderFormats="0" applyFontFormats="0" applyPatternFormats="0" applyAlignmentFormats="0" applyWidthHeightFormats="0">
  <queryTableRefresh nextId="5">
    <queryTableFields count="2">
      <queryTableField id="2" name="Группа доступа" tableColumnId="2"/>
      <queryTableField id="4" name="Штрафы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AA5B1FB9-AA91-48A0-9B33-C75EB1270160}" autoFormatId="16" applyNumberFormats="0" applyBorderFormats="0" applyFontFormats="0" applyPatternFormats="0" applyAlignmentFormats="0" applyWidthHeightFormats="0">
  <queryTableRefresh nextId="5">
    <queryTableFields count="2">
      <queryTableField id="2" name="ГРУППА ДОСТУПА" tableColumnId="2"/>
      <queryTableField id="3" name="Расходы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" xr16:uid="{96EC235B-2823-4C23-AC8A-D1D344168C90}" autoFormatId="16" applyNumberFormats="0" applyBorderFormats="0" applyFontFormats="0" applyPatternFormats="0" applyAlignmentFormats="0" applyWidthHeightFormats="0">
  <queryTableRefresh nextId="4">
    <queryTableFields count="3">
      <queryTableField id="1" name="ГРУППА ДОСТУПА" tableColumnId="1"/>
      <queryTableField id="2" name="Сегмент" tableColumnId="2"/>
      <queryTableField id="3" name="Количество клиентов" tableColumnId="3"/>
    </queryTableFields>
  </queryTableRefresh>
  <extLst>
    <ext xmlns:x15="http://schemas.microsoft.com/office/spreadsheetml/2010/11/main" uri="{883FBD77-0823-4a55-B5E3-86C4891E6966}">
      <x15:queryTable sourceDataName="Запрос — Новые_клиенты_для_премии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3390D49-13DA-42E3-ADBA-C7CB7BDDED27}" autoFormatId="16" applyNumberFormats="0" applyBorderFormats="0" applyFontFormats="0" applyPatternFormats="0" applyAlignmentFormats="0" applyWidthHeightFormats="0">
  <queryTableRefresh nextId="21">
    <queryTableFields count="8">
      <queryTableField id="1" name="Сегмент" tableColumnId="1"/>
      <queryTableField id="2" name="Группа доступа" tableColumnId="2"/>
      <queryTableField id="9" name="Артикул" tableColumnId="9"/>
      <queryTableField id="19" name="Вид номенклатуры" tableColumnId="3"/>
      <queryTableField id="15" name="Период, месяц" tableColumnId="14"/>
      <queryTableField id="11" name="Количество" tableColumnId="11"/>
      <queryTableField id="17" name="Акция для менеджеров Руб/шт" tableColumnId="15"/>
      <queryTableField id="18" name="Пользовательский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432FB522-2BB4-4FF0-B3F6-731C21964DC8}" autoFormatId="16" applyNumberFormats="0" applyBorderFormats="0" applyFontFormats="0" applyPatternFormats="0" applyAlignmentFormats="0" applyWidthHeightFormats="0">
  <queryTableRefresh nextId="5">
    <queryTableFields count="4">
      <queryTableField id="1" name="Сегмент" tableColumnId="1"/>
      <queryTableField id="2" name="Группа доступа" tableColumnId="2"/>
      <queryTableField id="3" name="Основной менеджер" tableColumnId="3"/>
      <queryTableField id="4" name="Выручка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D900B9A4-F364-4DC1-893A-F7342A71D543}" autoFormatId="16" applyNumberFormats="0" applyBorderFormats="0" applyFontFormats="0" applyPatternFormats="0" applyAlignmentFormats="0" applyWidthHeightFormats="0">
  <queryTableRefresh nextId="5">
    <queryTableFields count="4">
      <queryTableField id="1" name="Сегмент" tableColumnId="1"/>
      <queryTableField id="2" name="Клиент.Группа доступа" tableColumnId="2"/>
      <queryTableField id="3" name="Клиент.Основной менеджер" tableColumnId="3"/>
      <queryTableField id="4" name="Уменьшение долга клиента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437A9B3B-DF25-4100-943D-20A37810C160}" autoFormatId="16" applyNumberFormats="0" applyBorderFormats="0" applyFontFormats="0" applyPatternFormats="0" applyAlignmentFormats="0" applyWidthHeightFormats="0">
  <queryTableRefresh nextId="7">
    <queryTableFields count="4">
      <queryTableField id="1" name="Сегмент" tableColumnId="1"/>
      <queryTableField id="2" name="Группа доступа" tableColumnId="2"/>
      <queryTableField id="3" name="Основной менеджер" tableColumnId="3"/>
      <queryTableField id="5" name="Выручка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5317A30-9FA8-4B53-B388-C6517BFB77B9}" autoFormatId="16" applyNumberFormats="0" applyBorderFormats="0" applyFontFormats="0" applyPatternFormats="0" applyAlignmentFormats="0" applyWidthHeightFormats="0">
  <queryTableRefresh nextId="6">
    <queryTableFields count="5">
      <queryTableField id="1" name="Сегмент" tableColumnId="1"/>
      <queryTableField id="2" name="Группа доступа" tableColumnId="2"/>
      <queryTableField id="3" name="Основной менеджер" tableColumnId="3"/>
      <queryTableField id="4" name="Артикул" tableColumnId="4"/>
      <queryTableField id="5" name="Выручка" tableColumnId="5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3C26388-F2FA-4A3B-8FAF-5665BB27EA0E}" name="Период_отчета" displayName="Период_отчета" ref="C16:C17" totalsRowShown="0" headerRowDxfId="70" tableBorderDxfId="69">
  <autoFilter ref="C16:C17" xr:uid="{C3C26388-F2FA-4A3B-8FAF-5665BB27EA0E}"/>
  <tableColumns count="1">
    <tableColumn id="1" xr3:uid="{CF312C35-8BD1-4021-B158-2041CA571E33}" name="Период отчета" dataDxfId="68">
      <calculatedColumnFormula>_xlfn.CONCAT(Список_сотрудников!$D$20," ",Список_сотрудников!E20," г.")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FE1FF4-ADCA-4C48-8015-04E8D494323A}" name="Сегмент_отчета" displayName="Сегмент_отчета" ref="C19:C20" totalsRowShown="0" headerRowDxfId="67" dataDxfId="65" headerRowBorderDxfId="66" tableBorderDxfId="64" totalsRowBorderDxfId="63">
  <autoFilter ref="C19:C20" xr:uid="{63FE1FF4-ADCA-4C48-8015-04E8D494323A}"/>
  <tableColumns count="1">
    <tableColumn id="1" xr3:uid="{C6FDB4B3-335A-4B77-9C7C-FA7972AD57E0}" name="Сегмент" dataDxfId="62">
      <calculatedColumnFormula>Список_сотрудников!$B$2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86FB001-ECE5-4715-A12E-A3747775DE43}" name="Дата_для_оборота" displayName="Дата_для_оборота" ref="M16:M18" totalsRowCount="1" headerRowDxfId="61" dataDxfId="60" totalsRowDxfId="58" tableBorderDxfId="59">
  <autoFilter ref="M16:M17" xr:uid="{986FB001-ECE5-4715-A12E-A3747775DE43}"/>
  <tableColumns count="1">
    <tableColumn id="1" xr3:uid="{F06B17BE-0E85-4EC5-9CC9-900668BC8DB7}" name="Дата_для_оборота" totalsRowFunction="custom" dataDxfId="57" totalsRowDxfId="56">
      <calculatedColumnFormula>A17</calculatedColumnFormula>
      <totalsRowFormula>DATE(YEAR(A17)-1,MONTH(A17)+1,1)</totalsRowFormula>
    </tableColumn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3A75D54-F60C-4887-9828-9D6FE7DC6E5E}" name="СВОД_штрафы" displayName="СВОД_штрафы" ref="S20:T22" tableType="queryTable" totalsRowShown="0" headerRowDxfId="55">
  <autoFilter ref="S20:T22" xr:uid="{33A75D54-F60C-4887-9828-9D6FE7DC6E5E}"/>
  <tableColumns count="2">
    <tableColumn id="2" xr3:uid="{7BC6EF20-FEEB-438D-A553-BF958D5D28BE}" uniqueName="2" name="Группа доступа" queryTableFieldId="2" dataDxfId="24"/>
    <tableColumn id="1" xr3:uid="{A3D1E909-0ED7-4FCC-9401-B1CD0682071B}" uniqueName="1" name="Штрафы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7CB9A6-EE48-4FC7-BFE5-8A9F5FCBA82B}" name="СВОД_расходы" displayName="СВОД_расходы" ref="S14:T17" tableType="queryTable" totalsRowShown="0" headerRowDxfId="54">
  <autoFilter ref="S14:T17" xr:uid="{407CB9A6-EE48-4FC7-BFE5-8A9F5FCBA82B}"/>
  <tableColumns count="2">
    <tableColumn id="2" xr3:uid="{AE216A0F-DADE-41EB-812C-7202949147F3}" uniqueName="2" name="ГРУППА ДОСТУПА" queryTableFieldId="2" dataDxfId="26"/>
    <tableColumn id="3" xr3:uid="{AE93394A-6C15-4DE6-9D96-C22910EDFECF}" uniqueName="3" name="Расходы" queryTableFieldId="3" dataDxfId="2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691D324-D9B8-4992-A790-E7EAA80B1A07}" name="Список_столбцов" displayName="Список_столбцов" ref="C27:C32" totalsRowShown="0">
  <autoFilter ref="C27:C32" xr:uid="{6691D324-D9B8-4992-A790-E7EAA80B1A07}"/>
  <tableColumns count="1">
    <tableColumn id="1" xr3:uid="{2F6CD11A-9AF9-4FF0-ACE9-A9C99016A6EC}" name="Список столбцов"/>
  </tableColumns>
  <tableStyleInfo name="Стиль таблицы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70E9F9B-2B18-4985-975E-7B045FF05E08}" name="Новые_клиенты_для_премии" displayName="Новые_клиенты_для_премии" ref="M40:O41" tableType="queryTable" totalsRowShown="0">
  <autoFilter ref="M40:O41" xr:uid="{370E9F9B-2B18-4985-975E-7B045FF05E08}"/>
  <tableColumns count="3">
    <tableColumn id="1" xr3:uid="{925D6F58-D4A1-4DA4-9334-663C5056459C}" uniqueName="1" name="ГРУППА ДОСТУПА" queryTableFieldId="1" dataDxfId="53"/>
    <tableColumn id="2" xr3:uid="{F11F1927-5FCA-4DC7-90A3-0F361CC95539}" uniqueName="2" name="Сегмент" queryTableFieldId="2" dataDxfId="52"/>
    <tableColumn id="3" xr3:uid="{6F5F9AFF-8DC2-4E9F-9B45-D0E75AFF13E8}" uniqueName="3" name="Количество клиентов" queryTableFieldId="3"/>
  </tableColumns>
  <tableStyleInfo name="Стиль таблицы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81CE279-4415-483D-A580-0B483C4A3AB6}" name="Продажи_артикулов" displayName="Продажи_артикулов" ref="A1:H7" tableType="queryTable" totalsRowShown="0" headerRowDxfId="39" dataDxfId="38">
  <autoFilter ref="A1:H7" xr:uid="{481CE279-4415-483D-A580-0B483C4A3AB6}"/>
  <tableColumns count="8">
    <tableColumn id="1" xr3:uid="{DD0E3738-271F-4B20-8ABE-168E636FAC2E}" uniqueName="1" name="Сегмент" queryTableFieldId="1" dataDxfId="10"/>
    <tableColumn id="2" xr3:uid="{5C022A6C-D59B-48E2-A7A8-A4626FC510F6}" uniqueName="2" name="Группа доступа" queryTableFieldId="2" dataDxfId="9"/>
    <tableColumn id="9" xr3:uid="{01E002EB-21C5-4D20-B461-DAB232F6D33B}" uniqueName="9" name="Артикул" queryTableFieldId="9" dataDxfId="8"/>
    <tableColumn id="3" xr3:uid="{3EB5B82F-B5EE-4E4E-92AE-23D914DF9981}" uniqueName="3" name="Вид номенклатуры" queryTableFieldId="19" dataDxfId="37"/>
    <tableColumn id="14" xr3:uid="{3ABE9ACB-C1A4-4600-B192-8B2E537C716E}" uniqueName="14" name="Период, месяц" queryTableFieldId="15" dataDxfId="7"/>
    <tableColumn id="11" xr3:uid="{CBD4532F-169C-4DF6-90C5-E8D41F9DDE60}" uniqueName="11" name="Количество" queryTableFieldId="11" dataDxfId="6"/>
    <tableColumn id="15" xr3:uid="{AB82AB7B-BADE-4985-B1EF-82664028C633}" uniqueName="15" name="Акция для менеджеров Руб/шт" queryTableFieldId="17" dataDxfId="5"/>
    <tableColumn id="16" xr3:uid="{F0E04311-16AC-4174-828E-4E079737A775}" uniqueName="16" name="Пользовательский" queryTableFieldId="18" dataDxfId="4"/>
  </tableColumns>
  <tableStyleInfo name="Стиль таблицы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E6C0B0-A7B1-40F4-9424-CD5DE0B6D0B5}" name="ИД_Факт_Отгрузок" displayName="ИД_Факт_Отгрузок" ref="A1:D3" tableType="queryTable" totalsRowShown="0" headerRowDxfId="36" dataDxfId="35" tableBorderDxfId="34">
  <autoFilter ref="A1:D3" xr:uid="{95E6C0B0-A7B1-40F4-9424-CD5DE0B6D0B5}"/>
  <tableColumns count="4">
    <tableColumn id="1" xr3:uid="{FC2E62B3-5941-4E72-BA6D-A055BCAAA7BC}" uniqueName="1" name="Сегмент" queryTableFieldId="1" dataDxfId="14"/>
    <tableColumn id="2" xr3:uid="{EC56F9EC-FBDC-4007-AC43-33B154884069}" uniqueName="2" name="Группа доступа" queryTableFieldId="2" dataDxfId="13"/>
    <tableColumn id="3" xr3:uid="{F831197B-3F77-48FC-86EB-3EF78DA01B4F}" uniqueName="3" name="Основной менеджер" queryTableFieldId="3" dataDxfId="12"/>
    <tableColumn id="4" xr3:uid="{1594F9F8-FEE8-424A-8134-45B5C506486B}" uniqueName="4" name="Выручка" queryTableFieldId="4" dataDxfId="11" dataCellStyle="Финансовый"/>
  </tableColumns>
  <tableStyleInfo name="Стиль таблицы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74AF760-B042-47D0-A023-61CCA0C12226}" name="Оплаты" displayName="Оплаты" ref="A1:D3" tableType="queryTable" totalsRowShown="0" headerRowDxfId="33" dataDxfId="32">
  <autoFilter ref="A1:D3" xr:uid="{974AF760-B042-47D0-A023-61CCA0C12226}"/>
  <tableColumns count="4">
    <tableColumn id="1" xr3:uid="{9DA7EDBC-168B-49D2-BDC3-8DAE1A666AFB}" uniqueName="1" name="Сегмент" queryTableFieldId="1" dataDxfId="23"/>
    <tableColumn id="2" xr3:uid="{9F78588C-8FA4-40BE-BE75-FA922D6708AD}" uniqueName="2" name="Клиент.Группа доступа" queryTableFieldId="2" dataDxfId="22"/>
    <tableColumn id="3" xr3:uid="{76940350-0D77-49D8-B42D-6B4B6AF2AD5D}" uniqueName="3" name="Клиент.Основной менеджер" queryTableFieldId="3" dataDxfId="21"/>
    <tableColumn id="4" xr3:uid="{E4A60FD9-C6CC-4A22-AA55-93F95E4E754F}" uniqueName="4" name="Уменьшение долга клиента" queryTableFieldId="4" dataDxfId="20" dataCellStyle="Финансовый"/>
  </tableColumns>
  <tableStyleInfo name="Стиль таблицы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EBC3082-96D0-4A11-B986-3C05163787D1}" name="Продажи_НДС" displayName="Продажи_НДС" ref="A1:D25" tableType="queryTable" totalsRowShown="0" headerRowDxfId="31" dataDxfId="30">
  <autoFilter ref="A1:D25" xr:uid="{9EBC3082-96D0-4A11-B986-3C05163787D1}"/>
  <tableColumns count="4">
    <tableColumn id="1" xr3:uid="{0CEB5A54-4409-4E07-ADC9-D5D40EC4C619}" uniqueName="1" name="Сегмент" queryTableFieldId="1" dataDxfId="3"/>
    <tableColumn id="2" xr3:uid="{E494D547-A26E-4F9C-BE82-3E6D267A920A}" uniqueName="2" name="Группа доступа" queryTableFieldId="2" dataDxfId="2"/>
    <tableColumn id="3" xr3:uid="{E85C3C99-290B-48FA-88D6-C5142E013909}" uniqueName="3" name="Основной менеджер" queryTableFieldId="3" dataDxfId="1"/>
    <tableColumn id="5" xr3:uid="{46509865-5074-4E6E-AAC8-9C33B4080516}" uniqueName="5" name="Выручка" queryTableFieldId="5" dataDxfId="0" dataCellStyle="Финансовый"/>
  </tableColumns>
  <tableStyleInfo name="Стиль таблицы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420932-F9A7-4302-BC94-E649F0EB34CA}" name="ИД_ТГ" displayName="ИД_ТГ" ref="A1:E3336" tableType="queryTable" totalsRowShown="0" headerRowDxfId="29" dataDxfId="28" tableBorderDxfId="27">
  <autoFilter ref="A1:E3336" xr:uid="{66420932-F9A7-4302-BC94-E649F0EB34CA}"/>
  <tableColumns count="5">
    <tableColumn id="1" xr3:uid="{9BE6CF40-834D-408B-89FC-ACA59FE869AE}" uniqueName="1" name="Сегмент" queryTableFieldId="1" dataDxfId="19"/>
    <tableColumn id="2" xr3:uid="{C84D145C-FF5D-4691-9A71-51BFC17D5569}" uniqueName="2" name="Группа доступа" queryTableFieldId="2" dataDxfId="18"/>
    <tableColumn id="3" xr3:uid="{62559803-CF2A-4A6B-B2CD-6681E15F1734}" uniqueName="3" name="Основной менеджер" queryTableFieldId="3" dataDxfId="17"/>
    <tableColumn id="4" xr3:uid="{DFCF8F79-00B8-4370-8ABF-A75D37C67D48}" uniqueName="4" name="Артикул" queryTableFieldId="4" dataDxfId="16"/>
    <tableColumn id="5" xr3:uid="{FAD1BEAD-382A-4A6E-926F-1E6786EA11BB}" uniqueName="5" name="Выручка" queryTableFieldId="5" dataDxfId="15" dataCellStyle="Финансовый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44D13-3F4B-4E4F-A3C3-397781C3EA94}">
  <sheetPr codeName="Лист1"/>
  <dimension ref="A1:U41"/>
  <sheetViews>
    <sheetView tabSelected="1" topLeftCell="B1" workbookViewId="0">
      <selection activeCell="X1" sqref="X1"/>
    </sheetView>
  </sheetViews>
  <sheetFormatPr defaultRowHeight="15" x14ac:dyDescent="0.25"/>
  <cols>
    <col min="1" max="1" width="34" customWidth="1"/>
    <col min="2" max="2" width="2.140625" customWidth="1"/>
    <col min="3" max="3" width="20.140625" customWidth="1"/>
    <col min="4" max="4" width="1.85546875" customWidth="1"/>
    <col min="5" max="5" width="7.7109375" customWidth="1"/>
    <col min="6" max="6" width="13.42578125" customWidth="1"/>
    <col min="12" max="12" width="2.85546875" customWidth="1"/>
    <col min="13" max="13" width="19.7109375" bestFit="1" customWidth="1"/>
    <col min="14" max="14" width="10.85546875" bestFit="1" customWidth="1"/>
    <col min="15" max="15" width="23.140625" bestFit="1" customWidth="1"/>
    <col min="16" max="16" width="9.42578125" bestFit="1" customWidth="1"/>
    <col min="17" max="17" width="20.85546875" customWidth="1"/>
    <col min="18" max="18" width="2.5703125" customWidth="1"/>
    <col min="19" max="19" width="17.42578125" bestFit="1" customWidth="1"/>
    <col min="20" max="20" width="11.140625" bestFit="1" customWidth="1"/>
    <col min="21" max="21" width="11.28515625" bestFit="1" customWidth="1"/>
    <col min="22" max="22" width="9.42578125" bestFit="1" customWidth="1"/>
  </cols>
  <sheetData>
    <row r="1" spans="1:21" x14ac:dyDescent="0.25">
      <c r="A1" s="6" t="s">
        <v>21</v>
      </c>
      <c r="C1" s="6" t="s">
        <v>28</v>
      </c>
      <c r="E1" s="177" t="s">
        <v>32</v>
      </c>
      <c r="F1" s="177"/>
      <c r="G1" s="177"/>
      <c r="H1" s="177"/>
      <c r="I1" s="177"/>
      <c r="J1" s="177"/>
      <c r="K1" s="177"/>
      <c r="M1" s="6" t="s">
        <v>0</v>
      </c>
      <c r="N1" s="177" t="s">
        <v>66</v>
      </c>
      <c r="O1" s="177"/>
      <c r="P1" s="6" t="s">
        <v>20</v>
      </c>
      <c r="Q1" s="6" t="s">
        <v>67</v>
      </c>
      <c r="S1" s="177" t="s">
        <v>91</v>
      </c>
      <c r="T1" s="177"/>
      <c r="U1" s="177"/>
    </row>
    <row r="2" spans="1:21" x14ac:dyDescent="0.25">
      <c r="A2" t="s">
        <v>22</v>
      </c>
      <c r="C2" t="s">
        <v>29</v>
      </c>
      <c r="E2">
        <v>1</v>
      </c>
      <c r="F2" t="s">
        <v>33</v>
      </c>
      <c r="G2">
        <v>2022</v>
      </c>
      <c r="H2">
        <v>1</v>
      </c>
      <c r="I2" s="7" t="s">
        <v>45</v>
      </c>
      <c r="J2" s="7" t="s">
        <v>46</v>
      </c>
      <c r="K2" s="7" t="s">
        <v>47</v>
      </c>
      <c r="M2" s="7" t="s">
        <v>5</v>
      </c>
      <c r="N2" s="8" t="str">
        <f>IF(СВОД!C2="","",СВОД!C2)</f>
        <v>ЕАЭС</v>
      </c>
      <c r="O2" s="8" t="str">
        <f>IF(СВОД!E2="","",СВОД!E2)</f>
        <v>ЕАЭС</v>
      </c>
      <c r="P2" s="9" t="str">
        <f>IF($O2="","",_xlfn.XLOOKUP($O2,Список_сотрудников!$D$2:$D$12,Список_сотрудников!$J$2:$J$12))</f>
        <v>Региональный менеджер</v>
      </c>
      <c r="Q2" s="9" t="str">
        <f>IF($P2=$A$2,$A$12,IF($P2=$A$3,$A$13,""))</f>
        <v/>
      </c>
      <c r="S2" t="s">
        <v>33</v>
      </c>
      <c r="T2">
        <v>0</v>
      </c>
      <c r="U2">
        <v>1</v>
      </c>
    </row>
    <row r="3" spans="1:21" x14ac:dyDescent="0.25">
      <c r="A3" t="s">
        <v>23</v>
      </c>
      <c r="C3" t="s">
        <v>30</v>
      </c>
      <c r="E3">
        <v>2</v>
      </c>
      <c r="F3" t="s">
        <v>34</v>
      </c>
      <c r="G3">
        <v>2023</v>
      </c>
      <c r="H3">
        <v>2</v>
      </c>
      <c r="I3" s="7" t="s">
        <v>48</v>
      </c>
      <c r="J3" s="7" t="s">
        <v>49</v>
      </c>
      <c r="K3" s="7" t="s">
        <v>50</v>
      </c>
      <c r="M3" t="s">
        <v>4</v>
      </c>
      <c r="N3" s="8" t="str">
        <f>IF(СВОД!C3="","",СВОД!C3)</f>
        <v>ЕАЭС</v>
      </c>
      <c r="O3" s="8" t="str">
        <f>IF(СВОД!E3="","",СВОД!E3)</f>
        <v>СНГ Герасимкова</v>
      </c>
      <c r="P3" s="9" t="str">
        <f>IF($O3="","",_xlfn.XLOOKUP($O3,Список_сотрудников!$D$2:$D$12,Список_сотрудников!$J$2:$J$12))</f>
        <v>Процессинг</v>
      </c>
      <c r="Q3" s="9" t="str">
        <f>IF($P3=$A$2,$A$12,IF($P3=$A$3,$A$13,""))</f>
        <v>Основной менеджер</v>
      </c>
      <c r="S3" t="s">
        <v>34</v>
      </c>
      <c r="T3">
        <v>2</v>
      </c>
      <c r="U3">
        <v>2</v>
      </c>
    </row>
    <row r="4" spans="1:21" x14ac:dyDescent="0.25">
      <c r="A4" s="10" t="s">
        <v>24</v>
      </c>
      <c r="C4" t="s">
        <v>31</v>
      </c>
      <c r="E4">
        <v>3</v>
      </c>
      <c r="F4" t="s">
        <v>35</v>
      </c>
      <c r="G4">
        <v>2024</v>
      </c>
      <c r="H4">
        <v>3</v>
      </c>
      <c r="I4" s="7" t="s">
        <v>48</v>
      </c>
      <c r="J4" s="7" t="s">
        <v>49</v>
      </c>
      <c r="K4" s="7" t="s">
        <v>50</v>
      </c>
      <c r="M4" t="s">
        <v>82</v>
      </c>
      <c r="N4" s="8" t="str">
        <f>IF(СВОД!C4="","",СВОД!C4)</f>
        <v>ЕАЭС</v>
      </c>
      <c r="O4" s="8" t="str">
        <f>IF(СВОД!E4="","",СВОД!E4)</f>
        <v>СНГ Фёдоров</v>
      </c>
      <c r="P4" s="9" t="str">
        <f>IF($O4="","",_xlfn.XLOOKUP($O4,Список_сотрудников!$D$2:$D$12,Список_сотрудников!$J$2:$J$12))</f>
        <v>Развитие</v>
      </c>
      <c r="Q4" s="9" t="str">
        <f t="shared" ref="Q4:Q12" si="0">IF($P4=$A$2,$A$12,IF($P4=$A$3,$A$13,""))</f>
        <v>Группа доступа</v>
      </c>
      <c r="S4" t="s">
        <v>35</v>
      </c>
      <c r="T4">
        <v>2</v>
      </c>
      <c r="U4">
        <v>3</v>
      </c>
    </row>
    <row r="5" spans="1:21" x14ac:dyDescent="0.25">
      <c r="A5" s="10" t="s">
        <v>25</v>
      </c>
      <c r="E5">
        <v>4</v>
      </c>
      <c r="F5" t="s">
        <v>36</v>
      </c>
      <c r="G5">
        <v>2025</v>
      </c>
      <c r="H5">
        <v>4</v>
      </c>
      <c r="I5" s="7" t="s">
        <v>48</v>
      </c>
      <c r="J5" s="7" t="s">
        <v>49</v>
      </c>
      <c r="K5" s="7" t="s">
        <v>50</v>
      </c>
      <c r="M5" t="s">
        <v>6</v>
      </c>
      <c r="N5" s="8" t="str">
        <f>IF(СВОД!C5="","",СВОД!C5)</f>
        <v/>
      </c>
      <c r="O5" s="8" t="str">
        <f>IF(СВОД!E5="","",СВОД!E5)</f>
        <v/>
      </c>
      <c r="P5" s="9" t="str">
        <f>IF($O5="","",_xlfn.XLOOKUP($O5,Список_сотрудников!$D$2:$D$12,Список_сотрудников!$J$2:$J$12))</f>
        <v/>
      </c>
      <c r="Q5" s="9" t="str">
        <f>IF($P5=$A$2,$A$12,IF($P5=$A$3,$A$13,""))</f>
        <v/>
      </c>
      <c r="S5" t="s">
        <v>36</v>
      </c>
      <c r="T5">
        <v>3</v>
      </c>
      <c r="U5">
        <v>4</v>
      </c>
    </row>
    <row r="6" spans="1:21" x14ac:dyDescent="0.25">
      <c r="A6" t="s">
        <v>26</v>
      </c>
      <c r="E6">
        <v>5</v>
      </c>
      <c r="F6" t="s">
        <v>37</v>
      </c>
      <c r="G6">
        <v>2026</v>
      </c>
      <c r="H6">
        <v>5</v>
      </c>
      <c r="I6" s="7" t="s">
        <v>48</v>
      </c>
      <c r="J6" s="7" t="s">
        <v>49</v>
      </c>
      <c r="K6" s="7" t="s">
        <v>51</v>
      </c>
      <c r="M6" t="s">
        <v>7</v>
      </c>
      <c r="N6" s="8" t="str">
        <f>IF(СВОД!C6="","",СВОД!C6)</f>
        <v/>
      </c>
      <c r="O6" s="8" t="str">
        <f>IF(СВОД!E6="","",СВОД!E6)</f>
        <v/>
      </c>
      <c r="P6" s="9" t="str">
        <f>IF($O6="","",_xlfn.XLOOKUP($O6,Список_сотрудников!$D$2:$D$12,Список_сотрудников!$J$2:$J$12))</f>
        <v/>
      </c>
      <c r="Q6" s="9" t="str">
        <f t="shared" si="0"/>
        <v/>
      </c>
      <c r="S6" t="s">
        <v>37</v>
      </c>
      <c r="T6">
        <v>3</v>
      </c>
      <c r="U6">
        <v>5</v>
      </c>
    </row>
    <row r="7" spans="1:21" x14ac:dyDescent="0.25">
      <c r="E7">
        <v>6</v>
      </c>
      <c r="F7" t="s">
        <v>38</v>
      </c>
      <c r="G7">
        <v>2027</v>
      </c>
      <c r="H7">
        <v>6</v>
      </c>
      <c r="I7" s="7" t="s">
        <v>52</v>
      </c>
      <c r="J7" s="7" t="s">
        <v>53</v>
      </c>
      <c r="K7" s="7" t="s">
        <v>51</v>
      </c>
      <c r="M7" t="s">
        <v>8</v>
      </c>
      <c r="N7" s="8" t="str">
        <f>IF(СВОД!C7="","",СВОД!C7)</f>
        <v/>
      </c>
      <c r="O7" s="8" t="str">
        <f>IF(СВОД!E7="","",СВОД!E7)</f>
        <v/>
      </c>
      <c r="P7" s="9" t="str">
        <f>IF($O7="","",_xlfn.XLOOKUP($O7,Список_сотрудников!$D$2:$D$12,Список_сотрудников!$J$2:$J$12))</f>
        <v/>
      </c>
      <c r="Q7" s="9" t="str">
        <f t="shared" si="0"/>
        <v/>
      </c>
      <c r="S7" t="s">
        <v>38</v>
      </c>
      <c r="T7">
        <v>3</v>
      </c>
      <c r="U7">
        <v>6</v>
      </c>
    </row>
    <row r="8" spans="1:21" x14ac:dyDescent="0.25">
      <c r="E8">
        <v>7</v>
      </c>
      <c r="F8" t="s">
        <v>39</v>
      </c>
      <c r="G8">
        <v>2028</v>
      </c>
      <c r="H8">
        <v>7</v>
      </c>
      <c r="I8" s="7" t="s">
        <v>52</v>
      </c>
      <c r="J8" s="7" t="s">
        <v>53</v>
      </c>
      <c r="K8" s="7" t="s">
        <v>51</v>
      </c>
      <c r="M8" t="s">
        <v>9</v>
      </c>
      <c r="N8" s="8" t="str">
        <f>IF(СВОД!C8="","",СВОД!C8)</f>
        <v/>
      </c>
      <c r="O8" s="8" t="str">
        <f>IF(СВОД!E8="","",СВОД!E8)</f>
        <v/>
      </c>
      <c r="P8" s="9" t="str">
        <f>IF($O8="","",_xlfn.XLOOKUP($O8,Список_сотрудников!$D$2:$D$12,Список_сотрудников!$J$2:$J$12))</f>
        <v/>
      </c>
      <c r="Q8" s="9" t="str">
        <f>IF($P8=$A$2,$A$12,IF($P8=$A$3,$A$13,""))</f>
        <v/>
      </c>
      <c r="S8" t="s">
        <v>39</v>
      </c>
      <c r="T8">
        <v>3</v>
      </c>
      <c r="U8">
        <v>7</v>
      </c>
    </row>
    <row r="9" spans="1:21" x14ac:dyDescent="0.25">
      <c r="E9">
        <v>8</v>
      </c>
      <c r="F9" t="s">
        <v>40</v>
      </c>
      <c r="G9">
        <v>2029</v>
      </c>
      <c r="H9">
        <v>8</v>
      </c>
      <c r="I9" s="7" t="s">
        <v>52</v>
      </c>
      <c r="J9" s="7" t="s">
        <v>53</v>
      </c>
      <c r="K9" s="7" t="s">
        <v>51</v>
      </c>
      <c r="N9" s="8" t="str">
        <f>IF(СВОД!C9="","",СВОД!C9)</f>
        <v/>
      </c>
      <c r="O9" s="8" t="str">
        <f>IF(СВОД!E9="","",СВОД!E9)</f>
        <v/>
      </c>
      <c r="P9" s="9" t="str">
        <f>IF($O9="","",_xlfn.XLOOKUP($O9,Список_сотрудников!$D$2:$D$12,Список_сотрудников!$J$2:$J$12))</f>
        <v/>
      </c>
      <c r="Q9" s="9" t="str">
        <f t="shared" si="0"/>
        <v/>
      </c>
      <c r="S9" t="s">
        <v>40</v>
      </c>
      <c r="T9">
        <v>3</v>
      </c>
      <c r="U9">
        <v>8</v>
      </c>
    </row>
    <row r="10" spans="1:21" x14ac:dyDescent="0.25">
      <c r="E10">
        <v>9</v>
      </c>
      <c r="F10" t="s">
        <v>41</v>
      </c>
      <c r="G10">
        <v>2030</v>
      </c>
      <c r="H10">
        <v>9</v>
      </c>
      <c r="I10" s="7" t="s">
        <v>52</v>
      </c>
      <c r="J10" s="7" t="s">
        <v>53</v>
      </c>
      <c r="K10" s="7" t="s">
        <v>51</v>
      </c>
      <c r="N10" s="8" t="str">
        <f>IF(СВОД!C10="","",СВОД!C10)</f>
        <v/>
      </c>
      <c r="O10" s="8" t="str">
        <f>IF(СВОД!E10="","",СВОД!E10)</f>
        <v/>
      </c>
      <c r="P10" s="9" t="str">
        <f>IF($O10="","",_xlfn.XLOOKUP($O10,Список_сотрудников!$D$2:$D$12,Список_сотрудников!$J$2:$J$12))</f>
        <v/>
      </c>
      <c r="Q10" s="9" t="str">
        <f t="shared" si="0"/>
        <v/>
      </c>
      <c r="S10" t="s">
        <v>41</v>
      </c>
      <c r="T10">
        <v>3</v>
      </c>
      <c r="U10">
        <v>9</v>
      </c>
    </row>
    <row r="11" spans="1:21" x14ac:dyDescent="0.25">
      <c r="A11" s="11" t="s">
        <v>68</v>
      </c>
      <c r="E11">
        <v>10</v>
      </c>
      <c r="F11" t="s">
        <v>42</v>
      </c>
      <c r="H11">
        <v>10</v>
      </c>
      <c r="I11" s="7" t="s">
        <v>52</v>
      </c>
      <c r="J11" s="7" t="s">
        <v>53</v>
      </c>
      <c r="K11" s="7" t="s">
        <v>51</v>
      </c>
      <c r="N11" s="8" t="str">
        <f>IF(СВОД!C11="","",СВОД!C11)</f>
        <v/>
      </c>
      <c r="O11" s="8" t="str">
        <f>IF(СВОД!E11="","",СВОД!E11)</f>
        <v/>
      </c>
      <c r="P11" s="9" t="str">
        <f>IF($O11="","",_xlfn.XLOOKUP($O11,Список_сотрудников!$D$2:$D$12,Список_сотрудников!$J$2:$J$12))</f>
        <v/>
      </c>
      <c r="Q11" s="9" t="str">
        <f t="shared" si="0"/>
        <v/>
      </c>
      <c r="S11" t="s">
        <v>42</v>
      </c>
      <c r="T11">
        <v>3</v>
      </c>
      <c r="U11">
        <v>10</v>
      </c>
    </row>
    <row r="12" spans="1:21" x14ac:dyDescent="0.25">
      <c r="A12" t="s">
        <v>12</v>
      </c>
      <c r="E12">
        <v>11</v>
      </c>
      <c r="F12" t="s">
        <v>43</v>
      </c>
      <c r="H12">
        <v>11</v>
      </c>
      <c r="I12" s="7" t="s">
        <v>52</v>
      </c>
      <c r="J12" s="7" t="s">
        <v>53</v>
      </c>
      <c r="K12" s="7" t="s">
        <v>51</v>
      </c>
      <c r="N12" s="8" t="str">
        <f>IF(СВОД!C12="","",СВОД!C12)</f>
        <v/>
      </c>
      <c r="O12" s="8" t="str">
        <f>IF(СВОД!E12="","",СВОД!E12)</f>
        <v/>
      </c>
      <c r="P12" s="9" t="str">
        <f>IF($O12="","",_xlfn.XLOOKUP($O12,Список_сотрудников!$D$2:$D$12,Список_сотрудников!$J$2:$J$12))</f>
        <v/>
      </c>
      <c r="Q12" s="9" t="str">
        <f t="shared" si="0"/>
        <v/>
      </c>
      <c r="S12" t="s">
        <v>43</v>
      </c>
      <c r="T12">
        <v>2</v>
      </c>
      <c r="U12">
        <v>11</v>
      </c>
    </row>
    <row r="13" spans="1:21" x14ac:dyDescent="0.25">
      <c r="A13" t="s">
        <v>11</v>
      </c>
      <c r="E13">
        <v>12</v>
      </c>
      <c r="F13" t="s">
        <v>44</v>
      </c>
      <c r="H13">
        <v>12</v>
      </c>
      <c r="I13" s="7" t="s">
        <v>52</v>
      </c>
      <c r="J13" s="7" t="s">
        <v>53</v>
      </c>
      <c r="K13" s="7" t="s">
        <v>51</v>
      </c>
      <c r="S13" t="s">
        <v>44</v>
      </c>
      <c r="T13">
        <v>1</v>
      </c>
      <c r="U13">
        <v>12</v>
      </c>
    </row>
    <row r="14" spans="1:21" x14ac:dyDescent="0.25">
      <c r="H14">
        <v>13</v>
      </c>
      <c r="I14" s="7" t="s">
        <v>52</v>
      </c>
      <c r="J14" s="7"/>
      <c r="K14" s="7" t="s">
        <v>51</v>
      </c>
      <c r="S14" s="9" t="s">
        <v>17</v>
      </c>
      <c r="T14" s="9" t="s">
        <v>583</v>
      </c>
    </row>
    <row r="15" spans="1:21" x14ac:dyDescent="0.25">
      <c r="H15">
        <v>14</v>
      </c>
      <c r="I15" s="7" t="s">
        <v>52</v>
      </c>
      <c r="J15" s="7"/>
      <c r="K15" s="7" t="s">
        <v>51</v>
      </c>
      <c r="S15" s="9" t="s">
        <v>4</v>
      </c>
      <c r="T15" s="9"/>
    </row>
    <row r="16" spans="1:21" ht="15.75" thickBot="1" x14ac:dyDescent="0.3">
      <c r="A16" s="27" t="s">
        <v>93</v>
      </c>
      <c r="C16" s="37" t="s">
        <v>580</v>
      </c>
      <c r="H16">
        <v>15</v>
      </c>
      <c r="I16" s="7" t="s">
        <v>52</v>
      </c>
      <c r="J16" s="7"/>
      <c r="K16" s="7" t="s">
        <v>51</v>
      </c>
      <c r="M16" s="43" t="s">
        <v>581</v>
      </c>
      <c r="S16" s="9" t="s">
        <v>574</v>
      </c>
      <c r="T16" s="9"/>
    </row>
    <row r="17" spans="1:20" ht="15.75" thickBot="1" x14ac:dyDescent="0.3">
      <c r="A17" s="28">
        <f ca="1">DATE(YEAR(TODAY()),VLOOKUP(Список_сотрудников!$D$20,ВСП!$S$2:$U$13,3,0)+1,0)</f>
        <v>45169</v>
      </c>
      <c r="C17" s="38" t="str">
        <f>_xlfn.CONCAT(Список_сотрудников!$D$20," ",Список_сотрудников!E20," г.")</f>
        <v>Август 2023 г.</v>
      </c>
      <c r="H17">
        <v>16</v>
      </c>
      <c r="I17" s="7" t="s">
        <v>52</v>
      </c>
      <c r="J17" s="7"/>
      <c r="K17" s="7" t="s">
        <v>51</v>
      </c>
      <c r="M17" s="44">
        <f ca="1">A17</f>
        <v>45169</v>
      </c>
      <c r="S17" s="9" t="s">
        <v>579</v>
      </c>
      <c r="T17" s="9"/>
    </row>
    <row r="18" spans="1:20" x14ac:dyDescent="0.25">
      <c r="H18">
        <v>17</v>
      </c>
      <c r="I18" s="7" t="s">
        <v>52</v>
      </c>
      <c r="J18" s="7"/>
      <c r="K18" s="7" t="s">
        <v>51</v>
      </c>
      <c r="M18" s="44">
        <f ca="1">DATE(YEAR(A17)-1,MONTH(A17)+1,1)</f>
        <v>44805</v>
      </c>
    </row>
    <row r="19" spans="1:20" ht="15.75" thickBot="1" x14ac:dyDescent="0.3">
      <c r="A19" s="29" t="s">
        <v>225</v>
      </c>
      <c r="C19" s="39" t="s">
        <v>0</v>
      </c>
      <c r="H19">
        <v>18</v>
      </c>
      <c r="I19" s="7" t="s">
        <v>52</v>
      </c>
      <c r="J19" s="7"/>
      <c r="K19" s="7" t="s">
        <v>51</v>
      </c>
    </row>
    <row r="20" spans="1:20" x14ac:dyDescent="0.25">
      <c r="A20" t="s">
        <v>226</v>
      </c>
      <c r="C20" s="40" t="str">
        <f>Список_сотрудников!$B$2</f>
        <v>ЕАЭС</v>
      </c>
      <c r="H20">
        <v>19</v>
      </c>
      <c r="I20" s="7" t="s">
        <v>52</v>
      </c>
      <c r="J20" s="7"/>
      <c r="K20" s="7" t="s">
        <v>51</v>
      </c>
      <c r="S20" s="9" t="s">
        <v>11</v>
      </c>
      <c r="T20" t="s">
        <v>582</v>
      </c>
    </row>
    <row r="21" spans="1:20" x14ac:dyDescent="0.25">
      <c r="A21" t="s">
        <v>227</v>
      </c>
      <c r="H21">
        <v>20</v>
      </c>
      <c r="I21" s="7" t="s">
        <v>52</v>
      </c>
      <c r="J21" s="7"/>
      <c r="K21" s="7" t="s">
        <v>51</v>
      </c>
      <c r="S21" s="53" t="s">
        <v>574</v>
      </c>
      <c r="T21">
        <v>1150</v>
      </c>
    </row>
    <row r="22" spans="1:20" x14ac:dyDescent="0.25">
      <c r="H22">
        <v>21</v>
      </c>
      <c r="I22" s="7" t="s">
        <v>45</v>
      </c>
      <c r="J22" s="7"/>
      <c r="K22" s="7" t="s">
        <v>47</v>
      </c>
      <c r="S22" s="57" t="s">
        <v>579</v>
      </c>
      <c r="T22">
        <v>200</v>
      </c>
    </row>
    <row r="23" spans="1:20" x14ac:dyDescent="0.25">
      <c r="H23">
        <v>22</v>
      </c>
      <c r="I23" s="7" t="s">
        <v>48</v>
      </c>
      <c r="K23" s="7" t="s">
        <v>50</v>
      </c>
      <c r="S23" s="9"/>
      <c r="T23" s="168"/>
    </row>
    <row r="24" spans="1:20" x14ac:dyDescent="0.25">
      <c r="H24">
        <v>23</v>
      </c>
      <c r="I24" s="7" t="s">
        <v>48</v>
      </c>
      <c r="K24" s="7" t="s">
        <v>50</v>
      </c>
      <c r="S24" s="9"/>
      <c r="T24" s="168"/>
    </row>
    <row r="25" spans="1:20" x14ac:dyDescent="0.25">
      <c r="A25" t="s">
        <v>607</v>
      </c>
      <c r="H25">
        <v>24</v>
      </c>
      <c r="I25" s="7" t="s">
        <v>48</v>
      </c>
      <c r="K25" s="7" t="s">
        <v>50</v>
      </c>
      <c r="S25" s="9"/>
      <c r="T25" s="168"/>
    </row>
    <row r="26" spans="1:20" x14ac:dyDescent="0.25">
      <c r="H26">
        <v>25</v>
      </c>
      <c r="I26" s="7" t="s">
        <v>52</v>
      </c>
      <c r="K26" s="7" t="s">
        <v>51</v>
      </c>
      <c r="S26" s="9"/>
      <c r="T26" s="168"/>
    </row>
    <row r="27" spans="1:20" x14ac:dyDescent="0.25">
      <c r="A27" t="s">
        <v>910</v>
      </c>
      <c r="C27" t="s">
        <v>911</v>
      </c>
      <c r="H27">
        <v>26</v>
      </c>
      <c r="I27" s="7" t="s">
        <v>52</v>
      </c>
      <c r="K27" s="7" t="s">
        <v>51</v>
      </c>
      <c r="S27" s="9"/>
      <c r="T27" s="168"/>
    </row>
    <row r="28" spans="1:20" x14ac:dyDescent="0.25">
      <c r="C28" t="s">
        <v>0</v>
      </c>
      <c r="H28">
        <v>27</v>
      </c>
      <c r="I28" s="7" t="s">
        <v>52</v>
      </c>
      <c r="K28" s="7" t="s">
        <v>51</v>
      </c>
      <c r="S28" s="9"/>
      <c r="T28" s="168"/>
    </row>
    <row r="29" spans="1:20" x14ac:dyDescent="0.25">
      <c r="C29" t="s">
        <v>11</v>
      </c>
      <c r="H29">
        <v>28</v>
      </c>
      <c r="I29" s="7" t="s">
        <v>52</v>
      </c>
      <c r="K29" s="7" t="s">
        <v>51</v>
      </c>
    </row>
    <row r="30" spans="1:20" x14ac:dyDescent="0.25">
      <c r="C30" t="s">
        <v>12</v>
      </c>
      <c r="H30">
        <v>29</v>
      </c>
      <c r="I30" s="7" t="s">
        <v>52</v>
      </c>
      <c r="K30" s="7" t="s">
        <v>51</v>
      </c>
    </row>
    <row r="31" spans="1:20" x14ac:dyDescent="0.25">
      <c r="C31" t="s">
        <v>95</v>
      </c>
      <c r="H31">
        <v>30</v>
      </c>
      <c r="I31" s="7" t="s">
        <v>52</v>
      </c>
      <c r="K31" s="7" t="s">
        <v>51</v>
      </c>
    </row>
    <row r="32" spans="1:20" x14ac:dyDescent="0.25">
      <c r="C32" t="s">
        <v>3</v>
      </c>
    </row>
    <row r="33" spans="13:15" x14ac:dyDescent="0.25">
      <c r="M33" s="54" t="s">
        <v>603</v>
      </c>
      <c r="N33" s="55"/>
    </row>
    <row r="34" spans="13:15" x14ac:dyDescent="0.25">
      <c r="M34" s="53" t="s">
        <v>602</v>
      </c>
      <c r="N34" s="52">
        <v>6.614800000000001E-4</v>
      </c>
    </row>
    <row r="35" spans="13:15" x14ac:dyDescent="0.25">
      <c r="M35" s="48" t="s">
        <v>5</v>
      </c>
      <c r="N35" s="52">
        <v>4.0000000000000001E-3</v>
      </c>
    </row>
    <row r="36" spans="13:15" x14ac:dyDescent="0.25">
      <c r="M36" s="48" t="s">
        <v>6</v>
      </c>
      <c r="N36" s="52">
        <v>1.7060000000000001E-3</v>
      </c>
    </row>
    <row r="37" spans="13:15" x14ac:dyDescent="0.25">
      <c r="M37" s="48" t="s">
        <v>7</v>
      </c>
      <c r="N37" s="52">
        <v>4.0000000000000001E-3</v>
      </c>
    </row>
    <row r="38" spans="13:15" x14ac:dyDescent="0.25">
      <c r="M38" s="48" t="s">
        <v>8</v>
      </c>
      <c r="N38" s="52">
        <v>2.9440000000000004E-3</v>
      </c>
    </row>
    <row r="40" spans="13:15" x14ac:dyDescent="0.25">
      <c r="M40" t="s">
        <v>17</v>
      </c>
      <c r="N40" t="s">
        <v>0</v>
      </c>
      <c r="O40" t="s">
        <v>914</v>
      </c>
    </row>
    <row r="41" spans="13:15" x14ac:dyDescent="0.25">
      <c r="M41" t="s">
        <v>579</v>
      </c>
      <c r="N41" t="s">
        <v>4</v>
      </c>
      <c r="O41">
        <v>1</v>
      </c>
    </row>
  </sheetData>
  <mergeCells count="3">
    <mergeCell ref="E1:K1"/>
    <mergeCell ref="N1:O1"/>
    <mergeCell ref="S1:U1"/>
  </mergeCells>
  <phoneticPr fontId="6" type="noConversion"/>
  <conditionalFormatting sqref="S35:T35">
    <cfRule type="expression" dxfId="71" priority="1">
      <formula>$Q$35&lt;&gt;""</formula>
    </cfRule>
  </conditionalFormatting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9423-0939-47A1-AFDB-1B3BC3C7BCCC}">
  <sheetPr codeName="Лист2"/>
  <dimension ref="A1:AW49"/>
  <sheetViews>
    <sheetView showGridLines="0" topLeftCell="C1" zoomScaleNormal="100" workbookViewId="0">
      <selection activeCell="K15" sqref="K15"/>
    </sheetView>
  </sheetViews>
  <sheetFormatPr defaultColWidth="2.85546875" defaultRowHeight="15" x14ac:dyDescent="0.25"/>
  <cols>
    <col min="1" max="1" width="7.5703125" style="1" hidden="1" customWidth="1"/>
    <col min="2" max="2" width="11" style="1" hidden="1" customWidth="1"/>
    <col min="3" max="3" width="5" style="1" customWidth="1"/>
    <col min="4" max="4" width="17.28515625" style="1" customWidth="1"/>
    <col min="5" max="5" width="22" style="1" bestFit="1" customWidth="1"/>
    <col min="6" max="6" width="12.5703125" style="1" bestFit="1" customWidth="1"/>
    <col min="7" max="7" width="12.140625" style="1" bestFit="1" customWidth="1"/>
    <col min="8" max="8" width="14.85546875" style="1" bestFit="1" customWidth="1"/>
    <col min="9" max="9" width="10.28515625" style="1" bestFit="1" customWidth="1"/>
    <col min="10" max="13" width="8.42578125" style="1" customWidth="1"/>
    <col min="14" max="14" width="9.42578125" style="1" customWidth="1"/>
    <col min="15" max="15" width="17.28515625" style="1" hidden="1" customWidth="1"/>
    <col min="16" max="16" width="13.5703125" style="1" hidden="1" customWidth="1"/>
    <col min="17" max="18" width="12.28515625" style="1" customWidth="1"/>
    <col min="19" max="20" width="9.28515625" style="1" customWidth="1"/>
    <col min="21" max="21" width="8.85546875" style="1" customWidth="1"/>
    <col min="22" max="22" width="21.28515625" style="1" customWidth="1"/>
    <col min="23" max="26" width="2.85546875" style="1"/>
    <col min="27" max="41" width="2.85546875" style="1" customWidth="1"/>
    <col min="42" max="43" width="7.85546875" style="1" hidden="1" customWidth="1"/>
    <col min="44" max="44" width="0" style="1" hidden="1" customWidth="1"/>
    <col min="45" max="45" width="13.7109375" style="1" hidden="1" customWidth="1"/>
    <col min="46" max="46" width="6.85546875" style="1" hidden="1" customWidth="1"/>
    <col min="47" max="47" width="10.7109375" style="1" hidden="1" customWidth="1"/>
    <col min="48" max="48" width="7" style="1" hidden="1" customWidth="1"/>
    <col min="49" max="49" width="5.28515625" style="1" hidden="1" customWidth="1"/>
    <col min="50" max="52" width="2.85546875" style="1"/>
    <col min="53" max="53" width="39.7109375" style="1" customWidth="1"/>
    <col min="54" max="16384" width="2.85546875" style="1"/>
  </cols>
  <sheetData>
    <row r="1" spans="1:49" ht="44.25" customHeight="1" x14ac:dyDescent="0.25">
      <c r="C1" s="179" t="s">
        <v>16</v>
      </c>
      <c r="D1" s="179"/>
      <c r="E1" s="2" t="s">
        <v>17</v>
      </c>
      <c r="F1" s="2" t="s">
        <v>81</v>
      </c>
      <c r="G1" s="5" t="s">
        <v>60</v>
      </c>
      <c r="H1" s="5" t="s">
        <v>69</v>
      </c>
      <c r="I1" s="5" t="s">
        <v>61</v>
      </c>
      <c r="J1" s="5" t="s">
        <v>582</v>
      </c>
      <c r="K1" s="5" t="s">
        <v>583</v>
      </c>
      <c r="L1" s="5" t="s">
        <v>590</v>
      </c>
      <c r="M1" s="35" t="s">
        <v>591</v>
      </c>
      <c r="N1" s="35" t="s">
        <v>592</v>
      </c>
      <c r="O1" s="46" t="s">
        <v>90</v>
      </c>
      <c r="P1" s="46" t="s">
        <v>89</v>
      </c>
      <c r="Q1" s="35" t="s">
        <v>585</v>
      </c>
      <c r="R1" s="35" t="s">
        <v>85</v>
      </c>
      <c r="S1" s="35" t="s">
        <v>56</v>
      </c>
      <c r="T1" s="35" t="s">
        <v>57</v>
      </c>
      <c r="U1" s="35" t="s">
        <v>92</v>
      </c>
      <c r="V1" s="35" t="s">
        <v>584</v>
      </c>
      <c r="AP1" s="178" t="s">
        <v>1179</v>
      </c>
      <c r="AQ1" s="178"/>
      <c r="AS1" s="178" t="s">
        <v>1180</v>
      </c>
      <c r="AT1" s="178"/>
      <c r="AV1" s="178" t="s">
        <v>88</v>
      </c>
      <c r="AW1" s="178"/>
    </row>
    <row r="2" spans="1:49" ht="15" customHeight="1" x14ac:dyDescent="0.25">
      <c r="A2" s="3" t="str">
        <f t="shared" ref="A2:A12" si="0">IF(C2="Дальневосточный ФО","Сибирский ФО"&amp;E2,C2&amp;E2)</f>
        <v>ЕАЭСЕАЭС</v>
      </c>
      <c r="B2" s="3" t="str">
        <f>IF($E2="","",VLOOKUP($E2,Список_сотрудников!$D$2:$J$12,7,0))</f>
        <v>Региональный менеджер</v>
      </c>
      <c r="C2" s="182" t="str">
        <f>IF(Список_сотрудников!$B$2="","",Список_сотрудников!$B$2)</f>
        <v>ЕАЭС</v>
      </c>
      <c r="D2" s="182"/>
      <c r="E2" s="4" t="str">
        <f>IF(Список_сотрудников!$D2="","",Список_сотрудников!$D2)</f>
        <v>ЕАЭС</v>
      </c>
      <c r="F2" s="33">
        <f>SUM(F3:F12)</f>
        <v>16993453</v>
      </c>
      <c r="G2" s="33">
        <f>SUMIF(Факт_продаж!$A:$A,СВОД!$C$2,Факт_продаж!$D:$D)</f>
        <v>21343264.909999989</v>
      </c>
      <c r="H2" s="33">
        <f>SUMIF(Приход_ДС!$A:$A,СВОД!$C$2,Приход_ДС!D:D)</f>
        <v>23281151.379999999</v>
      </c>
      <c r="I2" s="33">
        <f>SUMIF(ПДЗ!$A:$A,СВОД!$C$2,ПДЗ!$I:$I)</f>
        <v>16062.51</v>
      </c>
      <c r="J2" s="33">
        <f>IFERROR(VLOOKUP(E2,СВОД_штрафы[#All],2,0),0)</f>
        <v>0</v>
      </c>
      <c r="K2" s="33">
        <f>IFERROR(VLOOKUP(E2,СВОД_расходы[#All],2,0),0)</f>
        <v>0</v>
      </c>
      <c r="L2" s="33">
        <v>0</v>
      </c>
      <c r="M2" s="148">
        <f ca="1">IF(U2&lt;=0.7,-10000,IF(U2&lt;=0.99,-5000,IF(U2&lt;=1.09,0,IF(U2&lt;=1.19,5000,IF(U2&gt;=1.2,10000,"")))))</f>
        <v>0</v>
      </c>
      <c r="N2" s="148">
        <v>10000</v>
      </c>
      <c r="O2" s="42"/>
      <c r="P2" s="42"/>
      <c r="Q2" s="49">
        <f>IF($B2="Региональный менеджер",
IF(10/(((H2-K2*5)/1000000)+1)/100&gt;0.82%,
0.82%,
IF(10/(((H2-K2*5)/1000000)+1)/100&lt;0.2%,
0.2%,
10/(((H2-K2*5)/1000000)+1)/100)),
VLOOKUP($E2,ВСП!$M$34:$N$38,2,0))</f>
        <v>4.1184208456592555E-3</v>
      </c>
      <c r="R2" s="41">
        <f ca="1">IFERROR(AVERAGEIF($F$3:$F$12,"&gt;0",$R$3:$R$12),0)</f>
        <v>1.2</v>
      </c>
      <c r="S2" s="41">
        <f ca="1">IFERROR(AVERAGEIF($F$3:$F$12,"&gt;0",$S$3:$S$12),0)</f>
        <v>1.2</v>
      </c>
      <c r="T2" s="41">
        <f>IFERROR(IF($B$2="Директор",AVERAGEIF($F$3:$F$12,"&gt;0",$T$3:$T$12),1+0.2*(Список_сотрудников!$N$2-VLOOKUP(Список_сотрудников!$D$20,ВСП!$S$2:$T$13,2,0))),0)</f>
        <v>0.6</v>
      </c>
      <c r="U2" s="50">
        <f ca="1">IFERROR(IF(AVERAGE($U$3:$U$12)&lt;1,1,AVERAGE($U$3:$U$12)),0)</f>
        <v>1</v>
      </c>
      <c r="V2" s="50">
        <f ca="1">IFERROR(
IF(Список_сотрудников!$C$2="ДА",
IF($B2="Региональный менеджер",
(($H2-($K2*5))*$Q2)*SUM($R$2*$AT$22,$S$2*$AT$23,$T$2*$AT$24)+SUM($L$2:$N$2)-$J$2,
(($H2-($K2*5))*$Q2)*SUM($R$2*$AV$22,$T$2*$AV$23,$S$2*$AV$24)+SUM($L$2:$N$2)-$J$2),
""),
"")</f>
        <v>102046.3159881671</v>
      </c>
      <c r="AP2" s="171" t="s">
        <v>86</v>
      </c>
      <c r="AQ2" s="172" t="s">
        <v>87</v>
      </c>
      <c r="AS2" s="58" t="s">
        <v>86</v>
      </c>
      <c r="AT2" s="59" t="s">
        <v>87</v>
      </c>
      <c r="AV2" s="58" t="s">
        <v>86</v>
      </c>
      <c r="AW2" s="59" t="s">
        <v>87</v>
      </c>
    </row>
    <row r="3" spans="1:49" ht="15" customHeight="1" x14ac:dyDescent="0.25">
      <c r="A3" s="3" t="str">
        <f t="shared" si="0"/>
        <v>ЕАЭССНГ Герасимкова</v>
      </c>
      <c r="B3" s="3" t="str">
        <f>IF($E3="","",VLOOKUP($E3,Список_сотрудников!$D$2:$J$12,7,0))</f>
        <v>Процессинг</v>
      </c>
      <c r="C3" s="181" t="str">
        <f t="shared" ref="C3:C12" si="1">IF($E3="","",$C$2)</f>
        <v>ЕАЭС</v>
      </c>
      <c r="D3" s="181"/>
      <c r="E3" s="24" t="str">
        <f>IF(Список_сотрудников!$D3="","",Список_сотрудников!$D3)</f>
        <v>СНГ Герасимкова</v>
      </c>
      <c r="F3" s="19">
        <v>10751673</v>
      </c>
      <c r="G3" s="25">
        <f>IF(
OR(Список_сотрудников!$C3="НЕТ",$E3=""),
"",
IF($C$2=ВСП!$M$4,
IF(
VLOOKUP($E3,ВСП!$O$2:$Q$12,3,0)=ВСП!$A$12,
SUMIFS(Факт_продаж!$D:$D,Факт_продаж!$A:$A,СВОД!$C$2,Факт_продаж!$C:$C,VLOOKUP(СВОД!$E3,Список_сотрудников!$D$3:$E$12,2,0)),
IF(
VLOOKUP($E3,ВСП!$O$2:$Q$12,3,0)=ВСП!$A$13,
SUMIFS(Факт_продаж!$D:$D,Факт_продаж!$A:$A,СВОД!$C$2,Факт_продаж!$B:$B,СВОД!$E3))),
SUMIF(Факт_продаж!$B:$B,СВОД!$E3,Факт_продаж!$D:$D)))</f>
        <v>13535065.709999993</v>
      </c>
      <c r="H3" s="25">
        <f>IF(
OR(Список_сотрудников!$C3="НЕТ",$E3=""),
"",
IF(
VLOOKUP($E3,ВСП!$O$2:$Q$12,3,0)=ВСП!$A$12,
SUMIFS(Приход_ДС!$D:$D,Приход_ДС!$A:$A,СВОД!$C$2,Приход_ДС!$C:$C,VLOOKUP(СВОД!$E3,Список_сотрудников!$D$3:$E$12,2,0)),
IF(
VLOOKUP($E3,ВСП!$O$2:$Q$12,3,0)=ВСП!$A$13,
SUMIFS(Приход_ДС!$D:$D,Приход_ДС!$A:$A,СВОД!$C$2,Приход_ДС!$B:$B,СВОД!$E3))))</f>
        <v>23281151.379999999</v>
      </c>
      <c r="I3" s="34">
        <f>IF(
OR(Список_сотрудников!$C3="НЕТ",$E3=""),
"",
IF(
VLOOKUP($E3,ВСП!$O$2:$Q$12,3,0)=ВСП!$A$12,
SUMIFS(ПДЗ!$I:$I,ПДЗ!$A:$A,СВОД!$C$2,ПДЗ!$C:$C,VLOOKUP(СВОД!$E3,Список_сотрудников!$D$3:$E$12,2,0)),
IF(
VLOOKUP($E3,ВСП!$O$2:$Q$12,3,0)=ВСП!$A$13,
SUMIFS(ПДЗ!$I:$I,ПДЗ!$A:$A,СВОД!$C$2,ПДЗ!$B:$B,СВОД!$E3))))</f>
        <v>16062.51</v>
      </c>
      <c r="J3" s="34">
        <f>IF($E3="","",IFERROR(VLOOKUP(E3,СВОД_штрафы[#All],2,0),0))</f>
        <v>1150</v>
      </c>
      <c r="K3" s="34">
        <f>IF($E3="","",IFERROR(VLOOKUP(E3,СВОД_расходы[#All],2,0),0))</f>
        <v>0</v>
      </c>
      <c r="L3" s="34">
        <f>IF(E3="","",SUMIF('Продажи по акции'!$B:$B,Список_сотрудников!$D3,'Продажи по акции'!$H:$H))</f>
        <v>2240</v>
      </c>
      <c r="M3" s="149">
        <v>3913.44</v>
      </c>
      <c r="N3" s="149"/>
      <c r="O3" s="45">
        <f>IF(OR(G3="",G3=0),"",IF(OR(Список_сотрудников!$P3="",Список_сотрудников!$P3=0),IF(VLOOKUP($E3,ВСП!$O$3:$Q$12,3,0)=ВСП!$A$12,SUMIFS(ОБОРОТ!$D:$D,ОБОРОТ!$C:$C,Список_сотрудников!$E3),IF(VLOOKUP($E3,ВСП!$O$3:$Q$12,3,0)=ВСП!$A$13,SUMIF(ОБОРОТ!$B:$B,СВОД!$E3,ОБОРОТ!$D:$D))),Список_сотрудников!$P3))</f>
        <v>177451900.94</v>
      </c>
      <c r="P3" s="45">
        <f>IF($E3="","",IF(VLOOKUP($E3,ВСП!$O$2:$Q$12,3,0)=ВСП!$A$12,SUMIFS(ПДЗ!$I:$I,ПДЗ!$A:$A,СВОД!$C$2,ПДЗ!$C:$C,VLOOKUP(СВОД!$E3,Список_сотрудников!$D$3:$E$12,2,0)),IF(VLOOKUP($E3,ВСП!$O$2:$Q$12,3,0)=ВСП!$A$13,SUMIFS(ПДЗ!$I:$I,ПДЗ!$A:$A,СВОД!$C$2,ПДЗ!$B:$B,СВОД!$E3))))</f>
        <v>16062.51</v>
      </c>
      <c r="Q3" s="47">
        <f>IF(
$H3="",
"",
IF($B3="Развитие",
IF(10/((($H3-$K3*5)/1000000)+1)/100&gt;4.5%,
4.5%,
IF(10/((($H3-$K3*5)/1000000)+1)/100&lt;0.7%,
0.7%,
10/((($H3-$K3*5)/1000000)+1)/100)),
IF(1.5/((($H3-$K3*5)/1000000)+1)/100&gt;0.75%,
0.75%,
IF(1.5/((($H3-$K3*5)/1000000)+1)/100&lt;0.05%,
0.05%,
1.5/((($H3-$K3*5)/1000000)+1)/100))))</f>
        <v>6.1776312684888829E-4</v>
      </c>
      <c r="R3" s="26">
        <f ca="1">IF(
OR(Список_сотрудников!$C3="НЕТ",$F3="",$E$3=""),
"",
IF(
OR(Список_сотрудников!$H3&lt;90,Список_сотрудников!$O3&lt;&gt;""),
1,
IF($G3/$F3&lt;$AW$3,
$AV$3,
IF($G3/$F3&lt;=$AW$4,
$AV$4,
IF($G3/$F3&lt;=$AW$5,
$AV$5,
IF($G3/$F3&lt;=$AW$6,
$AV$6,
IF($G3/$F3&lt;=$AW$7,
$AV$7,
IF($G3/$F3&lt;=$AW$8,
$AV$8,
IF($G3/$F3&gt;$AW$8,$AV$9,
"")))))))))</f>
        <v>1.2</v>
      </c>
      <c r="S3" s="26">
        <f ca="1">IF(
OR(Список_сотрудников!$C3="НЕТ",$E3=""),
"",
IF(
OR(Список_сотрудников!$H3&lt;90,Список_сотрудников!$P3&lt;&gt;""),
1,
IF(P3=0,
1.2,
IF(Список_сотрудников!$J3="Процессинг",
IF($P3/$O3&lt;$AT$7,
$AS$7,
IF($P3/$O3&lt;=$AT$6,
$AS$6,
IF($P3/$O3&lt;=$AT$5,
$AS$5,
IF($P3/$O3&lt;=$AT$4,
$AS$4,
IF($P3/$O3&gt;$AT$3,
$AS$3,
""))))),
IF($P3/$O3&lt;$AQ$7,
$AP$7,
IF($P3/$O3&lt;=$AQ$6,
$AP$6,
IF($P3/$O3&lt;=$AQ$5,
$AP$5,
IF($P3/$O3&lt;=$AQ$4,
$AP$4,
IF($P3/$O3&gt;$AQ$3,
$AP$3,
"")))))))))</f>
        <v>1.2</v>
      </c>
      <c r="T3" s="26" t="str">
        <f ca="1">IF(
OR(Список_сотрудников!$C3="НЕТ",$E3=""),
"",
IF(
AND(Список_сотрудников!$J3="Развитие",Список_сотрудников!$H3&lt;90),
1,
IF(
VLOOKUP($E3,ВСП!$O$3:$Q$12,2,0)=ВСП!$A$3,
(1+0.2*(VLOOKUP(СВОД!$E3,Список_сотрудников!$D$3:$N$12,11,0)-VLOOKUP(Список_сотрудников!$D$20,ВСП!$S$2:$T$13,2,0))),
"")))</f>
        <v/>
      </c>
      <c r="U3" s="26">
        <f ca="1">IF(
OR(Список_сотрудников!$C3="НЕТ",$E3=""),
"",
IF(Список_сотрудников!$H3&lt;=90,
1,
IF(
VLOOKUP(СВОД!$E3,ТГ!$G$3:$J$30,4,0)&lt;1,
1,
VLOOKUP(СВОД!$E3,ТГ!$G$3:$J$30,4,0))))</f>
        <v>1</v>
      </c>
      <c r="V3" s="51">
        <f ca="1">IF(Список_сотрудников!$C3="НЕТ",
"",
IF(
AND($E3&lt;&gt;"",$B3="Развитие"),
IF(
VLOOKUP($E3,Список_сотрудников!$D$3:$K$12,8,0)=ВСП!$C$2,
(($H3-($K3*5))*$Q3)*SUM($R3*$AT$12,$T3*$AT$13,$U3*$AT$14)+SUM($L3:$N3)-$J3,
(($H3-($K3*5))*$Q3)*SUM($U3*$AT$16,$S3*$AT$17,$T3*$AT$18)+SUM($L3:$N3)-$J3),
IF(
AND($E3&lt;&gt;"",$B3="Процессинг"),
(($H3-($K3*5))*$Q3)*SUM($R3*$AV$12,$S3*$AV$13,$U3*$AV$14)+SUM($L3:$N3)-$J3,
"")))</f>
        <v>21399.190035392268</v>
      </c>
      <c r="AP3" s="173">
        <v>0.5</v>
      </c>
      <c r="AQ3" s="174">
        <v>3.5000000000000001E-3</v>
      </c>
      <c r="AS3" s="60">
        <v>0.5</v>
      </c>
      <c r="AT3" s="61">
        <v>3.5000000000000001E-3</v>
      </c>
      <c r="AV3" s="62">
        <v>0.5</v>
      </c>
      <c r="AW3" s="63">
        <v>0.6</v>
      </c>
    </row>
    <row r="4" spans="1:49" ht="15" customHeight="1" x14ac:dyDescent="0.25">
      <c r="A4" s="3" t="str">
        <f t="shared" si="0"/>
        <v>ЕАЭССНГ Фёдоров</v>
      </c>
      <c r="B4" s="3" t="str">
        <f>IF($E4="","",VLOOKUP($E4,Список_сотрудников!$D$2:$J$12,7,0))</f>
        <v>Развитие</v>
      </c>
      <c r="C4" s="181" t="str">
        <f t="shared" si="1"/>
        <v>ЕАЭС</v>
      </c>
      <c r="D4" s="181"/>
      <c r="E4" s="24" t="str">
        <f>IF(Список_сотрудников!$D4="","",Список_сотрудников!$D4)</f>
        <v>СНГ Фёдоров</v>
      </c>
      <c r="F4" s="19">
        <v>6241780</v>
      </c>
      <c r="G4" s="25">
        <f>IF(
OR(Список_сотрудников!$C4="НЕТ",$E4=""),
"",
IF($C$2=ВСП!$M$4,
IF(
VLOOKUP($E4,ВСП!$O$2:$Q$12,3,0)=ВСП!$A$12,
SUMIFS(Факт_продаж!$D:$D,Факт_продаж!$A:$A,СВОД!$C$2,Факт_продаж!$C:$C,VLOOKUP(СВОД!$E4,Список_сотрудников!$D$3:$E$12,2,0)),
IF(
VLOOKUP($E4,ВСП!$O$2:$Q$12,3,0)=ВСП!$A$13,
SUMIFS(Факт_продаж!$D:$D,Факт_продаж!$A:$A,СВОД!$C$2,Факт_продаж!$B:$B,СВОД!$E4))),
SUMIF(Факт_продаж!$B:$B,СВОД!$E4,Факт_продаж!$D:$D)))</f>
        <v>7808199.1999999946</v>
      </c>
      <c r="H4" s="25">
        <f>IF(
OR(Список_сотрудников!$C4="НЕТ",$E4=""),
"",
IF(
VLOOKUP($E4,ВСП!$O$2:$Q$12,3,0)=ВСП!$A$12,
SUMIFS(Приход_ДС!$D:$D,Приход_ДС!$A:$A,СВОД!$C$2,Приход_ДС!$C:$C,VLOOKUP(СВОД!$E4,Список_сотрудников!$D$3:$E$12,2,0)),
IF(
VLOOKUP($E4,ВСП!$O$2:$Q$12,3,0)=ВСП!$A$13,
SUMIFS(Приход_ДС!$D:$D,Приход_ДС!$A:$A,СВОД!$C$2,Приход_ДС!$B:$B,СВОД!$E4))))</f>
        <v>8629280.3399999999</v>
      </c>
      <c r="I4" s="34">
        <f>IF(
OR(Список_сотрудников!$C4="НЕТ",$E4=""),
"",
IF(
VLOOKUP($E4,ВСП!$O$2:$Q$12,3,0)=ВСП!$A$12,
SUMIFS(ПДЗ!$I:$I,ПДЗ!$A:$A,СВОД!$C$2,ПДЗ!$C:$C,VLOOKUP(СВОД!$E4,Список_сотрудников!$D$3:$E$12,2,0)),
IF(
VLOOKUP($E4,ВСП!$O$2:$Q$12,3,0)=ВСП!$A$13,
SUMIFS(ПДЗ!$I:$I,ПДЗ!$A:$A,СВОД!$C$2,ПДЗ!$B:$B,СВОД!$E4))))</f>
        <v>0.02</v>
      </c>
      <c r="J4" s="34">
        <f>IF($E4="","",IFERROR(VLOOKUP(E4,СВОД_штрафы[#All],2,0),0))</f>
        <v>200</v>
      </c>
      <c r="K4" s="34">
        <f>IF($E4="","",IFERROR(VLOOKUP(E4,СВОД_расходы[#All],2,0),0))</f>
        <v>0</v>
      </c>
      <c r="L4" s="34">
        <f>IF(E4="","",SUMIF('Продажи по акции'!$B:$B,Список_сотрудников!$D4,'Продажи по акции'!$H:$H))</f>
        <v>2240</v>
      </c>
      <c r="M4" s="149"/>
      <c r="N4" s="149"/>
      <c r="O4" s="45">
        <f>IF(OR(G4="",G4=0),"",IF(OR(Список_сотрудников!$P4="",Список_сотрудников!$P4=0),IF(VLOOKUP($E4,ВСП!$O$3:$Q$12,3,0)=ВСП!$A$12,SUMIFS(ОБОРОТ!$D:$D,ОБОРОТ!$C:$C,Список_сотрудников!$E4),IF(VLOOKUP($E4,ВСП!$O$3:$Q$12,3,0)=ВСП!$A$13,SUMIF(ОБОРОТ!$B:$B,СВОД!$E4,ОБОРОТ!$D:$D))),Список_сотрудников!$P4))</f>
        <v>67317026.519999981</v>
      </c>
      <c r="P4" s="45">
        <f>IF($E4="","",IF(VLOOKUP($E4,ВСП!$O$2:$Q$12,3,0)=ВСП!$A$12,SUMIFS(ПДЗ!$I:$I,ПДЗ!$A:$A,СВОД!$C$2,ПДЗ!$C:$C,VLOOKUP(СВОД!$E4,Список_сотрудников!$D$3:$E$12,2,0)),IF(VLOOKUP($E4,ВСП!$O$2:$Q$12,3,0)=ВСП!$A$13,SUMIFS(ПДЗ!$I:$I,ПДЗ!$A:$A,СВОД!$C$2,ПДЗ!$B:$B,СВОД!$E4))))</f>
        <v>0.02</v>
      </c>
      <c r="Q4" s="47">
        <f t="shared" ref="Q4:Q12" si="2">IF(
$H4="",
"",
IF($B4="Развитие",
IF(10/((($H4-$K4*5)/1000000)+1)/100&gt;4.5%,
4.5%,
IF(10/((($H4-$K4*5)/1000000)+1)/100&lt;0.7%,
0.7%,
10/((($H4-$K4*5)/1000000)+1)/100)),
IF(1.5/((($H4-$K4*5)/1000000)+1)/100&gt;0.75%,
0.75%,
IF(1.5/((($H4-$K4*5)/1000000)+1)/100&lt;0.05%,
0.05%,
1.5/((($H4-$K4*5)/1000000)+1)/100))))</f>
        <v>1.0384992073042087E-2</v>
      </c>
      <c r="R4" s="26">
        <f ca="1">IF(
OR(Список_сотрудников!$C4="НЕТ",$F4="",$E$3=""),
"",
IF(
OR(Список_сотрудников!$H4&lt;90,Список_сотрудников!$O4&lt;&gt;""),
1,
IF($G4/$F4&lt;$AW$3,
$AV$3,
IF($G4/$F4&lt;=$AW$4,
$AV$4,
IF($G4/$F4&lt;=$AW$5,
$AV$5,
IF($G4/$F4&lt;=$AW$6,
$AV$6,
IF($G4/$F4&lt;=$AW$7,
$AV$7,
IF($G4/$F4&lt;=$AW$8,
$AV$8,
IF($G4/$F4&gt;$AW$8,$AV$9,
"")))))))))</f>
        <v>1.2</v>
      </c>
      <c r="S4" s="26">
        <f ca="1">IF(
OR(Список_сотрудников!$C4="НЕТ",$E4=""),
"",
IF(
OR(Список_сотрудников!$H4&lt;90,Список_сотрудников!$P4&lt;&gt;""),
1,
IF(P4=0,
1.2,
IF(Список_сотрудников!$J4="Процессинг",
IF($P4/$O4&lt;$AT$7,
$AS$7,
IF($P4/$O4&lt;=$AT$6,
$AS$6,
IF($P4/$O4&lt;=$AT$5,
$AS$5,
IF($P4/$O4&lt;=$AT$4,
$AS$4,
IF($P4/$O4&gt;$AT$3,
$AS$3,
""))))),
IF($P4/$O4&lt;$AQ$7,
$AP$7,
IF($P4/$O4&lt;=$AQ$6,
$AP$6,
IF($P4/$O4&lt;=$AQ$5,
$AP$5,
IF($P4/$O4&lt;=$AQ$4,
$AP$4,
IF($P4/$O4&gt;$AQ$3,
$AP$3,
"")))))))))</f>
        <v>1.2</v>
      </c>
      <c r="T4" s="26">
        <f ca="1">IF(
OR(Список_сотрудников!$C4="НЕТ",$E4=""),
"",
IF(
AND(Список_сотрудников!$J4="Развитие",Список_сотрудников!$H4&lt;90),
1,
IF(
VLOOKUP($E4,ВСП!$O$3:$Q$12,2,0)=ВСП!$A$3,
(1+0.2*(VLOOKUP(СВОД!$E4,Список_сотрудников!$D$3:$N$12,11,0)-VLOOKUP(Список_сотрудников!$D$20,ВСП!$S$2:$T$13,2,0))),
"")))</f>
        <v>0.6</v>
      </c>
      <c r="U4" s="26">
        <f ca="1">IF(
OR(Список_сотрудников!$C4="НЕТ",$E4=""),
"",
IF(Список_сотрудников!$H4&lt;=90,
1,
IF(
VLOOKUP(СВОД!$E4,ТГ!$G$3:$J$30,4,0)&lt;1,
1,
VLOOKUP(СВОД!$E4,ТГ!$G$3:$J$30,4,0))))</f>
        <v>1</v>
      </c>
      <c r="V4" s="51">
        <f ca="1">IF(Список_сотрудников!$C4="НЕТ",
"",
IF(
AND($E4&lt;&gt;"",$B4="Развитие"),
IF(
VLOOKUP($E4,Список_сотрудников!$D$3:$K$12,8,0)=ВСП!$C$2,
(($H4-($K4*5))*$Q4)*SUM($R4*$AT$12,$T4*$AT$13,$U4*$AT$14)+SUM($L4:$N4)-$J4,
(($H4-($K4*5))*$Q4)*SUM($U4*$AT$16,$S4*$AT$17,$T4*$AT$18)+SUM($L4:$N4)-$J4),
IF(
AND($E4&lt;&gt;"",$B4="Процессинг"),
(($H4-($K4*5))*$Q4)*SUM($R4*$AV$12,$S4*$AV$13,$U4*$AV$14)+SUM($L4:$N4)-$J4,
"")))</f>
        <v>92551.158006227502</v>
      </c>
      <c r="AP4" s="173">
        <v>0.8</v>
      </c>
      <c r="AQ4" s="174">
        <v>3.5000000000000001E-3</v>
      </c>
      <c r="AS4" s="60">
        <v>0.8</v>
      </c>
      <c r="AT4" s="61">
        <v>3.5000000000000001E-3</v>
      </c>
      <c r="AV4" s="62">
        <v>0.6</v>
      </c>
      <c r="AW4" s="63">
        <v>0.69</v>
      </c>
    </row>
    <row r="5" spans="1:49" ht="15" customHeight="1" x14ac:dyDescent="0.25">
      <c r="A5" s="3" t="str">
        <f t="shared" si="0"/>
        <v/>
      </c>
      <c r="B5" s="3" t="str">
        <f>IF($E5="","",VLOOKUP($E5,Список_сотрудников!$D$2:$J$12,7,0))</f>
        <v/>
      </c>
      <c r="C5" s="181" t="str">
        <f t="shared" si="1"/>
        <v/>
      </c>
      <c r="D5" s="181"/>
      <c r="E5" s="24" t="str">
        <f>IF(Список_сотрудников!$D5="","",Список_сотрудников!$D5)</f>
        <v/>
      </c>
      <c r="F5" s="19"/>
      <c r="G5" s="25" t="str">
        <f>IF(
OR(Список_сотрудников!$C5="НЕТ",$E5=""),
"",
IF($C$2=ВСП!$M$4,
IF(
VLOOKUP($E5,ВСП!$O$2:$Q$12,3,0)=ВСП!$A$12,
SUMIFS(Факт_продаж!$D:$D,Факт_продаж!$A:$A,СВОД!$C$2,Факт_продаж!$C:$C,VLOOKUP(СВОД!$E5,Список_сотрудников!$D$3:$E$12,2,0)),
IF(
VLOOKUP($E5,ВСП!$O$2:$Q$12,3,0)=ВСП!$A$13,
SUMIFS(Факт_продаж!$D:$D,Факт_продаж!$A:$A,СВОД!$C$2,Факт_продаж!$B:$B,СВОД!$E5))),
SUMIF(Факт_продаж!$B:$B,СВОД!$E5,Факт_продаж!$D:$D)))</f>
        <v/>
      </c>
      <c r="H5" s="25" t="str">
        <f>IF(
OR(Список_сотрудников!$C5="НЕТ",$E5=""),
"",
IF(
VLOOKUP($E5,ВСП!$O$2:$Q$12,3,0)=ВСП!$A$12,
SUMIFS(Приход_ДС!$D:$D,Приход_ДС!$A:$A,СВОД!$C$2,Приход_ДС!$C:$C,VLOOKUP(СВОД!$E5,Список_сотрудников!$D$3:$E$12,2,0)),
IF(
VLOOKUP($E5,ВСП!$O$2:$Q$12,3,0)=ВСП!$A$13,
SUMIFS(Приход_ДС!$D:$D,Приход_ДС!$A:$A,СВОД!$C$2,Приход_ДС!$B:$B,СВОД!$E5))))</f>
        <v/>
      </c>
      <c r="I5" s="34" t="str">
        <f>IF(
OR(Список_сотрудников!$C5="НЕТ",$E5=""),
"",
IF(
VLOOKUP($E5,ВСП!$O$2:$Q$12,3,0)=ВСП!$A$12,
SUMIFS(ПДЗ!$I:$I,ПДЗ!$A:$A,СВОД!$C$2,ПДЗ!$C:$C,VLOOKUP(СВОД!$E5,Список_сотрудников!$D$3:$E$12,2,0)),
IF(
VLOOKUP($E5,ВСП!$O$2:$Q$12,3,0)=ВСП!$A$13,
SUMIFS(ПДЗ!$I:$I,ПДЗ!$A:$A,СВОД!$C$2,ПДЗ!$B:$B,СВОД!$E5))))</f>
        <v/>
      </c>
      <c r="J5" s="34" t="str">
        <f>IF($E5="","",IFERROR(VLOOKUP(E5,СВОД_штрафы[#All],2,0),0))</f>
        <v/>
      </c>
      <c r="K5" s="34" t="str">
        <f>IF($E5="","",IFERROR(VLOOKUP(E5,СВОД_расходы[#All],2,0),0))</f>
        <v/>
      </c>
      <c r="L5" s="34" t="str">
        <f>IF(E5="","",SUMIF('Продажи по акции'!$B:$B,Список_сотрудников!$D5,'Продажи по акции'!$H:$H))</f>
        <v/>
      </c>
      <c r="M5" s="149"/>
      <c r="N5" s="149"/>
      <c r="O5" s="45" t="str">
        <f>IF(OR(G5="",G5=0),"",IF(OR(Список_сотрудников!$P5="",Список_сотрудников!$P5=0),IF(VLOOKUP($E5,ВСП!$O$3:$Q$12,3,0)=ВСП!$A$12,SUMIFS(ОБОРОТ!$D:$D,ОБОРОТ!$C:$C,Список_сотрудников!$E5),IF(VLOOKUP($E5,ВСП!$O$3:$Q$12,3,0)=ВСП!$A$13,SUMIF(ОБОРОТ!$B:$B,СВОД!$E5,ОБОРОТ!$D:$D))),Список_сотрудников!$P5))</f>
        <v/>
      </c>
      <c r="P5" s="45" t="str">
        <f>IF($E5="","",IF(VLOOKUP($E5,ВСП!$O$2:$Q$12,3,0)=ВСП!$A$12,SUMIFS(ПДЗ!$I:$I,ПДЗ!$A:$A,СВОД!$C$2,ПДЗ!$C:$C,VLOOKUP(СВОД!$E5,Список_сотрудников!$D$3:$E$12,2,0)),IF(VLOOKUP($E5,ВСП!$O$2:$Q$12,3,0)=ВСП!$A$13,SUMIFS(ПДЗ!$I:$I,ПДЗ!$A:$A,СВОД!$C$2,ПДЗ!$B:$B,СВОД!$E5))))</f>
        <v/>
      </c>
      <c r="Q5" s="47" t="str">
        <f t="shared" si="2"/>
        <v/>
      </c>
      <c r="R5" s="26" t="str">
        <f>IF(
OR(Список_сотрудников!$C5="НЕТ",$F5="",$E$3=""),
"",
IF(
OR(Список_сотрудников!$H5&lt;90,Список_сотрудников!$O5&lt;&gt;""),
1,
IF($G5/$F5&lt;$AW$3,
$AV$3,
IF($G5/$F5&lt;=$AW$4,
$AV$4,
IF($G5/$F5&lt;=$AW$5,
$AV$5,
IF($G5/$F5&lt;=$AW$6,
$AV$6,
IF($G5/$F5&lt;=$AW$7,
$AV$7,
IF($G5/$F5&lt;=$AW$8,
$AV$8,
IF($G5/$F5&gt;$AW$8,$AV$9,
"")))))))))</f>
        <v/>
      </c>
      <c r="S5" s="26" t="str">
        <f>IF(
OR(Список_сотрудников!$C5="НЕТ",$E5=""),
"",
IF(
OR(Список_сотрудников!$H5&lt;90,Список_сотрудников!$P5&lt;&gt;""),
1,
IF(P5=0,
1.2,
IF(Список_сотрудников!$J5="Процессинг",
IF($P5/$O5&lt;$AT$7,
$AS$7,
IF($P5/$O5&lt;=$AT$6,
$AS$6,
IF($P5/$O5&lt;=$AT$5,
$AS$5,
IF($P5/$O5&lt;=$AT$4,
$AS$4,
IF($P5/$O5&gt;$AT$3,
$AS$3,
""))))),
IF($P5/$O5&lt;$AQ$7,
$AP$7,
IF($P5/$O5&lt;=$AQ$6,
$AP$6,
IF($P5/$O5&lt;=$AQ$5,
$AP$5,
IF($P5/$O5&lt;=$AQ$4,
$AP$4,
IF($P5/$O5&gt;$AQ$3,
$AP$3,
"")))))))))</f>
        <v/>
      </c>
      <c r="T5" s="26" t="str">
        <f>IF(
OR(Список_сотрудников!$C5="НЕТ",$E5=""),
"",
IF(
AND(Список_сотрудников!$J5="Развитие",Список_сотрудников!$H5&lt;90),
1,
IF(
VLOOKUP($E5,ВСП!$O$3:$Q$12,2,0)=ВСП!$A$3,
(1+0.2*(VLOOKUP(СВОД!$E5,Список_сотрудников!$D$3:$N$12,11,0)-VLOOKUP(Список_сотрудников!$D$20,ВСП!$S$2:$T$13,2,0))),
"")))</f>
        <v/>
      </c>
      <c r="U5" s="26" t="str">
        <f>IF(
OR(Список_сотрудников!$C5="НЕТ",$E5=""),
"",
IF(Список_сотрудников!$H5&lt;=90,
1,
IF(
VLOOKUP(СВОД!$E5,ТГ!$G$3:$J$30,4,0)&lt;1,
1,
VLOOKUP(СВОД!$E5,ТГ!$G$3:$J$30,4,0))))</f>
        <v/>
      </c>
      <c r="V5" s="51" t="str">
        <f>IF(Список_сотрудников!$C5="НЕТ",
"",
IF(
AND($E5&lt;&gt;"",$B5="Развитие"),
IF(
VLOOKUP($E5,Список_сотрудников!$D$3:$K$12,8,0)=ВСП!$C$2,
(($H5-($K5*5))*$Q5)*SUM($R5*$AT$12,$T5*$AT$13,$U5*$AT$14)+SUM($L5:$N5)-$J5,
(($H5-($K5*5))*$Q5)*SUM($U5*$AT$16,$S5*$AT$17,$T5*$AT$18)+SUM($L5:$N5)-$J5),
IF(
AND($E5&lt;&gt;"",$B5="Процессинг"),
(($H5-($K5*5))*$Q5)*SUM($R5*$AV$12,$S5*$AV$13,$U5*$AV$14)+SUM($L5:$N5)-$J5,
"")))</f>
        <v/>
      </c>
      <c r="AP5" s="173">
        <v>1</v>
      </c>
      <c r="AQ5" s="174">
        <v>2.3999999999999998E-3</v>
      </c>
      <c r="AS5" s="60">
        <v>1</v>
      </c>
      <c r="AT5" s="61">
        <v>2.3999999999999998E-3</v>
      </c>
      <c r="AV5" s="62">
        <v>0.7</v>
      </c>
      <c r="AW5" s="64">
        <v>0.79</v>
      </c>
    </row>
    <row r="6" spans="1:49" ht="15" customHeight="1" x14ac:dyDescent="0.25">
      <c r="A6" s="3" t="str">
        <f t="shared" si="0"/>
        <v/>
      </c>
      <c r="B6" s="3" t="str">
        <f>IF($E6="","",VLOOKUP($E6,Список_сотрудников!$D$2:$J$12,7,0))</f>
        <v/>
      </c>
      <c r="C6" s="181" t="str">
        <f t="shared" si="1"/>
        <v/>
      </c>
      <c r="D6" s="181"/>
      <c r="E6" s="24" t="str">
        <f>IF(Список_сотрудников!$D6="","",Список_сотрудников!$D6)</f>
        <v/>
      </c>
      <c r="F6" s="19"/>
      <c r="G6" s="25" t="str">
        <f>IF(
OR(Список_сотрудников!$C6="НЕТ",$E6=""),
"",
IF($C$2=ВСП!$M$4,
IF(
VLOOKUP($E6,ВСП!$O$2:$Q$12,3,0)=ВСП!$A$12,
SUMIFS(Факт_продаж!$D:$D,Факт_продаж!$A:$A,СВОД!$C$2,Факт_продаж!$C:$C,VLOOKUP(СВОД!$E6,Список_сотрудников!$D$3:$E$12,2,0)),
IF(
VLOOKUP($E6,ВСП!$O$2:$Q$12,3,0)=ВСП!$A$13,
SUMIFS(Факт_продаж!$D:$D,Факт_продаж!$A:$A,СВОД!$C$2,Факт_продаж!$B:$B,СВОД!$E6))),
SUMIF(Факт_продаж!$B:$B,СВОД!$E6,Факт_продаж!$D:$D)))</f>
        <v/>
      </c>
      <c r="H6" s="25" t="str">
        <f>IF(
OR(Список_сотрудников!$C6="НЕТ",$E6=""),
"",
IF(
VLOOKUP($E6,ВСП!$O$2:$Q$12,3,0)=ВСП!$A$12,
SUMIFS(Приход_ДС!$D:$D,Приход_ДС!$A:$A,СВОД!$C$2,Приход_ДС!$C:$C,VLOOKUP(СВОД!$E6,Список_сотрудников!$D$3:$E$12,2,0)),
IF(
VLOOKUP($E6,ВСП!$O$2:$Q$12,3,0)=ВСП!$A$13,
SUMIFS(Приход_ДС!$D:$D,Приход_ДС!$A:$A,СВОД!$C$2,Приход_ДС!$B:$B,СВОД!$E6))))</f>
        <v/>
      </c>
      <c r="I6" s="34" t="str">
        <f>IF(
OR(Список_сотрудников!$C6="НЕТ",$E6=""),
"",
IF(
VLOOKUP($E6,ВСП!$O$2:$Q$12,3,0)=ВСП!$A$12,
SUMIFS(ПДЗ!$I:$I,ПДЗ!$A:$A,СВОД!$C$2,ПДЗ!$C:$C,VLOOKUP(СВОД!$E6,Список_сотрудников!$D$3:$E$12,2,0)),
IF(
VLOOKUP($E6,ВСП!$O$2:$Q$12,3,0)=ВСП!$A$13,
SUMIFS(ПДЗ!$I:$I,ПДЗ!$A:$A,СВОД!$C$2,ПДЗ!$B:$B,СВОД!$E6))))</f>
        <v/>
      </c>
      <c r="J6" s="34" t="str">
        <f>IF($E6="","",IFERROR(VLOOKUP(E6,СВОД_штрафы[#All],2,0),0))</f>
        <v/>
      </c>
      <c r="K6" s="34" t="str">
        <f>IF($E6="","",IFERROR(VLOOKUP(E6,СВОД_расходы[#All],2,0),0))</f>
        <v/>
      </c>
      <c r="L6" s="34" t="str">
        <f>IF(E6="","",SUMIF('Продажи по акции'!$B:$B,Список_сотрудников!$D6,'Продажи по акции'!$H:$H))</f>
        <v/>
      </c>
      <c r="M6" s="149"/>
      <c r="N6" s="149"/>
      <c r="O6" s="45" t="str">
        <f>IF(OR(G6="",G6=0),"",IF(OR(Список_сотрудников!$P6="",Список_сотрудников!$P6=0),IF(VLOOKUP($E6,ВСП!$O$3:$Q$12,3,0)=ВСП!$A$12,SUMIFS(ОБОРОТ!$D:$D,ОБОРОТ!$C:$C,Список_сотрудников!$E6),IF(VLOOKUP($E6,ВСП!$O$3:$Q$12,3,0)=ВСП!$A$13,SUMIF(ОБОРОТ!$B:$B,СВОД!$E6,ОБОРОТ!$D:$D))),Список_сотрудников!$P6))</f>
        <v/>
      </c>
      <c r="P6" s="45" t="str">
        <f>IF($E6="","",IF(VLOOKUP($E6,ВСП!$O$2:$Q$12,3,0)=ВСП!$A$12,SUMIFS(ПДЗ!$I:$I,ПДЗ!$A:$A,СВОД!$C$2,ПДЗ!$C:$C,VLOOKUP(СВОД!$E6,Список_сотрудников!$D$3:$E$12,2,0)),IF(VLOOKUP($E6,ВСП!$O$2:$Q$12,3,0)=ВСП!$A$13,SUMIFS(ПДЗ!$I:$I,ПДЗ!$A:$A,СВОД!$C$2,ПДЗ!$B:$B,СВОД!$E6))))</f>
        <v/>
      </c>
      <c r="Q6" s="47" t="str">
        <f t="shared" si="2"/>
        <v/>
      </c>
      <c r="R6" s="26" t="str">
        <f>IF(
OR(Список_сотрудников!$C6="НЕТ",$F6="",$E$3=""),
"",
IF(
OR(Список_сотрудников!$H6&lt;90,Список_сотрудников!$O6&lt;&gt;""),
1,
IF($G6/$F6&lt;$AW$3,
$AV$3,
IF($G6/$F6&lt;=$AW$4,
$AV$4,
IF($G6/$F6&lt;=$AW$5,
$AV$5,
IF($G6/$F6&lt;=$AW$6,
$AV$6,
IF($G6/$F6&lt;=$AW$7,
$AV$7,
IF($G6/$F6&lt;=$AW$8,
$AV$8,
IF($G6/$F6&gt;$AW$8,$AV$9,
"")))))))))</f>
        <v/>
      </c>
      <c r="S6" s="26" t="str">
        <f>IF(
OR(Список_сотрудников!$C6="НЕТ",$E6=""),
"",
IF(
OR(Список_сотрудников!$H6&lt;90,Список_сотрудников!$P6&lt;&gt;""),
1,
IF(P6=0,
1.2,
IF(Список_сотрудников!$J6="Процессинг",
IF($P6/$O6&lt;$AT$7,
$AS$7,
IF($P6/$O6&lt;=$AT$6,
$AS$6,
IF($P6/$O6&lt;=$AT$5,
$AS$5,
IF($P6/$O6&lt;=$AT$4,
$AS$4,
IF($P6/$O6&gt;$AT$3,
$AS$3,
""))))),
IF($P6/$O6&lt;$AQ$7,
$AP$7,
IF($P6/$O6&lt;=$AQ$6,
$AP$6,
IF($P6/$O6&lt;=$AQ$5,
$AP$5,
IF($P6/$O6&lt;=$AQ$4,
$AP$4,
IF($P6/$O6&gt;$AQ$3,
$AP$3,
"")))))))))</f>
        <v/>
      </c>
      <c r="T6" s="26" t="str">
        <f>IF(
OR(Список_сотрудников!$C6="НЕТ",$E6=""),
"",
IF(
AND(Список_сотрудников!$J6="Развитие",Список_сотрудников!$H6&lt;90),
1,
IF(
VLOOKUP($E6,ВСП!$O$3:$Q$12,2,0)=ВСП!$A$3,
(1+0.2*(VLOOKUP(СВОД!$E6,Список_сотрудников!$D$3:$N$12,11,0)-VLOOKUP(Список_сотрудников!$D$20,ВСП!$S$2:$T$13,2,0))),
"")))</f>
        <v/>
      </c>
      <c r="U6" s="26" t="str">
        <f>IF(
OR(Список_сотрудников!$C6="НЕТ",$E6=""),
"",
IF(Список_сотрудников!$H6&lt;=90,
1,
IF(
VLOOKUP(СВОД!$E6,ТГ!$G$3:$J$30,4,0)&lt;1,
1,
VLOOKUP(СВОД!$E6,ТГ!$G$3:$J$30,4,0))))</f>
        <v/>
      </c>
      <c r="V6" s="51" t="str">
        <f>IF(Список_сотрудников!$C6="НЕТ",
"",
IF(
AND($E6&lt;&gt;"",$B6="Развитие"),
IF(
VLOOKUP($E6,Список_сотрудников!$D$3:$K$12,8,0)=ВСП!$C$2,
(($H6-($K6*5))*$Q6)*SUM($R6*$AT$12,$T6*$AT$13,$U6*$AT$14)+SUM($L6:$N6)-$J6,
(($H6-($K6*5))*$Q6)*SUM($U6*$AT$16,$S6*$AT$17,$T6*$AT$18)+SUM($L6:$N6)-$J6),
IF(
AND($E6&lt;&gt;"",$B6="Процессинг"),
(($H6-($K6*5))*$Q6)*SUM($R6*$AV$12,$S6*$AV$13,$U6*$AV$14)+SUM($L6:$N6)-$J6,
"")))</f>
        <v/>
      </c>
      <c r="AP6" s="173">
        <v>1.1000000000000001</v>
      </c>
      <c r="AQ6" s="174">
        <v>1.4E-3</v>
      </c>
      <c r="AS6" s="60">
        <v>1.1000000000000001</v>
      </c>
      <c r="AT6" s="61">
        <v>1.4E-3</v>
      </c>
      <c r="AV6" s="62">
        <v>0.8</v>
      </c>
      <c r="AW6" s="64">
        <v>0.9</v>
      </c>
    </row>
    <row r="7" spans="1:49" ht="15" customHeight="1" thickBot="1" x14ac:dyDescent="0.3">
      <c r="A7" s="3" t="str">
        <f t="shared" si="0"/>
        <v/>
      </c>
      <c r="B7" s="3" t="str">
        <f>IF($E7="","",VLOOKUP($E7,Список_сотрудников!$D$2:$J$12,7,0))</f>
        <v/>
      </c>
      <c r="C7" s="181" t="str">
        <f t="shared" si="1"/>
        <v/>
      </c>
      <c r="D7" s="181"/>
      <c r="E7" s="24" t="str">
        <f>IF(Список_сотрудников!$D7="","",Список_сотрудников!$D7)</f>
        <v/>
      </c>
      <c r="F7" s="19"/>
      <c r="G7" s="25" t="str">
        <f>IF(
OR(Список_сотрудников!$C7="НЕТ",$E7=""),
"",
IF($C$2=ВСП!$M$4,
IF(
VLOOKUP($E7,ВСП!$O$2:$Q$12,3,0)=ВСП!$A$12,
SUMIFS(Факт_продаж!$D:$D,Факт_продаж!$A:$A,СВОД!$C$2,Факт_продаж!$C:$C,VLOOKUP(СВОД!$E7,Список_сотрудников!$D$3:$E$12,2,0)),
IF(
VLOOKUP($E7,ВСП!$O$2:$Q$12,3,0)=ВСП!$A$13,
SUMIFS(Факт_продаж!$D:$D,Факт_продаж!$A:$A,СВОД!$C$2,Факт_продаж!$B:$B,СВОД!$E7))),
SUMIF(Факт_продаж!$B:$B,СВОД!$E7,Факт_продаж!$D:$D)))</f>
        <v/>
      </c>
      <c r="H7" s="25" t="str">
        <f>IF(
OR(Список_сотрудников!$C7="НЕТ",$E7=""),
"",
IF(
VLOOKUP($E7,ВСП!$O$2:$Q$12,3,0)=ВСП!$A$12,
SUMIFS(Приход_ДС!$D:$D,Приход_ДС!$A:$A,СВОД!$C$2,Приход_ДС!$C:$C,VLOOKUP(СВОД!$E7,Список_сотрудников!$D$3:$E$12,2,0)),
IF(
VLOOKUP($E7,ВСП!$O$2:$Q$12,3,0)=ВСП!$A$13,
SUMIFS(Приход_ДС!$D:$D,Приход_ДС!$A:$A,СВОД!$C$2,Приход_ДС!$B:$B,СВОД!$E7))))</f>
        <v/>
      </c>
      <c r="I7" s="34" t="str">
        <f>IF(
OR(Список_сотрудников!$C7="НЕТ",$E7=""),
"",
IF(
VLOOKUP($E7,ВСП!$O$2:$Q$12,3,0)=ВСП!$A$12,
SUMIFS(ПДЗ!$I:$I,ПДЗ!$A:$A,СВОД!$C$2,ПДЗ!$C:$C,VLOOKUP(СВОД!$E7,Список_сотрудников!$D$3:$E$12,2,0)),
IF(
VLOOKUP($E7,ВСП!$O$2:$Q$12,3,0)=ВСП!$A$13,
SUMIFS(ПДЗ!$I:$I,ПДЗ!$A:$A,СВОД!$C$2,ПДЗ!$B:$B,СВОД!$E7))))</f>
        <v/>
      </c>
      <c r="J7" s="34" t="str">
        <f>IF($E7="","",IFERROR(VLOOKUP(E7,СВОД_штрафы[#All],2,0),0))</f>
        <v/>
      </c>
      <c r="K7" s="34" t="str">
        <f>IF($E7="","",IFERROR(VLOOKUP(E7,СВОД_расходы[#All],2,0),0))</f>
        <v/>
      </c>
      <c r="L7" s="34" t="str">
        <f>IF(E7="","",SUMIF('Продажи по акции'!$B:$B,Список_сотрудников!$D7,'Продажи по акции'!$H:$H))</f>
        <v/>
      </c>
      <c r="M7" s="149"/>
      <c r="N7" s="149"/>
      <c r="O7" s="45" t="str">
        <f>IF(OR(G7="",G7=0),"",IF(OR(Список_сотрудников!$P7="",Список_сотрудников!$P7=0),IF(VLOOKUP($E7,ВСП!$O$3:$Q$12,3,0)=ВСП!$A$12,SUMIFS(ОБОРОТ!$D:$D,ОБОРОТ!$C:$C,Список_сотрудников!$E7),IF(VLOOKUP($E7,ВСП!$O$3:$Q$12,3,0)=ВСП!$A$13,SUMIF(ОБОРОТ!$B:$B,СВОД!$E7,ОБОРОТ!$D:$D))),Список_сотрудников!$P7))</f>
        <v/>
      </c>
      <c r="P7" s="45" t="str">
        <f>IF($E7="","",IF(VLOOKUP($E7,ВСП!$O$2:$Q$12,3,0)=ВСП!$A$12,SUMIFS(ПДЗ!$I:$I,ПДЗ!$A:$A,СВОД!$C$2,ПДЗ!$C:$C,VLOOKUP(СВОД!$E7,Список_сотрудников!$D$3:$E$12,2,0)),IF(VLOOKUP($E7,ВСП!$O$2:$Q$12,3,0)=ВСП!$A$13,SUMIFS(ПДЗ!$I:$I,ПДЗ!$A:$A,СВОД!$C$2,ПДЗ!$B:$B,СВОД!$E7))))</f>
        <v/>
      </c>
      <c r="Q7" s="47" t="str">
        <f t="shared" si="2"/>
        <v/>
      </c>
      <c r="R7" s="26" t="str">
        <f>IF(
OR(Список_сотрудников!$C7="НЕТ",$F7="",$E$3=""),
"",
IF(
OR(Список_сотрудников!$H7&lt;90,Список_сотрудников!$O7&lt;&gt;""),
1,
IF($G7/$F7&lt;$AW$3,
$AV$3,
IF($G7/$F7&lt;=$AW$4,
$AV$4,
IF($G7/$F7&lt;=$AW$5,
$AV$5,
IF($G7/$F7&lt;=$AW$6,
$AV$6,
IF($G7/$F7&lt;=$AW$7,
$AV$7,
IF($G7/$F7&lt;=$AW$8,
$AV$8,
IF($G7/$F7&gt;$AW$8,$AV$9,
"")))))))))</f>
        <v/>
      </c>
      <c r="S7" s="26" t="str">
        <f>IF(
OR(Список_сотрудников!$C7="НЕТ",$E7=""),
"",
IF(
OR(Список_сотрудников!$H7&lt;90,Список_сотрудников!$P7&lt;&gt;""),
1,
IF(P7=0,
1.2,
IF(Список_сотрудников!$J7="Процессинг",
IF($P7/$O7&lt;$AT$7,
$AS$7,
IF($P7/$O7&lt;=$AT$6,
$AS$6,
IF($P7/$O7&lt;=$AT$5,
$AS$5,
IF($P7/$O7&lt;=$AT$4,
$AS$4,
IF($P7/$O7&gt;$AT$3,
$AS$3,
""))))),
IF($P7/$O7&lt;$AQ$7,
$AP$7,
IF($P7/$O7&lt;=$AQ$6,
$AP$6,
IF($P7/$O7&lt;=$AQ$5,
$AP$5,
IF($P7/$O7&lt;=$AQ$4,
$AP$4,
IF($P7/$O7&gt;$AQ$3,
$AP$3,
"")))))))))</f>
        <v/>
      </c>
      <c r="T7" s="26" t="str">
        <f>IF(
OR(Список_сотрудников!$C7="НЕТ",$E7=""),
"",
IF(
AND(Список_сотрудников!$J7="Развитие",Список_сотрудников!$H7&lt;90),
1,
IF(
VLOOKUP($E7,ВСП!$O$3:$Q$12,2,0)=ВСП!$A$3,
(1+0.2*(VLOOKUP(СВОД!$E7,Список_сотрудников!$D$3:$N$12,11,0)-VLOOKUP(Список_сотрудников!$D$20,ВСП!$S$2:$T$13,2,0))),
"")))</f>
        <v/>
      </c>
      <c r="U7" s="26" t="str">
        <f>IF(
OR(Список_сотрудников!$C7="НЕТ",$E7=""),
"",
IF(Список_сотрудников!$H7&lt;=90,
1,
IF(
VLOOKUP(СВОД!$E7,ТГ!$G$3:$J$30,4,0)&lt;1,
1,
VLOOKUP(СВОД!$E7,ТГ!$G$3:$J$30,4,0))))</f>
        <v/>
      </c>
      <c r="V7" s="51" t="str">
        <f>IF(Список_сотрудников!$C7="НЕТ",
"",
IF(
AND($E7&lt;&gt;"",$B7="Развитие"),
IF(
VLOOKUP($E7,Список_сотрудников!$D$3:$K$12,8,0)=ВСП!$C$2,
(($H7-($K7*5))*$Q7)*SUM($R7*$AT$12,$T7*$AT$13,$U7*$AT$14)+SUM($L7:$N7)-$J7,
(($H7-($K7*5))*$Q7)*SUM($U7*$AT$16,$S7*$AT$17,$T7*$AT$18)+SUM($L7:$N7)-$J7),
IF(
AND($E7&lt;&gt;"",$B7="Процессинг"),
(($H7-($K7*5))*$Q7)*SUM($R7*$AV$12,$S7*$AV$13,$U7*$AV$14)+SUM($L7:$N7)-$J7,
"")))</f>
        <v/>
      </c>
      <c r="AP7" s="175">
        <v>1.2</v>
      </c>
      <c r="AQ7" s="176">
        <v>5.0000000000000001E-4</v>
      </c>
      <c r="AS7" s="65">
        <v>1.2</v>
      </c>
      <c r="AT7" s="66">
        <v>5.0000000000000001E-4</v>
      </c>
      <c r="AV7" s="62">
        <v>1</v>
      </c>
      <c r="AW7" s="64">
        <v>1</v>
      </c>
    </row>
    <row r="8" spans="1:49" ht="15" customHeight="1" x14ac:dyDescent="0.25">
      <c r="A8" s="3" t="str">
        <f t="shared" si="0"/>
        <v/>
      </c>
      <c r="B8" s="3" t="str">
        <f>IF($E8="","",VLOOKUP($E8,Список_сотрудников!$D$2:$J$12,7,0))</f>
        <v/>
      </c>
      <c r="C8" s="181" t="str">
        <f t="shared" si="1"/>
        <v/>
      </c>
      <c r="D8" s="181"/>
      <c r="E8" s="24" t="str">
        <f>IF(Список_сотрудников!$D8="","",Список_сотрудников!$D8)</f>
        <v/>
      </c>
      <c r="F8" s="19"/>
      <c r="G8" s="25" t="str">
        <f>IF(
OR(Список_сотрудников!$C8="НЕТ",$E8=""),
"",
IF($C$2=ВСП!$M$4,
IF(
VLOOKUP($E8,ВСП!$O$2:$Q$12,3,0)=ВСП!$A$12,
SUMIFS(Факт_продаж!$D:$D,Факт_продаж!$A:$A,СВОД!$C$2,Факт_продаж!$C:$C,VLOOKUP(СВОД!$E8,Список_сотрудников!$D$3:$E$12,2,0)),
IF(
VLOOKUP($E8,ВСП!$O$2:$Q$12,3,0)=ВСП!$A$13,
SUMIFS(Факт_продаж!$D:$D,Факт_продаж!$A:$A,СВОД!$C$2,Факт_продаж!$B:$B,СВОД!$E8))),
SUMIF(Факт_продаж!$B:$B,СВОД!$E8,Факт_продаж!$D:$D)))</f>
        <v/>
      </c>
      <c r="H8" s="25" t="str">
        <f>IF(
OR(Список_сотрудников!$C8="НЕТ",$E8=""),
"",
IF(
VLOOKUP($E8,ВСП!$O$2:$Q$12,3,0)=ВСП!$A$12,
SUMIFS(Приход_ДС!$D:$D,Приход_ДС!$A:$A,СВОД!$C$2,Приход_ДС!$C:$C,VLOOKUP(СВОД!$E8,Список_сотрудников!$D$3:$E$12,2,0)),
IF(
VLOOKUP($E8,ВСП!$O$2:$Q$12,3,0)=ВСП!$A$13,
SUMIFS(Приход_ДС!$D:$D,Приход_ДС!$A:$A,СВОД!$C$2,Приход_ДС!$B:$B,СВОД!$E8))))</f>
        <v/>
      </c>
      <c r="I8" s="34" t="str">
        <f>IF(
OR(Список_сотрудников!$C8="НЕТ",$E8=""),
"",
IF(
VLOOKUP($E8,ВСП!$O$2:$Q$12,3,0)=ВСП!$A$12,
SUMIFS(ПДЗ!$I:$I,ПДЗ!$A:$A,СВОД!$C$2,ПДЗ!$C:$C,VLOOKUP(СВОД!$E8,Список_сотрудников!$D$3:$E$12,2,0)),
IF(
VLOOKUP($E8,ВСП!$O$2:$Q$12,3,0)=ВСП!$A$13,
SUMIFS(ПДЗ!$I:$I,ПДЗ!$A:$A,СВОД!$C$2,ПДЗ!$B:$B,СВОД!$E8))))</f>
        <v/>
      </c>
      <c r="J8" s="34" t="str">
        <f>IF($E8="","",IFERROR(VLOOKUP(E8,СВОД_штрафы[#All],2,0),0))</f>
        <v/>
      </c>
      <c r="K8" s="34" t="str">
        <f>IF($E8="","",IFERROR(VLOOKUP(E8,СВОД_расходы[#All],2,0),0))</f>
        <v/>
      </c>
      <c r="L8" s="34" t="str">
        <f>IF(E8="","",SUMIF('Продажи по акции'!$B:$B,Список_сотрудников!$D8,'Продажи по акции'!$H:$H))</f>
        <v/>
      </c>
      <c r="M8" s="149"/>
      <c r="N8" s="149"/>
      <c r="O8" s="45" t="str">
        <f>IF(OR(G8="",G8=0),"",IF(OR(Список_сотрудников!$P8="",Список_сотрудников!$P8=0),IF(VLOOKUP($E8,ВСП!$O$3:$Q$12,3,0)=ВСП!$A$12,SUMIFS(ОБОРОТ!$D:$D,ОБОРОТ!$C:$C,Список_сотрудников!$E8),IF(VLOOKUP($E8,ВСП!$O$3:$Q$12,3,0)=ВСП!$A$13,SUMIF(ОБОРОТ!$B:$B,СВОД!$E8,ОБОРОТ!$D:$D))),Список_сотрудников!$P8))</f>
        <v/>
      </c>
      <c r="P8" s="45" t="str">
        <f>IF($E8="","",IF(VLOOKUP($E8,ВСП!$O$2:$Q$12,3,0)=ВСП!$A$12,SUMIFS(ПДЗ!$I:$I,ПДЗ!$A:$A,СВОД!$C$2,ПДЗ!$C:$C,VLOOKUP(СВОД!$E8,Список_сотрудников!$D$3:$E$12,2,0)),IF(VLOOKUP($E8,ВСП!$O$2:$Q$12,3,0)=ВСП!$A$13,SUMIFS(ПДЗ!$I:$I,ПДЗ!$A:$A,СВОД!$C$2,ПДЗ!$B:$B,СВОД!$E8))))</f>
        <v/>
      </c>
      <c r="Q8" s="47" t="str">
        <f t="shared" si="2"/>
        <v/>
      </c>
      <c r="R8" s="26" t="str">
        <f>IF(
OR(Список_сотрудников!$C8="НЕТ",$F8="",$E$3=""),
"",
IF(
OR(Список_сотрудников!$H8&lt;90,Список_сотрудников!$O8&lt;&gt;""),
1,
IF($G8/$F8&lt;$AW$3,
$AV$3,
IF($G8/$F8&lt;=$AW$4,
$AV$4,
IF($G8/$F8&lt;=$AW$5,
$AV$5,
IF($G8/$F8&lt;=$AW$6,
$AV$6,
IF($G8/$F8&lt;=$AW$7,
$AV$7,
IF($G8/$F8&lt;=$AW$8,
$AV$8,
IF($G8/$F8&gt;$AW$8,$AV$9,
"")))))))))</f>
        <v/>
      </c>
      <c r="S8" s="26" t="str">
        <f>IF(
OR(Список_сотрудников!$C8="НЕТ",$E8=""),
"",
IF(
OR(Список_сотрудников!$H8&lt;90,Список_сотрудников!$P8&lt;&gt;""),
1,
IF(P8=0,
1.2,
IF(Список_сотрудников!$J8="Процессинг",
IF($P8/$O8&lt;$AT$7,
$AS$7,
IF($P8/$O8&lt;=$AT$6,
$AS$6,
IF($P8/$O8&lt;=$AT$5,
$AS$5,
IF($P8/$O8&lt;=$AT$4,
$AS$4,
IF($P8/$O8&gt;$AT$3,
$AS$3,
""))))),
IF($P8/$O8&lt;$AQ$7,
$AP$7,
IF($P8/$O8&lt;=$AQ$6,
$AP$6,
IF($P8/$O8&lt;=$AQ$5,
$AP$5,
IF($P8/$O8&lt;=$AQ$4,
$AP$4,
IF($P8/$O8&gt;$AQ$3,
$AP$3,
"")))))))))</f>
        <v/>
      </c>
      <c r="T8" s="26" t="str">
        <f>IF(
OR(Список_сотрудников!$C8="НЕТ",$E8=""),
"",
IF(
AND(Список_сотрудников!$J8="Развитие",Список_сотрудников!$H8&lt;90),
1,
IF(
VLOOKUP($E8,ВСП!$O$3:$Q$12,2,0)=ВСП!$A$3,
(1+0.2*(VLOOKUP(СВОД!$E8,Список_сотрудников!$D$3:$N$12,11,0)-VLOOKUP(Список_сотрудников!$D$20,ВСП!$S$2:$T$13,2,0))),
"")))</f>
        <v/>
      </c>
      <c r="U8" s="26" t="str">
        <f>IF(
OR(Список_сотрудников!$C8="НЕТ",$E8=""),
"",
IF(Список_сотрудников!$H8&lt;=90,
1,
IF(
VLOOKUP(СВОД!$E8,ТГ!$G$3:$J$30,4,0)&lt;1,
1,
VLOOKUP(СВОД!$E8,ТГ!$G$3:$J$30,4,0))))</f>
        <v/>
      </c>
      <c r="V8" s="51" t="str">
        <f>IF(Список_сотрудников!$C8="НЕТ",
"",
IF(
AND($E8&lt;&gt;"",$B8="Развитие"),
IF(
VLOOKUP($E8,Список_сотрудников!$D$3:$K$12,8,0)=ВСП!$C$2,
(($H8-($K8*5))*$Q8)*SUM($R8*$AT$12,$T8*$AT$13,$U8*$AT$14)+SUM($L8:$N8)-$J8,
(($H8-($K8*5))*$Q8)*SUM($U8*$AT$16,$S8*$AT$17,$T8*$AT$18)+SUM($L8:$N8)-$J8),
IF(
AND($E8&lt;&gt;"",$B8="Процессинг"),
(($H8-($K8*5))*$Q8)*SUM($R8*$AV$12,$S8*$AV$13,$U8*$AV$14)+SUM($L8:$N8)-$J8,
"")))</f>
        <v/>
      </c>
      <c r="AV8" s="62">
        <v>1.1000000000000001</v>
      </c>
      <c r="AW8" s="64">
        <v>1.2</v>
      </c>
    </row>
    <row r="9" spans="1:49" ht="15" customHeight="1" thickBot="1" x14ac:dyDescent="0.3">
      <c r="A9" s="3" t="str">
        <f t="shared" si="0"/>
        <v/>
      </c>
      <c r="B9" s="3" t="str">
        <f>IF($E9="","",VLOOKUP($E9,Список_сотрудников!$D$2:$J$12,7,0))</f>
        <v/>
      </c>
      <c r="C9" s="181" t="str">
        <f t="shared" si="1"/>
        <v/>
      </c>
      <c r="D9" s="181"/>
      <c r="E9" s="24" t="str">
        <f>IF(Список_сотрудников!$D9="","",Список_сотрудников!$D9)</f>
        <v/>
      </c>
      <c r="F9" s="19"/>
      <c r="G9" s="25" t="str">
        <f>IF(
OR(Список_сотрудников!$C9="НЕТ",$E9=""),
"",
IF($C$2=ВСП!$M$4,
IF(
VLOOKUP($E9,ВСП!$O$2:$Q$12,3,0)=ВСП!$A$12,
SUMIFS(Факт_продаж!$D:$D,Факт_продаж!$A:$A,СВОД!$C$2,Факт_продаж!$C:$C,VLOOKUP(СВОД!$E9,Список_сотрудников!$D$3:$E$12,2,0)),
IF(
VLOOKUP($E9,ВСП!$O$2:$Q$12,3,0)=ВСП!$A$13,
SUMIFS(Факт_продаж!$D:$D,Факт_продаж!$A:$A,СВОД!$C$2,Факт_продаж!$B:$B,СВОД!$E9))),
SUMIF(Факт_продаж!$B:$B,СВОД!$E9,Факт_продаж!$D:$D)))</f>
        <v/>
      </c>
      <c r="H9" s="25" t="str">
        <f>IF(
OR(Список_сотрудников!$C9="НЕТ",$E9=""),
"",
IF(
VLOOKUP($E9,ВСП!$O$2:$Q$12,3,0)=ВСП!$A$12,
SUMIFS(Приход_ДС!$D:$D,Приход_ДС!$A:$A,СВОД!$C$2,Приход_ДС!$C:$C,VLOOKUP(СВОД!$E9,Список_сотрудников!$D$3:$E$12,2,0)),
IF(
VLOOKUP($E9,ВСП!$O$2:$Q$12,3,0)=ВСП!$A$13,
SUMIFS(Приход_ДС!$D:$D,Приход_ДС!$A:$A,СВОД!$C$2,Приход_ДС!$B:$B,СВОД!$E9))))</f>
        <v/>
      </c>
      <c r="I9" s="34" t="str">
        <f>IF(
OR(Список_сотрудников!$C9="НЕТ",$E9=""),
"",
IF(
VLOOKUP($E9,ВСП!$O$2:$Q$12,3,0)=ВСП!$A$12,
SUMIFS(ПДЗ!$I:$I,ПДЗ!$A:$A,СВОД!$C$2,ПДЗ!$C:$C,VLOOKUP(СВОД!$E9,Список_сотрудников!$D$3:$E$12,2,0)),
IF(
VLOOKUP($E9,ВСП!$O$2:$Q$12,3,0)=ВСП!$A$13,
SUMIFS(ПДЗ!$I:$I,ПДЗ!$A:$A,СВОД!$C$2,ПДЗ!$B:$B,СВОД!$E9))))</f>
        <v/>
      </c>
      <c r="J9" s="34" t="str">
        <f>IF($E9="","",IFERROR(VLOOKUP(E9,СВОД_штрафы[#All],2,0),0))</f>
        <v/>
      </c>
      <c r="K9" s="34" t="str">
        <f>IF($E9="","",IFERROR(VLOOKUP(E9,СВОД_расходы[#All],2,0),0))</f>
        <v/>
      </c>
      <c r="L9" s="34" t="str">
        <f>IF(E9="","",SUMIF('Продажи по акции'!$B:$B,Список_сотрудников!$D9,'Продажи по акции'!$H:$H))</f>
        <v/>
      </c>
      <c r="M9" s="149"/>
      <c r="N9" s="149"/>
      <c r="O9" s="45" t="str">
        <f>IF(OR(G9="",G9=0),"",IF(OR(Список_сотрудников!$P9="",Список_сотрудников!$P9=0),IF(VLOOKUP($E9,ВСП!$O$3:$Q$12,3,0)=ВСП!$A$12,SUMIFS(ОБОРОТ!$D:$D,ОБОРОТ!$C:$C,Список_сотрудников!$E9),IF(VLOOKUP($E9,ВСП!$O$3:$Q$12,3,0)=ВСП!$A$13,SUMIF(ОБОРОТ!$B:$B,СВОД!$E9,ОБОРОТ!$D:$D))),Список_сотрудников!$P9))</f>
        <v/>
      </c>
      <c r="P9" s="45" t="str">
        <f>IF($E9="","",IF(VLOOKUP($E9,ВСП!$O$2:$Q$12,3,0)=ВСП!$A$12,SUMIFS(ПДЗ!$I:$I,ПДЗ!$A:$A,СВОД!$C$2,ПДЗ!$C:$C,VLOOKUP(СВОД!$E9,Список_сотрудников!$D$3:$E$12,2,0)),IF(VLOOKUP($E9,ВСП!$O$2:$Q$12,3,0)=ВСП!$A$13,SUMIFS(ПДЗ!$I:$I,ПДЗ!$A:$A,СВОД!$C$2,ПДЗ!$B:$B,СВОД!$E9))))</f>
        <v/>
      </c>
      <c r="Q9" s="47" t="str">
        <f t="shared" si="2"/>
        <v/>
      </c>
      <c r="R9" s="26" t="str">
        <f>IF(
OR(Список_сотрудников!$C9="НЕТ",$F9="",$E$3=""),
"",
IF(
OR(Список_сотрудников!$H9&lt;90,Список_сотрудников!$O9&lt;&gt;""),
1,
IF($G9/$F9&lt;$AW$3,
$AV$3,
IF($G9/$F9&lt;=$AW$4,
$AV$4,
IF($G9/$F9&lt;=$AW$5,
$AV$5,
IF($G9/$F9&lt;=$AW$6,
$AV$6,
IF($G9/$F9&lt;=$AW$7,
$AV$7,
IF($G9/$F9&lt;=$AW$8,
$AV$8,
IF($G9/$F9&gt;$AW$8,$AV$9,
"")))))))))</f>
        <v/>
      </c>
      <c r="S9" s="26" t="str">
        <f>IF(
OR(Список_сотрудников!$C9="НЕТ",$E9=""),
"",
IF(
OR(Список_сотрудников!$H9&lt;90,Список_сотрудников!$P9&lt;&gt;""),
1,
IF(P9=0,
1.2,
IF(Список_сотрудников!$J9="Процессинг",
IF($P9/$O9&lt;$AT$7,
$AS$7,
IF($P9/$O9&lt;=$AT$6,
$AS$6,
IF($P9/$O9&lt;=$AT$5,
$AS$5,
IF($P9/$O9&lt;=$AT$4,
$AS$4,
IF($P9/$O9&gt;$AT$3,
$AS$3,
""))))),
IF($P9/$O9&lt;$AQ$7,
$AP$7,
IF($P9/$O9&lt;=$AQ$6,
$AP$6,
IF($P9/$O9&lt;=$AQ$5,
$AP$5,
IF($P9/$O9&lt;=$AQ$4,
$AP$4,
IF($P9/$O9&gt;$AQ$3,
$AP$3,
"")))))))))</f>
        <v/>
      </c>
      <c r="T9" s="26" t="str">
        <f>IF(
OR(Список_сотрудников!$C9="НЕТ",$E9=""),
"",
IF(
AND(Список_сотрудников!$J9="Развитие",Список_сотрудников!$H9&lt;90),
1,
IF(
VLOOKUP($E9,ВСП!$O$3:$Q$12,2,0)=ВСП!$A$3,
(1+0.2*(VLOOKUP(СВОД!$E9,Список_сотрудников!$D$3:$N$12,11,0)-VLOOKUP(Список_сотрудников!$D$20,ВСП!$S$2:$T$13,2,0))),
"")))</f>
        <v/>
      </c>
      <c r="U9" s="26" t="str">
        <f>IF(
OR(Список_сотрудников!$C9="НЕТ",$E9=""),
"",
IF(Список_сотрудников!$H9&lt;=90,
1,
IF(
VLOOKUP(СВОД!$E9,ТГ!$G$3:$J$30,4,0)&lt;1,
1,
VLOOKUP(СВОД!$E9,ТГ!$G$3:$J$30,4,0))))</f>
        <v/>
      </c>
      <c r="V9" s="51" t="str">
        <f>IF(Список_сотрудников!$C9="НЕТ",
"",
IF(
AND($E9&lt;&gt;"",$B9="Развитие"),
IF(
VLOOKUP($E9,Список_сотрудников!$D$3:$K$12,8,0)=ВСП!$C$2,
(($H9-($K9*5))*$Q9)*SUM($R9*$AT$12,$T9*$AT$13,$U9*$AT$14)+SUM($L9:$N9)-$J9,
(($H9-($K9*5))*$Q9)*SUM($U9*$AT$16,$S9*$AT$17,$T9*$AT$18)+SUM($L9:$N9)-$J9),
IF(
AND($E9&lt;&gt;"",$B9="Процессинг"),
(($H9-($K9*5))*$Q9)*SUM($R9*$AV$12,$S9*$AV$13,$U9*$AV$14)+SUM($L9:$N9)-$J9,
"")))</f>
        <v/>
      </c>
      <c r="AV9" s="67">
        <v>1.2</v>
      </c>
      <c r="AW9" s="68">
        <v>1.21</v>
      </c>
    </row>
    <row r="10" spans="1:49" ht="15" customHeight="1" thickBot="1" x14ac:dyDescent="0.3">
      <c r="A10" s="3" t="str">
        <f t="shared" si="0"/>
        <v/>
      </c>
      <c r="B10" s="3" t="str">
        <f>IF($E10="","",VLOOKUP($E10,Список_сотрудников!$D$2:$J$12,7,0))</f>
        <v/>
      </c>
      <c r="C10" s="181" t="str">
        <f t="shared" si="1"/>
        <v/>
      </c>
      <c r="D10" s="181"/>
      <c r="E10" s="24" t="str">
        <f>IF(Список_сотрудников!$D10="","",Список_сотрудников!$D10)</f>
        <v/>
      </c>
      <c r="F10" s="19"/>
      <c r="G10" s="25" t="str">
        <f>IF(
OR(Список_сотрудников!$C10="НЕТ",$E10=""),
"",
IF($C$2=ВСП!$M$4,
IF(
VLOOKUP($E10,ВСП!$O$2:$Q$12,3,0)=ВСП!$A$12,
SUMIFS(Факт_продаж!$D:$D,Факт_продаж!$A:$A,СВОД!$C$2,Факт_продаж!$C:$C,VLOOKUP(СВОД!$E10,Список_сотрудников!$D$3:$E$12,2,0)),
IF(
VLOOKUP($E10,ВСП!$O$2:$Q$12,3,0)=ВСП!$A$13,
SUMIFS(Факт_продаж!$D:$D,Факт_продаж!$A:$A,СВОД!$C$2,Факт_продаж!$B:$B,СВОД!$E10))),
SUMIF(Факт_продаж!$B:$B,СВОД!$E10,Факт_продаж!$D:$D)))</f>
        <v/>
      </c>
      <c r="H10" s="25" t="str">
        <f>IF(
OR(Список_сотрудников!$C10="НЕТ",$E10=""),
"",
IF(
VLOOKUP($E10,ВСП!$O$2:$Q$12,3,0)=ВСП!$A$12,
SUMIFS(Приход_ДС!$D:$D,Приход_ДС!$A:$A,СВОД!$C$2,Приход_ДС!$C:$C,VLOOKUP(СВОД!$E10,Список_сотрудников!$D$3:$E$12,2,0)),
IF(
VLOOKUP($E10,ВСП!$O$2:$Q$12,3,0)=ВСП!$A$13,
SUMIFS(Приход_ДС!$D:$D,Приход_ДС!$A:$A,СВОД!$C$2,Приход_ДС!$B:$B,СВОД!$E10))))</f>
        <v/>
      </c>
      <c r="I10" s="34" t="str">
        <f>IF(
OR(Список_сотрудников!$C10="НЕТ",$E10=""),
"",
IF(
VLOOKUP($E10,ВСП!$O$2:$Q$12,3,0)=ВСП!$A$12,
SUMIFS(ПДЗ!$I:$I,ПДЗ!$A:$A,СВОД!$C$2,ПДЗ!$C:$C,VLOOKUP(СВОД!$E10,Список_сотрудников!$D$3:$E$12,2,0)),
IF(
VLOOKUP($E10,ВСП!$O$2:$Q$12,3,0)=ВСП!$A$13,
SUMIFS(ПДЗ!$I:$I,ПДЗ!$A:$A,СВОД!$C$2,ПДЗ!$B:$B,СВОД!$E10))))</f>
        <v/>
      </c>
      <c r="J10" s="34" t="str">
        <f>IF($E10="","",IFERROR(VLOOKUP(E10,СВОД_штрафы[#All],2,0),0))</f>
        <v/>
      </c>
      <c r="K10" s="34" t="str">
        <f>IF($E10="","",IFERROR(VLOOKUP(E10,СВОД_расходы[#All],2,0),0))</f>
        <v/>
      </c>
      <c r="L10" s="34" t="str">
        <f>IF(E10="","",SUMIF('Продажи по акции'!$B:$B,Список_сотрудников!$D10,'Продажи по акции'!$H:$H))</f>
        <v/>
      </c>
      <c r="M10" s="149"/>
      <c r="N10" s="149"/>
      <c r="O10" s="45" t="str">
        <f>IF(OR(G10="",G10=0),"",IF(OR(Список_сотрудников!$P10="",Список_сотрудников!$P10=0),IF(VLOOKUP($E10,ВСП!$O$3:$Q$12,3,0)=ВСП!$A$12,SUMIFS(ОБОРОТ!$D:$D,ОБОРОТ!$C:$C,Список_сотрудников!$E10),IF(VLOOKUP($E10,ВСП!$O$3:$Q$12,3,0)=ВСП!$A$13,SUMIF(ОБОРОТ!$B:$B,СВОД!$E10,ОБОРОТ!$D:$D))),Список_сотрудников!$P10))</f>
        <v/>
      </c>
      <c r="P10" s="45" t="str">
        <f>IF($E10="","",IF(VLOOKUP($E10,ВСП!$O$2:$Q$12,3,0)=ВСП!$A$12,SUMIFS(ПДЗ!$I:$I,ПДЗ!$A:$A,СВОД!$C$2,ПДЗ!$C:$C,VLOOKUP(СВОД!$E10,Список_сотрудников!$D$3:$E$12,2,0)),IF(VLOOKUP($E10,ВСП!$O$2:$Q$12,3,0)=ВСП!$A$13,SUMIFS(ПДЗ!$I:$I,ПДЗ!$A:$A,СВОД!$C$2,ПДЗ!$B:$B,СВОД!$E10))))</f>
        <v/>
      </c>
      <c r="Q10" s="47" t="str">
        <f t="shared" si="2"/>
        <v/>
      </c>
      <c r="R10" s="26" t="str">
        <f>IF(
OR(Список_сотрудников!$C10="НЕТ",$F10="",$E$3=""),
"",
IF(
OR(Список_сотрудников!$H10&lt;90,Список_сотрудников!$O10&lt;&gt;""),
1,
IF($G10/$F10&lt;$AW$3,
$AV$3,
IF($G10/$F10&lt;=$AW$4,
$AV$4,
IF($G10/$F10&lt;=$AW$5,
$AV$5,
IF($G10/$F10&lt;=$AW$6,
$AV$6,
IF($G10/$F10&lt;=$AW$7,
$AV$7,
IF($G10/$F10&lt;=$AW$8,
$AV$8,
IF($G10/$F10&gt;$AW$8,$AV$9,
"")))))))))</f>
        <v/>
      </c>
      <c r="S10" s="26" t="str">
        <f>IF(
OR(Список_сотрудников!$C10="НЕТ",$E10=""),
"",
IF(
OR(Список_сотрудников!$H10&lt;90,Список_сотрудников!$P10&lt;&gt;""),
1,
IF(P10=0,
1.2,
IF(Список_сотрудников!$J10="Процессинг",
IF($P10/$O10&lt;$AT$7,
$AS$7,
IF($P10/$O10&lt;=$AT$6,
$AS$6,
IF($P10/$O10&lt;=$AT$5,
$AS$5,
IF($P10/$O10&lt;=$AT$4,
$AS$4,
IF($P10/$O10&gt;$AT$3,
$AS$3,
""))))),
IF($P10/$O10&lt;$AQ$7,
$AP$7,
IF($P10/$O10&lt;=$AQ$6,
$AP$6,
IF($P10/$O10&lt;=$AQ$5,
$AP$5,
IF($P10/$O10&lt;=$AQ$4,
$AP$4,
IF($P10/$O10&gt;$AQ$3,
$AP$3,
"")))))))))</f>
        <v/>
      </c>
      <c r="T10" s="26" t="str">
        <f>IF(
OR(Список_сотрудников!$C10="НЕТ",$E10=""),
"",
IF(
AND(Список_сотрудников!$J10="Развитие",Список_сотрудников!$H10&lt;90),
1,
IF(
VLOOKUP($E10,ВСП!$O$3:$Q$12,2,0)=ВСП!$A$3,
(1+0.2*(VLOOKUP(СВОД!$E10,Список_сотрудников!$D$3:$N$12,11,0)-VLOOKUP(Список_сотрудников!$D$20,ВСП!$S$2:$T$13,2,0))),
"")))</f>
        <v/>
      </c>
      <c r="U10" s="26" t="str">
        <f>IF(
OR(Список_сотрудников!$C10="НЕТ",$E10=""),
"",
IF(Список_сотрудников!$H10&lt;=90,
1,
IF(
VLOOKUP(СВОД!$E10,ТГ!$G$3:$J$30,4,0)&lt;1,
1,
VLOOKUP(СВОД!$E10,ТГ!$G$3:$J$30,4,0))))</f>
        <v/>
      </c>
      <c r="V10" s="51" t="str">
        <f>IF(Список_сотрудников!$C10="НЕТ",
"",
IF(
AND($E10&lt;&gt;"",$B10="Развитие"),
IF(
VLOOKUP($E10,Список_сотрудников!$D$3:$K$12,8,0)=ВСП!$C$2,
(($H10-($K10*5))*$Q10)*SUM($R10*$AT$12,$T10*$AT$13,$U10*$AT$14)+SUM($L10:$N10)-$J10,
(($H10-($K10*5))*$Q10)*SUM($U10*$AT$16,$S10*$AT$17,$T10*$AT$18)+SUM($L10:$N10)-$J10),
IF(
AND($E10&lt;&gt;"",$B10="Процессинг"),
(($H10-($K10*5))*$Q10)*SUM($R10*$AV$12,$S10*$AV$13,$U10*$AV$14)+SUM($L10:$N10)-$J10,
"")))</f>
        <v/>
      </c>
      <c r="AS10" s="180" t="s">
        <v>23</v>
      </c>
      <c r="AT10" s="180"/>
      <c r="AU10" s="180" t="s">
        <v>22</v>
      </c>
      <c r="AV10" s="180"/>
    </row>
    <row r="11" spans="1:49" ht="15" customHeight="1" x14ac:dyDescent="0.25">
      <c r="A11" s="3" t="str">
        <f t="shared" si="0"/>
        <v/>
      </c>
      <c r="B11" s="3" t="str">
        <f>IF($E11="","",VLOOKUP($E11,Список_сотрудников!$D$2:$J$12,7,0))</f>
        <v/>
      </c>
      <c r="C11" s="181" t="str">
        <f t="shared" si="1"/>
        <v/>
      </c>
      <c r="D11" s="181"/>
      <c r="E11" s="24" t="str">
        <f>IF(Список_сотрудников!$D11="","",Список_сотрудников!$D11)</f>
        <v/>
      </c>
      <c r="F11" s="19"/>
      <c r="G11" s="25" t="str">
        <f>IF(
OR(Список_сотрудников!$C11="НЕТ",$E11=""),
"",
IF($C$2=ВСП!$M$4,
IF(
VLOOKUP($E11,ВСП!$O$2:$Q$12,3,0)=ВСП!$A$12,
SUMIFS(Факт_продаж!$D:$D,Факт_продаж!$A:$A,СВОД!$C$2,Факт_продаж!$C:$C,VLOOKUP(СВОД!$E11,Список_сотрудников!$D$3:$E$12,2,0)),
IF(
VLOOKUP($E11,ВСП!$O$2:$Q$12,3,0)=ВСП!$A$13,
SUMIFS(Факт_продаж!$D:$D,Факт_продаж!$A:$A,СВОД!$C$2,Факт_продаж!$B:$B,СВОД!$E11))),
SUMIF(Факт_продаж!$B:$B,СВОД!$E11,Факт_продаж!$D:$D)))</f>
        <v/>
      </c>
      <c r="H11" s="25" t="str">
        <f>IF(
OR(Список_сотрудников!$C11="НЕТ",$E11=""),
"",
IF(
VLOOKUP($E11,ВСП!$O$2:$Q$12,3,0)=ВСП!$A$12,
SUMIFS(Приход_ДС!$D:$D,Приход_ДС!$A:$A,СВОД!$C$2,Приход_ДС!$C:$C,VLOOKUP(СВОД!$E11,Список_сотрудников!$D$3:$E$12,2,0)),
IF(
VLOOKUP($E11,ВСП!$O$2:$Q$12,3,0)=ВСП!$A$13,
SUMIFS(Приход_ДС!$D:$D,Приход_ДС!$A:$A,СВОД!$C$2,Приход_ДС!$B:$B,СВОД!$E11))))</f>
        <v/>
      </c>
      <c r="I11" s="34" t="str">
        <f>IF(
OR(Список_сотрудников!$C11="НЕТ",$E11=""),
"",
IF(
VLOOKUP($E11,ВСП!$O$2:$Q$12,3,0)=ВСП!$A$12,
SUMIFS(ПДЗ!$I:$I,ПДЗ!$A:$A,СВОД!$C$2,ПДЗ!$C:$C,VLOOKUP(СВОД!$E11,Список_сотрудников!$D$3:$E$12,2,0)),
IF(
VLOOKUP($E11,ВСП!$O$2:$Q$12,3,0)=ВСП!$A$13,
SUMIFS(ПДЗ!$I:$I,ПДЗ!$A:$A,СВОД!$C$2,ПДЗ!$B:$B,СВОД!$E11))))</f>
        <v/>
      </c>
      <c r="J11" s="34" t="str">
        <f>IF($E11="","",IFERROR(VLOOKUP(E11,СВОД_штрафы[#All],2,0),0))</f>
        <v/>
      </c>
      <c r="K11" s="34" t="str">
        <f>IF($E11="","",IFERROR(VLOOKUP(E11,СВОД_расходы[#All],2,0),0))</f>
        <v/>
      </c>
      <c r="L11" s="34" t="str">
        <f>IF(E11="","",SUMIF('Продажи по акции'!$B:$B,Список_сотрудников!$D11,'Продажи по акции'!$H:$H))</f>
        <v/>
      </c>
      <c r="M11" s="149"/>
      <c r="N11" s="149"/>
      <c r="O11" s="45" t="str">
        <f>IF(OR(G11="",G11=0),"",IF(OR(Список_сотрудников!$P11="",Список_сотрудников!$P11=0),IF(VLOOKUP($E11,ВСП!$O$3:$Q$12,3,0)=ВСП!$A$12,SUMIFS(ОБОРОТ!$D:$D,ОБОРОТ!$C:$C,Список_сотрудников!$E11),IF(VLOOKUP($E11,ВСП!$O$3:$Q$12,3,0)=ВСП!$A$13,SUMIF(ОБОРОТ!$B:$B,СВОД!$E11,ОБОРОТ!$D:$D))),Список_сотрудников!$P11))</f>
        <v/>
      </c>
      <c r="P11" s="45" t="str">
        <f>IF($E11="","",IF(VLOOKUP($E11,ВСП!$O$2:$Q$12,3,0)=ВСП!$A$12,SUMIFS(ПДЗ!$I:$I,ПДЗ!$A:$A,СВОД!$C$2,ПДЗ!$C:$C,VLOOKUP(СВОД!$E11,Список_сотрудников!$D$3:$E$12,2,0)),IF(VLOOKUP($E11,ВСП!$O$2:$Q$12,3,0)=ВСП!$A$13,SUMIFS(ПДЗ!$I:$I,ПДЗ!$A:$A,СВОД!$C$2,ПДЗ!$B:$B,СВОД!$E11))))</f>
        <v/>
      </c>
      <c r="Q11" s="47" t="str">
        <f t="shared" si="2"/>
        <v/>
      </c>
      <c r="R11" s="26" t="str">
        <f>IF(
OR(Список_сотрудников!$C11="НЕТ",$F11="",$E$3=""),
"",
IF(
OR(Список_сотрудников!$H11&lt;90,Список_сотрудников!$O11&lt;&gt;""),
1,
IF($G11/$F11&lt;$AW$3,
$AV$3,
IF($G11/$F11&lt;=$AW$4,
$AV$4,
IF($G11/$F11&lt;=$AW$5,
$AV$5,
IF($G11/$F11&lt;=$AW$6,
$AV$6,
IF($G11/$F11&lt;=$AW$7,
$AV$7,
IF($G11/$F11&lt;=$AW$8,
$AV$8,
IF($G11/$F11&gt;$AW$8,$AV$9,
"")))))))))</f>
        <v/>
      </c>
      <c r="S11" s="26" t="str">
        <f>IF(
OR(Список_сотрудников!$C11="НЕТ",$E11=""),
"",
IF(
OR(Список_сотрудников!$H11&lt;90,Список_сотрудников!$P11&lt;&gt;""),
1,
IF(P11=0,
1.2,
IF(Список_сотрудников!$J11="Процессинг",
IF($P11/$O11&lt;$AT$7,
$AS$7,
IF($P11/$O11&lt;=$AT$6,
$AS$6,
IF($P11/$O11&lt;=$AT$5,
$AS$5,
IF($P11/$O11&lt;=$AT$4,
$AS$4,
IF($P11/$O11&gt;$AT$3,
$AS$3,
""))))),
IF($P11/$O11&lt;$AQ$7,
$AP$7,
IF($P11/$O11&lt;=$AQ$6,
$AP$6,
IF($P11/$O11&lt;=$AQ$5,
$AP$5,
IF($P11/$O11&lt;=$AQ$4,
$AP$4,
IF($P11/$O11&gt;$AQ$3,
$AP$3,
"")))))))))</f>
        <v/>
      </c>
      <c r="T11" s="26" t="str">
        <f>IF(
OR(Список_сотрудников!$C11="НЕТ",$E11=""),
"",
IF(
AND(Список_сотрудников!$J11="Развитие",Список_сотрудников!$H11&lt;90),
1,
IF(
VLOOKUP($E11,ВСП!$O$3:$Q$12,2,0)=ВСП!$A$3,
(1+0.2*(VLOOKUP(СВОД!$E11,Список_сотрудников!$D$3:$N$12,11,0)-VLOOKUP(Список_сотрудников!$D$20,ВСП!$S$2:$T$13,2,0))),
"")))</f>
        <v/>
      </c>
      <c r="U11" s="26" t="str">
        <f>IF(
OR(Список_сотрудников!$C11="НЕТ",$E11=""),
"",
IF(Список_сотрудников!$H11&lt;=90,
1,
IF(
VLOOKUP(СВОД!$E11,ТГ!$G$3:$J$30,4,0)&lt;1,
1,
VLOOKUP(СВОД!$E11,ТГ!$G$3:$J$30,4,0))))</f>
        <v/>
      </c>
      <c r="V11" s="51" t="str">
        <f>IF(Список_сотрудников!$C11="НЕТ",
"",
IF(
AND($E11&lt;&gt;"",$B11="Развитие"),
IF(
VLOOKUP($E11,Список_сотрудников!$D$3:$K$12,8,0)=ВСП!$C$2,
(($H11-($K11*5))*$Q11)*SUM($R11*$AT$12,$T11*$AT$13,$U11*$AT$14)+SUM($L11:$N11)-$J11,
(($H11-($K11*5))*$Q11)*SUM($U11*$AT$16,$S11*$AT$17,$T11*$AT$18)+SUM($L11:$N11)-$J11),
IF(
AND($E11&lt;&gt;"",$B11="Процессинг"),
(($H11-($K11*5))*$Q11)*SUM($R11*$AV$12,$S11*$AV$13,$U11*$AV$14)+SUM($L11:$N11)-$J11,
"")))</f>
        <v/>
      </c>
      <c r="AS11" s="70" t="s">
        <v>593</v>
      </c>
      <c r="AT11" s="71" t="s">
        <v>594</v>
      </c>
      <c r="AU11" s="70" t="s">
        <v>593</v>
      </c>
      <c r="AV11" s="71" t="s">
        <v>594</v>
      </c>
    </row>
    <row r="12" spans="1:49" ht="15" customHeight="1" x14ac:dyDescent="0.25">
      <c r="A12" s="3" t="str">
        <f t="shared" si="0"/>
        <v/>
      </c>
      <c r="B12" s="3" t="str">
        <f>IF($E12="","",VLOOKUP($E12,Список_сотрудников!$D$2:$J$12,7,0))</f>
        <v/>
      </c>
      <c r="C12" s="181" t="str">
        <f t="shared" si="1"/>
        <v/>
      </c>
      <c r="D12" s="181"/>
      <c r="E12" s="24" t="str">
        <f>IF(Список_сотрудников!$D12="","",Список_сотрудников!$D12)</f>
        <v/>
      </c>
      <c r="F12" s="19"/>
      <c r="G12" s="25" t="str">
        <f>IF(
OR(Список_сотрудников!$C12="НЕТ",$E12=""),
"",
IF($C$2=ВСП!$M$4,
IF(
VLOOKUP($E12,ВСП!$O$2:$Q$12,3,0)=ВСП!$A$12,
SUMIFS(Факт_продаж!$D:$D,Факт_продаж!$A:$A,СВОД!$C$2,Факт_продаж!$C:$C,VLOOKUP(СВОД!$E12,Список_сотрудников!$D$3:$E$12,2,0)),
IF(
VLOOKUP($E12,ВСП!$O$2:$Q$12,3,0)=ВСП!$A$13,
SUMIFS(Факт_продаж!$D:$D,Факт_продаж!$A:$A,СВОД!$C$2,Факт_продаж!$B:$B,СВОД!$E12))),
SUMIF(Факт_продаж!$B:$B,СВОД!$E12,Факт_продаж!$D:$D)))</f>
        <v/>
      </c>
      <c r="H12" s="25" t="str">
        <f>IF(
OR(Список_сотрудников!$C12="НЕТ",$E12=""),
"",
IF(
VLOOKUP($E12,ВСП!$O$2:$Q$12,3,0)=ВСП!$A$12,
SUMIFS(Приход_ДС!$D:$D,Приход_ДС!$A:$A,СВОД!$C$2,Приход_ДС!$C:$C,VLOOKUP(СВОД!$E12,Список_сотрудников!$D$3:$E$12,2,0)),
IF(
VLOOKUP($E12,ВСП!$O$2:$Q$12,3,0)=ВСП!$A$13,
SUMIFS(Приход_ДС!$D:$D,Приход_ДС!$A:$A,СВОД!$C$2,Приход_ДС!$B:$B,СВОД!$E12))))</f>
        <v/>
      </c>
      <c r="I12" s="34" t="str">
        <f>IF(
OR(Список_сотрудников!$C12="НЕТ",$E12=""),
"",
IF(
VLOOKUP($E12,ВСП!$O$2:$Q$12,3,0)=ВСП!$A$12,
SUMIFS(ПДЗ!$I:$I,ПДЗ!$A:$A,СВОД!$C$2,ПДЗ!$C:$C,VLOOKUP(СВОД!$E12,Список_сотрудников!$D$3:$E$12,2,0)),
IF(
VLOOKUP($E12,ВСП!$O$2:$Q$12,3,0)=ВСП!$A$13,
SUMIFS(ПДЗ!$I:$I,ПДЗ!$A:$A,СВОД!$C$2,ПДЗ!$B:$B,СВОД!$E12))))</f>
        <v/>
      </c>
      <c r="J12" s="34" t="str">
        <f>IF($E12="","",IFERROR(VLOOKUP(E12,СВОД_штрафы[#All],2,0),0))</f>
        <v/>
      </c>
      <c r="K12" s="34" t="str">
        <f>IF($E12="","",IFERROR(VLOOKUP(E12,СВОД_расходы[#All],2,0),0))</f>
        <v/>
      </c>
      <c r="L12" s="34" t="str">
        <f>IF(E12="","",SUMIF('Продажи по акции'!$B:$B,Список_сотрудников!$D12,'Продажи по акции'!$H:$H))</f>
        <v/>
      </c>
      <c r="M12" s="149"/>
      <c r="N12" s="149"/>
      <c r="O12" s="45" t="str">
        <f>IF(OR(G12="",G12=0),"",IF(OR(Список_сотрудников!$P12="",Список_сотрудников!$P12=0),IF(VLOOKUP($E12,ВСП!$O$3:$Q$12,3,0)=ВСП!$A$12,SUMIFS(ОБОРОТ!$D:$D,ОБОРОТ!$C:$C,Список_сотрудников!$E12),IF(VLOOKUP($E12,ВСП!$O$3:$Q$12,3,0)=ВСП!$A$13,SUMIF(ОБОРОТ!$B:$B,СВОД!$E12,ОБОРОТ!$D:$D))),Список_сотрудников!$P12))</f>
        <v/>
      </c>
      <c r="P12" s="45" t="str">
        <f>IF($E12="","",IF(VLOOKUP($E12,ВСП!$O$2:$Q$12,3,0)=ВСП!$A$12,SUMIFS(ПДЗ!$I:$I,ПДЗ!$A:$A,СВОД!$C$2,ПДЗ!$C:$C,VLOOKUP(СВОД!$E12,Список_сотрудников!$D$3:$E$12,2,0)),IF(VLOOKUP($E12,ВСП!$O$2:$Q$12,3,0)=ВСП!$A$13,SUMIFS(ПДЗ!$I:$I,ПДЗ!$A:$A,СВОД!$C$2,ПДЗ!$B:$B,СВОД!$E12))))</f>
        <v/>
      </c>
      <c r="Q12" s="47" t="str">
        <f t="shared" si="2"/>
        <v/>
      </c>
      <c r="R12" s="26" t="str">
        <f>IF(
OR(Список_сотрудников!$C12="НЕТ",$F12="",$E$3=""),
"",
IF(
OR(Список_сотрудников!$H12&lt;90,Список_сотрудников!$O12&lt;&gt;""),
1,
IF($G12/$F12&lt;$AW$3,
$AV$3,
IF($G12/$F12&lt;=$AW$4,
$AV$4,
IF($G12/$F12&lt;=$AW$5,
$AV$5,
IF($G12/$F12&lt;=$AW$6,
$AV$6,
IF($G12/$F12&lt;=$AW$7,
$AV$7,
IF($G12/$F12&lt;=$AW$8,
$AV$8,
IF($G12/$F12&gt;$AW$8,$AV$9,
"")))))))))</f>
        <v/>
      </c>
      <c r="S12" s="26" t="str">
        <f>IF(
OR(Список_сотрудников!$C12="НЕТ",$E12=""),
"",
IF(
OR(Список_сотрудников!$H12&lt;90,Список_сотрудников!$P12&lt;&gt;""),
1,
IF(P12=0,
1.2,
IF(Список_сотрудников!$J12="Процессинг",
IF($P12/$O12&lt;$AT$7,
$AS$7,
IF($P12/$O12&lt;=$AT$6,
$AS$6,
IF($P12/$O12&lt;=$AT$5,
$AS$5,
IF($P12/$O12&lt;=$AT$4,
$AS$4,
IF($P12/$O12&gt;$AT$3,
$AS$3,
""))))),
IF($P12/$O12&lt;$AQ$7,
$AP$7,
IF($P12/$O12&lt;=$AQ$6,
$AP$6,
IF($P12/$O12&lt;=$AQ$5,
$AP$5,
IF($P12/$O12&lt;=$AQ$4,
$AP$4,
IF($P12/$O12&gt;$AQ$3,
$AP$3,
"")))))))))</f>
        <v/>
      </c>
      <c r="T12" s="26" t="str">
        <f>IF(
OR(Список_сотрудников!$C12="НЕТ",$E12=""),
"",
IF(
AND(Список_сотрудников!$J12="Развитие",Список_сотрудников!$H12&lt;90),
1,
IF(
VLOOKUP($E12,ВСП!$O$3:$Q$12,2,0)=ВСП!$A$3,
(1+0.2*(VLOOKUP(СВОД!$E12,Список_сотрудников!$D$3:$N$12,11,0)-VLOOKUP(Список_сотрудников!$D$20,ВСП!$S$2:$T$13,2,0))),
"")))</f>
        <v/>
      </c>
      <c r="U12" s="26" t="str">
        <f>IF(
OR(Список_сотрудников!$C12="НЕТ",$E12=""),
"",
IF(Список_сотрудников!$H12&lt;=90,
1,
IF(
VLOOKUP(СВОД!$E12,ТГ!$G$3:$J$30,4,0)&lt;1,
1,
VLOOKUP(СВОД!$E12,ТГ!$G$3:$J$30,4,0))))</f>
        <v/>
      </c>
      <c r="V12" s="51" t="str">
        <f>IF(Список_сотрудников!$C12="НЕТ",
"",
IF(
AND($E12&lt;&gt;"",$B12="Развитие"),
IF(
VLOOKUP($E12,Список_сотрудников!$D$3:$K$12,8,0)=ВСП!$C$2,
(($H12-($K12*5))*$Q12)*SUM($R12*$AT$12,$T12*$AT$13,$U12*$AT$14)+SUM($L12:$N12)-$J12,
(($H12-($K12*5))*$Q12)*SUM($U12*$AT$16,$S12*$AT$17,$T12*$AT$18)+SUM($L12:$N12)-$J12),
IF(
AND($E12&lt;&gt;"",$B12="Процессинг"),
(($H12-($K12*5))*$Q12)*SUM($R12*$AV$12,$S12*$AV$13,$U12*$AV$14)+SUM($L12:$N12)-$J12,
"")))</f>
        <v/>
      </c>
      <c r="AS12" s="72" t="s">
        <v>598</v>
      </c>
      <c r="AT12" s="73">
        <v>0.55000000000000004</v>
      </c>
      <c r="AU12" s="72" t="s">
        <v>595</v>
      </c>
      <c r="AV12" s="73">
        <v>0.35</v>
      </c>
    </row>
    <row r="13" spans="1:49" x14ac:dyDescent="0.25">
      <c r="O13" s="74"/>
      <c r="P13" s="75"/>
      <c r="AS13" s="72" t="s">
        <v>596</v>
      </c>
      <c r="AT13" s="73">
        <v>0.25</v>
      </c>
      <c r="AU13" s="72" t="s">
        <v>599</v>
      </c>
      <c r="AV13" s="73">
        <v>0.35</v>
      </c>
    </row>
    <row r="14" spans="1:49" x14ac:dyDescent="0.25">
      <c r="H14" s="76"/>
      <c r="O14" s="77"/>
      <c r="Q14" s="78"/>
      <c r="S14" s="79"/>
      <c r="AS14" s="72" t="s">
        <v>597</v>
      </c>
      <c r="AT14" s="73">
        <v>0.2</v>
      </c>
      <c r="AU14" s="72" t="s">
        <v>597</v>
      </c>
      <c r="AV14" s="73">
        <v>0.3</v>
      </c>
    </row>
    <row r="15" spans="1:49" ht="15.75" thickBot="1" x14ac:dyDescent="0.3">
      <c r="O15" s="80"/>
      <c r="AS15" s="81" t="s">
        <v>94</v>
      </c>
      <c r="AT15" s="82">
        <f>SUM(AT12:AT14)</f>
        <v>1</v>
      </c>
      <c r="AU15" s="81" t="s">
        <v>94</v>
      </c>
      <c r="AV15" s="82">
        <f>SUM(AV12:AV14)</f>
        <v>1</v>
      </c>
    </row>
    <row r="16" spans="1:49" x14ac:dyDescent="0.25">
      <c r="AS16" s="83" t="s">
        <v>601</v>
      </c>
      <c r="AT16" s="84">
        <v>0.3</v>
      </c>
    </row>
    <row r="17" spans="3:48" x14ac:dyDescent="0.25">
      <c r="AS17" s="72" t="s">
        <v>599</v>
      </c>
      <c r="AT17" s="73">
        <v>0.3</v>
      </c>
    </row>
    <row r="18" spans="3:48" ht="15.75" thickBot="1" x14ac:dyDescent="0.3">
      <c r="AS18" s="72" t="s">
        <v>600</v>
      </c>
      <c r="AT18" s="73">
        <v>0.4</v>
      </c>
    </row>
    <row r="19" spans="3:48" ht="30" customHeight="1" thickBot="1" x14ac:dyDescent="0.3">
      <c r="C19" s="186" t="s">
        <v>70</v>
      </c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8"/>
      <c r="AS19" s="85" t="s">
        <v>94</v>
      </c>
      <c r="AT19" s="86">
        <f>SUM(AT16:AT18)</f>
        <v>1</v>
      </c>
    </row>
    <row r="20" spans="3:48" ht="15.75" customHeight="1" x14ac:dyDescent="0.25">
      <c r="C20" s="56" t="s">
        <v>71</v>
      </c>
      <c r="D20" s="183" t="s">
        <v>1170</v>
      </c>
      <c r="E20" s="184"/>
      <c r="F20" s="184"/>
      <c r="G20" s="184"/>
      <c r="H20" s="184"/>
      <c r="I20" s="184"/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4"/>
      <c r="V20" s="185"/>
      <c r="AS20" s="87" t="s">
        <v>604</v>
      </c>
      <c r="AT20" s="88"/>
      <c r="AU20" s="89" t="s">
        <v>25</v>
      </c>
      <c r="AV20" s="88"/>
    </row>
    <row r="21" spans="3:48" ht="15.75" customHeight="1" x14ac:dyDescent="0.25">
      <c r="C21" s="56" t="str">
        <f>(LEFT(C20,LEN(C20)-1)+1)&amp;"."</f>
        <v>2.</v>
      </c>
      <c r="D21" s="183"/>
      <c r="E21" s="184"/>
      <c r="F21" s="184"/>
      <c r="G21" s="184"/>
      <c r="H21" s="184"/>
      <c r="I21" s="184"/>
      <c r="J21" s="184"/>
      <c r="K21" s="184"/>
      <c r="L21" s="184"/>
      <c r="M21" s="184"/>
      <c r="N21" s="184"/>
      <c r="O21" s="184"/>
      <c r="P21" s="184"/>
      <c r="Q21" s="184"/>
      <c r="R21" s="184"/>
      <c r="S21" s="184"/>
      <c r="T21" s="184"/>
      <c r="U21" s="184"/>
      <c r="V21" s="185"/>
      <c r="AS21" s="90" t="s">
        <v>593</v>
      </c>
      <c r="AT21" s="91" t="s">
        <v>594</v>
      </c>
      <c r="AU21" s="90" t="s">
        <v>593</v>
      </c>
      <c r="AV21" s="91" t="s">
        <v>594</v>
      </c>
    </row>
    <row r="22" spans="3:48" x14ac:dyDescent="0.25">
      <c r="C22" s="56" t="str">
        <f t="shared" ref="C22:C49" si="3">(LEFT(C21,LEN(C21)-1)+1)&amp;"."</f>
        <v>3.</v>
      </c>
      <c r="D22" s="183"/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5"/>
      <c r="AS22" s="72" t="s">
        <v>598</v>
      </c>
      <c r="AT22" s="73">
        <v>0.4</v>
      </c>
      <c r="AU22" s="72" t="s">
        <v>605</v>
      </c>
      <c r="AV22" s="73">
        <v>0.5</v>
      </c>
    </row>
    <row r="23" spans="3:48" x14ac:dyDescent="0.25">
      <c r="C23" s="56" t="str">
        <f t="shared" si="3"/>
        <v>4.</v>
      </c>
      <c r="D23" s="183"/>
      <c r="E23" s="184"/>
      <c r="F23" s="184"/>
      <c r="G23" s="184"/>
      <c r="H23" s="184"/>
      <c r="I23" s="184"/>
      <c r="J23" s="184"/>
      <c r="K23" s="184"/>
      <c r="L23" s="184"/>
      <c r="M23" s="184"/>
      <c r="N23" s="184"/>
      <c r="O23" s="184"/>
      <c r="P23" s="184"/>
      <c r="Q23" s="184"/>
      <c r="R23" s="184"/>
      <c r="S23" s="184"/>
      <c r="T23" s="184"/>
      <c r="U23" s="184"/>
      <c r="V23" s="185"/>
      <c r="AS23" s="72" t="s">
        <v>599</v>
      </c>
      <c r="AT23" s="73">
        <v>0.2</v>
      </c>
      <c r="AU23" s="72" t="s">
        <v>596</v>
      </c>
      <c r="AV23" s="73">
        <v>0.2</v>
      </c>
    </row>
    <row r="24" spans="3:48" x14ac:dyDescent="0.25">
      <c r="C24" s="56" t="str">
        <f t="shared" si="3"/>
        <v>5.</v>
      </c>
      <c r="D24" s="183"/>
      <c r="E24" s="184"/>
      <c r="F24" s="184"/>
      <c r="G24" s="184"/>
      <c r="H24" s="184"/>
      <c r="I24" s="184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85"/>
      <c r="AS24" s="72" t="s">
        <v>600</v>
      </c>
      <c r="AT24" s="73">
        <v>0.4</v>
      </c>
      <c r="AU24" s="72" t="s">
        <v>606</v>
      </c>
      <c r="AV24" s="73">
        <v>0.3</v>
      </c>
    </row>
    <row r="25" spans="3:48" ht="15.75" thickBot="1" x14ac:dyDescent="0.3">
      <c r="C25" s="56" t="str">
        <f t="shared" si="3"/>
        <v>6.</v>
      </c>
      <c r="D25" s="183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5"/>
      <c r="AS25" s="81" t="s">
        <v>94</v>
      </c>
      <c r="AT25" s="82">
        <f>SUM(AT22:AT24)</f>
        <v>1</v>
      </c>
      <c r="AU25" s="81" t="s">
        <v>94</v>
      </c>
      <c r="AV25" s="82">
        <f>SUM(AV22:AV24)</f>
        <v>1</v>
      </c>
    </row>
    <row r="26" spans="3:48" x14ac:dyDescent="0.25">
      <c r="C26" s="56" t="str">
        <f t="shared" si="3"/>
        <v>7.</v>
      </c>
      <c r="D26" s="183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5"/>
    </row>
    <row r="27" spans="3:48" x14ac:dyDescent="0.25">
      <c r="C27" s="56" t="str">
        <f t="shared" si="3"/>
        <v>8.</v>
      </c>
      <c r="D27" s="183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5"/>
    </row>
    <row r="28" spans="3:48" x14ac:dyDescent="0.25">
      <c r="C28" s="56" t="str">
        <f t="shared" si="3"/>
        <v>9.</v>
      </c>
      <c r="D28" s="183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5"/>
    </row>
    <row r="29" spans="3:48" x14ac:dyDescent="0.25">
      <c r="C29" s="56" t="str">
        <f t="shared" si="3"/>
        <v>10.</v>
      </c>
      <c r="D29" s="183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5"/>
    </row>
    <row r="30" spans="3:48" x14ac:dyDescent="0.25">
      <c r="C30" s="56" t="str">
        <f t="shared" si="3"/>
        <v>11.</v>
      </c>
      <c r="D30" s="183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5"/>
    </row>
    <row r="31" spans="3:48" x14ac:dyDescent="0.25">
      <c r="C31" s="56" t="str">
        <f t="shared" si="3"/>
        <v>12.</v>
      </c>
      <c r="D31" s="183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5"/>
    </row>
    <row r="32" spans="3:48" x14ac:dyDescent="0.25">
      <c r="C32" s="56" t="str">
        <f t="shared" si="3"/>
        <v>13.</v>
      </c>
      <c r="D32" s="183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5"/>
    </row>
    <row r="33" spans="3:22" x14ac:dyDescent="0.25">
      <c r="C33" s="56" t="str">
        <f t="shared" si="3"/>
        <v>14.</v>
      </c>
      <c r="D33" s="183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5"/>
    </row>
    <row r="34" spans="3:22" x14ac:dyDescent="0.25">
      <c r="C34" s="56" t="str">
        <f t="shared" si="3"/>
        <v>15.</v>
      </c>
      <c r="D34" s="183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5"/>
    </row>
    <row r="35" spans="3:22" x14ac:dyDescent="0.25">
      <c r="C35" s="56" t="str">
        <f t="shared" si="3"/>
        <v>16.</v>
      </c>
      <c r="D35" s="183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5"/>
    </row>
    <row r="36" spans="3:22" x14ac:dyDescent="0.25">
      <c r="C36" s="56" t="str">
        <f t="shared" si="3"/>
        <v>17.</v>
      </c>
      <c r="D36" s="183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5"/>
    </row>
    <row r="37" spans="3:22" x14ac:dyDescent="0.25">
      <c r="C37" s="56" t="str">
        <f t="shared" si="3"/>
        <v>18.</v>
      </c>
      <c r="D37" s="183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5"/>
    </row>
    <row r="38" spans="3:22" x14ac:dyDescent="0.25">
      <c r="C38" s="56" t="str">
        <f t="shared" si="3"/>
        <v>19.</v>
      </c>
      <c r="D38" s="183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5"/>
    </row>
    <row r="39" spans="3:22" x14ac:dyDescent="0.25">
      <c r="C39" s="56" t="str">
        <f t="shared" si="3"/>
        <v>20.</v>
      </c>
      <c r="D39" s="183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5"/>
    </row>
    <row r="40" spans="3:22" x14ac:dyDescent="0.25">
      <c r="C40" s="56" t="str">
        <f t="shared" si="3"/>
        <v>21.</v>
      </c>
      <c r="D40" s="183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5"/>
    </row>
    <row r="41" spans="3:22" x14ac:dyDescent="0.25">
      <c r="C41" s="56" t="str">
        <f t="shared" si="3"/>
        <v>22.</v>
      </c>
      <c r="D41" s="183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5"/>
    </row>
    <row r="42" spans="3:22" x14ac:dyDescent="0.25">
      <c r="C42" s="56" t="str">
        <f t="shared" si="3"/>
        <v>23.</v>
      </c>
      <c r="D42" s="183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5"/>
    </row>
    <row r="43" spans="3:22" x14ac:dyDescent="0.25">
      <c r="C43" s="56" t="str">
        <f t="shared" si="3"/>
        <v>24.</v>
      </c>
      <c r="D43" s="183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5"/>
    </row>
    <row r="44" spans="3:22" x14ac:dyDescent="0.25">
      <c r="C44" s="56" t="str">
        <f t="shared" si="3"/>
        <v>25.</v>
      </c>
      <c r="D44" s="183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5"/>
    </row>
    <row r="45" spans="3:22" x14ac:dyDescent="0.25">
      <c r="C45" s="56" t="str">
        <f t="shared" si="3"/>
        <v>26.</v>
      </c>
      <c r="D45" s="183"/>
      <c r="E45" s="184"/>
      <c r="F45" s="184"/>
      <c r="G45" s="184"/>
      <c r="H45" s="184"/>
      <c r="I45" s="184"/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85"/>
    </row>
    <row r="46" spans="3:22" x14ac:dyDescent="0.25">
      <c r="C46" s="56" t="str">
        <f t="shared" si="3"/>
        <v>27.</v>
      </c>
      <c r="D46" s="183"/>
      <c r="E46" s="184"/>
      <c r="F46" s="184"/>
      <c r="G46" s="184"/>
      <c r="H46" s="184"/>
      <c r="I46" s="184"/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85"/>
    </row>
    <row r="47" spans="3:22" x14ac:dyDescent="0.25">
      <c r="C47" s="56" t="str">
        <f t="shared" si="3"/>
        <v>28.</v>
      </c>
      <c r="D47" s="183"/>
      <c r="E47" s="184"/>
      <c r="F47" s="184"/>
      <c r="G47" s="184"/>
      <c r="H47" s="184"/>
      <c r="I47" s="184"/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85"/>
    </row>
    <row r="48" spans="3:22" x14ac:dyDescent="0.25">
      <c r="C48" s="56" t="str">
        <f t="shared" si="3"/>
        <v>29.</v>
      </c>
      <c r="D48" s="183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4"/>
      <c r="S48" s="184"/>
      <c r="T48" s="184"/>
      <c r="U48" s="184"/>
      <c r="V48" s="185"/>
    </row>
    <row r="49" spans="3:22" x14ac:dyDescent="0.25">
      <c r="C49" s="56" t="str">
        <f t="shared" si="3"/>
        <v>30.</v>
      </c>
      <c r="D49" s="183"/>
      <c r="E49" s="184"/>
      <c r="F49" s="184"/>
      <c r="G49" s="184"/>
      <c r="H49" s="184"/>
      <c r="I49" s="184"/>
      <c r="J49" s="184"/>
      <c r="K49" s="184"/>
      <c r="L49" s="184"/>
      <c r="M49" s="184"/>
      <c r="N49" s="184"/>
      <c r="O49" s="184"/>
      <c r="P49" s="184"/>
      <c r="Q49" s="184"/>
      <c r="R49" s="184"/>
      <c r="S49" s="184"/>
      <c r="T49" s="184"/>
      <c r="U49" s="184"/>
      <c r="V49" s="185"/>
    </row>
  </sheetData>
  <sheetProtection algorithmName="SHA-512" hashValue="mUrTvm9q4ozsRYjPftX9ghZGyfSE3JXBRcHLRPtMSty9JdcLIbihlsGDWuXCOznJ5N7vfbU0/lTlcwmhKCIY1Q==" saltValue="YcEMiDpMBBtFylOqkAgMxQ==" spinCount="100000" sheet="1" objects="1"/>
  <mergeCells count="48">
    <mergeCell ref="D49:V49"/>
    <mergeCell ref="D44:V44"/>
    <mergeCell ref="D45:V45"/>
    <mergeCell ref="D46:V46"/>
    <mergeCell ref="D47:V47"/>
    <mergeCell ref="D48:V48"/>
    <mergeCell ref="D39:V39"/>
    <mergeCell ref="D40:V40"/>
    <mergeCell ref="D41:V41"/>
    <mergeCell ref="D42:V42"/>
    <mergeCell ref="D43:V43"/>
    <mergeCell ref="D36:V36"/>
    <mergeCell ref="D37:V37"/>
    <mergeCell ref="D38:V38"/>
    <mergeCell ref="D28:V28"/>
    <mergeCell ref="D29:V29"/>
    <mergeCell ref="D30:V30"/>
    <mergeCell ref="D31:V31"/>
    <mergeCell ref="D32:V32"/>
    <mergeCell ref="D33:V33"/>
    <mergeCell ref="D34:V34"/>
    <mergeCell ref="D35:V35"/>
    <mergeCell ref="C11:D11"/>
    <mergeCell ref="D27:V27"/>
    <mergeCell ref="D22:V22"/>
    <mergeCell ref="D23:V23"/>
    <mergeCell ref="D24:V24"/>
    <mergeCell ref="D25:V25"/>
    <mergeCell ref="D26:V26"/>
    <mergeCell ref="C12:D12"/>
    <mergeCell ref="C19:V19"/>
    <mergeCell ref="D20:V20"/>
    <mergeCell ref="D21:V21"/>
    <mergeCell ref="AV1:AW1"/>
    <mergeCell ref="AS1:AT1"/>
    <mergeCell ref="C1:D1"/>
    <mergeCell ref="AS10:AT10"/>
    <mergeCell ref="AU10:AV10"/>
    <mergeCell ref="C7:D7"/>
    <mergeCell ref="C8:D8"/>
    <mergeCell ref="C9:D9"/>
    <mergeCell ref="C10:D10"/>
    <mergeCell ref="C2:D2"/>
    <mergeCell ref="C3:D3"/>
    <mergeCell ref="C4:D4"/>
    <mergeCell ref="C5:D5"/>
    <mergeCell ref="C6:D6"/>
    <mergeCell ref="AP1:AQ1"/>
  </mergeCells>
  <phoneticPr fontId="6" type="noConversion"/>
  <conditionalFormatting sqref="R3:U12">
    <cfRule type="cellIs" dxfId="51" priority="2" operator="lessThan">
      <formula>0.8</formula>
    </cfRule>
  </conditionalFormatting>
  <conditionalFormatting sqref="R2:U2">
    <cfRule type="cellIs" dxfId="50" priority="1" operator="lessThan">
      <formula>0.8</formula>
    </cfRule>
  </conditionalFormatting>
  <pageMargins left="0.7" right="0.7" top="0.75" bottom="0.75" header="0.3" footer="0.3"/>
  <pageSetup paperSize="8" scale="70" orientation="landscape" r:id="rId1"/>
  <ignoredErrors>
    <ignoredError sqref="M2" unlockedFormula="1"/>
  </ignoredErrors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0</xdr:colOff>
                <xdr:row>12</xdr:row>
                <xdr:rowOff>0</xdr:rowOff>
              </from>
              <to>
                <xdr:col>4</xdr:col>
                <xdr:colOff>466725</xdr:colOff>
                <xdr:row>14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4</xdr:col>
                <xdr:colOff>552450</xdr:colOff>
                <xdr:row>12</xdr:row>
                <xdr:rowOff>9525</xdr:rowOff>
              </from>
              <to>
                <xdr:col>6</xdr:col>
                <xdr:colOff>552450</xdr:colOff>
                <xdr:row>14</xdr:row>
                <xdr:rowOff>9525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26B0E-CAE5-4DF1-AF12-BA198486681A}">
  <sheetPr codeName="Лист6"/>
  <dimension ref="A1:R25"/>
  <sheetViews>
    <sheetView showGridLines="0" workbookViewId="0">
      <selection activeCell="P2" sqref="P2"/>
    </sheetView>
  </sheetViews>
  <sheetFormatPr defaultColWidth="2.85546875" defaultRowHeight="15" x14ac:dyDescent="0.25"/>
  <cols>
    <col min="1" max="1" width="1.85546875" style="1" customWidth="1"/>
    <col min="2" max="2" width="24.28515625" style="1" bestFit="1" customWidth="1"/>
    <col min="3" max="3" width="9.7109375" style="1" customWidth="1"/>
    <col min="4" max="4" width="24.140625" style="1" customWidth="1"/>
    <col min="5" max="5" width="20.5703125" style="1" customWidth="1"/>
    <col min="6" max="6" width="17.42578125" style="101" bestFit="1" customWidth="1"/>
    <col min="7" max="7" width="23.28515625" style="101" customWidth="1"/>
    <col min="8" max="8" width="10.140625" style="101" hidden="1" customWidth="1"/>
    <col min="9" max="9" width="23.7109375" style="101" customWidth="1"/>
    <col min="10" max="10" width="25.42578125" style="69" customWidth="1"/>
    <col min="11" max="11" width="20.28515625" style="1" bestFit="1" customWidth="1"/>
    <col min="12" max="18" width="10.5703125" style="1" customWidth="1"/>
    <col min="19" max="16384" width="2.85546875" style="1"/>
  </cols>
  <sheetData>
    <row r="1" spans="1:18" s="92" customFormat="1" ht="45" x14ac:dyDescent="0.25">
      <c r="A1" s="92">
        <v>1</v>
      </c>
      <c r="B1" s="93" t="s">
        <v>16</v>
      </c>
      <c r="C1" s="93" t="s">
        <v>228</v>
      </c>
      <c r="D1" s="93" t="s">
        <v>17</v>
      </c>
      <c r="E1" s="93" t="s">
        <v>12</v>
      </c>
      <c r="F1" s="94" t="s">
        <v>27</v>
      </c>
      <c r="G1" s="94" t="s">
        <v>54</v>
      </c>
      <c r="H1" s="94" t="str">
        <f>"Стаж на  "&amp;D20</f>
        <v>Стаж на  Август</v>
      </c>
      <c r="I1" s="94" t="s">
        <v>59</v>
      </c>
      <c r="J1" s="93" t="s">
        <v>65</v>
      </c>
      <c r="K1" s="35" t="s">
        <v>19</v>
      </c>
      <c r="L1" s="35" t="s">
        <v>18</v>
      </c>
      <c r="M1" s="35" t="s">
        <v>63</v>
      </c>
      <c r="N1" s="35" t="s">
        <v>64</v>
      </c>
      <c r="O1" s="35" t="s">
        <v>55</v>
      </c>
      <c r="P1" s="35" t="s">
        <v>56</v>
      </c>
      <c r="Q1" s="35" t="s">
        <v>57</v>
      </c>
      <c r="R1" s="35" t="s">
        <v>58</v>
      </c>
    </row>
    <row r="2" spans="1:18" x14ac:dyDescent="0.25">
      <c r="A2" s="3" t="str">
        <f>IF(B2="Дальневосточный ФО","Сибирский ФО"&amp;D2,B2&amp;D2)</f>
        <v>ЕАЭСЕАЭС</v>
      </c>
      <c r="B2" s="4" t="s">
        <v>4</v>
      </c>
      <c r="C2" s="30" t="s">
        <v>226</v>
      </c>
      <c r="D2" s="4" t="str">
        <f>IF(B2&lt;&gt;"",B2,"")</f>
        <v>ЕАЭС</v>
      </c>
      <c r="E2" s="13" t="s">
        <v>912</v>
      </c>
      <c r="F2" s="14">
        <v>42526</v>
      </c>
      <c r="G2" s="32" t="s">
        <v>1183</v>
      </c>
      <c r="H2" s="12"/>
      <c r="I2" s="12"/>
      <c r="J2" s="15" t="str">
        <f>IF(D2="","",IF(OR(D2="ЕАЭС",D2="Северо-Западный ФО",D2="Южный + Кавказский ФО"),"Региональный менеджер","Директор"))</f>
        <v>Региональный менеджер</v>
      </c>
      <c r="K2" s="95"/>
      <c r="L2" s="96">
        <v>233</v>
      </c>
      <c r="M2" s="96"/>
      <c r="N2" s="96">
        <f>SUM($N$3:$N$12)</f>
        <v>1</v>
      </c>
      <c r="O2" s="96"/>
      <c r="P2" s="96"/>
      <c r="Q2" s="96"/>
      <c r="R2" s="96"/>
    </row>
    <row r="3" spans="1:18" x14ac:dyDescent="0.25">
      <c r="A3" s="3" t="str">
        <f t="shared" ref="A3:A8" si="0">IF(B3="Дальневосточный ФО","Сибирский ФО"&amp;D3,B3&amp;D3)</f>
        <v>ЕАЭССНГ Герасимкова</v>
      </c>
      <c r="B3" s="22" t="str">
        <f>IF($D3="","",$B$2)</f>
        <v>ЕАЭС</v>
      </c>
      <c r="C3" s="31" t="s">
        <v>226</v>
      </c>
      <c r="D3" s="16" t="s">
        <v>574</v>
      </c>
      <c r="E3" s="16" t="s">
        <v>608</v>
      </c>
      <c r="F3" s="17">
        <v>45044</v>
      </c>
      <c r="G3" s="36" t="s">
        <v>1184</v>
      </c>
      <c r="H3" s="98">
        <f ca="1">IF(AND($D3="",$F3=""),"",IF(DAY(F3)&lt;=15,DATE(YEAR(TODAY()),VLOOKUP($D$20,ВСП!$S$2:$U$13,3,0),30)-DATE(YEAR(F3),MONTH(F3),1),DATE(YEAR(TODAY()),VLOOKUP($D$20,ВСП!$S$2:$U$13,3,0),30)-DATE(YEAR(F3),MONTH(F3)+1,1)))</f>
        <v>121</v>
      </c>
      <c r="I3" s="23" t="str">
        <f ca="1">IF($D3="","",IF($H3&lt;=90,"Испытательный срок(ИС)",IF(AND($H3&gt;90,$J3=ВСП!$A$2),"ИС пройден",IF(AND($H3&gt;90,$J3=ВСП!$A$3,$H3&lt;=365),ВСП!$C$3,IF(AND($H3&gt;365,$K3=ВСП!$C$3),ВСП!$C$2,"")))))</f>
        <v>ИС пройден</v>
      </c>
      <c r="J3" s="18" t="s">
        <v>22</v>
      </c>
      <c r="K3" s="19"/>
      <c r="L3" s="20">
        <v>229</v>
      </c>
      <c r="M3" s="20"/>
      <c r="N3" s="147" t="str">
        <f>IFERROR(VLOOKUP($D3,Новые_клиенты_для_премии[#All],3,0),"")</f>
        <v/>
      </c>
      <c r="O3" s="20"/>
      <c r="P3" s="20"/>
      <c r="Q3" s="20"/>
      <c r="R3" s="20"/>
    </row>
    <row r="4" spans="1:18" x14ac:dyDescent="0.25">
      <c r="A4" s="3" t="str">
        <f t="shared" si="0"/>
        <v>ЕАЭССНГ Фёдоров</v>
      </c>
      <c r="B4" s="22" t="str">
        <f t="shared" ref="B4:B12" si="1">IF($D4="","",$B$2)</f>
        <v>ЕАЭС</v>
      </c>
      <c r="C4" s="31" t="s">
        <v>226</v>
      </c>
      <c r="D4" s="16" t="s">
        <v>579</v>
      </c>
      <c r="E4" s="16" t="s">
        <v>913</v>
      </c>
      <c r="F4" s="17">
        <v>44808</v>
      </c>
      <c r="G4" s="36" t="s">
        <v>1185</v>
      </c>
      <c r="H4" s="98">
        <f ca="1">IF(AND($D4="",$F4=""),"",IF(DAY(F4)&lt;=15,DATE(YEAR(TODAY()),VLOOKUP($D$20,ВСП!$S$2:$U$13,3,0),30)-DATE(YEAR(F4),MONTH(F4),1),DATE(YEAR(TODAY()),VLOOKUP($D$20,ВСП!$S$2:$U$13,3,0),30)-DATE(YEAR(F4),MONTH(F4)+1,1)))</f>
        <v>363</v>
      </c>
      <c r="I4" s="23" t="str">
        <f ca="1">IF($D4="","",IF($H4&lt;=90,"Испытательный срок(ИС)",IF(AND($H4&gt;90,$J4=ВСП!$A$2),"ИС пройден",IF(AND($H4&gt;90,$J4=ВСП!$A$3,$H4&lt;=365),ВСП!$C$3,IF(AND($H4&gt;365,$K4=ВСП!$C$3),ВСП!$C$2,"")))))</f>
        <v>Адаптационный</v>
      </c>
      <c r="J4" s="18" t="s">
        <v>23</v>
      </c>
      <c r="K4" s="19" t="s">
        <v>29</v>
      </c>
      <c r="L4" s="20">
        <v>245</v>
      </c>
      <c r="M4" s="20"/>
      <c r="N4" s="147">
        <f>IFERROR(VLOOKUP($D4,Новые_клиенты_для_премии[#All],3,0),"")</f>
        <v>1</v>
      </c>
      <c r="O4" s="20"/>
      <c r="P4" s="20"/>
      <c r="Q4" s="20"/>
      <c r="R4" s="20"/>
    </row>
    <row r="5" spans="1:18" x14ac:dyDescent="0.25">
      <c r="A5" s="3" t="str">
        <f t="shared" si="0"/>
        <v/>
      </c>
      <c r="B5" s="22" t="str">
        <f t="shared" si="1"/>
        <v/>
      </c>
      <c r="C5" s="31"/>
      <c r="D5" s="16"/>
      <c r="E5" s="16"/>
      <c r="F5" s="17"/>
      <c r="G5" s="36"/>
      <c r="H5" s="98" t="str">
        <f ca="1">IF(AND($D5="",$F5=""),"",IF(DAY(F5)&lt;=15,DATE(YEAR(TODAY()),VLOOKUP($D$20,ВСП!$S$2:$U$13,3,0),30)-DATE(YEAR(F5),MONTH(F5),1),DATE(YEAR(TODAY()),VLOOKUP($D$20,ВСП!$S$2:$U$13,3,0),30)-DATE(YEAR(F5),MONTH(F5)+1,1)))</f>
        <v/>
      </c>
      <c r="I5" s="23" t="str">
        <f>IF($D5="","",IF($H5&lt;=90,"Испытательный срок(ИС)",IF(AND($H5&gt;90,$J5=ВСП!$A$2),"ИС пройден",IF(AND($H5&gt;90,$J5=ВСП!$A$3,$H5&lt;=365),ВСП!$C$3,IF(AND($H5&gt;365,$K5=ВСП!$C$3),ВСП!$C$2,"")))))</f>
        <v/>
      </c>
      <c r="J5" s="18"/>
      <c r="K5" s="19"/>
      <c r="L5" s="20"/>
      <c r="M5" s="20"/>
      <c r="N5" s="147" t="str">
        <f>IFERROR(VLOOKUP($D5,Новые_клиенты_для_премии[#All],3,0),"")</f>
        <v/>
      </c>
      <c r="O5" s="20"/>
      <c r="P5" s="20"/>
      <c r="Q5" s="20"/>
      <c r="R5" s="20"/>
    </row>
    <row r="6" spans="1:18" x14ac:dyDescent="0.25">
      <c r="A6" s="3" t="str">
        <f t="shared" si="0"/>
        <v/>
      </c>
      <c r="B6" s="22" t="str">
        <f t="shared" si="1"/>
        <v/>
      </c>
      <c r="C6" s="31"/>
      <c r="D6" s="16"/>
      <c r="E6" s="16"/>
      <c r="F6" s="17"/>
      <c r="G6" s="36"/>
      <c r="H6" s="98" t="str">
        <f ca="1">IF(AND($D6="",$F6=""),"",IF(DAY(F6)&lt;=15,DATE(YEAR(TODAY()),VLOOKUP($D$20,ВСП!$S$2:$U$13,3,0),30)-DATE(YEAR(F6),MONTH(F6),1),DATE(YEAR(TODAY()),VLOOKUP($D$20,ВСП!$S$2:$U$13,3,0),30)-DATE(YEAR(F6),MONTH(F6)+1,1)))</f>
        <v/>
      </c>
      <c r="I6" s="23" t="str">
        <f>IF($D6="","",IF($H6&lt;=90,"Испытательный срок(ИС)",IF(AND($H6&gt;90,$J6=ВСП!$A$2),"ИС пройден",IF(AND($H6&gt;90,$J6=ВСП!$A$3,$H6&lt;=365),ВСП!$C$3,IF(AND($H6&gt;365,$K6=ВСП!$C$3),ВСП!$C$2,"")))))</f>
        <v/>
      </c>
      <c r="J6" s="18"/>
      <c r="K6" s="19"/>
      <c r="L6" s="20"/>
      <c r="M6" s="20"/>
      <c r="N6" s="147" t="str">
        <f>IFERROR(VLOOKUP($D6,Новые_клиенты_для_премии[#All],3,0),"")</f>
        <v/>
      </c>
      <c r="O6" s="20"/>
      <c r="P6" s="20"/>
      <c r="Q6" s="20"/>
      <c r="R6" s="20"/>
    </row>
    <row r="7" spans="1:18" x14ac:dyDescent="0.25">
      <c r="A7" s="3" t="str">
        <f t="shared" si="0"/>
        <v/>
      </c>
      <c r="B7" s="22" t="str">
        <f t="shared" si="1"/>
        <v/>
      </c>
      <c r="C7" s="31"/>
      <c r="D7" s="16"/>
      <c r="E7" s="16"/>
      <c r="F7" s="17"/>
      <c r="G7" s="36"/>
      <c r="H7" s="98" t="str">
        <f ca="1">IF(AND($D7="",$F7=""),"",IF(DAY(F7)&lt;=15,DATE(YEAR(TODAY()),VLOOKUP($D$20,ВСП!$S$2:$U$13,3,0),30)-DATE(YEAR(F7),MONTH(F7),1),DATE(YEAR(TODAY()),VLOOKUP($D$20,ВСП!$S$2:$U$13,3,0),30)-DATE(YEAR(F7),MONTH(F7)+1,1)))</f>
        <v/>
      </c>
      <c r="I7" s="23" t="str">
        <f>IF($D7="","",IF($H7&lt;=90,"Испытательный срок(ИС)",IF(AND($H7&gt;90,$J7=ВСП!$A$2),"ИС пройден",IF(AND($H7&gt;90,$J7=ВСП!$A$3,$H7&lt;=365),ВСП!$C$3,IF(AND($H7&gt;365,$K7=ВСП!$C$3),ВСП!$C$2,"")))))</f>
        <v/>
      </c>
      <c r="J7" s="18"/>
      <c r="K7" s="19"/>
      <c r="L7" s="20"/>
      <c r="M7" s="20"/>
      <c r="N7" s="147" t="str">
        <f>IFERROR(VLOOKUP($D7,Новые_клиенты_для_премии[#All],3,0),"")</f>
        <v/>
      </c>
      <c r="O7" s="20"/>
      <c r="P7" s="20"/>
      <c r="Q7" s="20"/>
      <c r="R7" s="20"/>
    </row>
    <row r="8" spans="1:18" x14ac:dyDescent="0.25">
      <c r="A8" s="3" t="str">
        <f t="shared" si="0"/>
        <v/>
      </c>
      <c r="B8" s="22" t="str">
        <f t="shared" si="1"/>
        <v/>
      </c>
      <c r="C8" s="31"/>
      <c r="D8" s="16"/>
      <c r="E8" s="16"/>
      <c r="F8" s="17"/>
      <c r="G8" s="36"/>
      <c r="H8" s="98" t="str">
        <f ca="1">IF(AND($D8="",$F8=""),"",IF(DAY(F8)&lt;=15,DATE(YEAR(TODAY()),VLOOKUP($D$20,ВСП!$S$2:$U$13,3,0),30)-DATE(YEAR(F8),MONTH(F8),1),DATE(YEAR(TODAY()),VLOOKUP($D$20,ВСП!$S$2:$U$13,3,0),30)-DATE(YEAR(F8),MONTH(F8)+1,1)))</f>
        <v/>
      </c>
      <c r="I8" s="23" t="str">
        <f>IF($D8="","",IF($H8&lt;=90,"Испытательный срок(ИС)",IF(AND($H8&gt;90,$J8=ВСП!$A$2),"ИС пройден",IF(AND($H8&gt;90,$J8=ВСП!$A$3,$H8&lt;=365),ВСП!$C$3,IF(AND($H8&gt;365,$K8=ВСП!$C$3),ВСП!$C$2,"")))))</f>
        <v/>
      </c>
      <c r="J8" s="18"/>
      <c r="K8" s="19"/>
      <c r="L8" s="20"/>
      <c r="M8" s="20"/>
      <c r="N8" s="147" t="str">
        <f>IFERROR(VLOOKUP($D8,Новые_клиенты_для_премии[#All],3,0),"")</f>
        <v/>
      </c>
      <c r="O8" s="20"/>
      <c r="P8" s="20"/>
      <c r="Q8" s="20"/>
      <c r="R8" s="20"/>
    </row>
    <row r="9" spans="1:18" x14ac:dyDescent="0.25">
      <c r="A9" s="3" t="str">
        <f t="shared" ref="A9:A11" si="2">IF(B9="Дальневосточный ФО","Сибирский ФО"&amp;D9,B9&amp;D9)</f>
        <v/>
      </c>
      <c r="B9" s="22" t="str">
        <f t="shared" si="1"/>
        <v/>
      </c>
      <c r="C9" s="31"/>
      <c r="D9" s="16"/>
      <c r="E9" s="16"/>
      <c r="F9" s="17"/>
      <c r="G9" s="36"/>
      <c r="H9" s="98" t="str">
        <f ca="1">IF(AND($D9="",$F9=""),"",IF(DAY(F9)&lt;=15,DATE(YEAR(TODAY()),VLOOKUP($D$20,ВСП!$S$2:$U$13,3,0),30)-DATE(YEAR(F9),MONTH(F9),1),DATE(YEAR(TODAY()),VLOOKUP($D$20,ВСП!$S$2:$U$13,3,0),30)-DATE(YEAR(F9),MONTH(F9)+1,1)))</f>
        <v/>
      </c>
      <c r="I9" s="23" t="str">
        <f>IF($D9="","",IF($H9&lt;=90,"Испытательный срок(ИС)",IF(AND($H9&gt;90,$J9=ВСП!$A$2),"ИС пройден",IF(AND($H9&gt;90,$J9=ВСП!$A$3,$H9&lt;=365),ВСП!$C$3,IF(AND($H9&gt;365,$K9=ВСП!$C$3),ВСП!$C$2,"")))))</f>
        <v/>
      </c>
      <c r="J9" s="18"/>
      <c r="K9" s="19"/>
      <c r="L9" s="20"/>
      <c r="M9" s="20"/>
      <c r="N9" s="147" t="str">
        <f>IFERROR(VLOOKUP($D9,Новые_клиенты_для_премии[#All],3,0),"")</f>
        <v/>
      </c>
      <c r="O9" s="20"/>
      <c r="P9" s="20"/>
      <c r="Q9" s="20"/>
      <c r="R9" s="20"/>
    </row>
    <row r="10" spans="1:18" x14ac:dyDescent="0.25">
      <c r="A10" s="3" t="str">
        <f t="shared" si="2"/>
        <v/>
      </c>
      <c r="B10" s="22" t="str">
        <f t="shared" si="1"/>
        <v/>
      </c>
      <c r="C10" s="31"/>
      <c r="D10" s="16"/>
      <c r="E10" s="16"/>
      <c r="F10" s="17"/>
      <c r="G10" s="36"/>
      <c r="H10" s="98" t="str">
        <f ca="1">IF(AND($D10="",$F10=""),"",IF(DAY(F10)&lt;=15,DATE(YEAR(TODAY()),VLOOKUP($D$20,ВСП!$S$2:$U$13,3,0),30)-DATE(YEAR(F10),MONTH(F10),1),DATE(YEAR(TODAY()),VLOOKUP($D$20,ВСП!$S$2:$U$13,3,0),30)-DATE(YEAR(F10),MONTH(F10)+1,1)))</f>
        <v/>
      </c>
      <c r="I10" s="23" t="str">
        <f>IF($D10="","",IF($H10&lt;=90,"Испытательный срок(ИС)",IF(AND($H10&gt;90,$J10=ВСП!$A$2),"ИС пройден",IF(AND($H10&gt;90,$J10=ВСП!$A$3,$H10&lt;=365),ВСП!$C$3,IF(AND($H10&gt;365,$K10=ВСП!$C$3),ВСП!$C$2,"")))))</f>
        <v/>
      </c>
      <c r="J10" s="18"/>
      <c r="K10" s="19"/>
      <c r="L10" s="20"/>
      <c r="M10" s="20"/>
      <c r="N10" s="147" t="str">
        <f>IFERROR(VLOOKUP($D10,Новые_клиенты_для_премии[#All],3,0),"")</f>
        <v/>
      </c>
      <c r="O10" s="20"/>
      <c r="P10" s="20"/>
      <c r="Q10" s="20"/>
      <c r="R10" s="20"/>
    </row>
    <row r="11" spans="1:18" x14ac:dyDescent="0.25">
      <c r="A11" s="3" t="str">
        <f t="shared" si="2"/>
        <v/>
      </c>
      <c r="B11" s="22" t="str">
        <f t="shared" si="1"/>
        <v/>
      </c>
      <c r="C11" s="31"/>
      <c r="D11" s="16"/>
      <c r="E11" s="16"/>
      <c r="F11" s="17"/>
      <c r="G11" s="36"/>
      <c r="H11" s="98" t="str">
        <f ca="1">IF(AND($D11="",$F11=""),"",IF(DAY(F11)&lt;=15,DATE(YEAR(TODAY()),VLOOKUP($D$20,ВСП!$S$2:$U$13,3,0),30)-DATE(YEAR(F11),MONTH(F11),1),DATE(YEAR(TODAY()),VLOOKUP($D$20,ВСП!$S$2:$U$13,3,0),30)-DATE(YEAR(F11),MONTH(F11)+1,1)))</f>
        <v/>
      </c>
      <c r="I11" s="23" t="str">
        <f>IF($D11="","",IF($H11&lt;=90,"Испытательный срок(ИС)",IF(AND($H11&gt;90,$J11=ВСП!$A$2),"ИС пройден",IF(AND($H11&gt;90,$J11=ВСП!$A$3,$H11&lt;=365),ВСП!$C$3,IF(AND($H11&gt;365,$K11=ВСП!$C$3),ВСП!$C$2,"")))))</f>
        <v/>
      </c>
      <c r="J11" s="18"/>
      <c r="K11" s="19"/>
      <c r="L11" s="20"/>
      <c r="M11" s="20"/>
      <c r="N11" s="147" t="str">
        <f>IFERROR(VLOOKUP($D11,Новые_клиенты_для_премии[#All],3,0),"")</f>
        <v/>
      </c>
      <c r="O11" s="20"/>
      <c r="P11" s="20"/>
      <c r="Q11" s="20"/>
      <c r="R11" s="20"/>
    </row>
    <row r="12" spans="1:18" x14ac:dyDescent="0.25">
      <c r="A12" s="3" t="str">
        <f t="shared" ref="A12" si="3">IF(B12="Дальневосточный ФО","Сибирский ФО"&amp;D12,B12&amp;D12)</f>
        <v/>
      </c>
      <c r="B12" s="22" t="str">
        <f t="shared" si="1"/>
        <v/>
      </c>
      <c r="C12" s="31"/>
      <c r="D12" s="16"/>
      <c r="E12" s="16"/>
      <c r="F12" s="17"/>
      <c r="G12" s="36"/>
      <c r="H12" s="98" t="str">
        <f ca="1">IF(AND($D12="",$F12=""),"",IF(DAY(F12)&lt;=15,DATE(YEAR(TODAY()),VLOOKUP($D$20,ВСП!$S$2:$U$13,3,0),30)-DATE(YEAR(F12),MONTH(F12),1),DATE(YEAR(TODAY()),VLOOKUP($D$20,ВСП!$S$2:$U$13,3,0),30)-DATE(YEAR(F12),MONTH(F12)+1,1)))</f>
        <v/>
      </c>
      <c r="I12" s="23" t="str">
        <f>IF($D12="","",IF($H12&lt;=90,"Испытательный срок(ИС)",IF(AND($H12&gt;90,$J12=ВСП!$A$2),"ИС пройден",IF(AND($H12&gt;90,$J12=ВСП!$A$3,$H12&lt;=365),ВСП!$C$3,IF(AND($H12&gt;365,$K12=ВСП!$C$3),ВСП!$C$2,"")))))</f>
        <v/>
      </c>
      <c r="J12" s="18"/>
      <c r="K12" s="19"/>
      <c r="L12" s="20"/>
      <c r="M12" s="20"/>
      <c r="N12" s="147" t="str">
        <f>IFERROR(VLOOKUP($D12,Новые_клиенты_для_премии[#All],3,0),"")</f>
        <v/>
      </c>
      <c r="O12" s="20"/>
      <c r="P12" s="20"/>
      <c r="Q12" s="20"/>
      <c r="R12" s="20"/>
    </row>
    <row r="14" spans="1:18" ht="30" x14ac:dyDescent="0.25">
      <c r="B14" s="99" t="s">
        <v>72</v>
      </c>
      <c r="C14" s="100"/>
      <c r="G14" s="102"/>
      <c r="H14" s="102"/>
      <c r="O14" s="103" t="s">
        <v>80</v>
      </c>
      <c r="P14" s="103"/>
      <c r="Q14" s="103"/>
      <c r="R14" s="103"/>
    </row>
    <row r="15" spans="1:18" x14ac:dyDescent="0.25">
      <c r="B15" s="189" t="s">
        <v>73</v>
      </c>
      <c r="C15" s="190"/>
      <c r="D15" s="104" t="s">
        <v>31</v>
      </c>
      <c r="E15" s="105" t="s">
        <v>79</v>
      </c>
      <c r="F15" s="105"/>
      <c r="I15" s="102"/>
      <c r="O15" s="106"/>
      <c r="P15" s="106"/>
      <c r="Q15" s="106"/>
      <c r="R15" s="106"/>
    </row>
    <row r="16" spans="1:18" x14ac:dyDescent="0.25">
      <c r="B16" s="191"/>
      <c r="C16" s="192"/>
      <c r="D16" s="107" t="s">
        <v>74</v>
      </c>
      <c r="E16" s="108" t="s">
        <v>78</v>
      </c>
      <c r="F16" s="108"/>
      <c r="H16" s="102"/>
      <c r="I16" s="102"/>
      <c r="O16" s="106"/>
      <c r="P16" s="106"/>
      <c r="Q16" s="106"/>
      <c r="R16" s="106"/>
    </row>
    <row r="17" spans="2:6" x14ac:dyDescent="0.25">
      <c r="B17" s="193" t="s">
        <v>75</v>
      </c>
      <c r="C17" s="194"/>
      <c r="D17" s="104" t="s">
        <v>30</v>
      </c>
      <c r="E17" s="105" t="s">
        <v>77</v>
      </c>
      <c r="F17" s="105"/>
    </row>
    <row r="18" spans="2:6" x14ac:dyDescent="0.25">
      <c r="B18" s="195"/>
      <c r="C18" s="196"/>
      <c r="D18" s="107" t="s">
        <v>29</v>
      </c>
      <c r="E18" s="108" t="s">
        <v>76</v>
      </c>
      <c r="F18" s="108"/>
    </row>
    <row r="19" spans="2:6" ht="15.75" thickBot="1" x14ac:dyDescent="0.3"/>
    <row r="20" spans="2:6" ht="24" thickBot="1" x14ac:dyDescent="0.3">
      <c r="B20" s="109" t="s">
        <v>229</v>
      </c>
      <c r="C20" s="109"/>
      <c r="D20" s="110" t="s">
        <v>40</v>
      </c>
      <c r="E20" s="110">
        <v>2023</v>
      </c>
    </row>
    <row r="21" spans="2:6" x14ac:dyDescent="0.25">
      <c r="F21" s="1"/>
    </row>
    <row r="22" spans="2:6" x14ac:dyDescent="0.25">
      <c r="F22" s="1"/>
    </row>
    <row r="23" spans="2:6" x14ac:dyDescent="0.25">
      <c r="F23" s="1"/>
    </row>
    <row r="24" spans="2:6" x14ac:dyDescent="0.25">
      <c r="F24" s="1"/>
    </row>
    <row r="25" spans="2:6" x14ac:dyDescent="0.25">
      <c r="F25" s="1"/>
    </row>
  </sheetData>
  <sheetProtection algorithmName="SHA-512" hashValue="tIXOGUaHk/UUFTK7591m1DmV5lTsf2yGw59mcr6DBeSEQq2fs8ISgAr0cpTBEL1Dr6qyTpa36GGbbwBWgAj6FA==" saltValue="Sm/D8xaI+HCxOgQwWzNn+w==" spinCount="100000" sheet="1" objects="1" scenarios="1"/>
  <mergeCells count="2">
    <mergeCell ref="B15:C16"/>
    <mergeCell ref="B17:C18"/>
  </mergeCells>
  <phoneticPr fontId="6" type="noConversion"/>
  <conditionalFormatting sqref="J6 G6 M6">
    <cfRule type="expression" dxfId="49" priority="16">
      <formula>$J$6</formula>
    </cfRule>
  </conditionalFormatting>
  <conditionalFormatting sqref="O6:R6">
    <cfRule type="expression" dxfId="48" priority="15">
      <formula>$J$6</formula>
    </cfRule>
  </conditionalFormatting>
  <conditionalFormatting sqref="I3:I12">
    <cfRule type="cellIs" dxfId="47" priority="10" operator="equal">
      <formula>"Постоянный"</formula>
    </cfRule>
  </conditionalFormatting>
  <conditionalFormatting sqref="K8">
    <cfRule type="expression" dxfId="46" priority="7">
      <formula>OR(AND($I8="Постоянный",$K8="Адаптационный"),AND($I8="ИС пройден",$K8="Испытательный срок"))</formula>
    </cfRule>
  </conditionalFormatting>
  <conditionalFormatting sqref="K3:K7">
    <cfRule type="expression" dxfId="45" priority="6">
      <formula>OR(AND($I3="Постоянный",$K3="Адаптационный"),AND($I3="ИС пройден",$K3="Испытательный срок"),AND($I3="Адаптационный",$K3="Испытательный срок"))</formula>
    </cfRule>
  </conditionalFormatting>
  <conditionalFormatting sqref="K9:K12">
    <cfRule type="expression" dxfId="44" priority="5">
      <formula>OR(AND($I9="Постоянный",$K9="Адаптационный"),AND($I9="ИС пройден",$K9="Испытательный срок"))</formula>
    </cfRule>
  </conditionalFormatting>
  <conditionalFormatting sqref="F6">
    <cfRule type="expression" dxfId="43" priority="4">
      <formula>$J$6</formula>
    </cfRule>
  </conditionalFormatting>
  <conditionalFormatting sqref="L6">
    <cfRule type="expression" dxfId="42" priority="3">
      <formula>$J$6</formula>
    </cfRule>
  </conditionalFormatting>
  <conditionalFormatting sqref="C2:C12">
    <cfRule type="cellIs" dxfId="41" priority="1" operator="equal">
      <formula>"ДА"</formula>
    </cfRule>
    <cfRule type="cellIs" dxfId="40" priority="2" operator="equal">
      <formula>"НЕТ"</formula>
    </cfRule>
  </conditionalFormatting>
  <pageMargins left="0.7" right="0.7" top="0.75" bottom="0.75" header="0.3" footer="0.3"/>
  <pageSetup paperSize="9" orientation="portrait" r:id="rId1"/>
  <ignoredErrors>
    <ignoredError sqref="N3:N12" unlocked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B10CE6E6-1CD9-4AA4-B93E-C1F160C3D285}">
          <x14:formula1>
            <xm:f>ВСП!$C$2:$C$5</xm:f>
          </x14:formula1>
          <xm:sqref>K2:K12</xm:sqref>
        </x14:dataValidation>
        <x14:dataValidation type="list" allowBlank="1" showInputMessage="1" showErrorMessage="1" xr:uid="{E3DADECB-70E4-42F5-9F3F-A9C28726600D}">
          <x14:formula1>
            <xm:f>ВСП!$A$2:$A$6</xm:f>
          </x14:formula1>
          <xm:sqref>J3:J12</xm:sqref>
        </x14:dataValidation>
        <x14:dataValidation type="list" allowBlank="1" showInputMessage="1" showErrorMessage="1" xr:uid="{E75A2389-26C0-4243-917F-0611F8E30E3F}">
          <x14:formula1>
            <xm:f>ВСП!$M$2:$M$8</xm:f>
          </x14:formula1>
          <xm:sqref>B2</xm:sqref>
        </x14:dataValidation>
        <x14:dataValidation type="list" allowBlank="1" showInputMessage="1" showErrorMessage="1" xr:uid="{2E61F35F-3370-4440-B318-88888659CA46}">
          <x14:formula1>
            <xm:f>ВСП!$S$2:$S$13</xm:f>
          </x14:formula1>
          <xm:sqref>D20</xm:sqref>
        </x14:dataValidation>
        <x14:dataValidation type="list" allowBlank="1" showInputMessage="1" showErrorMessage="1" xr:uid="{605115A6-0A67-4535-8F27-BCD1354F8ADC}">
          <x14:formula1>
            <xm:f>ВСП!$A$20:$A$21</xm:f>
          </x14:formula1>
          <xm:sqref>C2:C12</xm:sqref>
        </x14:dataValidation>
        <x14:dataValidation type="list" allowBlank="1" showInputMessage="1" showErrorMessage="1" xr:uid="{6E2B5216-5E78-4798-B1A7-A44F310EA789}">
          <x14:formula1>
            <xm:f>ВСП!$G$2:$G$10</xm:f>
          </x14:formula1>
          <xm:sqref>E20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866B8-0470-4327-AC01-743A83134D61}">
  <sheetPr codeName="Лист9"/>
  <dimension ref="A2:Y1001"/>
  <sheetViews>
    <sheetView showGridLines="0" zoomScaleNormal="100" workbookViewId="0">
      <selection activeCell="D2" sqref="D2"/>
    </sheetView>
  </sheetViews>
  <sheetFormatPr defaultRowHeight="15" x14ac:dyDescent="0.25"/>
  <cols>
    <col min="1" max="1" width="1.42578125" style="1" customWidth="1"/>
    <col min="2" max="2" width="17.28515625" style="1" customWidth="1"/>
    <col min="3" max="3" width="96.42578125" style="1" customWidth="1"/>
    <col min="4" max="4" width="30.140625" style="130" customWidth="1"/>
    <col min="5" max="5" width="22.28515625" style="130" customWidth="1"/>
    <col min="6" max="6" width="10.5703125" style="130" customWidth="1"/>
    <col min="7" max="9" width="19.140625" style="130" customWidth="1"/>
    <col min="10" max="10" width="9.140625" style="143"/>
    <col min="11" max="11" width="11.7109375" style="130" hidden="1" customWidth="1"/>
    <col min="12" max="22" width="9.140625" style="130" hidden="1" customWidth="1"/>
    <col min="23" max="23" width="9.140625" style="130" customWidth="1"/>
    <col min="24" max="25" width="9.140625" style="130" hidden="1" customWidth="1"/>
    <col min="26" max="16384" width="9.140625" style="130"/>
  </cols>
  <sheetData>
    <row r="2" spans="1:25" ht="30" x14ac:dyDescent="0.25">
      <c r="B2" s="111" t="str">
        <f>Список_сотрудников!$B$2</f>
        <v>ЕАЭС</v>
      </c>
      <c r="C2" s="112" t="s">
        <v>94</v>
      </c>
      <c r="D2" s="169">
        <f>SUM(H3:H14)</f>
        <v>3144800</v>
      </c>
      <c r="E2" s="133">
        <f>SUM($I$3:$I$14)</f>
        <v>2129564.8100000005</v>
      </c>
      <c r="G2" s="134" t="s">
        <v>220</v>
      </c>
      <c r="H2" s="135" t="s">
        <v>221</v>
      </c>
      <c r="I2" s="135" t="s">
        <v>222</v>
      </c>
      <c r="J2" s="135" t="s">
        <v>230</v>
      </c>
      <c r="K2" s="136" t="str">
        <f>$G3</f>
        <v>СНГ Герасимкова</v>
      </c>
      <c r="L2" s="136" t="str">
        <f>$G4</f>
        <v>СНГ Фёдоров</v>
      </c>
      <c r="M2" s="136" t="str">
        <f>$G5</f>
        <v/>
      </c>
      <c r="N2" s="136" t="str">
        <f>$G6</f>
        <v/>
      </c>
      <c r="O2" s="136" t="str">
        <f>$G7</f>
        <v/>
      </c>
      <c r="P2" s="136" t="str">
        <f>$G8</f>
        <v/>
      </c>
      <c r="Q2" s="136" t="str">
        <f>$G9</f>
        <v/>
      </c>
      <c r="R2" s="136" t="str">
        <f>$G10</f>
        <v/>
      </c>
      <c r="S2" s="136" t="str">
        <f>$G11</f>
        <v/>
      </c>
      <c r="T2" s="136" t="str">
        <f>$G12</f>
        <v/>
      </c>
      <c r="U2" s="136" t="str">
        <f>$G13</f>
        <v/>
      </c>
      <c r="V2" s="136" t="str">
        <f>$G14</f>
        <v/>
      </c>
      <c r="X2" s="162" t="s">
        <v>1173</v>
      </c>
      <c r="Y2" s="163" t="s">
        <v>87</v>
      </c>
    </row>
    <row r="3" spans="1:25" ht="15.75" thickBot="1" x14ac:dyDescent="0.3">
      <c r="B3" s="113" t="s">
        <v>95</v>
      </c>
      <c r="C3" s="113" t="s">
        <v>96</v>
      </c>
      <c r="D3" s="137" t="s">
        <v>223</v>
      </c>
      <c r="E3" s="138" t="s">
        <v>224</v>
      </c>
      <c r="F3" s="139"/>
      <c r="G3" s="140" t="str">
        <f>IF(Список_сотрудников!$D3="","",Список_сотрудников!$D3)</f>
        <v>СНГ Герасимкова</v>
      </c>
      <c r="H3" s="146">
        <v>1981224</v>
      </c>
      <c r="I3" s="141">
        <f>IF(G3="","",SUM($K$3:$K$1001))</f>
        <v>1231203.01</v>
      </c>
      <c r="J3" s="142">
        <f>IFERROR(IF($I3/$H3&lt;1,1,IF($I3/$H3&lt;=$Y$3,$X$3,IF($I3/$H3&lt;=$Y$4,$X$4,IF($I3/$H3&lt;=$Y$5,$X$5,IF($I3/$H3&lt;=$Y$6,$X$6,IF($I3/$H3&gt;$Y$6,$X$7,"")))))),"")</f>
        <v>1</v>
      </c>
      <c r="K3" s="130">
        <f>SUMIFS(ТГ_ИД!$E:$E,ТГ_ИД!$B:$B,ТГ!$G$3,ТГ_ИД!$D:$D,ТГ!$A4)</f>
        <v>0</v>
      </c>
      <c r="L3" s="130">
        <f>SUMIFS(ТГ_ИД!$E:$E,ТГ_ИД!$B:$B,ТГ!$G$4,ТГ_ИД!$D:$D,ТГ!$A4)</f>
        <v>0</v>
      </c>
      <c r="M3" s="130">
        <f>SUMIFS(ТГ_ИД!$E:$E,ТГ_ИД!$B:$B,ТГ!$G$5,ТГ_ИД!$D:$D,ТГ!$A4)</f>
        <v>0</v>
      </c>
      <c r="N3" s="130">
        <f>SUMIFS(ТГ_ИД!$E:$E,ТГ_ИД!$B:$B,ТГ!$G$6,ТГ_ИД!$D:$D,ТГ!$A4)</f>
        <v>0</v>
      </c>
      <c r="O3" s="130">
        <f>SUMIFS(ТГ_ИД!$E:$E,ТГ_ИД!$B:$B,ТГ!$G$7,ТГ_ИД!$D:$D,ТГ!$A4)</f>
        <v>0</v>
      </c>
      <c r="P3" s="130">
        <f>SUMIFS(ТГ_ИД!$E:$E,ТГ_ИД!$B:$B,ТГ!$G$8,ТГ_ИД!$D:$D,ТГ!$A4)</f>
        <v>0</v>
      </c>
      <c r="Q3" s="130">
        <f>SUMIFS(ТГ_ИД!$E:$E,ТГ_ИД!$B:$B,ТГ!$G$9,ТГ_ИД!$D:$D,ТГ!$A4)</f>
        <v>0</v>
      </c>
      <c r="R3" s="130">
        <f>SUMIFS(ТГ_ИД!$E:$E,ТГ_ИД!$B:$B,ТГ!$G$10,ТГ_ИД!$D:$D,ТГ!$A4)</f>
        <v>0</v>
      </c>
      <c r="S3" s="130">
        <f>SUMIFS(ТГ_ИД!$E:$E,ТГ_ИД!$B:$B,ТГ!$G$11,ТГ_ИД!$D:$D,ТГ!$A4)</f>
        <v>0</v>
      </c>
      <c r="T3" s="130">
        <f>SUMIFS(ТГ_ИД!$E:$E,ТГ_ИД!$B:$B,ТГ!$G$12,ТГ_ИД!$D:$D,ТГ!$A4)</f>
        <v>0</v>
      </c>
      <c r="U3" s="130">
        <f>SUMIFS(ТГ_ИД!$E:$E,ТГ_ИД!$B:$B,ТГ!$G$13,ТГ_ИД!$D:$D,ТГ!$A4)</f>
        <v>0</v>
      </c>
      <c r="V3" s="130">
        <f>SUMIFS(ТГ_ИД!$E:$E,ТГ_ИД!$B:$B,ТГ!$G$14,ТГ_ИД!$D:$D,ТГ!$A4)</f>
        <v>0</v>
      </c>
      <c r="X3" s="164">
        <v>0.2</v>
      </c>
      <c r="Y3" s="165">
        <v>0.7</v>
      </c>
    </row>
    <row r="4" spans="1:25" x14ac:dyDescent="0.25">
      <c r="A4" s="114" t="str">
        <f>IF(B4="","",TEXT(B4,"00000"))</f>
        <v>02800</v>
      </c>
      <c r="B4" s="115">
        <v>2800</v>
      </c>
      <c r="C4" s="97" t="s">
        <v>97</v>
      </c>
      <c r="F4" s="139"/>
      <c r="G4" s="140" t="str">
        <f>IF(Список_сотрудников!$D4="","",Список_сотрудников!$D4)</f>
        <v>СНГ Фёдоров</v>
      </c>
      <c r="H4" s="146">
        <v>1163576</v>
      </c>
      <c r="I4" s="141">
        <f>IF(G4="","",SUM($L$3:$L$1001))</f>
        <v>898361.80000000028</v>
      </c>
      <c r="J4" s="142">
        <f t="shared" ref="J4:J14" si="0">IFERROR(IF($I4/$H4&lt;1,1,IF($I4/$H4&lt;=$Y$3,$X$3,IF($I4/$H4&lt;=$Y$4,$X$4,IF($I4/$H4&lt;=$Y$5,$X$5,IF($I4/$H4&lt;=$Y$6,$X$6,IF($I4/$H4&gt;$Y$6,$X$7,"")))))),"")</f>
        <v>1</v>
      </c>
      <c r="K4" s="130">
        <f>SUMIFS(ТГ_ИД!$E:$E,ТГ_ИД!$B:$B,ТГ!$G$3,ТГ_ИД!$D:$D,ТГ!$A5)</f>
        <v>6616.35</v>
      </c>
      <c r="L4" s="130">
        <f>SUMIFS(ТГ_ИД!$E:$E,ТГ_ИД!$B:$B,ТГ!$G$4,ТГ_ИД!$D:$D,ТГ!$A5)</f>
        <v>6555.25</v>
      </c>
      <c r="M4" s="130">
        <f>SUMIFS(ТГ_ИД!$E:$E,ТГ_ИД!$B:$B,ТГ!$G$5,ТГ_ИД!$D:$D,ТГ!$A5)</f>
        <v>0</v>
      </c>
      <c r="N4" s="130">
        <f>SUMIFS(ТГ_ИД!$E:$E,ТГ_ИД!$B:$B,ТГ!$G$6,ТГ_ИД!$D:$D,ТГ!$A5)</f>
        <v>0</v>
      </c>
      <c r="O4" s="130">
        <f>SUMIFS(ТГ_ИД!$E:$E,ТГ_ИД!$B:$B,ТГ!$G$7,ТГ_ИД!$D:$D,ТГ!$A5)</f>
        <v>0</v>
      </c>
      <c r="P4" s="130">
        <f>SUMIFS(ТГ_ИД!$E:$E,ТГ_ИД!$B:$B,ТГ!$G$8,ТГ_ИД!$D:$D,ТГ!$A5)</f>
        <v>0</v>
      </c>
      <c r="Q4" s="130">
        <f>SUMIFS(ТГ_ИД!$E:$E,ТГ_ИД!$B:$B,ТГ!$G$9,ТГ_ИД!$D:$D,ТГ!$A5)</f>
        <v>0</v>
      </c>
      <c r="R4" s="130">
        <f>SUMIFS(ТГ_ИД!$E:$E,ТГ_ИД!$B:$B,ТГ!$G$10,ТГ_ИД!$D:$D,ТГ!$A5)</f>
        <v>0</v>
      </c>
      <c r="S4" s="130">
        <f>SUMIFS(ТГ_ИД!$E:$E,ТГ_ИД!$B:$B,ТГ!$G$11,ТГ_ИД!$D:$D,ТГ!$A5)</f>
        <v>0</v>
      </c>
      <c r="T4" s="130">
        <f>SUMIFS(ТГ_ИД!$E:$E,ТГ_ИД!$B:$B,ТГ!$G$12,ТГ_ИД!$D:$D,ТГ!$A5)</f>
        <v>0</v>
      </c>
      <c r="U4" s="130">
        <f>SUMIFS(ТГ_ИД!$E:$E,ТГ_ИД!$B:$B,ТГ!$G$13,ТГ_ИД!$D:$D,ТГ!$A5)</f>
        <v>0</v>
      </c>
      <c r="V4" s="130">
        <f>SUMIFS(ТГ_ИД!$E:$E,ТГ_ИД!$B:$B,ТГ!$G$14,ТГ_ИД!$D:$D,ТГ!$A5)</f>
        <v>0</v>
      </c>
      <c r="X4" s="164">
        <v>0.5</v>
      </c>
      <c r="Y4" s="165">
        <v>0.9</v>
      </c>
    </row>
    <row r="5" spans="1:25" x14ac:dyDescent="0.25">
      <c r="A5" s="116" t="str">
        <f t="shared" ref="A5:A68" si="1">IF(B5="","",TEXT(B5,"00000"))</f>
        <v>02801</v>
      </c>
      <c r="B5" s="115">
        <v>2801</v>
      </c>
      <c r="C5" s="97" t="s">
        <v>98</v>
      </c>
      <c r="F5" s="139"/>
      <c r="G5" s="140" t="str">
        <f>IF(Список_сотрудников!$D5="","",Список_сотрудников!$D5)</f>
        <v/>
      </c>
      <c r="H5" s="118"/>
      <c r="I5" s="141" t="str">
        <f>IF(G5="","",SUM($M$3:$M$1001))</f>
        <v/>
      </c>
      <c r="J5" s="142" t="str">
        <f t="shared" si="0"/>
        <v/>
      </c>
      <c r="K5" s="130">
        <f>SUMIFS(ТГ_ИД!$E:$E,ТГ_ИД!$B:$B,ТГ!$G$3,ТГ_ИД!$D:$D,ТГ!$A6)</f>
        <v>15564.52</v>
      </c>
      <c r="L5" s="130">
        <f>SUMIFS(ТГ_ИД!$E:$E,ТГ_ИД!$B:$B,ТГ!$G$4,ТГ_ИД!$D:$D,ТГ!$A6)</f>
        <v>0</v>
      </c>
      <c r="M5" s="130">
        <f>SUMIFS(ТГ_ИД!$E:$E,ТГ_ИД!$B:$B,ТГ!$G$5,ТГ_ИД!$D:$D,ТГ!$A6)</f>
        <v>0</v>
      </c>
      <c r="N5" s="130">
        <f>SUMIFS(ТГ_ИД!$E:$E,ТГ_ИД!$B:$B,ТГ!$G$6,ТГ_ИД!$D:$D,ТГ!$A6)</f>
        <v>0</v>
      </c>
      <c r="O5" s="130">
        <f>SUMIFS(ТГ_ИД!$E:$E,ТГ_ИД!$B:$B,ТГ!$G$7,ТГ_ИД!$D:$D,ТГ!$A6)</f>
        <v>0</v>
      </c>
      <c r="P5" s="130">
        <f>SUMIFS(ТГ_ИД!$E:$E,ТГ_ИД!$B:$B,ТГ!$G$8,ТГ_ИД!$D:$D,ТГ!$A6)</f>
        <v>0</v>
      </c>
      <c r="Q5" s="130">
        <f>SUMIFS(ТГ_ИД!$E:$E,ТГ_ИД!$B:$B,ТГ!$G$9,ТГ_ИД!$D:$D,ТГ!$A6)</f>
        <v>0</v>
      </c>
      <c r="R5" s="130">
        <f>SUMIFS(ТГ_ИД!$E:$E,ТГ_ИД!$B:$B,ТГ!$G$10,ТГ_ИД!$D:$D,ТГ!$A6)</f>
        <v>0</v>
      </c>
      <c r="S5" s="130">
        <f>SUMIFS(ТГ_ИД!$E:$E,ТГ_ИД!$B:$B,ТГ!$G$11,ТГ_ИД!$D:$D,ТГ!$A6)</f>
        <v>0</v>
      </c>
      <c r="T5" s="130">
        <f>SUMIFS(ТГ_ИД!$E:$E,ТГ_ИД!$B:$B,ТГ!$G$12,ТГ_ИД!$D:$D,ТГ!$A6)</f>
        <v>0</v>
      </c>
      <c r="U5" s="130">
        <f>SUMIFS(ТГ_ИД!$E:$E,ТГ_ИД!$B:$B,ТГ!$G$13,ТГ_ИД!$D:$D,ТГ!$A6)</f>
        <v>0</v>
      </c>
      <c r="V5" s="130">
        <f>SUMIFS(ТГ_ИД!$E:$E,ТГ_ИД!$B:$B,ТГ!$G$14,ТГ_ИД!$D:$D,ТГ!$A6)</f>
        <v>0</v>
      </c>
      <c r="X5" s="164">
        <v>1</v>
      </c>
      <c r="Y5" s="165">
        <v>1.0900000000000001</v>
      </c>
    </row>
    <row r="6" spans="1:25" x14ac:dyDescent="0.25">
      <c r="A6" s="116" t="str">
        <f t="shared" si="1"/>
        <v>02802</v>
      </c>
      <c r="B6" s="115">
        <v>2802</v>
      </c>
      <c r="C6" s="97" t="s">
        <v>99</v>
      </c>
      <c r="F6" s="139"/>
      <c r="G6" s="140" t="str">
        <f>IF(Список_сотрудников!$D6="","",Список_сотрудников!$D6)</f>
        <v/>
      </c>
      <c r="H6" s="118"/>
      <c r="I6" s="141" t="str">
        <f>IF(G6="","",SUM($N$3:$N$1001))</f>
        <v/>
      </c>
      <c r="J6" s="142" t="str">
        <f t="shared" si="0"/>
        <v/>
      </c>
      <c r="K6" s="130">
        <f>SUMIFS(ТГ_ИД!$E:$E,ТГ_ИД!$B:$B,ТГ!$G$3,ТГ_ИД!$D:$D,ТГ!$A7)</f>
        <v>8927.31</v>
      </c>
      <c r="L6" s="130">
        <f>SUMIFS(ТГ_ИД!$E:$E,ТГ_ИД!$B:$B,ТГ!$G$4,ТГ_ИД!$D:$D,ТГ!$A7)</f>
        <v>4528.96</v>
      </c>
      <c r="M6" s="130">
        <f>SUMIFS(ТГ_ИД!$E:$E,ТГ_ИД!$B:$B,ТГ!$G$5,ТГ_ИД!$D:$D,ТГ!$A7)</f>
        <v>0</v>
      </c>
      <c r="N6" s="130">
        <f>SUMIFS(ТГ_ИД!$E:$E,ТГ_ИД!$B:$B,ТГ!$G$6,ТГ_ИД!$D:$D,ТГ!$A7)</f>
        <v>0</v>
      </c>
      <c r="O6" s="130">
        <f>SUMIFS(ТГ_ИД!$E:$E,ТГ_ИД!$B:$B,ТГ!$G$7,ТГ_ИД!$D:$D,ТГ!$A7)</f>
        <v>0</v>
      </c>
      <c r="P6" s="130">
        <f>SUMIFS(ТГ_ИД!$E:$E,ТГ_ИД!$B:$B,ТГ!$G$8,ТГ_ИД!$D:$D,ТГ!$A7)</f>
        <v>0</v>
      </c>
      <c r="Q6" s="130">
        <f>SUMIFS(ТГ_ИД!$E:$E,ТГ_ИД!$B:$B,ТГ!$G$9,ТГ_ИД!$D:$D,ТГ!$A7)</f>
        <v>0</v>
      </c>
      <c r="R6" s="130">
        <f>SUMIFS(ТГ_ИД!$E:$E,ТГ_ИД!$B:$B,ТГ!$G$10,ТГ_ИД!$D:$D,ТГ!$A7)</f>
        <v>0</v>
      </c>
      <c r="S6" s="130">
        <f>SUMIFS(ТГ_ИД!$E:$E,ТГ_ИД!$B:$B,ТГ!$G$11,ТГ_ИД!$D:$D,ТГ!$A7)</f>
        <v>0</v>
      </c>
      <c r="T6" s="130">
        <f>SUMIFS(ТГ_ИД!$E:$E,ТГ_ИД!$B:$B,ТГ!$G$12,ТГ_ИД!$D:$D,ТГ!$A7)</f>
        <v>0</v>
      </c>
      <c r="U6" s="130">
        <f>SUMIFS(ТГ_ИД!$E:$E,ТГ_ИД!$B:$B,ТГ!$G$13,ТГ_ИД!$D:$D,ТГ!$A7)</f>
        <v>0</v>
      </c>
      <c r="V6" s="130">
        <f>SUMIFS(ТГ_ИД!$E:$E,ТГ_ИД!$B:$B,ТГ!$G$14,ТГ_ИД!$D:$D,ТГ!$A7)</f>
        <v>0</v>
      </c>
      <c r="X6" s="164">
        <v>1.2</v>
      </c>
      <c r="Y6" s="165">
        <v>1.19</v>
      </c>
    </row>
    <row r="7" spans="1:25" ht="15.75" thickBot="1" x14ac:dyDescent="0.3">
      <c r="A7" s="116" t="str">
        <f t="shared" si="1"/>
        <v>02803</v>
      </c>
      <c r="B7" s="115">
        <v>2803</v>
      </c>
      <c r="C7" s="97" t="s">
        <v>100</v>
      </c>
      <c r="F7" s="139"/>
      <c r="G7" s="140" t="str">
        <f>IF(Список_сотрудников!$D7="","",Список_сотрудников!$D7)</f>
        <v/>
      </c>
      <c r="H7" s="118"/>
      <c r="I7" s="141" t="str">
        <f>IF(G7="","",SUM($O$3:$O$1001))</f>
        <v/>
      </c>
      <c r="J7" s="142" t="str">
        <f t="shared" si="0"/>
        <v/>
      </c>
      <c r="K7" s="130">
        <f>SUMIFS(ТГ_ИД!$E:$E,ТГ_ИД!$B:$B,ТГ!$G$3,ТГ_ИД!$D:$D,ТГ!$A8)</f>
        <v>20306.82</v>
      </c>
      <c r="L7" s="130">
        <f>SUMIFS(ТГ_ИД!$E:$E,ТГ_ИД!$B:$B,ТГ!$G$4,ТГ_ИД!$D:$D,ТГ!$A8)</f>
        <v>10100.85</v>
      </c>
      <c r="M7" s="130">
        <f>SUMIFS(ТГ_ИД!$E:$E,ТГ_ИД!$B:$B,ТГ!$G$5,ТГ_ИД!$D:$D,ТГ!$A8)</f>
        <v>0</v>
      </c>
      <c r="N7" s="130">
        <f>SUMIFS(ТГ_ИД!$E:$E,ТГ_ИД!$B:$B,ТГ!$G$6,ТГ_ИД!$D:$D,ТГ!$A8)</f>
        <v>0</v>
      </c>
      <c r="O7" s="130">
        <f>SUMIFS(ТГ_ИД!$E:$E,ТГ_ИД!$B:$B,ТГ!$G$7,ТГ_ИД!$D:$D,ТГ!$A8)</f>
        <v>0</v>
      </c>
      <c r="P7" s="130">
        <f>SUMIFS(ТГ_ИД!$E:$E,ТГ_ИД!$B:$B,ТГ!$G$8,ТГ_ИД!$D:$D,ТГ!$A8)</f>
        <v>0</v>
      </c>
      <c r="Q7" s="130">
        <f>SUMIFS(ТГ_ИД!$E:$E,ТГ_ИД!$B:$B,ТГ!$G$9,ТГ_ИД!$D:$D,ТГ!$A8)</f>
        <v>0</v>
      </c>
      <c r="R7" s="130">
        <f>SUMIFS(ТГ_ИД!$E:$E,ТГ_ИД!$B:$B,ТГ!$G$10,ТГ_ИД!$D:$D,ТГ!$A8)</f>
        <v>0</v>
      </c>
      <c r="S7" s="130">
        <f>SUMIFS(ТГ_ИД!$E:$E,ТГ_ИД!$B:$B,ТГ!$G$11,ТГ_ИД!$D:$D,ТГ!$A8)</f>
        <v>0</v>
      </c>
      <c r="T7" s="130">
        <f>SUMIFS(ТГ_ИД!$E:$E,ТГ_ИД!$B:$B,ТГ!$G$12,ТГ_ИД!$D:$D,ТГ!$A8)</f>
        <v>0</v>
      </c>
      <c r="U7" s="130">
        <f>SUMIFS(ТГ_ИД!$E:$E,ТГ_ИД!$B:$B,ТГ!$G$13,ТГ_ИД!$D:$D,ТГ!$A8)</f>
        <v>0</v>
      </c>
      <c r="V7" s="130">
        <f>SUMIFS(ТГ_ИД!$E:$E,ТГ_ИД!$B:$B,ТГ!$G$14,ТГ_ИД!$D:$D,ТГ!$A8)</f>
        <v>0</v>
      </c>
      <c r="X7" s="166">
        <v>1.4</v>
      </c>
      <c r="Y7" s="167">
        <v>1.2</v>
      </c>
    </row>
    <row r="8" spans="1:25" x14ac:dyDescent="0.25">
      <c r="A8" s="116" t="str">
        <f t="shared" si="1"/>
        <v>02804</v>
      </c>
      <c r="B8" s="115">
        <v>2804</v>
      </c>
      <c r="C8" s="97" t="s">
        <v>101</v>
      </c>
      <c r="G8" s="140" t="str">
        <f>IF(Список_сотрудников!$D8="","",Список_сотрудников!$D8)</f>
        <v/>
      </c>
      <c r="H8" s="118"/>
      <c r="I8" s="141" t="str">
        <f>IF(G8="","",SUM($P$3:$P$1001))</f>
        <v/>
      </c>
      <c r="J8" s="142" t="str">
        <f t="shared" si="0"/>
        <v/>
      </c>
      <c r="K8" s="130">
        <f>SUMIFS(ТГ_ИД!$E:$E,ТГ_ИД!$B:$B,ТГ!$G$3,ТГ_ИД!$D:$D,ТГ!$A9)</f>
        <v>11391.86</v>
      </c>
      <c r="L8" s="130">
        <f>SUMIFS(ТГ_ИД!$E:$E,ТГ_ИД!$B:$B,ТГ!$G$4,ТГ_ИД!$D:$D,ТГ!$A9)</f>
        <v>11655.93</v>
      </c>
      <c r="M8" s="130">
        <f>SUMIFS(ТГ_ИД!$E:$E,ТГ_ИД!$B:$B,ТГ!$G$5,ТГ_ИД!$D:$D,ТГ!$A9)</f>
        <v>0</v>
      </c>
      <c r="N8" s="130">
        <f>SUMIFS(ТГ_ИД!$E:$E,ТГ_ИД!$B:$B,ТГ!$G$6,ТГ_ИД!$D:$D,ТГ!$A9)</f>
        <v>0</v>
      </c>
      <c r="O8" s="130">
        <f>SUMIFS(ТГ_ИД!$E:$E,ТГ_ИД!$B:$B,ТГ!$G$7,ТГ_ИД!$D:$D,ТГ!$A9)</f>
        <v>0</v>
      </c>
      <c r="P8" s="130">
        <f>SUMIFS(ТГ_ИД!$E:$E,ТГ_ИД!$B:$B,ТГ!$G$8,ТГ_ИД!$D:$D,ТГ!$A9)</f>
        <v>0</v>
      </c>
      <c r="Q8" s="130">
        <f>SUMIFS(ТГ_ИД!$E:$E,ТГ_ИД!$B:$B,ТГ!$G$9,ТГ_ИД!$D:$D,ТГ!$A9)</f>
        <v>0</v>
      </c>
      <c r="R8" s="130">
        <f>SUMIFS(ТГ_ИД!$E:$E,ТГ_ИД!$B:$B,ТГ!$G$10,ТГ_ИД!$D:$D,ТГ!$A9)</f>
        <v>0</v>
      </c>
      <c r="S8" s="130">
        <f>SUMIFS(ТГ_ИД!$E:$E,ТГ_ИД!$B:$B,ТГ!$G$11,ТГ_ИД!$D:$D,ТГ!$A9)</f>
        <v>0</v>
      </c>
      <c r="T8" s="130">
        <f>SUMIFS(ТГ_ИД!$E:$E,ТГ_ИД!$B:$B,ТГ!$G$12,ТГ_ИД!$D:$D,ТГ!$A9)</f>
        <v>0</v>
      </c>
      <c r="U8" s="130">
        <f>SUMIFS(ТГ_ИД!$E:$E,ТГ_ИД!$B:$B,ТГ!$G$13,ТГ_ИД!$D:$D,ТГ!$A9)</f>
        <v>0</v>
      </c>
      <c r="V8" s="130">
        <f>SUMIFS(ТГ_ИД!$E:$E,ТГ_ИД!$B:$B,ТГ!$G$14,ТГ_ИД!$D:$D,ТГ!$A9)</f>
        <v>0</v>
      </c>
    </row>
    <row r="9" spans="1:25" x14ac:dyDescent="0.25">
      <c r="A9" s="116" t="str">
        <f t="shared" si="1"/>
        <v>02805</v>
      </c>
      <c r="B9" s="115">
        <v>2805</v>
      </c>
      <c r="C9" s="97" t="s">
        <v>102</v>
      </c>
      <c r="G9" s="140" t="str">
        <f>IF(Список_сотрудников!$D9="","",Список_сотрудников!$D9)</f>
        <v/>
      </c>
      <c r="H9" s="118"/>
      <c r="I9" s="141" t="str">
        <f>IF(G9="","",SUM($Q$3:$Q$1001))</f>
        <v/>
      </c>
      <c r="J9" s="142" t="str">
        <f t="shared" si="0"/>
        <v/>
      </c>
      <c r="K9" s="130">
        <f>SUMIFS(ТГ_ИД!$E:$E,ТГ_ИД!$B:$B,ТГ!$G$3,ТГ_ИД!$D:$D,ТГ!$A10)</f>
        <v>12608.37</v>
      </c>
      <c r="L9" s="130">
        <f>SUMIFS(ТГ_ИД!$E:$E,ТГ_ИД!$B:$B,ТГ!$G$4,ТГ_ИД!$D:$D,ТГ!$A10)</f>
        <v>12918.11</v>
      </c>
      <c r="M9" s="130">
        <f>SUMIFS(ТГ_ИД!$E:$E,ТГ_ИД!$B:$B,ТГ!$G$5,ТГ_ИД!$D:$D,ТГ!$A10)</f>
        <v>0</v>
      </c>
      <c r="N9" s="130">
        <f>SUMIFS(ТГ_ИД!$E:$E,ТГ_ИД!$B:$B,ТГ!$G$6,ТГ_ИД!$D:$D,ТГ!$A10)</f>
        <v>0</v>
      </c>
      <c r="O9" s="130">
        <f>SUMIFS(ТГ_ИД!$E:$E,ТГ_ИД!$B:$B,ТГ!$G$7,ТГ_ИД!$D:$D,ТГ!$A10)</f>
        <v>0</v>
      </c>
      <c r="P9" s="130">
        <f>SUMIFS(ТГ_ИД!$E:$E,ТГ_ИД!$B:$B,ТГ!$G$8,ТГ_ИД!$D:$D,ТГ!$A10)</f>
        <v>0</v>
      </c>
      <c r="Q9" s="130">
        <f>SUMIFS(ТГ_ИД!$E:$E,ТГ_ИД!$B:$B,ТГ!$G$9,ТГ_ИД!$D:$D,ТГ!$A10)</f>
        <v>0</v>
      </c>
      <c r="R9" s="130">
        <f>SUMIFS(ТГ_ИД!$E:$E,ТГ_ИД!$B:$B,ТГ!$G$10,ТГ_ИД!$D:$D,ТГ!$A10)</f>
        <v>0</v>
      </c>
      <c r="S9" s="130">
        <f>SUMIFS(ТГ_ИД!$E:$E,ТГ_ИД!$B:$B,ТГ!$G$11,ТГ_ИД!$D:$D,ТГ!$A10)</f>
        <v>0</v>
      </c>
      <c r="T9" s="130">
        <f>SUMIFS(ТГ_ИД!$E:$E,ТГ_ИД!$B:$B,ТГ!$G$12,ТГ_ИД!$D:$D,ТГ!$A10)</f>
        <v>0</v>
      </c>
      <c r="U9" s="130">
        <f>SUMIFS(ТГ_ИД!$E:$E,ТГ_ИД!$B:$B,ТГ!$G$13,ТГ_ИД!$D:$D,ТГ!$A10)</f>
        <v>0</v>
      </c>
      <c r="V9" s="130">
        <f>SUMIFS(ТГ_ИД!$E:$E,ТГ_ИД!$B:$B,ТГ!$G$14,ТГ_ИД!$D:$D,ТГ!$A10)</f>
        <v>0</v>
      </c>
    </row>
    <row r="10" spans="1:25" x14ac:dyDescent="0.25">
      <c r="A10" s="116" t="str">
        <f t="shared" si="1"/>
        <v>02806</v>
      </c>
      <c r="B10" s="115">
        <v>2806</v>
      </c>
      <c r="C10" s="97" t="s">
        <v>103</v>
      </c>
      <c r="G10" s="140" t="str">
        <f>IF(Список_сотрудников!$D10="","",Список_сотрудников!$D10)</f>
        <v/>
      </c>
      <c r="H10" s="118"/>
      <c r="I10" s="141" t="str">
        <f>IF(G10="","",SUM($R$3:$R$1001))</f>
        <v/>
      </c>
      <c r="J10" s="142" t="str">
        <f t="shared" si="0"/>
        <v/>
      </c>
      <c r="K10" s="130">
        <f>SUMIFS(ТГ_ИД!$E:$E,ТГ_ИД!$B:$B,ТГ!$G$3,ТГ_ИД!$D:$D,ТГ!$A11)</f>
        <v>0</v>
      </c>
      <c r="L10" s="130">
        <f>SUMIFS(ТГ_ИД!$E:$E,ТГ_ИД!$B:$B,ТГ!$G$4,ТГ_ИД!$D:$D,ТГ!$A11)</f>
        <v>7031.45</v>
      </c>
      <c r="M10" s="130">
        <f>SUMIFS(ТГ_ИД!$E:$E,ТГ_ИД!$B:$B,ТГ!$G$5,ТГ_ИД!$D:$D,ТГ!$A11)</f>
        <v>0</v>
      </c>
      <c r="N10" s="130">
        <f>SUMIFS(ТГ_ИД!$E:$E,ТГ_ИД!$B:$B,ТГ!$G$6,ТГ_ИД!$D:$D,ТГ!$A11)</f>
        <v>0</v>
      </c>
      <c r="O10" s="130">
        <f>SUMIFS(ТГ_ИД!$E:$E,ТГ_ИД!$B:$B,ТГ!$G$7,ТГ_ИД!$D:$D,ТГ!$A11)</f>
        <v>0</v>
      </c>
      <c r="P10" s="130">
        <f>SUMIFS(ТГ_ИД!$E:$E,ТГ_ИД!$B:$B,ТГ!$G$8,ТГ_ИД!$D:$D,ТГ!$A11)</f>
        <v>0</v>
      </c>
      <c r="Q10" s="130">
        <f>SUMIFS(ТГ_ИД!$E:$E,ТГ_ИД!$B:$B,ТГ!$G$9,ТГ_ИД!$D:$D,ТГ!$A11)</f>
        <v>0</v>
      </c>
      <c r="R10" s="130">
        <f>SUMIFS(ТГ_ИД!$E:$E,ТГ_ИД!$B:$B,ТГ!$G$10,ТГ_ИД!$D:$D,ТГ!$A11)</f>
        <v>0</v>
      </c>
      <c r="S10" s="130">
        <f>SUMIFS(ТГ_ИД!$E:$E,ТГ_ИД!$B:$B,ТГ!$G$11,ТГ_ИД!$D:$D,ТГ!$A11)</f>
        <v>0</v>
      </c>
      <c r="T10" s="130">
        <f>SUMIFS(ТГ_ИД!$E:$E,ТГ_ИД!$B:$B,ТГ!$G$12,ТГ_ИД!$D:$D,ТГ!$A11)</f>
        <v>0</v>
      </c>
      <c r="U10" s="130">
        <f>SUMIFS(ТГ_ИД!$E:$E,ТГ_ИД!$B:$B,ТГ!$G$13,ТГ_ИД!$D:$D,ТГ!$A11)</f>
        <v>0</v>
      </c>
      <c r="V10" s="130">
        <f>SUMIFS(ТГ_ИД!$E:$E,ТГ_ИД!$B:$B,ТГ!$G$14,ТГ_ИД!$D:$D,ТГ!$A11)</f>
        <v>0</v>
      </c>
    </row>
    <row r="11" spans="1:25" x14ac:dyDescent="0.25">
      <c r="A11" s="116" t="str">
        <f t="shared" si="1"/>
        <v>02807</v>
      </c>
      <c r="B11" s="115">
        <v>2807</v>
      </c>
      <c r="C11" s="97" t="s">
        <v>104</v>
      </c>
      <c r="G11" s="140" t="str">
        <f>IF(Список_сотрудников!$D11="","",Список_сотрудников!$D11)</f>
        <v/>
      </c>
      <c r="H11" s="118"/>
      <c r="I11" s="141" t="str">
        <f>IF(G11="","",SUM($S$3:$S$1001))</f>
        <v/>
      </c>
      <c r="J11" s="142" t="str">
        <f t="shared" si="0"/>
        <v/>
      </c>
      <c r="K11" s="130">
        <f>SUMIFS(ТГ_ИД!$E:$E,ТГ_ИД!$B:$B,ТГ!$G$3,ТГ_ИД!$D:$D,ТГ!$A12)</f>
        <v>0</v>
      </c>
      <c r="L11" s="130">
        <f>SUMIFS(ТГ_ИД!$E:$E,ТГ_ИД!$B:$B,ТГ!$G$4,ТГ_ИД!$D:$D,ТГ!$A12)</f>
        <v>24130.2</v>
      </c>
      <c r="M11" s="130">
        <f>SUMIFS(ТГ_ИД!$E:$E,ТГ_ИД!$B:$B,ТГ!$G$5,ТГ_ИД!$D:$D,ТГ!$A12)</f>
        <v>0</v>
      </c>
      <c r="N11" s="130">
        <f>SUMIFS(ТГ_ИД!$E:$E,ТГ_ИД!$B:$B,ТГ!$G$6,ТГ_ИД!$D:$D,ТГ!$A12)</f>
        <v>0</v>
      </c>
      <c r="O11" s="130">
        <f>SUMIFS(ТГ_ИД!$E:$E,ТГ_ИД!$B:$B,ТГ!$G$7,ТГ_ИД!$D:$D,ТГ!$A12)</f>
        <v>0</v>
      </c>
      <c r="P11" s="130">
        <f>SUMIFS(ТГ_ИД!$E:$E,ТГ_ИД!$B:$B,ТГ!$G$8,ТГ_ИД!$D:$D,ТГ!$A12)</f>
        <v>0</v>
      </c>
      <c r="Q11" s="130">
        <f>SUMIFS(ТГ_ИД!$E:$E,ТГ_ИД!$B:$B,ТГ!$G$9,ТГ_ИД!$D:$D,ТГ!$A12)</f>
        <v>0</v>
      </c>
      <c r="R11" s="130">
        <f>SUMIFS(ТГ_ИД!$E:$E,ТГ_ИД!$B:$B,ТГ!$G$10,ТГ_ИД!$D:$D,ТГ!$A12)</f>
        <v>0</v>
      </c>
      <c r="S11" s="130">
        <f>SUMIFS(ТГ_ИД!$E:$E,ТГ_ИД!$B:$B,ТГ!$G$11,ТГ_ИД!$D:$D,ТГ!$A12)</f>
        <v>0</v>
      </c>
      <c r="T11" s="130">
        <f>SUMIFS(ТГ_ИД!$E:$E,ТГ_ИД!$B:$B,ТГ!$G$12,ТГ_ИД!$D:$D,ТГ!$A12)</f>
        <v>0</v>
      </c>
      <c r="U11" s="130">
        <f>SUMIFS(ТГ_ИД!$E:$E,ТГ_ИД!$B:$B,ТГ!$G$13,ТГ_ИД!$D:$D,ТГ!$A12)</f>
        <v>0</v>
      </c>
      <c r="V11" s="130">
        <f>SUMIFS(ТГ_ИД!$E:$E,ТГ_ИД!$B:$B,ТГ!$G$14,ТГ_ИД!$D:$D,ТГ!$A12)</f>
        <v>0</v>
      </c>
    </row>
    <row r="12" spans="1:25" x14ac:dyDescent="0.25">
      <c r="A12" s="116" t="str">
        <f t="shared" si="1"/>
        <v>02808</v>
      </c>
      <c r="B12" s="115">
        <v>2808</v>
      </c>
      <c r="C12" s="97" t="s">
        <v>105</v>
      </c>
      <c r="G12" s="140" t="str">
        <f>IF(Список_сотрудников!$D12="","",Список_сотрудников!$D12)</f>
        <v/>
      </c>
      <c r="H12" s="118"/>
      <c r="I12" s="141" t="str">
        <f>IF(G12="","",SUM($T$3:$T$1001))</f>
        <v/>
      </c>
      <c r="J12" s="142" t="str">
        <f t="shared" si="0"/>
        <v/>
      </c>
      <c r="K12" s="130">
        <f>SUMIFS(ТГ_ИД!$E:$E,ТГ_ИД!$B:$B,ТГ!$G$3,ТГ_ИД!$D:$D,ТГ!$A13)</f>
        <v>0</v>
      </c>
      <c r="L12" s="130">
        <f>SUMIFS(ТГ_ИД!$E:$E,ТГ_ИД!$B:$B,ТГ!$G$4,ТГ_ИД!$D:$D,ТГ!$A13)</f>
        <v>0</v>
      </c>
      <c r="M12" s="130">
        <f>SUMIFS(ТГ_ИД!$E:$E,ТГ_ИД!$B:$B,ТГ!$G$5,ТГ_ИД!$D:$D,ТГ!$A13)</f>
        <v>0</v>
      </c>
      <c r="N12" s="130">
        <f>SUMIFS(ТГ_ИД!$E:$E,ТГ_ИД!$B:$B,ТГ!$G$6,ТГ_ИД!$D:$D,ТГ!$A13)</f>
        <v>0</v>
      </c>
      <c r="O12" s="130">
        <f>SUMIFS(ТГ_ИД!$E:$E,ТГ_ИД!$B:$B,ТГ!$G$7,ТГ_ИД!$D:$D,ТГ!$A13)</f>
        <v>0</v>
      </c>
      <c r="P12" s="130">
        <f>SUMIFS(ТГ_ИД!$E:$E,ТГ_ИД!$B:$B,ТГ!$G$8,ТГ_ИД!$D:$D,ТГ!$A13)</f>
        <v>0</v>
      </c>
      <c r="Q12" s="130">
        <f>SUMIFS(ТГ_ИД!$E:$E,ТГ_ИД!$B:$B,ТГ!$G$9,ТГ_ИД!$D:$D,ТГ!$A13)</f>
        <v>0</v>
      </c>
      <c r="R12" s="130">
        <f>SUMIFS(ТГ_ИД!$E:$E,ТГ_ИД!$B:$B,ТГ!$G$10,ТГ_ИД!$D:$D,ТГ!$A13)</f>
        <v>0</v>
      </c>
      <c r="S12" s="130">
        <f>SUMIFS(ТГ_ИД!$E:$E,ТГ_ИД!$B:$B,ТГ!$G$11,ТГ_ИД!$D:$D,ТГ!$A13)</f>
        <v>0</v>
      </c>
      <c r="T12" s="130">
        <f>SUMIFS(ТГ_ИД!$E:$E,ТГ_ИД!$B:$B,ТГ!$G$12,ТГ_ИД!$D:$D,ТГ!$A13)</f>
        <v>0</v>
      </c>
      <c r="U12" s="130">
        <f>SUMIFS(ТГ_ИД!$E:$E,ТГ_ИД!$B:$B,ТГ!$G$13,ТГ_ИД!$D:$D,ТГ!$A13)</f>
        <v>0</v>
      </c>
      <c r="V12" s="130">
        <f>SUMIFS(ТГ_ИД!$E:$E,ТГ_ИД!$B:$B,ТГ!$G$14,ТГ_ИД!$D:$D,ТГ!$A13)</f>
        <v>0</v>
      </c>
    </row>
    <row r="13" spans="1:25" x14ac:dyDescent="0.25">
      <c r="A13" s="116" t="str">
        <f t="shared" si="1"/>
        <v>02809</v>
      </c>
      <c r="B13" s="115">
        <v>2809</v>
      </c>
      <c r="C13" s="97" t="s">
        <v>106</v>
      </c>
      <c r="G13" s="140" t="str">
        <f>IF(Список_сотрудников!$D13="","",Список_сотрудников!$D13)</f>
        <v/>
      </c>
      <c r="H13" s="118"/>
      <c r="I13" s="141"/>
      <c r="J13" s="142" t="str">
        <f t="shared" si="0"/>
        <v/>
      </c>
      <c r="K13" s="130">
        <f>SUMIFS(ТГ_ИД!$E:$E,ТГ_ИД!$B:$B,ТГ!$G$3,ТГ_ИД!$D:$D,ТГ!$A14)</f>
        <v>0</v>
      </c>
      <c r="L13" s="130">
        <f>SUMIFS(ТГ_ИД!$E:$E,ТГ_ИД!$B:$B,ТГ!$G$4,ТГ_ИД!$D:$D,ТГ!$A14)</f>
        <v>52077.939999999995</v>
      </c>
      <c r="M13" s="130">
        <f>SUMIFS(ТГ_ИД!$E:$E,ТГ_ИД!$B:$B,ТГ!$G$5,ТГ_ИД!$D:$D,ТГ!$A14)</f>
        <v>0</v>
      </c>
      <c r="N13" s="130">
        <f>SUMIFS(ТГ_ИД!$E:$E,ТГ_ИД!$B:$B,ТГ!$G$6,ТГ_ИД!$D:$D,ТГ!$A14)</f>
        <v>0</v>
      </c>
      <c r="O13" s="130">
        <f>SUMIFS(ТГ_ИД!$E:$E,ТГ_ИД!$B:$B,ТГ!$G$7,ТГ_ИД!$D:$D,ТГ!$A14)</f>
        <v>0</v>
      </c>
      <c r="P13" s="130">
        <f>SUMIFS(ТГ_ИД!$E:$E,ТГ_ИД!$B:$B,ТГ!$G$8,ТГ_ИД!$D:$D,ТГ!$A14)</f>
        <v>0</v>
      </c>
      <c r="Q13" s="130">
        <f>SUMIFS(ТГ_ИД!$E:$E,ТГ_ИД!$B:$B,ТГ!$G$9,ТГ_ИД!$D:$D,ТГ!$A14)</f>
        <v>0</v>
      </c>
      <c r="R13" s="130">
        <f>SUMIFS(ТГ_ИД!$E:$E,ТГ_ИД!$B:$B,ТГ!$G$10,ТГ_ИД!$D:$D,ТГ!$A14)</f>
        <v>0</v>
      </c>
      <c r="S13" s="130">
        <f>SUMIFS(ТГ_ИД!$E:$E,ТГ_ИД!$B:$B,ТГ!$G$11,ТГ_ИД!$D:$D,ТГ!$A14)</f>
        <v>0</v>
      </c>
      <c r="T13" s="130">
        <f>SUMIFS(ТГ_ИД!$E:$E,ТГ_ИД!$B:$B,ТГ!$G$12,ТГ_ИД!$D:$D,ТГ!$A14)</f>
        <v>0</v>
      </c>
      <c r="U13" s="130">
        <f>SUMIFS(ТГ_ИД!$E:$E,ТГ_ИД!$B:$B,ТГ!$G$13,ТГ_ИД!$D:$D,ТГ!$A14)</f>
        <v>0</v>
      </c>
      <c r="V13" s="130">
        <f>SUMIFS(ТГ_ИД!$E:$E,ТГ_ИД!$B:$B,ТГ!$G$14,ТГ_ИД!$D:$D,ТГ!$A14)</f>
        <v>0</v>
      </c>
    </row>
    <row r="14" spans="1:25" x14ac:dyDescent="0.25">
      <c r="A14" s="116" t="str">
        <f t="shared" si="1"/>
        <v>02810</v>
      </c>
      <c r="B14" s="115">
        <v>2810</v>
      </c>
      <c r="C14" s="97" t="s">
        <v>107</v>
      </c>
      <c r="G14" s="140" t="str">
        <f>IF(Список_сотрудников!$D14="","",Список_сотрудников!$D14)</f>
        <v/>
      </c>
      <c r="H14" s="118"/>
      <c r="I14" s="141"/>
      <c r="J14" s="142" t="str">
        <f t="shared" si="0"/>
        <v/>
      </c>
      <c r="K14" s="130">
        <f>SUMIFS(ТГ_ИД!$E:$E,ТГ_ИД!$B:$B,ТГ!$G$3,ТГ_ИД!$D:$D,ТГ!$A15)</f>
        <v>0</v>
      </c>
      <c r="L14" s="130">
        <f>SUMIFS(ТГ_ИД!$E:$E,ТГ_ИД!$B:$B,ТГ!$G$4,ТГ_ИД!$D:$D,ТГ!$A15)</f>
        <v>0</v>
      </c>
      <c r="M14" s="130">
        <f>SUMIFS(ТГ_ИД!$E:$E,ТГ_ИД!$B:$B,ТГ!$G$5,ТГ_ИД!$D:$D,ТГ!$A15)</f>
        <v>0</v>
      </c>
      <c r="N14" s="130">
        <f>SUMIFS(ТГ_ИД!$E:$E,ТГ_ИД!$B:$B,ТГ!$G$6,ТГ_ИД!$D:$D,ТГ!$A15)</f>
        <v>0</v>
      </c>
      <c r="O14" s="130">
        <f>SUMIFS(ТГ_ИД!$E:$E,ТГ_ИД!$B:$B,ТГ!$G$7,ТГ_ИД!$D:$D,ТГ!$A15)</f>
        <v>0</v>
      </c>
      <c r="P14" s="130">
        <f>SUMIFS(ТГ_ИД!$E:$E,ТГ_ИД!$B:$B,ТГ!$G$8,ТГ_ИД!$D:$D,ТГ!$A15)</f>
        <v>0</v>
      </c>
      <c r="Q14" s="130">
        <f>SUMIFS(ТГ_ИД!$E:$E,ТГ_ИД!$B:$B,ТГ!$G$9,ТГ_ИД!$D:$D,ТГ!$A15)</f>
        <v>0</v>
      </c>
      <c r="R14" s="130">
        <f>SUMIFS(ТГ_ИД!$E:$E,ТГ_ИД!$B:$B,ТГ!$G$10,ТГ_ИД!$D:$D,ТГ!$A15)</f>
        <v>0</v>
      </c>
      <c r="S14" s="130">
        <f>SUMIFS(ТГ_ИД!$E:$E,ТГ_ИД!$B:$B,ТГ!$G$11,ТГ_ИД!$D:$D,ТГ!$A15)</f>
        <v>0</v>
      </c>
      <c r="T14" s="130">
        <f>SUMIFS(ТГ_ИД!$E:$E,ТГ_ИД!$B:$B,ТГ!$G$12,ТГ_ИД!$D:$D,ТГ!$A15)</f>
        <v>0</v>
      </c>
      <c r="U14" s="130">
        <f>SUMIFS(ТГ_ИД!$E:$E,ТГ_ИД!$B:$B,ТГ!$G$13,ТГ_ИД!$D:$D,ТГ!$A15)</f>
        <v>0</v>
      </c>
      <c r="V14" s="130">
        <f>SUMIFS(ТГ_ИД!$E:$E,ТГ_ИД!$B:$B,ТГ!$G$14,ТГ_ИД!$D:$D,ТГ!$A15)</f>
        <v>0</v>
      </c>
    </row>
    <row r="15" spans="1:25" x14ac:dyDescent="0.25">
      <c r="A15" s="116" t="str">
        <f t="shared" si="1"/>
        <v/>
      </c>
      <c r="K15" s="130">
        <f>SUMIFS(ТГ_ИД!$E:$E,ТГ_ИД!$B:$B,ТГ!$G$3,ТГ_ИД!$D:$D,ТГ!$A16)</f>
        <v>83311.08</v>
      </c>
      <c r="L15" s="130">
        <f>SUMIFS(ТГ_ИД!$E:$E,ТГ_ИД!$B:$B,ТГ!$G$4,ТГ_ИД!$D:$D,ТГ!$A16)</f>
        <v>42626.23</v>
      </c>
      <c r="M15" s="130">
        <f>SUMIFS(ТГ_ИД!$E:$E,ТГ_ИД!$B:$B,ТГ!$G$5,ТГ_ИД!$D:$D,ТГ!$A16)</f>
        <v>0</v>
      </c>
      <c r="N15" s="130">
        <f>SUMIFS(ТГ_ИД!$E:$E,ТГ_ИД!$B:$B,ТГ!$G$6,ТГ_ИД!$D:$D,ТГ!$A16)</f>
        <v>0</v>
      </c>
      <c r="O15" s="130">
        <f>SUMIFS(ТГ_ИД!$E:$E,ТГ_ИД!$B:$B,ТГ!$G$7,ТГ_ИД!$D:$D,ТГ!$A16)</f>
        <v>0</v>
      </c>
      <c r="P15" s="130">
        <f>SUMIFS(ТГ_ИД!$E:$E,ТГ_ИД!$B:$B,ТГ!$G$8,ТГ_ИД!$D:$D,ТГ!$A16)</f>
        <v>0</v>
      </c>
      <c r="Q15" s="130">
        <f>SUMIFS(ТГ_ИД!$E:$E,ТГ_ИД!$B:$B,ТГ!$G$9,ТГ_ИД!$D:$D,ТГ!$A16)</f>
        <v>0</v>
      </c>
      <c r="R15" s="130">
        <f>SUMIFS(ТГ_ИД!$E:$E,ТГ_ИД!$B:$B,ТГ!$G$10,ТГ_ИД!$D:$D,ТГ!$A16)</f>
        <v>0</v>
      </c>
      <c r="S15" s="130">
        <f>SUMIFS(ТГ_ИД!$E:$E,ТГ_ИД!$B:$B,ТГ!$G$11,ТГ_ИД!$D:$D,ТГ!$A16)</f>
        <v>0</v>
      </c>
      <c r="T15" s="130">
        <f>SUMIFS(ТГ_ИД!$E:$E,ТГ_ИД!$B:$B,ТГ!$G$12,ТГ_ИД!$D:$D,ТГ!$A16)</f>
        <v>0</v>
      </c>
      <c r="U15" s="130">
        <f>SUMIFS(ТГ_ИД!$E:$E,ТГ_ИД!$B:$B,ТГ!$G$13,ТГ_ИД!$D:$D,ТГ!$A16)</f>
        <v>0</v>
      </c>
      <c r="V15" s="130">
        <f>SUMIFS(ТГ_ИД!$E:$E,ТГ_ИД!$B:$B,ТГ!$G$14,ТГ_ИД!$D:$D,ТГ!$A16)</f>
        <v>0</v>
      </c>
    </row>
    <row r="16" spans="1:25" x14ac:dyDescent="0.25">
      <c r="A16" s="116" t="str">
        <f t="shared" si="1"/>
        <v>02731</v>
      </c>
      <c r="B16" s="115">
        <v>2731</v>
      </c>
      <c r="C16" s="97" t="s">
        <v>108</v>
      </c>
      <c r="K16" s="130">
        <f>SUMIFS(ТГ_ИД!$E:$E,ТГ_ИД!$B:$B,ТГ!$G$3,ТГ_ИД!$D:$D,ТГ!$A17)</f>
        <v>0</v>
      </c>
      <c r="L16" s="130">
        <f>SUMIFS(ТГ_ИД!$E:$E,ТГ_ИД!$B:$B,ТГ!$G$4,ТГ_ИД!$D:$D,ТГ!$A17)</f>
        <v>0</v>
      </c>
      <c r="M16" s="130">
        <f>SUMIFS(ТГ_ИД!$E:$E,ТГ_ИД!$B:$B,ТГ!$G$5,ТГ_ИД!$D:$D,ТГ!$A17)</f>
        <v>0</v>
      </c>
      <c r="N16" s="130">
        <f>SUMIFS(ТГ_ИД!$E:$E,ТГ_ИД!$B:$B,ТГ!$G$6,ТГ_ИД!$D:$D,ТГ!$A17)</f>
        <v>0</v>
      </c>
      <c r="O16" s="130">
        <f>SUMIFS(ТГ_ИД!$E:$E,ТГ_ИД!$B:$B,ТГ!$G$7,ТГ_ИД!$D:$D,ТГ!$A17)</f>
        <v>0</v>
      </c>
      <c r="P16" s="130">
        <f>SUMIFS(ТГ_ИД!$E:$E,ТГ_ИД!$B:$B,ТГ!$G$8,ТГ_ИД!$D:$D,ТГ!$A17)</f>
        <v>0</v>
      </c>
      <c r="Q16" s="130">
        <f>SUMIFS(ТГ_ИД!$E:$E,ТГ_ИД!$B:$B,ТГ!$G$9,ТГ_ИД!$D:$D,ТГ!$A17)</f>
        <v>0</v>
      </c>
      <c r="R16" s="130">
        <f>SUMIFS(ТГ_ИД!$E:$E,ТГ_ИД!$B:$B,ТГ!$G$10,ТГ_ИД!$D:$D,ТГ!$A17)</f>
        <v>0</v>
      </c>
      <c r="S16" s="130">
        <f>SUMIFS(ТГ_ИД!$E:$E,ТГ_ИД!$B:$B,ТГ!$G$11,ТГ_ИД!$D:$D,ТГ!$A17)</f>
        <v>0</v>
      </c>
      <c r="T16" s="130">
        <f>SUMIFS(ТГ_ИД!$E:$E,ТГ_ИД!$B:$B,ТГ!$G$12,ТГ_ИД!$D:$D,ТГ!$A17)</f>
        <v>0</v>
      </c>
      <c r="U16" s="130">
        <f>SUMIFS(ТГ_ИД!$E:$E,ТГ_ИД!$B:$B,ТГ!$G$13,ТГ_ИД!$D:$D,ТГ!$A17)</f>
        <v>0</v>
      </c>
      <c r="V16" s="130">
        <f>SUMIFS(ТГ_ИД!$E:$E,ТГ_ИД!$B:$B,ТГ!$G$14,ТГ_ИД!$D:$D,ТГ!$A17)</f>
        <v>0</v>
      </c>
    </row>
    <row r="17" spans="1:22" x14ac:dyDescent="0.25">
      <c r="A17" s="116" t="str">
        <f t="shared" si="1"/>
        <v/>
      </c>
      <c r="K17" s="130">
        <f>SUMIFS(ТГ_ИД!$E:$E,ТГ_ИД!$B:$B,ТГ!$G$3,ТГ_ИД!$D:$D,ТГ!$A18)</f>
        <v>0</v>
      </c>
      <c r="L17" s="130">
        <f>SUMIFS(ТГ_ИД!$E:$E,ТГ_ИД!$B:$B,ТГ!$G$4,ТГ_ИД!$D:$D,ТГ!$A18)</f>
        <v>0</v>
      </c>
      <c r="M17" s="130">
        <f>SUMIFS(ТГ_ИД!$E:$E,ТГ_ИД!$B:$B,ТГ!$G$5,ТГ_ИД!$D:$D,ТГ!$A18)</f>
        <v>0</v>
      </c>
      <c r="N17" s="130">
        <f>SUMIFS(ТГ_ИД!$E:$E,ТГ_ИД!$B:$B,ТГ!$G$6,ТГ_ИД!$D:$D,ТГ!$A18)</f>
        <v>0</v>
      </c>
      <c r="O17" s="130">
        <f>SUMIFS(ТГ_ИД!$E:$E,ТГ_ИД!$B:$B,ТГ!$G$7,ТГ_ИД!$D:$D,ТГ!$A18)</f>
        <v>0</v>
      </c>
      <c r="P17" s="130">
        <f>SUMIFS(ТГ_ИД!$E:$E,ТГ_ИД!$B:$B,ТГ!$G$8,ТГ_ИД!$D:$D,ТГ!$A18)</f>
        <v>0</v>
      </c>
      <c r="Q17" s="130">
        <f>SUMIFS(ТГ_ИД!$E:$E,ТГ_ИД!$B:$B,ТГ!$G$9,ТГ_ИД!$D:$D,ТГ!$A18)</f>
        <v>0</v>
      </c>
      <c r="R17" s="130">
        <f>SUMIFS(ТГ_ИД!$E:$E,ТГ_ИД!$B:$B,ТГ!$G$10,ТГ_ИД!$D:$D,ТГ!$A18)</f>
        <v>0</v>
      </c>
      <c r="S17" s="130">
        <f>SUMIFS(ТГ_ИД!$E:$E,ТГ_ИД!$B:$B,ТГ!$G$11,ТГ_ИД!$D:$D,ТГ!$A18)</f>
        <v>0</v>
      </c>
      <c r="T17" s="130">
        <f>SUMIFS(ТГ_ИД!$E:$E,ТГ_ИД!$B:$B,ТГ!$G$12,ТГ_ИД!$D:$D,ТГ!$A18)</f>
        <v>0</v>
      </c>
      <c r="U17" s="130">
        <f>SUMIFS(ТГ_ИД!$E:$E,ТГ_ИД!$B:$B,ТГ!$G$13,ТГ_ИД!$D:$D,ТГ!$A18)</f>
        <v>0</v>
      </c>
      <c r="V17" s="130">
        <f>SUMIFS(ТГ_ИД!$E:$E,ТГ_ИД!$B:$B,ТГ!$G$14,ТГ_ИД!$D:$D,ТГ!$A18)</f>
        <v>0</v>
      </c>
    </row>
    <row r="18" spans="1:22" hidden="1" x14ac:dyDescent="0.25">
      <c r="A18" s="116" t="str">
        <f t="shared" si="1"/>
        <v>02595</v>
      </c>
      <c r="B18" s="115">
        <v>2595</v>
      </c>
      <c r="C18" s="97"/>
      <c r="K18" s="130">
        <f>SUMIFS(ТГ_ИД!$E:$E,ТГ_ИД!$B:$B,ТГ!$G$3,ТГ_ИД!$D:$D,ТГ!$A19)</f>
        <v>0</v>
      </c>
      <c r="L18" s="130">
        <f>SUMIFS(ТГ_ИД!$E:$E,ТГ_ИД!$B:$B,ТГ!$G$4,ТГ_ИД!$D:$D,ТГ!$A19)</f>
        <v>0</v>
      </c>
      <c r="M18" s="130">
        <f>SUMIFS(ТГ_ИД!$E:$E,ТГ_ИД!$B:$B,ТГ!$G$5,ТГ_ИД!$D:$D,ТГ!$A19)</f>
        <v>0</v>
      </c>
      <c r="N18" s="130">
        <f>SUMIFS(ТГ_ИД!$E:$E,ТГ_ИД!$B:$B,ТГ!$G$6,ТГ_ИД!$D:$D,ТГ!$A19)</f>
        <v>0</v>
      </c>
      <c r="O18" s="130">
        <f>SUMIFS(ТГ_ИД!$E:$E,ТГ_ИД!$B:$B,ТГ!$G$7,ТГ_ИД!$D:$D,ТГ!$A19)</f>
        <v>0</v>
      </c>
      <c r="P18" s="130">
        <f>SUMIFS(ТГ_ИД!$E:$E,ТГ_ИД!$B:$B,ТГ!$G$8,ТГ_ИД!$D:$D,ТГ!$A19)</f>
        <v>0</v>
      </c>
      <c r="Q18" s="130">
        <f>SUMIFS(ТГ_ИД!$E:$E,ТГ_ИД!$B:$B,ТГ!$G$9,ТГ_ИД!$D:$D,ТГ!$A19)</f>
        <v>0</v>
      </c>
      <c r="R18" s="130">
        <f>SUMIFS(ТГ_ИД!$E:$E,ТГ_ИД!$B:$B,ТГ!$G$10,ТГ_ИД!$D:$D,ТГ!$A19)</f>
        <v>0</v>
      </c>
      <c r="S18" s="130">
        <f>SUMIFS(ТГ_ИД!$E:$E,ТГ_ИД!$B:$B,ТГ!$G$11,ТГ_ИД!$D:$D,ТГ!$A19)</f>
        <v>0</v>
      </c>
      <c r="T18" s="130">
        <f>SUMIFS(ТГ_ИД!$E:$E,ТГ_ИД!$B:$B,ТГ!$G$12,ТГ_ИД!$D:$D,ТГ!$A19)</f>
        <v>0</v>
      </c>
      <c r="U18" s="130">
        <f>SUMIFS(ТГ_ИД!$E:$E,ТГ_ИД!$B:$B,ТГ!$G$13,ТГ_ИД!$D:$D,ТГ!$A19)</f>
        <v>0</v>
      </c>
      <c r="V18" s="130">
        <f>SUMIFS(ТГ_ИД!$E:$E,ТГ_ИД!$B:$B,ТГ!$G$14,ТГ_ИД!$D:$D,ТГ!$A19)</f>
        <v>0</v>
      </c>
    </row>
    <row r="19" spans="1:22" hidden="1" x14ac:dyDescent="0.25">
      <c r="A19" s="116" t="str">
        <f t="shared" si="1"/>
        <v>02596</v>
      </c>
      <c r="B19" s="115">
        <v>2596</v>
      </c>
      <c r="C19" s="97"/>
      <c r="K19" s="130">
        <f>SUMIFS(ТГ_ИД!$E:$E,ТГ_ИД!$B:$B,ТГ!$G$3,ТГ_ИД!$D:$D,ТГ!$A20)</f>
        <v>0</v>
      </c>
      <c r="L19" s="130">
        <f>SUMIFS(ТГ_ИД!$E:$E,ТГ_ИД!$B:$B,ТГ!$G$4,ТГ_ИД!$D:$D,ТГ!$A20)</f>
        <v>0</v>
      </c>
      <c r="M19" s="130">
        <f>SUMIFS(ТГ_ИД!$E:$E,ТГ_ИД!$B:$B,ТГ!$G$5,ТГ_ИД!$D:$D,ТГ!$A20)</f>
        <v>0</v>
      </c>
      <c r="N19" s="130">
        <f>SUMIFS(ТГ_ИД!$E:$E,ТГ_ИД!$B:$B,ТГ!$G$6,ТГ_ИД!$D:$D,ТГ!$A20)</f>
        <v>0</v>
      </c>
      <c r="O19" s="130">
        <f>SUMIFS(ТГ_ИД!$E:$E,ТГ_ИД!$B:$B,ТГ!$G$7,ТГ_ИД!$D:$D,ТГ!$A20)</f>
        <v>0</v>
      </c>
      <c r="P19" s="130">
        <f>SUMIFS(ТГ_ИД!$E:$E,ТГ_ИД!$B:$B,ТГ!$G$8,ТГ_ИД!$D:$D,ТГ!$A20)</f>
        <v>0</v>
      </c>
      <c r="Q19" s="130">
        <f>SUMIFS(ТГ_ИД!$E:$E,ТГ_ИД!$B:$B,ТГ!$G$9,ТГ_ИД!$D:$D,ТГ!$A20)</f>
        <v>0</v>
      </c>
      <c r="R19" s="130">
        <f>SUMIFS(ТГ_ИД!$E:$E,ТГ_ИД!$B:$B,ТГ!$G$10,ТГ_ИД!$D:$D,ТГ!$A20)</f>
        <v>0</v>
      </c>
      <c r="S19" s="130">
        <f>SUMIFS(ТГ_ИД!$E:$E,ТГ_ИД!$B:$B,ТГ!$G$11,ТГ_ИД!$D:$D,ТГ!$A20)</f>
        <v>0</v>
      </c>
      <c r="T19" s="130">
        <f>SUMIFS(ТГ_ИД!$E:$E,ТГ_ИД!$B:$B,ТГ!$G$12,ТГ_ИД!$D:$D,ТГ!$A20)</f>
        <v>0</v>
      </c>
      <c r="U19" s="130">
        <f>SUMIFS(ТГ_ИД!$E:$E,ТГ_ИД!$B:$B,ТГ!$G$13,ТГ_ИД!$D:$D,ТГ!$A20)</f>
        <v>0</v>
      </c>
      <c r="V19" s="130">
        <f>SUMIFS(ТГ_ИД!$E:$E,ТГ_ИД!$B:$B,ТГ!$G$14,ТГ_ИД!$D:$D,ТГ!$A20)</f>
        <v>0</v>
      </c>
    </row>
    <row r="20" spans="1:22" hidden="1" x14ac:dyDescent="0.25">
      <c r="A20" s="116" t="str">
        <f t="shared" si="1"/>
        <v>02597</v>
      </c>
      <c r="B20" s="115">
        <v>2597</v>
      </c>
      <c r="C20" s="97"/>
      <c r="K20" s="130">
        <f>SUMIFS(ТГ_ИД!$E:$E,ТГ_ИД!$B:$B,ТГ!$G$3,ТГ_ИД!$D:$D,ТГ!$A21)</f>
        <v>0</v>
      </c>
      <c r="L20" s="130">
        <f>SUMIFS(ТГ_ИД!$E:$E,ТГ_ИД!$B:$B,ТГ!$G$4,ТГ_ИД!$D:$D,ТГ!$A21)</f>
        <v>0</v>
      </c>
      <c r="M20" s="130">
        <f>SUMIFS(ТГ_ИД!$E:$E,ТГ_ИД!$B:$B,ТГ!$G$5,ТГ_ИД!$D:$D,ТГ!$A21)</f>
        <v>0</v>
      </c>
      <c r="N20" s="130">
        <f>SUMIFS(ТГ_ИД!$E:$E,ТГ_ИД!$B:$B,ТГ!$G$6,ТГ_ИД!$D:$D,ТГ!$A21)</f>
        <v>0</v>
      </c>
      <c r="O20" s="130">
        <f>SUMIFS(ТГ_ИД!$E:$E,ТГ_ИД!$B:$B,ТГ!$G$7,ТГ_ИД!$D:$D,ТГ!$A21)</f>
        <v>0</v>
      </c>
      <c r="P20" s="130">
        <f>SUMIFS(ТГ_ИД!$E:$E,ТГ_ИД!$B:$B,ТГ!$G$8,ТГ_ИД!$D:$D,ТГ!$A21)</f>
        <v>0</v>
      </c>
      <c r="Q20" s="130">
        <f>SUMIFS(ТГ_ИД!$E:$E,ТГ_ИД!$B:$B,ТГ!$G$9,ТГ_ИД!$D:$D,ТГ!$A21)</f>
        <v>0</v>
      </c>
      <c r="R20" s="130">
        <f>SUMIFS(ТГ_ИД!$E:$E,ТГ_ИД!$B:$B,ТГ!$G$10,ТГ_ИД!$D:$D,ТГ!$A21)</f>
        <v>0</v>
      </c>
      <c r="S20" s="130">
        <f>SUMIFS(ТГ_ИД!$E:$E,ТГ_ИД!$B:$B,ТГ!$G$11,ТГ_ИД!$D:$D,ТГ!$A21)</f>
        <v>0</v>
      </c>
      <c r="T20" s="130">
        <f>SUMIFS(ТГ_ИД!$E:$E,ТГ_ИД!$B:$B,ТГ!$G$12,ТГ_ИД!$D:$D,ТГ!$A21)</f>
        <v>0</v>
      </c>
      <c r="U20" s="130">
        <f>SUMIFS(ТГ_ИД!$E:$E,ТГ_ИД!$B:$B,ТГ!$G$13,ТГ_ИД!$D:$D,ТГ!$A21)</f>
        <v>0</v>
      </c>
      <c r="V20" s="130">
        <f>SUMIFS(ТГ_ИД!$E:$E,ТГ_ИД!$B:$B,ТГ!$G$14,ТГ_ИД!$D:$D,ТГ!$A21)</f>
        <v>0</v>
      </c>
    </row>
    <row r="21" spans="1:22" hidden="1" x14ac:dyDescent="0.25">
      <c r="A21" s="116" t="str">
        <f t="shared" si="1"/>
        <v>02598</v>
      </c>
      <c r="B21" s="115">
        <v>2598</v>
      </c>
      <c r="C21" s="97"/>
      <c r="K21" s="130">
        <f>SUMIFS(ТГ_ИД!$E:$E,ТГ_ИД!$B:$B,ТГ!$G$3,ТГ_ИД!$D:$D,ТГ!$A22)</f>
        <v>0</v>
      </c>
      <c r="L21" s="130">
        <f>SUMIFS(ТГ_ИД!$E:$E,ТГ_ИД!$B:$B,ТГ!$G$4,ТГ_ИД!$D:$D,ТГ!$A22)</f>
        <v>0</v>
      </c>
      <c r="M21" s="130">
        <f>SUMIFS(ТГ_ИД!$E:$E,ТГ_ИД!$B:$B,ТГ!$G$5,ТГ_ИД!$D:$D,ТГ!$A22)</f>
        <v>0</v>
      </c>
      <c r="N21" s="130">
        <f>SUMIFS(ТГ_ИД!$E:$E,ТГ_ИД!$B:$B,ТГ!$G$6,ТГ_ИД!$D:$D,ТГ!$A22)</f>
        <v>0</v>
      </c>
      <c r="O21" s="130">
        <f>SUMIFS(ТГ_ИД!$E:$E,ТГ_ИД!$B:$B,ТГ!$G$7,ТГ_ИД!$D:$D,ТГ!$A22)</f>
        <v>0</v>
      </c>
      <c r="P21" s="130">
        <f>SUMIFS(ТГ_ИД!$E:$E,ТГ_ИД!$B:$B,ТГ!$G$8,ТГ_ИД!$D:$D,ТГ!$A22)</f>
        <v>0</v>
      </c>
      <c r="Q21" s="130">
        <f>SUMIFS(ТГ_ИД!$E:$E,ТГ_ИД!$B:$B,ТГ!$G$9,ТГ_ИД!$D:$D,ТГ!$A22)</f>
        <v>0</v>
      </c>
      <c r="R21" s="130">
        <f>SUMIFS(ТГ_ИД!$E:$E,ТГ_ИД!$B:$B,ТГ!$G$10,ТГ_ИД!$D:$D,ТГ!$A22)</f>
        <v>0</v>
      </c>
      <c r="S21" s="130">
        <f>SUMIFS(ТГ_ИД!$E:$E,ТГ_ИД!$B:$B,ТГ!$G$11,ТГ_ИД!$D:$D,ТГ!$A22)</f>
        <v>0</v>
      </c>
      <c r="T21" s="130">
        <f>SUMIFS(ТГ_ИД!$E:$E,ТГ_ИД!$B:$B,ТГ!$G$12,ТГ_ИД!$D:$D,ТГ!$A22)</f>
        <v>0</v>
      </c>
      <c r="U21" s="130">
        <f>SUMIFS(ТГ_ИД!$E:$E,ТГ_ИД!$B:$B,ТГ!$G$13,ТГ_ИД!$D:$D,ТГ!$A22)</f>
        <v>0</v>
      </c>
      <c r="V21" s="130">
        <f>SUMIFS(ТГ_ИД!$E:$E,ТГ_ИД!$B:$B,ТГ!$G$14,ТГ_ИД!$D:$D,ТГ!$A22)</f>
        <v>0</v>
      </c>
    </row>
    <row r="22" spans="1:22" hidden="1" x14ac:dyDescent="0.25">
      <c r="A22" s="116" t="str">
        <f t="shared" si="1"/>
        <v>02599</v>
      </c>
      <c r="B22" s="115">
        <v>2599</v>
      </c>
      <c r="C22" s="97"/>
      <c r="K22" s="130">
        <f>SUMIFS(ТГ_ИД!$E:$E,ТГ_ИД!$B:$B,ТГ!$G$3,ТГ_ИД!$D:$D,ТГ!$A23)</f>
        <v>0</v>
      </c>
      <c r="L22" s="130">
        <f>SUMIFS(ТГ_ИД!$E:$E,ТГ_ИД!$B:$B,ТГ!$G$4,ТГ_ИД!$D:$D,ТГ!$A23)</f>
        <v>0</v>
      </c>
      <c r="M22" s="130">
        <f>SUMIFS(ТГ_ИД!$E:$E,ТГ_ИД!$B:$B,ТГ!$G$5,ТГ_ИД!$D:$D,ТГ!$A23)</f>
        <v>0</v>
      </c>
      <c r="N22" s="130">
        <f>SUMIFS(ТГ_ИД!$E:$E,ТГ_ИД!$B:$B,ТГ!$G$6,ТГ_ИД!$D:$D,ТГ!$A23)</f>
        <v>0</v>
      </c>
      <c r="O22" s="130">
        <f>SUMIFS(ТГ_ИД!$E:$E,ТГ_ИД!$B:$B,ТГ!$G$7,ТГ_ИД!$D:$D,ТГ!$A23)</f>
        <v>0</v>
      </c>
      <c r="P22" s="130">
        <f>SUMIFS(ТГ_ИД!$E:$E,ТГ_ИД!$B:$B,ТГ!$G$8,ТГ_ИД!$D:$D,ТГ!$A23)</f>
        <v>0</v>
      </c>
      <c r="Q22" s="130">
        <f>SUMIFS(ТГ_ИД!$E:$E,ТГ_ИД!$B:$B,ТГ!$G$9,ТГ_ИД!$D:$D,ТГ!$A23)</f>
        <v>0</v>
      </c>
      <c r="R22" s="130">
        <f>SUMIFS(ТГ_ИД!$E:$E,ТГ_ИД!$B:$B,ТГ!$G$10,ТГ_ИД!$D:$D,ТГ!$A23)</f>
        <v>0</v>
      </c>
      <c r="S22" s="130">
        <f>SUMIFS(ТГ_ИД!$E:$E,ТГ_ИД!$B:$B,ТГ!$G$11,ТГ_ИД!$D:$D,ТГ!$A23)</f>
        <v>0</v>
      </c>
      <c r="T22" s="130">
        <f>SUMIFS(ТГ_ИД!$E:$E,ТГ_ИД!$B:$B,ТГ!$G$12,ТГ_ИД!$D:$D,ТГ!$A23)</f>
        <v>0</v>
      </c>
      <c r="U22" s="130">
        <f>SUMIFS(ТГ_ИД!$E:$E,ТГ_ИД!$B:$B,ТГ!$G$13,ТГ_ИД!$D:$D,ТГ!$A23)</f>
        <v>0</v>
      </c>
      <c r="V22" s="130">
        <f>SUMIFS(ТГ_ИД!$E:$E,ТГ_ИД!$B:$B,ТГ!$G$14,ТГ_ИД!$D:$D,ТГ!$A23)</f>
        <v>0</v>
      </c>
    </row>
    <row r="23" spans="1:22" hidden="1" x14ac:dyDescent="0.25">
      <c r="A23" s="116" t="str">
        <f t="shared" si="1"/>
        <v>02600</v>
      </c>
      <c r="B23" s="115">
        <v>2600</v>
      </c>
      <c r="C23" s="97"/>
      <c r="K23" s="130">
        <f>SUMIFS(ТГ_ИД!$E:$E,ТГ_ИД!$B:$B,ТГ!$G$3,ТГ_ИД!$D:$D,ТГ!$A24)</f>
        <v>3723.29</v>
      </c>
      <c r="L23" s="130">
        <f>SUMIFS(ТГ_ИД!$E:$E,ТГ_ИД!$B:$B,ТГ!$G$4,ТГ_ИД!$D:$D,ТГ!$A24)</f>
        <v>4426.72</v>
      </c>
      <c r="M23" s="130">
        <f>SUMIFS(ТГ_ИД!$E:$E,ТГ_ИД!$B:$B,ТГ!$G$5,ТГ_ИД!$D:$D,ТГ!$A24)</f>
        <v>0</v>
      </c>
      <c r="N23" s="130">
        <f>SUMIFS(ТГ_ИД!$E:$E,ТГ_ИД!$B:$B,ТГ!$G$6,ТГ_ИД!$D:$D,ТГ!$A24)</f>
        <v>0</v>
      </c>
      <c r="O23" s="130">
        <f>SUMIFS(ТГ_ИД!$E:$E,ТГ_ИД!$B:$B,ТГ!$G$7,ТГ_ИД!$D:$D,ТГ!$A24)</f>
        <v>0</v>
      </c>
      <c r="P23" s="130">
        <f>SUMIFS(ТГ_ИД!$E:$E,ТГ_ИД!$B:$B,ТГ!$G$8,ТГ_ИД!$D:$D,ТГ!$A24)</f>
        <v>0</v>
      </c>
      <c r="Q23" s="130">
        <f>SUMIFS(ТГ_ИД!$E:$E,ТГ_ИД!$B:$B,ТГ!$G$9,ТГ_ИД!$D:$D,ТГ!$A24)</f>
        <v>0</v>
      </c>
      <c r="R23" s="130">
        <f>SUMIFS(ТГ_ИД!$E:$E,ТГ_ИД!$B:$B,ТГ!$G$10,ТГ_ИД!$D:$D,ТГ!$A24)</f>
        <v>0</v>
      </c>
      <c r="S23" s="130">
        <f>SUMIFS(ТГ_ИД!$E:$E,ТГ_ИД!$B:$B,ТГ!$G$11,ТГ_ИД!$D:$D,ТГ!$A24)</f>
        <v>0</v>
      </c>
      <c r="T23" s="130">
        <f>SUMIFS(ТГ_ИД!$E:$E,ТГ_ИД!$B:$B,ТГ!$G$12,ТГ_ИД!$D:$D,ТГ!$A24)</f>
        <v>0</v>
      </c>
      <c r="U23" s="130">
        <f>SUMIFS(ТГ_ИД!$E:$E,ТГ_ИД!$B:$B,ТГ!$G$13,ТГ_ИД!$D:$D,ТГ!$A24)</f>
        <v>0</v>
      </c>
      <c r="V23" s="130">
        <f>SUMIFS(ТГ_ИД!$E:$E,ТГ_ИД!$B:$B,ТГ!$G$14,ТГ_ИД!$D:$D,ТГ!$A24)</f>
        <v>0</v>
      </c>
    </row>
    <row r="24" spans="1:22" hidden="1" x14ac:dyDescent="0.25">
      <c r="A24" s="116" t="str">
        <f t="shared" si="1"/>
        <v>02601</v>
      </c>
      <c r="B24" s="115">
        <v>2601</v>
      </c>
      <c r="C24" s="97"/>
      <c r="K24" s="130">
        <f>SUMIFS(ТГ_ИД!$E:$E,ТГ_ИД!$B:$B,ТГ!$G$3,ТГ_ИД!$D:$D,ТГ!$A25)</f>
        <v>0</v>
      </c>
      <c r="L24" s="130">
        <f>SUMIFS(ТГ_ИД!$E:$E,ТГ_ИД!$B:$B,ТГ!$G$4,ТГ_ИД!$D:$D,ТГ!$A25)</f>
        <v>0</v>
      </c>
      <c r="M24" s="130">
        <f>SUMIFS(ТГ_ИД!$E:$E,ТГ_ИД!$B:$B,ТГ!$G$5,ТГ_ИД!$D:$D,ТГ!$A25)</f>
        <v>0</v>
      </c>
      <c r="N24" s="130">
        <f>SUMIFS(ТГ_ИД!$E:$E,ТГ_ИД!$B:$B,ТГ!$G$6,ТГ_ИД!$D:$D,ТГ!$A25)</f>
        <v>0</v>
      </c>
      <c r="O24" s="130">
        <f>SUMIFS(ТГ_ИД!$E:$E,ТГ_ИД!$B:$B,ТГ!$G$7,ТГ_ИД!$D:$D,ТГ!$A25)</f>
        <v>0</v>
      </c>
      <c r="P24" s="130">
        <f>SUMIFS(ТГ_ИД!$E:$E,ТГ_ИД!$B:$B,ТГ!$G$8,ТГ_ИД!$D:$D,ТГ!$A25)</f>
        <v>0</v>
      </c>
      <c r="Q24" s="130">
        <f>SUMIFS(ТГ_ИД!$E:$E,ТГ_ИД!$B:$B,ТГ!$G$9,ТГ_ИД!$D:$D,ТГ!$A25)</f>
        <v>0</v>
      </c>
      <c r="R24" s="130">
        <f>SUMIFS(ТГ_ИД!$E:$E,ТГ_ИД!$B:$B,ТГ!$G$10,ТГ_ИД!$D:$D,ТГ!$A25)</f>
        <v>0</v>
      </c>
      <c r="S24" s="130">
        <f>SUMIFS(ТГ_ИД!$E:$E,ТГ_ИД!$B:$B,ТГ!$G$11,ТГ_ИД!$D:$D,ТГ!$A25)</f>
        <v>0</v>
      </c>
      <c r="T24" s="130">
        <f>SUMIFS(ТГ_ИД!$E:$E,ТГ_ИД!$B:$B,ТГ!$G$12,ТГ_ИД!$D:$D,ТГ!$A25)</f>
        <v>0</v>
      </c>
      <c r="U24" s="130">
        <f>SUMIFS(ТГ_ИД!$E:$E,ТГ_ИД!$B:$B,ТГ!$G$13,ТГ_ИД!$D:$D,ТГ!$A25)</f>
        <v>0</v>
      </c>
      <c r="V24" s="130">
        <f>SUMIFS(ТГ_ИД!$E:$E,ТГ_ИД!$B:$B,ТГ!$G$14,ТГ_ИД!$D:$D,ТГ!$A25)</f>
        <v>0</v>
      </c>
    </row>
    <row r="25" spans="1:22" hidden="1" x14ac:dyDescent="0.25">
      <c r="A25" s="116" t="str">
        <f t="shared" si="1"/>
        <v>02602</v>
      </c>
      <c r="B25" s="115">
        <v>2602</v>
      </c>
      <c r="C25" s="97"/>
      <c r="K25" s="130">
        <f>SUMIFS(ТГ_ИД!$E:$E,ТГ_ИД!$B:$B,ТГ!$G$3,ТГ_ИД!$D:$D,ТГ!$A26)</f>
        <v>13615.13</v>
      </c>
      <c r="L25" s="130">
        <f>SUMIFS(ТГ_ИД!$E:$E,ТГ_ИД!$B:$B,ТГ!$G$4,ТГ_ИД!$D:$D,ТГ!$A26)</f>
        <v>2918.78</v>
      </c>
      <c r="M25" s="130">
        <f>SUMIFS(ТГ_ИД!$E:$E,ТГ_ИД!$B:$B,ТГ!$G$5,ТГ_ИД!$D:$D,ТГ!$A26)</f>
        <v>0</v>
      </c>
      <c r="N25" s="130">
        <f>SUMIFS(ТГ_ИД!$E:$E,ТГ_ИД!$B:$B,ТГ!$G$6,ТГ_ИД!$D:$D,ТГ!$A26)</f>
        <v>0</v>
      </c>
      <c r="O25" s="130">
        <f>SUMIFS(ТГ_ИД!$E:$E,ТГ_ИД!$B:$B,ТГ!$G$7,ТГ_ИД!$D:$D,ТГ!$A26)</f>
        <v>0</v>
      </c>
      <c r="P25" s="130">
        <f>SUMIFS(ТГ_ИД!$E:$E,ТГ_ИД!$B:$B,ТГ!$G$8,ТГ_ИД!$D:$D,ТГ!$A26)</f>
        <v>0</v>
      </c>
      <c r="Q25" s="130">
        <f>SUMIFS(ТГ_ИД!$E:$E,ТГ_ИД!$B:$B,ТГ!$G$9,ТГ_ИД!$D:$D,ТГ!$A26)</f>
        <v>0</v>
      </c>
      <c r="R25" s="130">
        <f>SUMIFS(ТГ_ИД!$E:$E,ТГ_ИД!$B:$B,ТГ!$G$10,ТГ_ИД!$D:$D,ТГ!$A26)</f>
        <v>0</v>
      </c>
      <c r="S25" s="130">
        <f>SUMIFS(ТГ_ИД!$E:$E,ТГ_ИД!$B:$B,ТГ!$G$11,ТГ_ИД!$D:$D,ТГ!$A26)</f>
        <v>0</v>
      </c>
      <c r="T25" s="130">
        <f>SUMIFS(ТГ_ИД!$E:$E,ТГ_ИД!$B:$B,ТГ!$G$12,ТГ_ИД!$D:$D,ТГ!$A26)</f>
        <v>0</v>
      </c>
      <c r="U25" s="130">
        <f>SUMIFS(ТГ_ИД!$E:$E,ТГ_ИД!$B:$B,ТГ!$G$13,ТГ_ИД!$D:$D,ТГ!$A26)</f>
        <v>0</v>
      </c>
      <c r="V25" s="130">
        <f>SUMIFS(ТГ_ИД!$E:$E,ТГ_ИД!$B:$B,ТГ!$G$14,ТГ_ИД!$D:$D,ТГ!$A26)</f>
        <v>0</v>
      </c>
    </row>
    <row r="26" spans="1:22" x14ac:dyDescent="0.25">
      <c r="A26" s="116" t="str">
        <f t="shared" si="1"/>
        <v>02673</v>
      </c>
      <c r="B26" s="115">
        <v>2673</v>
      </c>
      <c r="C26" s="97" t="s">
        <v>109</v>
      </c>
      <c r="K26" s="130">
        <f>SUMIFS(ТГ_ИД!$E:$E,ТГ_ИД!$B:$B,ТГ!$G$3,ТГ_ИД!$D:$D,ТГ!$A27)</f>
        <v>58087.31</v>
      </c>
      <c r="L26" s="130">
        <f>SUMIFS(ТГ_ИД!$E:$E,ТГ_ИД!$B:$B,ТГ!$G$4,ТГ_ИД!$D:$D,ТГ!$A27)</f>
        <v>0</v>
      </c>
      <c r="M26" s="130">
        <f>SUMIFS(ТГ_ИД!$E:$E,ТГ_ИД!$B:$B,ТГ!$G$5,ТГ_ИД!$D:$D,ТГ!$A27)</f>
        <v>0</v>
      </c>
      <c r="N26" s="130">
        <f>SUMIFS(ТГ_ИД!$E:$E,ТГ_ИД!$B:$B,ТГ!$G$6,ТГ_ИД!$D:$D,ТГ!$A27)</f>
        <v>0</v>
      </c>
      <c r="O26" s="130">
        <f>SUMIFS(ТГ_ИД!$E:$E,ТГ_ИД!$B:$B,ТГ!$G$7,ТГ_ИД!$D:$D,ТГ!$A27)</f>
        <v>0</v>
      </c>
      <c r="P26" s="130">
        <f>SUMIFS(ТГ_ИД!$E:$E,ТГ_ИД!$B:$B,ТГ!$G$8,ТГ_ИД!$D:$D,ТГ!$A27)</f>
        <v>0</v>
      </c>
      <c r="Q26" s="130">
        <f>SUMIFS(ТГ_ИД!$E:$E,ТГ_ИД!$B:$B,ТГ!$G$9,ТГ_ИД!$D:$D,ТГ!$A27)</f>
        <v>0</v>
      </c>
      <c r="R26" s="130">
        <f>SUMIFS(ТГ_ИД!$E:$E,ТГ_ИД!$B:$B,ТГ!$G$10,ТГ_ИД!$D:$D,ТГ!$A27)</f>
        <v>0</v>
      </c>
      <c r="S26" s="130">
        <f>SUMIFS(ТГ_ИД!$E:$E,ТГ_ИД!$B:$B,ТГ!$G$11,ТГ_ИД!$D:$D,ТГ!$A27)</f>
        <v>0</v>
      </c>
      <c r="T26" s="130">
        <f>SUMIFS(ТГ_ИД!$E:$E,ТГ_ИД!$B:$B,ТГ!$G$12,ТГ_ИД!$D:$D,ТГ!$A27)</f>
        <v>0</v>
      </c>
      <c r="U26" s="130">
        <f>SUMIFS(ТГ_ИД!$E:$E,ТГ_ИД!$B:$B,ТГ!$G$13,ТГ_ИД!$D:$D,ТГ!$A27)</f>
        <v>0</v>
      </c>
      <c r="V26" s="130">
        <f>SUMIFS(ТГ_ИД!$E:$E,ТГ_ИД!$B:$B,ТГ!$G$14,ТГ_ИД!$D:$D,ТГ!$A27)</f>
        <v>0</v>
      </c>
    </row>
    <row r="27" spans="1:22" x14ac:dyDescent="0.25">
      <c r="A27" s="116" t="str">
        <f t="shared" si="1"/>
        <v>02674</v>
      </c>
      <c r="B27" s="115">
        <v>2674</v>
      </c>
      <c r="C27" s="97" t="s">
        <v>110</v>
      </c>
      <c r="K27" s="130">
        <f>SUMIFS(ТГ_ИД!$E:$E,ТГ_ИД!$B:$B,ТГ!$G$3,ТГ_ИД!$D:$D,ТГ!$A28)</f>
        <v>168787.53</v>
      </c>
      <c r="L27" s="130">
        <f>SUMIFS(ТГ_ИД!$E:$E,ТГ_ИД!$B:$B,ТГ!$G$4,ТГ_ИД!$D:$D,ТГ!$A28)</f>
        <v>48175.57</v>
      </c>
      <c r="M27" s="130">
        <f>SUMIFS(ТГ_ИД!$E:$E,ТГ_ИД!$B:$B,ТГ!$G$5,ТГ_ИД!$D:$D,ТГ!$A28)</f>
        <v>0</v>
      </c>
      <c r="N27" s="130">
        <f>SUMIFS(ТГ_ИД!$E:$E,ТГ_ИД!$B:$B,ТГ!$G$6,ТГ_ИД!$D:$D,ТГ!$A28)</f>
        <v>0</v>
      </c>
      <c r="O27" s="130">
        <f>SUMIFS(ТГ_ИД!$E:$E,ТГ_ИД!$B:$B,ТГ!$G$7,ТГ_ИД!$D:$D,ТГ!$A28)</f>
        <v>0</v>
      </c>
      <c r="P27" s="130">
        <f>SUMIFS(ТГ_ИД!$E:$E,ТГ_ИД!$B:$B,ТГ!$G$8,ТГ_ИД!$D:$D,ТГ!$A28)</f>
        <v>0</v>
      </c>
      <c r="Q27" s="130">
        <f>SUMIFS(ТГ_ИД!$E:$E,ТГ_ИД!$B:$B,ТГ!$G$9,ТГ_ИД!$D:$D,ТГ!$A28)</f>
        <v>0</v>
      </c>
      <c r="R27" s="130">
        <f>SUMIFS(ТГ_ИД!$E:$E,ТГ_ИД!$B:$B,ТГ!$G$10,ТГ_ИД!$D:$D,ТГ!$A28)</f>
        <v>0</v>
      </c>
      <c r="S27" s="130">
        <f>SUMIFS(ТГ_ИД!$E:$E,ТГ_ИД!$B:$B,ТГ!$G$11,ТГ_ИД!$D:$D,ТГ!$A28)</f>
        <v>0</v>
      </c>
      <c r="T27" s="130">
        <f>SUMIFS(ТГ_ИД!$E:$E,ТГ_ИД!$B:$B,ТГ!$G$12,ТГ_ИД!$D:$D,ТГ!$A28)</f>
        <v>0</v>
      </c>
      <c r="U27" s="130">
        <f>SUMIFS(ТГ_ИД!$E:$E,ТГ_ИД!$B:$B,ТГ!$G$13,ТГ_ИД!$D:$D,ТГ!$A28)</f>
        <v>0</v>
      </c>
      <c r="V27" s="130">
        <f>SUMIFS(ТГ_ИД!$E:$E,ТГ_ИД!$B:$B,ТГ!$G$14,ТГ_ИД!$D:$D,ТГ!$A28)</f>
        <v>0</v>
      </c>
    </row>
    <row r="28" spans="1:22" x14ac:dyDescent="0.25">
      <c r="A28" s="116" t="str">
        <f t="shared" si="1"/>
        <v>02675</v>
      </c>
      <c r="B28" s="115">
        <v>2675</v>
      </c>
      <c r="C28" s="97" t="s">
        <v>111</v>
      </c>
      <c r="K28" s="130">
        <f>SUMIFS(ТГ_ИД!$E:$E,ТГ_ИД!$B:$B,ТГ!$G$3,ТГ_ИД!$D:$D,ТГ!$A29)</f>
        <v>285180.25</v>
      </c>
      <c r="L28" s="130">
        <f>SUMIFS(ТГ_ИД!$E:$E,ТГ_ИД!$B:$B,ТГ!$G$4,ТГ_ИД!$D:$D,ТГ!$A29)</f>
        <v>0</v>
      </c>
      <c r="M28" s="130">
        <f>SUMIFS(ТГ_ИД!$E:$E,ТГ_ИД!$B:$B,ТГ!$G$5,ТГ_ИД!$D:$D,ТГ!$A29)</f>
        <v>0</v>
      </c>
      <c r="N28" s="130">
        <f>SUMIFS(ТГ_ИД!$E:$E,ТГ_ИД!$B:$B,ТГ!$G$6,ТГ_ИД!$D:$D,ТГ!$A29)</f>
        <v>0</v>
      </c>
      <c r="O28" s="130">
        <f>SUMIFS(ТГ_ИД!$E:$E,ТГ_ИД!$B:$B,ТГ!$G$7,ТГ_ИД!$D:$D,ТГ!$A29)</f>
        <v>0</v>
      </c>
      <c r="P28" s="130">
        <f>SUMIFS(ТГ_ИД!$E:$E,ТГ_ИД!$B:$B,ТГ!$G$8,ТГ_ИД!$D:$D,ТГ!$A29)</f>
        <v>0</v>
      </c>
      <c r="Q28" s="130">
        <f>SUMIFS(ТГ_ИД!$E:$E,ТГ_ИД!$B:$B,ТГ!$G$9,ТГ_ИД!$D:$D,ТГ!$A29)</f>
        <v>0</v>
      </c>
      <c r="R28" s="130">
        <f>SUMIFS(ТГ_ИД!$E:$E,ТГ_ИД!$B:$B,ТГ!$G$10,ТГ_ИД!$D:$D,ТГ!$A29)</f>
        <v>0</v>
      </c>
      <c r="S28" s="130">
        <f>SUMIFS(ТГ_ИД!$E:$E,ТГ_ИД!$B:$B,ТГ!$G$11,ТГ_ИД!$D:$D,ТГ!$A29)</f>
        <v>0</v>
      </c>
      <c r="T28" s="130">
        <f>SUMIFS(ТГ_ИД!$E:$E,ТГ_ИД!$B:$B,ТГ!$G$12,ТГ_ИД!$D:$D,ТГ!$A29)</f>
        <v>0</v>
      </c>
      <c r="U28" s="130">
        <f>SUMIFS(ТГ_ИД!$E:$E,ТГ_ИД!$B:$B,ТГ!$G$13,ТГ_ИД!$D:$D,ТГ!$A29)</f>
        <v>0</v>
      </c>
      <c r="V28" s="130">
        <f>SUMIFS(ТГ_ИД!$E:$E,ТГ_ИД!$B:$B,ТГ!$G$14,ТГ_ИД!$D:$D,ТГ!$A29)</f>
        <v>0</v>
      </c>
    </row>
    <row r="29" spans="1:22" x14ac:dyDescent="0.25">
      <c r="A29" s="116" t="str">
        <f t="shared" si="1"/>
        <v>02676</v>
      </c>
      <c r="B29" s="115">
        <v>2676</v>
      </c>
      <c r="C29" s="97" t="s">
        <v>112</v>
      </c>
      <c r="K29" s="130">
        <f>SUMIFS(ТГ_ИД!$E:$E,ТГ_ИД!$B:$B,ТГ!$G$3,ТГ_ИД!$D:$D,ТГ!$A30)</f>
        <v>15708.63</v>
      </c>
      <c r="L29" s="130">
        <f>SUMIFS(ТГ_ИД!$E:$E,ТГ_ИД!$B:$B,ТГ!$G$4,ТГ_ИД!$D:$D,ТГ!$A30)</f>
        <v>2346.8200000000002</v>
      </c>
      <c r="M29" s="130">
        <f>SUMIFS(ТГ_ИД!$E:$E,ТГ_ИД!$B:$B,ТГ!$G$5,ТГ_ИД!$D:$D,ТГ!$A30)</f>
        <v>0</v>
      </c>
      <c r="N29" s="130">
        <f>SUMIFS(ТГ_ИД!$E:$E,ТГ_ИД!$B:$B,ТГ!$G$6,ТГ_ИД!$D:$D,ТГ!$A30)</f>
        <v>0</v>
      </c>
      <c r="O29" s="130">
        <f>SUMIFS(ТГ_ИД!$E:$E,ТГ_ИД!$B:$B,ТГ!$G$7,ТГ_ИД!$D:$D,ТГ!$A30)</f>
        <v>0</v>
      </c>
      <c r="P29" s="130">
        <f>SUMIFS(ТГ_ИД!$E:$E,ТГ_ИД!$B:$B,ТГ!$G$8,ТГ_ИД!$D:$D,ТГ!$A30)</f>
        <v>0</v>
      </c>
      <c r="Q29" s="130">
        <f>SUMIFS(ТГ_ИД!$E:$E,ТГ_ИД!$B:$B,ТГ!$G$9,ТГ_ИД!$D:$D,ТГ!$A30)</f>
        <v>0</v>
      </c>
      <c r="R29" s="130">
        <f>SUMIFS(ТГ_ИД!$E:$E,ТГ_ИД!$B:$B,ТГ!$G$10,ТГ_ИД!$D:$D,ТГ!$A30)</f>
        <v>0</v>
      </c>
      <c r="S29" s="130">
        <f>SUMIFS(ТГ_ИД!$E:$E,ТГ_ИД!$B:$B,ТГ!$G$11,ТГ_ИД!$D:$D,ТГ!$A30)</f>
        <v>0</v>
      </c>
      <c r="T29" s="130">
        <f>SUMIFS(ТГ_ИД!$E:$E,ТГ_ИД!$B:$B,ТГ!$G$12,ТГ_ИД!$D:$D,ТГ!$A30)</f>
        <v>0</v>
      </c>
      <c r="U29" s="130">
        <f>SUMIFS(ТГ_ИД!$E:$E,ТГ_ИД!$B:$B,ТГ!$G$13,ТГ_ИД!$D:$D,ТГ!$A30)</f>
        <v>0</v>
      </c>
      <c r="V29" s="130">
        <f>SUMIFS(ТГ_ИД!$E:$E,ТГ_ИД!$B:$B,ТГ!$G$14,ТГ_ИД!$D:$D,ТГ!$A30)</f>
        <v>0</v>
      </c>
    </row>
    <row r="30" spans="1:22" x14ac:dyDescent="0.25">
      <c r="A30" s="116" t="str">
        <f t="shared" si="1"/>
        <v>02677</v>
      </c>
      <c r="B30" s="115">
        <v>2677</v>
      </c>
      <c r="C30" s="97" t="s">
        <v>113</v>
      </c>
      <c r="K30" s="130">
        <f>SUMIFS(ТГ_ИД!$E:$E,ТГ_ИД!$B:$B,ТГ!$G$3,ТГ_ИД!$D:$D,ТГ!$A31)</f>
        <v>0</v>
      </c>
      <c r="L30" s="130">
        <f>SUMIFS(ТГ_ИД!$E:$E,ТГ_ИД!$B:$B,ТГ!$G$4,ТГ_ИД!$D:$D,ТГ!$A31)</f>
        <v>0</v>
      </c>
      <c r="M30" s="130">
        <f>SUMIFS(ТГ_ИД!$E:$E,ТГ_ИД!$B:$B,ТГ!$G$5,ТГ_ИД!$D:$D,ТГ!$A31)</f>
        <v>0</v>
      </c>
      <c r="N30" s="130">
        <f>SUMIFS(ТГ_ИД!$E:$E,ТГ_ИД!$B:$B,ТГ!$G$6,ТГ_ИД!$D:$D,ТГ!$A31)</f>
        <v>0</v>
      </c>
      <c r="O30" s="130">
        <f>SUMIFS(ТГ_ИД!$E:$E,ТГ_ИД!$B:$B,ТГ!$G$7,ТГ_ИД!$D:$D,ТГ!$A31)</f>
        <v>0</v>
      </c>
      <c r="P30" s="130">
        <f>SUMIFS(ТГ_ИД!$E:$E,ТГ_ИД!$B:$B,ТГ!$G$8,ТГ_ИД!$D:$D,ТГ!$A31)</f>
        <v>0</v>
      </c>
      <c r="Q30" s="130">
        <f>SUMIFS(ТГ_ИД!$E:$E,ТГ_ИД!$B:$B,ТГ!$G$9,ТГ_ИД!$D:$D,ТГ!$A31)</f>
        <v>0</v>
      </c>
      <c r="R30" s="130">
        <f>SUMIFS(ТГ_ИД!$E:$E,ТГ_ИД!$B:$B,ТГ!$G$10,ТГ_ИД!$D:$D,ТГ!$A31)</f>
        <v>0</v>
      </c>
      <c r="S30" s="130">
        <f>SUMIFS(ТГ_ИД!$E:$E,ТГ_ИД!$B:$B,ТГ!$G$11,ТГ_ИД!$D:$D,ТГ!$A31)</f>
        <v>0</v>
      </c>
      <c r="T30" s="130">
        <f>SUMIFS(ТГ_ИД!$E:$E,ТГ_ИД!$B:$B,ТГ!$G$12,ТГ_ИД!$D:$D,ТГ!$A31)</f>
        <v>0</v>
      </c>
      <c r="U30" s="130">
        <f>SUMIFS(ТГ_ИД!$E:$E,ТГ_ИД!$B:$B,ТГ!$G$13,ТГ_ИД!$D:$D,ТГ!$A31)</f>
        <v>0</v>
      </c>
      <c r="V30" s="130">
        <f>SUMIFS(ТГ_ИД!$E:$E,ТГ_ИД!$B:$B,ТГ!$G$14,ТГ_ИД!$D:$D,ТГ!$A31)</f>
        <v>0</v>
      </c>
    </row>
    <row r="31" spans="1:22" x14ac:dyDescent="0.25">
      <c r="A31" s="116" t="str">
        <f t="shared" si="1"/>
        <v>02678</v>
      </c>
      <c r="B31" s="115">
        <v>2678</v>
      </c>
      <c r="C31" s="97" t="s">
        <v>114</v>
      </c>
      <c r="K31" s="130">
        <f>SUMIFS(ТГ_ИД!$E:$E,ТГ_ИД!$B:$B,ТГ!$G$3,ТГ_ИД!$D:$D,ТГ!$A32)</f>
        <v>0</v>
      </c>
      <c r="L31" s="130">
        <f>SUMIFS(ТГ_ИД!$E:$E,ТГ_ИД!$B:$B,ТГ!$G$4,ТГ_ИД!$D:$D,ТГ!$A32)</f>
        <v>13371.85</v>
      </c>
      <c r="M31" s="130">
        <f>SUMIFS(ТГ_ИД!$E:$E,ТГ_ИД!$B:$B,ТГ!$G$5,ТГ_ИД!$D:$D,ТГ!$A32)</f>
        <v>0</v>
      </c>
      <c r="N31" s="130">
        <f>SUMIFS(ТГ_ИД!$E:$E,ТГ_ИД!$B:$B,ТГ!$G$6,ТГ_ИД!$D:$D,ТГ!$A32)</f>
        <v>0</v>
      </c>
      <c r="O31" s="130">
        <f>SUMIFS(ТГ_ИД!$E:$E,ТГ_ИД!$B:$B,ТГ!$G$7,ТГ_ИД!$D:$D,ТГ!$A32)</f>
        <v>0</v>
      </c>
      <c r="P31" s="130">
        <f>SUMIFS(ТГ_ИД!$E:$E,ТГ_ИД!$B:$B,ТГ!$G$8,ТГ_ИД!$D:$D,ТГ!$A32)</f>
        <v>0</v>
      </c>
      <c r="Q31" s="130">
        <f>SUMIFS(ТГ_ИД!$E:$E,ТГ_ИД!$B:$B,ТГ!$G$9,ТГ_ИД!$D:$D,ТГ!$A32)</f>
        <v>0</v>
      </c>
      <c r="R31" s="130">
        <f>SUMIFS(ТГ_ИД!$E:$E,ТГ_ИД!$B:$B,ТГ!$G$10,ТГ_ИД!$D:$D,ТГ!$A32)</f>
        <v>0</v>
      </c>
      <c r="S31" s="130">
        <f>SUMIFS(ТГ_ИД!$E:$E,ТГ_ИД!$B:$B,ТГ!$G$11,ТГ_ИД!$D:$D,ТГ!$A32)</f>
        <v>0</v>
      </c>
      <c r="T31" s="130">
        <f>SUMIFS(ТГ_ИД!$E:$E,ТГ_ИД!$B:$B,ТГ!$G$12,ТГ_ИД!$D:$D,ТГ!$A32)</f>
        <v>0</v>
      </c>
      <c r="U31" s="130">
        <f>SUMIFS(ТГ_ИД!$E:$E,ТГ_ИД!$B:$B,ТГ!$G$13,ТГ_ИД!$D:$D,ТГ!$A32)</f>
        <v>0</v>
      </c>
      <c r="V31" s="130">
        <f>SUMIFS(ТГ_ИД!$E:$E,ТГ_ИД!$B:$B,ТГ!$G$14,ТГ_ИД!$D:$D,ТГ!$A32)</f>
        <v>0</v>
      </c>
    </row>
    <row r="32" spans="1:22" x14ac:dyDescent="0.25">
      <c r="A32" s="116" t="str">
        <f t="shared" si="1"/>
        <v>02679</v>
      </c>
      <c r="B32" s="115">
        <v>2679</v>
      </c>
      <c r="C32" s="97" t="s">
        <v>115</v>
      </c>
      <c r="K32" s="130">
        <f>SUMIFS(ТГ_ИД!$E:$E,ТГ_ИД!$B:$B,ТГ!$G$3,ТГ_ИД!$D:$D,ТГ!$A33)</f>
        <v>33723.85</v>
      </c>
      <c r="L32" s="130">
        <f>SUMIFS(ТГ_ИД!$E:$E,ТГ_ИД!$B:$B,ТГ!$G$4,ТГ_ИД!$D:$D,ТГ!$A33)</f>
        <v>6095.2999999999993</v>
      </c>
      <c r="M32" s="130">
        <f>SUMIFS(ТГ_ИД!$E:$E,ТГ_ИД!$B:$B,ТГ!$G$5,ТГ_ИД!$D:$D,ТГ!$A33)</f>
        <v>0</v>
      </c>
      <c r="N32" s="130">
        <f>SUMIFS(ТГ_ИД!$E:$E,ТГ_ИД!$B:$B,ТГ!$G$6,ТГ_ИД!$D:$D,ТГ!$A33)</f>
        <v>0</v>
      </c>
      <c r="O32" s="130">
        <f>SUMIFS(ТГ_ИД!$E:$E,ТГ_ИД!$B:$B,ТГ!$G$7,ТГ_ИД!$D:$D,ТГ!$A33)</f>
        <v>0</v>
      </c>
      <c r="P32" s="130">
        <f>SUMIFS(ТГ_ИД!$E:$E,ТГ_ИД!$B:$B,ТГ!$G$8,ТГ_ИД!$D:$D,ТГ!$A33)</f>
        <v>0</v>
      </c>
      <c r="Q32" s="130">
        <f>SUMIFS(ТГ_ИД!$E:$E,ТГ_ИД!$B:$B,ТГ!$G$9,ТГ_ИД!$D:$D,ТГ!$A33)</f>
        <v>0</v>
      </c>
      <c r="R32" s="130">
        <f>SUMIFS(ТГ_ИД!$E:$E,ТГ_ИД!$B:$B,ТГ!$G$10,ТГ_ИД!$D:$D,ТГ!$A33)</f>
        <v>0</v>
      </c>
      <c r="S32" s="130">
        <f>SUMIFS(ТГ_ИД!$E:$E,ТГ_ИД!$B:$B,ТГ!$G$11,ТГ_ИД!$D:$D,ТГ!$A33)</f>
        <v>0</v>
      </c>
      <c r="T32" s="130">
        <f>SUMIFS(ТГ_ИД!$E:$E,ТГ_ИД!$B:$B,ТГ!$G$12,ТГ_ИД!$D:$D,ТГ!$A33)</f>
        <v>0</v>
      </c>
      <c r="U32" s="130">
        <f>SUMIFS(ТГ_ИД!$E:$E,ТГ_ИД!$B:$B,ТГ!$G$13,ТГ_ИД!$D:$D,ТГ!$A33)</f>
        <v>0</v>
      </c>
      <c r="V32" s="130">
        <f>SUMIFS(ТГ_ИД!$E:$E,ТГ_ИД!$B:$B,ТГ!$G$14,ТГ_ИД!$D:$D,ТГ!$A33)</f>
        <v>0</v>
      </c>
    </row>
    <row r="33" spans="1:22" x14ac:dyDescent="0.25">
      <c r="A33" s="116" t="str">
        <f t="shared" si="1"/>
        <v>02680</v>
      </c>
      <c r="B33" s="1">
        <v>2680</v>
      </c>
      <c r="C33" s="1" t="s">
        <v>116</v>
      </c>
      <c r="K33" s="130">
        <f>SUMIFS(ТГ_ИД!$E:$E,ТГ_ИД!$B:$B,ТГ!$G$3,ТГ_ИД!$D:$D,ТГ!$A34)</f>
        <v>30273.85</v>
      </c>
      <c r="L33" s="130">
        <f>SUMIFS(ТГ_ИД!$E:$E,ТГ_ИД!$B:$B,ТГ!$G$4,ТГ_ИД!$D:$D,ТГ!$A34)</f>
        <v>0</v>
      </c>
      <c r="M33" s="130">
        <f>SUMIFS(ТГ_ИД!$E:$E,ТГ_ИД!$B:$B,ТГ!$G$5,ТГ_ИД!$D:$D,ТГ!$A34)</f>
        <v>0</v>
      </c>
      <c r="N33" s="130">
        <f>SUMIFS(ТГ_ИД!$E:$E,ТГ_ИД!$B:$B,ТГ!$G$6,ТГ_ИД!$D:$D,ТГ!$A34)</f>
        <v>0</v>
      </c>
      <c r="O33" s="130">
        <f>SUMIFS(ТГ_ИД!$E:$E,ТГ_ИД!$B:$B,ТГ!$G$7,ТГ_ИД!$D:$D,ТГ!$A34)</f>
        <v>0</v>
      </c>
      <c r="P33" s="130">
        <f>SUMIFS(ТГ_ИД!$E:$E,ТГ_ИД!$B:$B,ТГ!$G$8,ТГ_ИД!$D:$D,ТГ!$A34)</f>
        <v>0</v>
      </c>
      <c r="Q33" s="130">
        <f>SUMIFS(ТГ_ИД!$E:$E,ТГ_ИД!$B:$B,ТГ!$G$9,ТГ_ИД!$D:$D,ТГ!$A34)</f>
        <v>0</v>
      </c>
      <c r="R33" s="130">
        <f>SUMIFS(ТГ_ИД!$E:$E,ТГ_ИД!$B:$B,ТГ!$G$10,ТГ_ИД!$D:$D,ТГ!$A34)</f>
        <v>0</v>
      </c>
      <c r="S33" s="130">
        <f>SUMIFS(ТГ_ИД!$E:$E,ТГ_ИД!$B:$B,ТГ!$G$11,ТГ_ИД!$D:$D,ТГ!$A34)</f>
        <v>0</v>
      </c>
      <c r="T33" s="130">
        <f>SUMIFS(ТГ_ИД!$E:$E,ТГ_ИД!$B:$B,ТГ!$G$12,ТГ_ИД!$D:$D,ТГ!$A34)</f>
        <v>0</v>
      </c>
      <c r="U33" s="130">
        <f>SUMIFS(ТГ_ИД!$E:$E,ТГ_ИД!$B:$B,ТГ!$G$13,ТГ_ИД!$D:$D,ТГ!$A34)</f>
        <v>0</v>
      </c>
      <c r="V33" s="130">
        <f>SUMIFS(ТГ_ИД!$E:$E,ТГ_ИД!$B:$B,ТГ!$G$14,ТГ_ИД!$D:$D,ТГ!$A34)</f>
        <v>0</v>
      </c>
    </row>
    <row r="34" spans="1:22" x14ac:dyDescent="0.25">
      <c r="A34" s="116" t="str">
        <f t="shared" si="1"/>
        <v>02621</v>
      </c>
      <c r="B34" s="115">
        <v>2621</v>
      </c>
      <c r="C34" s="97" t="s">
        <v>117</v>
      </c>
      <c r="K34" s="130">
        <f>SUMIFS(ТГ_ИД!$E:$E,ТГ_ИД!$B:$B,ТГ!$G$3,ТГ_ИД!$D:$D,ТГ!$A35)</f>
        <v>7092.11</v>
      </c>
      <c r="L34" s="130">
        <f>SUMIFS(ТГ_ИД!$E:$E,ТГ_ИД!$B:$B,ТГ!$G$4,ТГ_ИД!$D:$D,ТГ!$A35)</f>
        <v>64647.73</v>
      </c>
      <c r="M34" s="130">
        <f>SUMIFS(ТГ_ИД!$E:$E,ТГ_ИД!$B:$B,ТГ!$G$5,ТГ_ИД!$D:$D,ТГ!$A35)</f>
        <v>0</v>
      </c>
      <c r="N34" s="130">
        <f>SUMIFS(ТГ_ИД!$E:$E,ТГ_ИД!$B:$B,ТГ!$G$6,ТГ_ИД!$D:$D,ТГ!$A35)</f>
        <v>0</v>
      </c>
      <c r="O34" s="130">
        <f>SUMIFS(ТГ_ИД!$E:$E,ТГ_ИД!$B:$B,ТГ!$G$7,ТГ_ИД!$D:$D,ТГ!$A35)</f>
        <v>0</v>
      </c>
      <c r="P34" s="130">
        <f>SUMIFS(ТГ_ИД!$E:$E,ТГ_ИД!$B:$B,ТГ!$G$8,ТГ_ИД!$D:$D,ТГ!$A35)</f>
        <v>0</v>
      </c>
      <c r="Q34" s="130">
        <f>SUMIFS(ТГ_ИД!$E:$E,ТГ_ИД!$B:$B,ТГ!$G$9,ТГ_ИД!$D:$D,ТГ!$A35)</f>
        <v>0</v>
      </c>
      <c r="R34" s="130">
        <f>SUMIFS(ТГ_ИД!$E:$E,ТГ_ИД!$B:$B,ТГ!$G$10,ТГ_ИД!$D:$D,ТГ!$A35)</f>
        <v>0</v>
      </c>
      <c r="S34" s="130">
        <f>SUMIFS(ТГ_ИД!$E:$E,ТГ_ИД!$B:$B,ТГ!$G$11,ТГ_ИД!$D:$D,ТГ!$A35)</f>
        <v>0</v>
      </c>
      <c r="T34" s="130">
        <f>SUMIFS(ТГ_ИД!$E:$E,ТГ_ИД!$B:$B,ТГ!$G$12,ТГ_ИД!$D:$D,ТГ!$A35)</f>
        <v>0</v>
      </c>
      <c r="U34" s="130">
        <f>SUMIFS(ТГ_ИД!$E:$E,ТГ_ИД!$B:$B,ТГ!$G$13,ТГ_ИД!$D:$D,ТГ!$A35)</f>
        <v>0</v>
      </c>
      <c r="V34" s="130">
        <f>SUMIFS(ТГ_ИД!$E:$E,ТГ_ИД!$B:$B,ТГ!$G$14,ТГ_ИД!$D:$D,ТГ!$A35)</f>
        <v>0</v>
      </c>
    </row>
    <row r="35" spans="1:22" x14ac:dyDescent="0.25">
      <c r="A35" s="116" t="str">
        <f t="shared" si="1"/>
        <v>02622</v>
      </c>
      <c r="B35" s="115">
        <v>2622</v>
      </c>
      <c r="C35" s="97" t="s">
        <v>118</v>
      </c>
      <c r="K35" s="130">
        <f>SUMIFS(ТГ_ИД!$E:$E,ТГ_ИД!$B:$B,ТГ!$G$3,ТГ_ИД!$D:$D,ТГ!$A36)</f>
        <v>32132.93</v>
      </c>
      <c r="L35" s="130">
        <f>SUMIFS(ТГ_ИД!$E:$E,ТГ_ИД!$B:$B,ТГ!$G$4,ТГ_ИД!$D:$D,ТГ!$A36)</f>
        <v>108625.27</v>
      </c>
      <c r="M35" s="130">
        <f>SUMIFS(ТГ_ИД!$E:$E,ТГ_ИД!$B:$B,ТГ!$G$5,ТГ_ИД!$D:$D,ТГ!$A36)</f>
        <v>0</v>
      </c>
      <c r="N35" s="130">
        <f>SUMIFS(ТГ_ИД!$E:$E,ТГ_ИД!$B:$B,ТГ!$G$6,ТГ_ИД!$D:$D,ТГ!$A36)</f>
        <v>0</v>
      </c>
      <c r="O35" s="130">
        <f>SUMIFS(ТГ_ИД!$E:$E,ТГ_ИД!$B:$B,ТГ!$G$7,ТГ_ИД!$D:$D,ТГ!$A36)</f>
        <v>0</v>
      </c>
      <c r="P35" s="130">
        <f>SUMIFS(ТГ_ИД!$E:$E,ТГ_ИД!$B:$B,ТГ!$G$8,ТГ_ИД!$D:$D,ТГ!$A36)</f>
        <v>0</v>
      </c>
      <c r="Q35" s="130">
        <f>SUMIFS(ТГ_ИД!$E:$E,ТГ_ИД!$B:$B,ТГ!$G$9,ТГ_ИД!$D:$D,ТГ!$A36)</f>
        <v>0</v>
      </c>
      <c r="R35" s="130">
        <f>SUMIFS(ТГ_ИД!$E:$E,ТГ_ИД!$B:$B,ТГ!$G$10,ТГ_ИД!$D:$D,ТГ!$A36)</f>
        <v>0</v>
      </c>
      <c r="S35" s="130">
        <f>SUMIFS(ТГ_ИД!$E:$E,ТГ_ИД!$B:$B,ТГ!$G$11,ТГ_ИД!$D:$D,ТГ!$A36)</f>
        <v>0</v>
      </c>
      <c r="T35" s="130">
        <f>SUMIFS(ТГ_ИД!$E:$E,ТГ_ИД!$B:$B,ТГ!$G$12,ТГ_ИД!$D:$D,ТГ!$A36)</f>
        <v>0</v>
      </c>
      <c r="U35" s="130">
        <f>SUMIFS(ТГ_ИД!$E:$E,ТГ_ИД!$B:$B,ТГ!$G$13,ТГ_ИД!$D:$D,ТГ!$A36)</f>
        <v>0</v>
      </c>
      <c r="V35" s="130">
        <f>SUMIFS(ТГ_ИД!$E:$E,ТГ_ИД!$B:$B,ТГ!$G$14,ТГ_ИД!$D:$D,ТГ!$A36)</f>
        <v>0</v>
      </c>
    </row>
    <row r="36" spans="1:22" x14ac:dyDescent="0.25">
      <c r="A36" s="116" t="str">
        <f t="shared" si="1"/>
        <v>02623</v>
      </c>
      <c r="B36" s="115">
        <v>2623</v>
      </c>
      <c r="C36" s="97" t="s">
        <v>119</v>
      </c>
      <c r="K36" s="130">
        <f>SUMIFS(ТГ_ИД!$E:$E,ТГ_ИД!$B:$B,ТГ!$G$3,ТГ_ИД!$D:$D,ТГ!$A37)</f>
        <v>26646.92</v>
      </c>
      <c r="L36" s="130">
        <f>SUMIFS(ТГ_ИД!$E:$E,ТГ_ИД!$B:$B,ТГ!$G$4,ТГ_ИД!$D:$D,ТГ!$A37)</f>
        <v>4339.33</v>
      </c>
      <c r="M36" s="130">
        <f>SUMIFS(ТГ_ИД!$E:$E,ТГ_ИД!$B:$B,ТГ!$G$5,ТГ_ИД!$D:$D,ТГ!$A37)</f>
        <v>0</v>
      </c>
      <c r="N36" s="130">
        <f>SUMIFS(ТГ_ИД!$E:$E,ТГ_ИД!$B:$B,ТГ!$G$6,ТГ_ИД!$D:$D,ТГ!$A37)</f>
        <v>0</v>
      </c>
      <c r="O36" s="130">
        <f>SUMIFS(ТГ_ИД!$E:$E,ТГ_ИД!$B:$B,ТГ!$G$7,ТГ_ИД!$D:$D,ТГ!$A37)</f>
        <v>0</v>
      </c>
      <c r="P36" s="130">
        <f>SUMIFS(ТГ_ИД!$E:$E,ТГ_ИД!$B:$B,ТГ!$G$8,ТГ_ИД!$D:$D,ТГ!$A37)</f>
        <v>0</v>
      </c>
      <c r="Q36" s="130">
        <f>SUMIFS(ТГ_ИД!$E:$E,ТГ_ИД!$B:$B,ТГ!$G$9,ТГ_ИД!$D:$D,ТГ!$A37)</f>
        <v>0</v>
      </c>
      <c r="R36" s="130">
        <f>SUMIFS(ТГ_ИД!$E:$E,ТГ_ИД!$B:$B,ТГ!$G$10,ТГ_ИД!$D:$D,ТГ!$A37)</f>
        <v>0</v>
      </c>
      <c r="S36" s="130">
        <f>SUMIFS(ТГ_ИД!$E:$E,ТГ_ИД!$B:$B,ТГ!$G$11,ТГ_ИД!$D:$D,ТГ!$A37)</f>
        <v>0</v>
      </c>
      <c r="T36" s="130">
        <f>SUMIFS(ТГ_ИД!$E:$E,ТГ_ИД!$B:$B,ТГ!$G$12,ТГ_ИД!$D:$D,ТГ!$A37)</f>
        <v>0</v>
      </c>
      <c r="U36" s="130">
        <f>SUMIFS(ТГ_ИД!$E:$E,ТГ_ИД!$B:$B,ТГ!$G$13,ТГ_ИД!$D:$D,ТГ!$A37)</f>
        <v>0</v>
      </c>
      <c r="V36" s="130">
        <f>SUMIFS(ТГ_ИД!$E:$E,ТГ_ИД!$B:$B,ТГ!$G$14,ТГ_ИД!$D:$D,ТГ!$A37)</f>
        <v>0</v>
      </c>
    </row>
    <row r="37" spans="1:22" x14ac:dyDescent="0.25">
      <c r="A37" s="116" t="str">
        <f t="shared" si="1"/>
        <v>02624</v>
      </c>
      <c r="B37" s="115">
        <v>2624</v>
      </c>
      <c r="C37" s="97" t="s">
        <v>120</v>
      </c>
      <c r="K37" s="130">
        <f>SUMIFS(ТГ_ИД!$E:$E,ТГ_ИД!$B:$B,ТГ!$G$3,ТГ_ИД!$D:$D,ТГ!$A38)</f>
        <v>0</v>
      </c>
      <c r="L37" s="130">
        <f>SUMIFS(ТГ_ИД!$E:$E,ТГ_ИД!$B:$B,ТГ!$G$4,ТГ_ИД!$D:$D,ТГ!$A38)</f>
        <v>3253.63</v>
      </c>
      <c r="M37" s="130">
        <f>SUMIFS(ТГ_ИД!$E:$E,ТГ_ИД!$B:$B,ТГ!$G$5,ТГ_ИД!$D:$D,ТГ!$A38)</f>
        <v>0</v>
      </c>
      <c r="N37" s="130">
        <f>SUMIFS(ТГ_ИД!$E:$E,ТГ_ИД!$B:$B,ТГ!$G$6,ТГ_ИД!$D:$D,ТГ!$A38)</f>
        <v>0</v>
      </c>
      <c r="O37" s="130">
        <f>SUMIFS(ТГ_ИД!$E:$E,ТГ_ИД!$B:$B,ТГ!$G$7,ТГ_ИД!$D:$D,ТГ!$A38)</f>
        <v>0</v>
      </c>
      <c r="P37" s="130">
        <f>SUMIFS(ТГ_ИД!$E:$E,ТГ_ИД!$B:$B,ТГ!$G$8,ТГ_ИД!$D:$D,ТГ!$A38)</f>
        <v>0</v>
      </c>
      <c r="Q37" s="130">
        <f>SUMIFS(ТГ_ИД!$E:$E,ТГ_ИД!$B:$B,ТГ!$G$9,ТГ_ИД!$D:$D,ТГ!$A38)</f>
        <v>0</v>
      </c>
      <c r="R37" s="130">
        <f>SUMIFS(ТГ_ИД!$E:$E,ТГ_ИД!$B:$B,ТГ!$G$10,ТГ_ИД!$D:$D,ТГ!$A38)</f>
        <v>0</v>
      </c>
      <c r="S37" s="130">
        <f>SUMIFS(ТГ_ИД!$E:$E,ТГ_ИД!$B:$B,ТГ!$G$11,ТГ_ИД!$D:$D,ТГ!$A38)</f>
        <v>0</v>
      </c>
      <c r="T37" s="130">
        <f>SUMIFS(ТГ_ИД!$E:$E,ТГ_ИД!$B:$B,ТГ!$G$12,ТГ_ИД!$D:$D,ТГ!$A38)</f>
        <v>0</v>
      </c>
      <c r="U37" s="130">
        <f>SUMIFS(ТГ_ИД!$E:$E,ТГ_ИД!$B:$B,ТГ!$G$13,ТГ_ИД!$D:$D,ТГ!$A38)</f>
        <v>0</v>
      </c>
      <c r="V37" s="130">
        <f>SUMIFS(ТГ_ИД!$E:$E,ТГ_ИД!$B:$B,ТГ!$G$14,ТГ_ИД!$D:$D,ТГ!$A38)</f>
        <v>0</v>
      </c>
    </row>
    <row r="38" spans="1:22" x14ac:dyDescent="0.25">
      <c r="A38" s="116" t="str">
        <f t="shared" si="1"/>
        <v>02671</v>
      </c>
      <c r="B38" s="115">
        <v>2671</v>
      </c>
      <c r="C38" s="97" t="s">
        <v>121</v>
      </c>
      <c r="K38" s="130">
        <f>SUMIFS(ТГ_ИД!$E:$E,ТГ_ИД!$B:$B,ТГ!$G$3,ТГ_ИД!$D:$D,ТГ!$A39)</f>
        <v>0</v>
      </c>
      <c r="L38" s="130">
        <f>SUMIFS(ТГ_ИД!$E:$E,ТГ_ИД!$B:$B,ТГ!$G$4,ТГ_ИД!$D:$D,ТГ!$A39)</f>
        <v>9999.36</v>
      </c>
      <c r="M38" s="130">
        <f>SUMIFS(ТГ_ИД!$E:$E,ТГ_ИД!$B:$B,ТГ!$G$5,ТГ_ИД!$D:$D,ТГ!$A39)</f>
        <v>0</v>
      </c>
      <c r="N38" s="130">
        <f>SUMIFS(ТГ_ИД!$E:$E,ТГ_ИД!$B:$B,ТГ!$G$6,ТГ_ИД!$D:$D,ТГ!$A39)</f>
        <v>0</v>
      </c>
      <c r="O38" s="130">
        <f>SUMIFS(ТГ_ИД!$E:$E,ТГ_ИД!$B:$B,ТГ!$G$7,ТГ_ИД!$D:$D,ТГ!$A39)</f>
        <v>0</v>
      </c>
      <c r="P38" s="130">
        <f>SUMIFS(ТГ_ИД!$E:$E,ТГ_ИД!$B:$B,ТГ!$G$8,ТГ_ИД!$D:$D,ТГ!$A39)</f>
        <v>0</v>
      </c>
      <c r="Q38" s="130">
        <f>SUMIFS(ТГ_ИД!$E:$E,ТГ_ИД!$B:$B,ТГ!$G$9,ТГ_ИД!$D:$D,ТГ!$A39)</f>
        <v>0</v>
      </c>
      <c r="R38" s="130">
        <f>SUMIFS(ТГ_ИД!$E:$E,ТГ_ИД!$B:$B,ТГ!$G$10,ТГ_ИД!$D:$D,ТГ!$A39)</f>
        <v>0</v>
      </c>
      <c r="S38" s="130">
        <f>SUMIFS(ТГ_ИД!$E:$E,ТГ_ИД!$B:$B,ТГ!$G$11,ТГ_ИД!$D:$D,ТГ!$A39)</f>
        <v>0</v>
      </c>
      <c r="T38" s="130">
        <f>SUMIFS(ТГ_ИД!$E:$E,ТГ_ИД!$B:$B,ТГ!$G$12,ТГ_ИД!$D:$D,ТГ!$A39)</f>
        <v>0</v>
      </c>
      <c r="U38" s="130">
        <f>SUMIFS(ТГ_ИД!$E:$E,ТГ_ИД!$B:$B,ТГ!$G$13,ТГ_ИД!$D:$D,ТГ!$A39)</f>
        <v>0</v>
      </c>
      <c r="V38" s="130">
        <f>SUMIFS(ТГ_ИД!$E:$E,ТГ_ИД!$B:$B,ТГ!$G$14,ТГ_ИД!$D:$D,ТГ!$A39)</f>
        <v>0</v>
      </c>
    </row>
    <row r="39" spans="1:22" x14ac:dyDescent="0.25">
      <c r="A39" s="116" t="str">
        <f t="shared" si="1"/>
        <v>02672</v>
      </c>
      <c r="B39" s="115">
        <v>2672</v>
      </c>
      <c r="C39" s="97" t="s">
        <v>122</v>
      </c>
      <c r="K39" s="130">
        <f>SUMIFS(ТГ_ИД!$E:$E,ТГ_ИД!$B:$B,ТГ!$G$3,ТГ_ИД!$D:$D,ТГ!$A40)</f>
        <v>97949.14999999998</v>
      </c>
      <c r="L39" s="130">
        <f>SUMIFS(ТГ_ИД!$E:$E,ТГ_ИД!$B:$B,ТГ!$G$4,ТГ_ИД!$D:$D,ТГ!$A40)</f>
        <v>77011.600000000006</v>
      </c>
      <c r="M39" s="130">
        <f>SUMIFS(ТГ_ИД!$E:$E,ТГ_ИД!$B:$B,ТГ!$G$5,ТГ_ИД!$D:$D,ТГ!$A40)</f>
        <v>0</v>
      </c>
      <c r="N39" s="130">
        <f>SUMIFS(ТГ_ИД!$E:$E,ТГ_ИД!$B:$B,ТГ!$G$6,ТГ_ИД!$D:$D,ТГ!$A40)</f>
        <v>0</v>
      </c>
      <c r="O39" s="130">
        <f>SUMIFS(ТГ_ИД!$E:$E,ТГ_ИД!$B:$B,ТГ!$G$7,ТГ_ИД!$D:$D,ТГ!$A40)</f>
        <v>0</v>
      </c>
      <c r="P39" s="130">
        <f>SUMIFS(ТГ_ИД!$E:$E,ТГ_ИД!$B:$B,ТГ!$G$8,ТГ_ИД!$D:$D,ТГ!$A40)</f>
        <v>0</v>
      </c>
      <c r="Q39" s="130">
        <f>SUMIFS(ТГ_ИД!$E:$E,ТГ_ИД!$B:$B,ТГ!$G$9,ТГ_ИД!$D:$D,ТГ!$A40)</f>
        <v>0</v>
      </c>
      <c r="R39" s="130">
        <f>SUMIFS(ТГ_ИД!$E:$E,ТГ_ИД!$B:$B,ТГ!$G$10,ТГ_ИД!$D:$D,ТГ!$A40)</f>
        <v>0</v>
      </c>
      <c r="S39" s="130">
        <f>SUMIFS(ТГ_ИД!$E:$E,ТГ_ИД!$B:$B,ТГ!$G$11,ТГ_ИД!$D:$D,ТГ!$A40)</f>
        <v>0</v>
      </c>
      <c r="T39" s="130">
        <f>SUMIFS(ТГ_ИД!$E:$E,ТГ_ИД!$B:$B,ТГ!$G$12,ТГ_ИД!$D:$D,ТГ!$A40)</f>
        <v>0</v>
      </c>
      <c r="U39" s="130">
        <f>SUMIFS(ТГ_ИД!$E:$E,ТГ_ИД!$B:$B,ТГ!$G$13,ТГ_ИД!$D:$D,ТГ!$A40)</f>
        <v>0</v>
      </c>
      <c r="V39" s="130">
        <f>SUMIFS(ТГ_ИД!$E:$E,ТГ_ИД!$B:$B,ТГ!$G$14,ТГ_ИД!$D:$D,ТГ!$A40)</f>
        <v>0</v>
      </c>
    </row>
    <row r="40" spans="1:22" x14ac:dyDescent="0.25">
      <c r="A40" s="116" t="str">
        <f t="shared" si="1"/>
        <v>02611</v>
      </c>
      <c r="B40" s="115">
        <v>2611</v>
      </c>
      <c r="C40" s="97" t="s">
        <v>123</v>
      </c>
      <c r="K40" s="130">
        <f>SUMIFS(ТГ_ИД!$E:$E,ТГ_ИД!$B:$B,ТГ!$G$3,ТГ_ИД!$D:$D,ТГ!$A41)</f>
        <v>0</v>
      </c>
      <c r="L40" s="130">
        <f>SUMIFS(ТГ_ИД!$E:$E,ТГ_ИД!$B:$B,ТГ!$G$4,ТГ_ИД!$D:$D,ТГ!$A41)</f>
        <v>0</v>
      </c>
      <c r="M40" s="130">
        <f>SUMIFS(ТГ_ИД!$E:$E,ТГ_ИД!$B:$B,ТГ!$G$5,ТГ_ИД!$D:$D,ТГ!$A41)</f>
        <v>0</v>
      </c>
      <c r="N40" s="130">
        <f>SUMIFS(ТГ_ИД!$E:$E,ТГ_ИД!$B:$B,ТГ!$G$6,ТГ_ИД!$D:$D,ТГ!$A41)</f>
        <v>0</v>
      </c>
      <c r="O40" s="130">
        <f>SUMIFS(ТГ_ИД!$E:$E,ТГ_ИД!$B:$B,ТГ!$G$7,ТГ_ИД!$D:$D,ТГ!$A41)</f>
        <v>0</v>
      </c>
      <c r="P40" s="130">
        <f>SUMIFS(ТГ_ИД!$E:$E,ТГ_ИД!$B:$B,ТГ!$G$8,ТГ_ИД!$D:$D,ТГ!$A41)</f>
        <v>0</v>
      </c>
      <c r="Q40" s="130">
        <f>SUMIFS(ТГ_ИД!$E:$E,ТГ_ИД!$B:$B,ТГ!$G$9,ТГ_ИД!$D:$D,ТГ!$A41)</f>
        <v>0</v>
      </c>
      <c r="R40" s="130">
        <f>SUMIFS(ТГ_ИД!$E:$E,ТГ_ИД!$B:$B,ТГ!$G$10,ТГ_ИД!$D:$D,ТГ!$A41)</f>
        <v>0</v>
      </c>
      <c r="S40" s="130">
        <f>SUMIFS(ТГ_ИД!$E:$E,ТГ_ИД!$B:$B,ТГ!$G$11,ТГ_ИД!$D:$D,ТГ!$A41)</f>
        <v>0</v>
      </c>
      <c r="T40" s="130">
        <f>SUMIFS(ТГ_ИД!$E:$E,ТГ_ИД!$B:$B,ТГ!$G$12,ТГ_ИД!$D:$D,ТГ!$A41)</f>
        <v>0</v>
      </c>
      <c r="U40" s="130">
        <f>SUMIFS(ТГ_ИД!$E:$E,ТГ_ИД!$B:$B,ТГ!$G$13,ТГ_ИД!$D:$D,ТГ!$A41)</f>
        <v>0</v>
      </c>
      <c r="V40" s="130">
        <f>SUMIFS(ТГ_ИД!$E:$E,ТГ_ИД!$B:$B,ТГ!$G$14,ТГ_ИД!$D:$D,ТГ!$A41)</f>
        <v>0</v>
      </c>
    </row>
    <row r="41" spans="1:22" hidden="1" x14ac:dyDescent="0.25">
      <c r="A41" s="116" t="str">
        <f t="shared" si="1"/>
        <v>02630</v>
      </c>
      <c r="B41" s="115" t="s">
        <v>1181</v>
      </c>
      <c r="C41" s="97"/>
      <c r="K41" s="130">
        <f>SUMIFS(ТГ_ИД!$E:$E,ТГ_ИД!$B:$B,ТГ!$G$3,ТГ_ИД!$D:$D,ТГ!$A42)</f>
        <v>54631.89</v>
      </c>
      <c r="L41" s="130">
        <f>SUMIFS(ТГ_ИД!$E:$E,ТГ_ИД!$B:$B,ТГ!$G$4,ТГ_ИД!$D:$D,ТГ!$A42)</f>
        <v>0</v>
      </c>
      <c r="M41" s="130">
        <f>SUMIFS(ТГ_ИД!$E:$E,ТГ_ИД!$B:$B,ТГ!$G$5,ТГ_ИД!$D:$D,ТГ!$A42)</f>
        <v>0</v>
      </c>
      <c r="N41" s="130">
        <f>SUMIFS(ТГ_ИД!$E:$E,ТГ_ИД!$B:$B,ТГ!$G$6,ТГ_ИД!$D:$D,ТГ!$A42)</f>
        <v>0</v>
      </c>
      <c r="O41" s="130">
        <f>SUMIFS(ТГ_ИД!$E:$E,ТГ_ИД!$B:$B,ТГ!$G$7,ТГ_ИД!$D:$D,ТГ!$A42)</f>
        <v>0</v>
      </c>
      <c r="P41" s="130">
        <f>SUMIFS(ТГ_ИД!$E:$E,ТГ_ИД!$B:$B,ТГ!$G$8,ТГ_ИД!$D:$D,ТГ!$A42)</f>
        <v>0</v>
      </c>
      <c r="Q41" s="130">
        <f>SUMIFS(ТГ_ИД!$E:$E,ТГ_ИД!$B:$B,ТГ!$G$9,ТГ_ИД!$D:$D,ТГ!$A42)</f>
        <v>0</v>
      </c>
      <c r="R41" s="130">
        <f>SUMIFS(ТГ_ИД!$E:$E,ТГ_ИД!$B:$B,ТГ!$G$10,ТГ_ИД!$D:$D,ТГ!$A42)</f>
        <v>0</v>
      </c>
      <c r="S41" s="130">
        <f>SUMIFS(ТГ_ИД!$E:$E,ТГ_ИД!$B:$B,ТГ!$G$11,ТГ_ИД!$D:$D,ТГ!$A42)</f>
        <v>0</v>
      </c>
      <c r="T41" s="130">
        <f>SUMIFS(ТГ_ИД!$E:$E,ТГ_ИД!$B:$B,ТГ!$G$12,ТГ_ИД!$D:$D,ТГ!$A42)</f>
        <v>0</v>
      </c>
      <c r="U41" s="130">
        <f>SUMIFS(ТГ_ИД!$E:$E,ТГ_ИД!$B:$B,ТГ!$G$13,ТГ_ИД!$D:$D,ТГ!$A42)</f>
        <v>0</v>
      </c>
      <c r="V41" s="130">
        <f>SUMIFS(ТГ_ИД!$E:$E,ТГ_ИД!$B:$B,ТГ!$G$14,ТГ_ИД!$D:$D,ТГ!$A42)</f>
        <v>0</v>
      </c>
    </row>
    <row r="42" spans="1:22" hidden="1" x14ac:dyDescent="0.25">
      <c r="A42" s="116" t="str">
        <f t="shared" si="1"/>
        <v>02607</v>
      </c>
      <c r="B42" s="115" t="s">
        <v>654</v>
      </c>
      <c r="C42" s="97"/>
      <c r="K42" s="130">
        <f>SUMIFS(ТГ_ИД!$E:$E,ТГ_ИД!$B:$B,ТГ!$G$3,ТГ_ИД!$D:$D,ТГ!$A43)</f>
        <v>8778.98</v>
      </c>
      <c r="L42" s="130">
        <f>SUMIFS(ТГ_ИД!$E:$E,ТГ_ИД!$B:$B,ТГ!$G$4,ТГ_ИД!$D:$D,ТГ!$A43)</f>
        <v>0</v>
      </c>
      <c r="M42" s="130">
        <f>SUMIFS(ТГ_ИД!$E:$E,ТГ_ИД!$B:$B,ТГ!$G$5,ТГ_ИД!$D:$D,ТГ!$A43)</f>
        <v>0</v>
      </c>
      <c r="N42" s="130">
        <f>SUMIFS(ТГ_ИД!$E:$E,ТГ_ИД!$B:$B,ТГ!$G$6,ТГ_ИД!$D:$D,ТГ!$A43)</f>
        <v>0</v>
      </c>
      <c r="O42" s="130">
        <f>SUMIFS(ТГ_ИД!$E:$E,ТГ_ИД!$B:$B,ТГ!$G$7,ТГ_ИД!$D:$D,ТГ!$A43)</f>
        <v>0</v>
      </c>
      <c r="P42" s="130">
        <f>SUMIFS(ТГ_ИД!$E:$E,ТГ_ИД!$B:$B,ТГ!$G$8,ТГ_ИД!$D:$D,ТГ!$A43)</f>
        <v>0</v>
      </c>
      <c r="Q42" s="130">
        <f>SUMIFS(ТГ_ИД!$E:$E,ТГ_ИД!$B:$B,ТГ!$G$9,ТГ_ИД!$D:$D,ТГ!$A43)</f>
        <v>0</v>
      </c>
      <c r="R42" s="130">
        <f>SUMIFS(ТГ_ИД!$E:$E,ТГ_ИД!$B:$B,ТГ!$G$10,ТГ_ИД!$D:$D,ТГ!$A43)</f>
        <v>0</v>
      </c>
      <c r="S42" s="130">
        <f>SUMIFS(ТГ_ИД!$E:$E,ТГ_ИД!$B:$B,ТГ!$G$11,ТГ_ИД!$D:$D,ТГ!$A43)</f>
        <v>0</v>
      </c>
      <c r="T42" s="130">
        <f>SUMIFS(ТГ_ИД!$E:$E,ТГ_ИД!$B:$B,ТГ!$G$12,ТГ_ИД!$D:$D,ТГ!$A43)</f>
        <v>0</v>
      </c>
      <c r="U42" s="130">
        <f>SUMIFS(ТГ_ИД!$E:$E,ТГ_ИД!$B:$B,ТГ!$G$13,ТГ_ИД!$D:$D,ТГ!$A43)</f>
        <v>0</v>
      </c>
      <c r="V42" s="130">
        <f>SUMIFS(ТГ_ИД!$E:$E,ТГ_ИД!$B:$B,ТГ!$G$14,ТГ_ИД!$D:$D,ТГ!$A43)</f>
        <v>0</v>
      </c>
    </row>
    <row r="43" spans="1:22" hidden="1" x14ac:dyDescent="0.25">
      <c r="A43" s="116" t="str">
        <f t="shared" si="1"/>
        <v>02608</v>
      </c>
      <c r="B43" s="115" t="s">
        <v>721</v>
      </c>
      <c r="C43" s="97"/>
      <c r="K43" s="130">
        <f>SUMIFS(ТГ_ИД!$E:$E,ТГ_ИД!$B:$B,ТГ!$G$3,ТГ_ИД!$D:$D,ТГ!$A44)</f>
        <v>27709.62</v>
      </c>
      <c r="L43" s="130">
        <f>SUMIFS(ТГ_ИД!$E:$E,ТГ_ИД!$B:$B,ТГ!$G$4,ТГ_ИД!$D:$D,ТГ!$A44)</f>
        <v>0</v>
      </c>
      <c r="M43" s="130">
        <f>SUMIFS(ТГ_ИД!$E:$E,ТГ_ИД!$B:$B,ТГ!$G$5,ТГ_ИД!$D:$D,ТГ!$A44)</f>
        <v>0</v>
      </c>
      <c r="N43" s="130">
        <f>SUMIFS(ТГ_ИД!$E:$E,ТГ_ИД!$B:$B,ТГ!$G$6,ТГ_ИД!$D:$D,ТГ!$A44)</f>
        <v>0</v>
      </c>
      <c r="O43" s="130">
        <f>SUMIFS(ТГ_ИД!$E:$E,ТГ_ИД!$B:$B,ТГ!$G$7,ТГ_ИД!$D:$D,ТГ!$A44)</f>
        <v>0</v>
      </c>
      <c r="P43" s="130">
        <f>SUMIFS(ТГ_ИД!$E:$E,ТГ_ИД!$B:$B,ТГ!$G$8,ТГ_ИД!$D:$D,ТГ!$A44)</f>
        <v>0</v>
      </c>
      <c r="Q43" s="130">
        <f>SUMIFS(ТГ_ИД!$E:$E,ТГ_ИД!$B:$B,ТГ!$G$9,ТГ_ИД!$D:$D,ТГ!$A44)</f>
        <v>0</v>
      </c>
      <c r="R43" s="130">
        <f>SUMIFS(ТГ_ИД!$E:$E,ТГ_ИД!$B:$B,ТГ!$G$10,ТГ_ИД!$D:$D,ТГ!$A44)</f>
        <v>0</v>
      </c>
      <c r="S43" s="130">
        <f>SUMIFS(ТГ_ИД!$E:$E,ТГ_ИД!$B:$B,ТГ!$G$11,ТГ_ИД!$D:$D,ТГ!$A44)</f>
        <v>0</v>
      </c>
      <c r="T43" s="130">
        <f>SUMIFS(ТГ_ИД!$E:$E,ТГ_ИД!$B:$B,ТГ!$G$12,ТГ_ИД!$D:$D,ТГ!$A44)</f>
        <v>0</v>
      </c>
      <c r="U43" s="130">
        <f>SUMIFS(ТГ_ИД!$E:$E,ТГ_ИД!$B:$B,ТГ!$G$13,ТГ_ИД!$D:$D,ТГ!$A44)</f>
        <v>0</v>
      </c>
      <c r="V43" s="130">
        <f>SUMIFS(ТГ_ИД!$E:$E,ТГ_ИД!$B:$B,ТГ!$G$14,ТГ_ИД!$D:$D,ТГ!$A44)</f>
        <v>0</v>
      </c>
    </row>
    <row r="44" spans="1:22" hidden="1" x14ac:dyDescent="0.25">
      <c r="A44" s="116" t="str">
        <f t="shared" si="1"/>
        <v>02609</v>
      </c>
      <c r="B44" s="115" t="s">
        <v>741</v>
      </c>
      <c r="C44" s="97"/>
      <c r="K44" s="130">
        <f>SUMIFS(ТГ_ИД!$E:$E,ТГ_ИД!$B:$B,ТГ!$G$3,ТГ_ИД!$D:$D,ТГ!$A45)</f>
        <v>0</v>
      </c>
      <c r="L44" s="130">
        <f>SUMIFS(ТГ_ИД!$E:$E,ТГ_ИД!$B:$B,ТГ!$G$4,ТГ_ИД!$D:$D,ТГ!$A45)</f>
        <v>0</v>
      </c>
      <c r="M44" s="130">
        <f>SUMIFS(ТГ_ИД!$E:$E,ТГ_ИД!$B:$B,ТГ!$G$5,ТГ_ИД!$D:$D,ТГ!$A45)</f>
        <v>0</v>
      </c>
      <c r="N44" s="130">
        <f>SUMIFS(ТГ_ИД!$E:$E,ТГ_ИД!$B:$B,ТГ!$G$6,ТГ_ИД!$D:$D,ТГ!$A45)</f>
        <v>0</v>
      </c>
      <c r="O44" s="130">
        <f>SUMIFS(ТГ_ИД!$E:$E,ТГ_ИД!$B:$B,ТГ!$G$7,ТГ_ИД!$D:$D,ТГ!$A45)</f>
        <v>0</v>
      </c>
      <c r="P44" s="130">
        <f>SUMIFS(ТГ_ИД!$E:$E,ТГ_ИД!$B:$B,ТГ!$G$8,ТГ_ИД!$D:$D,ТГ!$A45)</f>
        <v>0</v>
      </c>
      <c r="Q44" s="130">
        <f>SUMIFS(ТГ_ИД!$E:$E,ТГ_ИД!$B:$B,ТГ!$G$9,ТГ_ИД!$D:$D,ТГ!$A45)</f>
        <v>0</v>
      </c>
      <c r="R44" s="130">
        <f>SUMIFS(ТГ_ИД!$E:$E,ТГ_ИД!$B:$B,ТГ!$G$10,ТГ_ИД!$D:$D,ТГ!$A45)</f>
        <v>0</v>
      </c>
      <c r="S44" s="130">
        <f>SUMIFS(ТГ_ИД!$E:$E,ТГ_ИД!$B:$B,ТГ!$G$11,ТГ_ИД!$D:$D,ТГ!$A45)</f>
        <v>0</v>
      </c>
      <c r="T44" s="130">
        <f>SUMIFS(ТГ_ИД!$E:$E,ТГ_ИД!$B:$B,ТГ!$G$12,ТГ_ИД!$D:$D,ТГ!$A45)</f>
        <v>0</v>
      </c>
      <c r="U44" s="130">
        <f>SUMIFS(ТГ_ИД!$E:$E,ТГ_ИД!$B:$B,ТГ!$G$13,ТГ_ИД!$D:$D,ТГ!$A45)</f>
        <v>0</v>
      </c>
      <c r="V44" s="130">
        <f>SUMIFS(ТГ_ИД!$E:$E,ТГ_ИД!$B:$B,ТГ!$G$14,ТГ_ИД!$D:$D,ТГ!$A45)</f>
        <v>0</v>
      </c>
    </row>
    <row r="45" spans="1:22" hidden="1" x14ac:dyDescent="0.25">
      <c r="A45" s="116" t="str">
        <f t="shared" si="1"/>
        <v>02610</v>
      </c>
      <c r="B45" s="115" t="s">
        <v>1182</v>
      </c>
      <c r="C45" s="97"/>
      <c r="K45" s="130">
        <f>SUMIFS(ТГ_ИД!$E:$E,ТГ_ИД!$B:$B,ТГ!$G$3,ТГ_ИД!$D:$D,ТГ!$A46)</f>
        <v>0</v>
      </c>
      <c r="L45" s="130">
        <f>SUMIFS(ТГ_ИД!$E:$E,ТГ_ИД!$B:$B,ТГ!$G$4,ТГ_ИД!$D:$D,ТГ!$A46)</f>
        <v>0</v>
      </c>
      <c r="M45" s="130">
        <f>SUMIFS(ТГ_ИД!$E:$E,ТГ_ИД!$B:$B,ТГ!$G$5,ТГ_ИД!$D:$D,ТГ!$A46)</f>
        <v>0</v>
      </c>
      <c r="N45" s="130">
        <f>SUMIFS(ТГ_ИД!$E:$E,ТГ_ИД!$B:$B,ТГ!$G$6,ТГ_ИД!$D:$D,ТГ!$A46)</f>
        <v>0</v>
      </c>
      <c r="O45" s="130">
        <f>SUMIFS(ТГ_ИД!$E:$E,ТГ_ИД!$B:$B,ТГ!$G$7,ТГ_ИД!$D:$D,ТГ!$A46)</f>
        <v>0</v>
      </c>
      <c r="P45" s="130">
        <f>SUMIFS(ТГ_ИД!$E:$E,ТГ_ИД!$B:$B,ТГ!$G$8,ТГ_ИД!$D:$D,ТГ!$A46)</f>
        <v>0</v>
      </c>
      <c r="Q45" s="130">
        <f>SUMIFS(ТГ_ИД!$E:$E,ТГ_ИД!$B:$B,ТГ!$G$9,ТГ_ИД!$D:$D,ТГ!$A46)</f>
        <v>0</v>
      </c>
      <c r="R45" s="130">
        <f>SUMIFS(ТГ_ИД!$E:$E,ТГ_ИД!$B:$B,ТГ!$G$10,ТГ_ИД!$D:$D,ТГ!$A46)</f>
        <v>0</v>
      </c>
      <c r="S45" s="130">
        <f>SUMIFS(ТГ_ИД!$E:$E,ТГ_ИД!$B:$B,ТГ!$G$11,ТГ_ИД!$D:$D,ТГ!$A46)</f>
        <v>0</v>
      </c>
      <c r="T45" s="130">
        <f>SUMIFS(ТГ_ИД!$E:$E,ТГ_ИД!$B:$B,ТГ!$G$12,ТГ_ИД!$D:$D,ТГ!$A46)</f>
        <v>0</v>
      </c>
      <c r="U45" s="130">
        <f>SUMIFS(ТГ_ИД!$E:$E,ТГ_ИД!$B:$B,ТГ!$G$13,ТГ_ИД!$D:$D,ТГ!$A46)</f>
        <v>0</v>
      </c>
      <c r="V45" s="130">
        <f>SUMIFS(ТГ_ИД!$E:$E,ТГ_ИД!$B:$B,ТГ!$G$14,ТГ_ИД!$D:$D,ТГ!$A46)</f>
        <v>0</v>
      </c>
    </row>
    <row r="46" spans="1:22" x14ac:dyDescent="0.25">
      <c r="A46" s="116" t="str">
        <f t="shared" si="1"/>
        <v>07004</v>
      </c>
      <c r="B46" s="115">
        <v>7004</v>
      </c>
      <c r="C46" s="97" t="s">
        <v>124</v>
      </c>
      <c r="K46" s="130">
        <f>SUMIFS(ТГ_ИД!$E:$E,ТГ_ИД!$B:$B,ТГ!$G$3,ТГ_ИД!$D:$D,ТГ!$A47)</f>
        <v>0</v>
      </c>
      <c r="L46" s="130">
        <f>SUMIFS(ТГ_ИД!$E:$E,ТГ_ИД!$B:$B,ТГ!$G$4,ТГ_ИД!$D:$D,ТГ!$A47)</f>
        <v>0</v>
      </c>
      <c r="M46" s="130">
        <f>SUMIFS(ТГ_ИД!$E:$E,ТГ_ИД!$B:$B,ТГ!$G$5,ТГ_ИД!$D:$D,ТГ!$A47)</f>
        <v>0</v>
      </c>
      <c r="N46" s="130">
        <f>SUMIFS(ТГ_ИД!$E:$E,ТГ_ИД!$B:$B,ТГ!$G$6,ТГ_ИД!$D:$D,ТГ!$A47)</f>
        <v>0</v>
      </c>
      <c r="O46" s="130">
        <f>SUMIFS(ТГ_ИД!$E:$E,ТГ_ИД!$B:$B,ТГ!$G$7,ТГ_ИД!$D:$D,ТГ!$A47)</f>
        <v>0</v>
      </c>
      <c r="P46" s="130">
        <f>SUMIFS(ТГ_ИД!$E:$E,ТГ_ИД!$B:$B,ТГ!$G$8,ТГ_ИД!$D:$D,ТГ!$A47)</f>
        <v>0</v>
      </c>
      <c r="Q46" s="130">
        <f>SUMIFS(ТГ_ИД!$E:$E,ТГ_ИД!$B:$B,ТГ!$G$9,ТГ_ИД!$D:$D,ТГ!$A47)</f>
        <v>0</v>
      </c>
      <c r="R46" s="130">
        <f>SUMIFS(ТГ_ИД!$E:$E,ТГ_ИД!$B:$B,ТГ!$G$10,ТГ_ИД!$D:$D,ТГ!$A47)</f>
        <v>0</v>
      </c>
      <c r="S46" s="130">
        <f>SUMIFS(ТГ_ИД!$E:$E,ТГ_ИД!$B:$B,ТГ!$G$11,ТГ_ИД!$D:$D,ТГ!$A47)</f>
        <v>0</v>
      </c>
      <c r="T46" s="130">
        <f>SUMIFS(ТГ_ИД!$E:$E,ТГ_ИД!$B:$B,ТГ!$G$12,ТГ_ИД!$D:$D,ТГ!$A47)</f>
        <v>0</v>
      </c>
      <c r="U46" s="130">
        <f>SUMIFS(ТГ_ИД!$E:$E,ТГ_ИД!$B:$B,ТГ!$G$13,ТГ_ИД!$D:$D,ТГ!$A47)</f>
        <v>0</v>
      </c>
      <c r="V46" s="130">
        <f>SUMIFS(ТГ_ИД!$E:$E,ТГ_ИД!$B:$B,ТГ!$G$14,ТГ_ИД!$D:$D,ТГ!$A47)</f>
        <v>0</v>
      </c>
    </row>
    <row r="47" spans="1:22" x14ac:dyDescent="0.25">
      <c r="A47" s="116" t="str">
        <f t="shared" si="1"/>
        <v>07005</v>
      </c>
      <c r="B47" s="115">
        <v>7005</v>
      </c>
      <c r="C47" s="97" t="s">
        <v>125</v>
      </c>
      <c r="K47" s="130">
        <f>SUMIFS(ТГ_ИД!$E:$E,ТГ_ИД!$B:$B,ТГ!$G$3,ТГ_ИД!$D:$D,ТГ!$A48)</f>
        <v>0</v>
      </c>
      <c r="L47" s="130">
        <f>SUMIFS(ТГ_ИД!$E:$E,ТГ_ИД!$B:$B,ТГ!$G$4,ТГ_ИД!$D:$D,ТГ!$A48)</f>
        <v>0</v>
      </c>
      <c r="M47" s="130">
        <f>SUMIFS(ТГ_ИД!$E:$E,ТГ_ИД!$B:$B,ТГ!$G$5,ТГ_ИД!$D:$D,ТГ!$A48)</f>
        <v>0</v>
      </c>
      <c r="N47" s="130">
        <f>SUMIFS(ТГ_ИД!$E:$E,ТГ_ИД!$B:$B,ТГ!$G$6,ТГ_ИД!$D:$D,ТГ!$A48)</f>
        <v>0</v>
      </c>
      <c r="O47" s="130">
        <f>SUMIFS(ТГ_ИД!$E:$E,ТГ_ИД!$B:$B,ТГ!$G$7,ТГ_ИД!$D:$D,ТГ!$A48)</f>
        <v>0</v>
      </c>
      <c r="P47" s="130">
        <f>SUMIFS(ТГ_ИД!$E:$E,ТГ_ИД!$B:$B,ТГ!$G$8,ТГ_ИД!$D:$D,ТГ!$A48)</f>
        <v>0</v>
      </c>
      <c r="Q47" s="130">
        <f>SUMIFS(ТГ_ИД!$E:$E,ТГ_ИД!$B:$B,ТГ!$G$9,ТГ_ИД!$D:$D,ТГ!$A48)</f>
        <v>0</v>
      </c>
      <c r="R47" s="130">
        <f>SUMIFS(ТГ_ИД!$E:$E,ТГ_ИД!$B:$B,ТГ!$G$10,ТГ_ИД!$D:$D,ТГ!$A48)</f>
        <v>0</v>
      </c>
      <c r="S47" s="130">
        <f>SUMIFS(ТГ_ИД!$E:$E,ТГ_ИД!$B:$B,ТГ!$G$11,ТГ_ИД!$D:$D,ТГ!$A48)</f>
        <v>0</v>
      </c>
      <c r="T47" s="130">
        <f>SUMIFS(ТГ_ИД!$E:$E,ТГ_ИД!$B:$B,ТГ!$G$12,ТГ_ИД!$D:$D,ТГ!$A48)</f>
        <v>0</v>
      </c>
      <c r="U47" s="130">
        <f>SUMIFS(ТГ_ИД!$E:$E,ТГ_ИД!$B:$B,ТГ!$G$13,ТГ_ИД!$D:$D,ТГ!$A48)</f>
        <v>0</v>
      </c>
      <c r="V47" s="130">
        <f>SUMIFS(ТГ_ИД!$E:$E,ТГ_ИД!$B:$B,ТГ!$G$14,ТГ_ИД!$D:$D,ТГ!$A48)</f>
        <v>0</v>
      </c>
    </row>
    <row r="48" spans="1:22" x14ac:dyDescent="0.25">
      <c r="A48" s="116" t="str">
        <f t="shared" si="1"/>
        <v>07006</v>
      </c>
      <c r="B48" s="115">
        <v>7006</v>
      </c>
      <c r="C48" s="97" t="s">
        <v>126</v>
      </c>
      <c r="K48" s="130">
        <f>SUMIFS(ТГ_ИД!$E:$E,ТГ_ИД!$B:$B,ТГ!$G$3,ТГ_ИД!$D:$D,ТГ!$A49)</f>
        <v>453.2</v>
      </c>
      <c r="L48" s="130">
        <f>SUMIFS(ТГ_ИД!$E:$E,ТГ_ИД!$B:$B,ТГ!$G$4,ТГ_ИД!$D:$D,ТГ!$A49)</f>
        <v>4658.99</v>
      </c>
      <c r="M48" s="130">
        <f>SUMIFS(ТГ_ИД!$E:$E,ТГ_ИД!$B:$B,ТГ!$G$5,ТГ_ИД!$D:$D,ТГ!$A49)</f>
        <v>0</v>
      </c>
      <c r="N48" s="130">
        <f>SUMIFS(ТГ_ИД!$E:$E,ТГ_ИД!$B:$B,ТГ!$G$6,ТГ_ИД!$D:$D,ТГ!$A49)</f>
        <v>0</v>
      </c>
      <c r="O48" s="130">
        <f>SUMIFS(ТГ_ИД!$E:$E,ТГ_ИД!$B:$B,ТГ!$G$7,ТГ_ИД!$D:$D,ТГ!$A49)</f>
        <v>0</v>
      </c>
      <c r="P48" s="130">
        <f>SUMIFS(ТГ_ИД!$E:$E,ТГ_ИД!$B:$B,ТГ!$G$8,ТГ_ИД!$D:$D,ТГ!$A49)</f>
        <v>0</v>
      </c>
      <c r="Q48" s="130">
        <f>SUMIFS(ТГ_ИД!$E:$E,ТГ_ИД!$B:$B,ТГ!$G$9,ТГ_ИД!$D:$D,ТГ!$A49)</f>
        <v>0</v>
      </c>
      <c r="R48" s="130">
        <f>SUMIFS(ТГ_ИД!$E:$E,ТГ_ИД!$B:$B,ТГ!$G$10,ТГ_ИД!$D:$D,ТГ!$A49)</f>
        <v>0</v>
      </c>
      <c r="S48" s="130">
        <f>SUMIFS(ТГ_ИД!$E:$E,ТГ_ИД!$B:$B,ТГ!$G$11,ТГ_ИД!$D:$D,ТГ!$A49)</f>
        <v>0</v>
      </c>
      <c r="T48" s="130">
        <f>SUMIFS(ТГ_ИД!$E:$E,ТГ_ИД!$B:$B,ТГ!$G$12,ТГ_ИД!$D:$D,ТГ!$A49)</f>
        <v>0</v>
      </c>
      <c r="U48" s="130">
        <f>SUMIFS(ТГ_ИД!$E:$E,ТГ_ИД!$B:$B,ТГ!$G$13,ТГ_ИД!$D:$D,ТГ!$A49)</f>
        <v>0</v>
      </c>
      <c r="V48" s="130">
        <f>SUMIFS(ТГ_ИД!$E:$E,ТГ_ИД!$B:$B,ТГ!$G$14,ТГ_ИД!$D:$D,ТГ!$A49)</f>
        <v>0</v>
      </c>
    </row>
    <row r="49" spans="1:22" x14ac:dyDescent="0.25">
      <c r="A49" s="116" t="str">
        <f t="shared" si="1"/>
        <v>07007</v>
      </c>
      <c r="B49" s="115">
        <v>7007</v>
      </c>
      <c r="C49" s="97" t="s">
        <v>127</v>
      </c>
      <c r="K49" s="130">
        <f>SUMIFS(ТГ_ИД!$E:$E,ТГ_ИД!$B:$B,ТГ!$G$3,ТГ_ИД!$D:$D,ТГ!$A50)</f>
        <v>515.94000000000005</v>
      </c>
      <c r="L49" s="130">
        <f>SUMIFS(ТГ_ИД!$E:$E,ТГ_ИД!$B:$B,ТГ!$G$4,ТГ_ИД!$D:$D,ТГ!$A50)</f>
        <v>2121.52</v>
      </c>
      <c r="M49" s="130">
        <f>SUMIFS(ТГ_ИД!$E:$E,ТГ_ИД!$B:$B,ТГ!$G$5,ТГ_ИД!$D:$D,ТГ!$A50)</f>
        <v>0</v>
      </c>
      <c r="N49" s="130">
        <f>SUMIFS(ТГ_ИД!$E:$E,ТГ_ИД!$B:$B,ТГ!$G$6,ТГ_ИД!$D:$D,ТГ!$A50)</f>
        <v>0</v>
      </c>
      <c r="O49" s="130">
        <f>SUMIFS(ТГ_ИД!$E:$E,ТГ_ИД!$B:$B,ТГ!$G$7,ТГ_ИД!$D:$D,ТГ!$A50)</f>
        <v>0</v>
      </c>
      <c r="P49" s="130">
        <f>SUMIFS(ТГ_ИД!$E:$E,ТГ_ИД!$B:$B,ТГ!$G$8,ТГ_ИД!$D:$D,ТГ!$A50)</f>
        <v>0</v>
      </c>
      <c r="Q49" s="130">
        <f>SUMIFS(ТГ_ИД!$E:$E,ТГ_ИД!$B:$B,ТГ!$G$9,ТГ_ИД!$D:$D,ТГ!$A50)</f>
        <v>0</v>
      </c>
      <c r="R49" s="130">
        <f>SUMIFS(ТГ_ИД!$E:$E,ТГ_ИД!$B:$B,ТГ!$G$10,ТГ_ИД!$D:$D,ТГ!$A50)</f>
        <v>0</v>
      </c>
      <c r="S49" s="130">
        <f>SUMIFS(ТГ_ИД!$E:$E,ТГ_ИД!$B:$B,ТГ!$G$11,ТГ_ИД!$D:$D,ТГ!$A50)</f>
        <v>0</v>
      </c>
      <c r="T49" s="130">
        <f>SUMIFS(ТГ_ИД!$E:$E,ТГ_ИД!$B:$B,ТГ!$G$12,ТГ_ИД!$D:$D,ТГ!$A50)</f>
        <v>0</v>
      </c>
      <c r="U49" s="130">
        <f>SUMIFS(ТГ_ИД!$E:$E,ТГ_ИД!$B:$B,ТГ!$G$13,ТГ_ИД!$D:$D,ТГ!$A50)</f>
        <v>0</v>
      </c>
      <c r="V49" s="130">
        <f>SUMIFS(ТГ_ИД!$E:$E,ТГ_ИД!$B:$B,ТГ!$G$14,ТГ_ИД!$D:$D,ТГ!$A50)</f>
        <v>0</v>
      </c>
    </row>
    <row r="50" spans="1:22" x14ac:dyDescent="0.25">
      <c r="A50" s="116" t="str">
        <f t="shared" si="1"/>
        <v>07008</v>
      </c>
      <c r="B50" s="115">
        <v>7008</v>
      </c>
      <c r="C50" s="97" t="s">
        <v>128</v>
      </c>
      <c r="K50" s="130">
        <f>SUMIFS(ТГ_ИД!$E:$E,ТГ_ИД!$B:$B,ТГ!$G$3,ТГ_ИД!$D:$D,ТГ!$A51)</f>
        <v>0</v>
      </c>
      <c r="L50" s="130">
        <f>SUMIFS(ТГ_ИД!$E:$E,ТГ_ИД!$B:$B,ТГ!$G$4,ТГ_ИД!$D:$D,ТГ!$A51)</f>
        <v>5953.68</v>
      </c>
      <c r="M50" s="130">
        <f>SUMIFS(ТГ_ИД!$E:$E,ТГ_ИД!$B:$B,ТГ!$G$5,ТГ_ИД!$D:$D,ТГ!$A51)</f>
        <v>0</v>
      </c>
      <c r="N50" s="130">
        <f>SUMIFS(ТГ_ИД!$E:$E,ТГ_ИД!$B:$B,ТГ!$G$6,ТГ_ИД!$D:$D,ТГ!$A51)</f>
        <v>0</v>
      </c>
      <c r="O50" s="130">
        <f>SUMIFS(ТГ_ИД!$E:$E,ТГ_ИД!$B:$B,ТГ!$G$7,ТГ_ИД!$D:$D,ТГ!$A51)</f>
        <v>0</v>
      </c>
      <c r="P50" s="130">
        <f>SUMIFS(ТГ_ИД!$E:$E,ТГ_ИД!$B:$B,ТГ!$G$8,ТГ_ИД!$D:$D,ТГ!$A51)</f>
        <v>0</v>
      </c>
      <c r="Q50" s="130">
        <f>SUMIFS(ТГ_ИД!$E:$E,ТГ_ИД!$B:$B,ТГ!$G$9,ТГ_ИД!$D:$D,ТГ!$A51)</f>
        <v>0</v>
      </c>
      <c r="R50" s="130">
        <f>SUMIFS(ТГ_ИД!$E:$E,ТГ_ИД!$B:$B,ТГ!$G$10,ТГ_ИД!$D:$D,ТГ!$A51)</f>
        <v>0</v>
      </c>
      <c r="S50" s="130">
        <f>SUMIFS(ТГ_ИД!$E:$E,ТГ_ИД!$B:$B,ТГ!$G$11,ТГ_ИД!$D:$D,ТГ!$A51)</f>
        <v>0</v>
      </c>
      <c r="T50" s="130">
        <f>SUMIFS(ТГ_ИД!$E:$E,ТГ_ИД!$B:$B,ТГ!$G$12,ТГ_ИД!$D:$D,ТГ!$A51)</f>
        <v>0</v>
      </c>
      <c r="U50" s="130">
        <f>SUMIFS(ТГ_ИД!$E:$E,ТГ_ИД!$B:$B,ТГ!$G$13,ТГ_ИД!$D:$D,ТГ!$A51)</f>
        <v>0</v>
      </c>
      <c r="V50" s="130">
        <f>SUMIFS(ТГ_ИД!$E:$E,ТГ_ИД!$B:$B,ТГ!$G$14,ТГ_ИД!$D:$D,ТГ!$A51)</f>
        <v>0</v>
      </c>
    </row>
    <row r="51" spans="1:22" x14ac:dyDescent="0.25">
      <c r="A51" s="116" t="str">
        <f t="shared" si="1"/>
        <v>07009</v>
      </c>
      <c r="B51" s="115">
        <v>7009</v>
      </c>
      <c r="C51" s="97" t="s">
        <v>129</v>
      </c>
      <c r="K51" s="130">
        <f>SUMIFS(ТГ_ИД!$E:$E,ТГ_ИД!$B:$B,ТГ!$G$3,ТГ_ИД!$D:$D,ТГ!$A52)</f>
        <v>0</v>
      </c>
      <c r="L51" s="130">
        <f>SUMIFS(ТГ_ИД!$E:$E,ТГ_ИД!$B:$B,ТГ!$G$4,ТГ_ИД!$D:$D,ТГ!$A52)</f>
        <v>2704.81</v>
      </c>
      <c r="M51" s="130">
        <f>SUMIFS(ТГ_ИД!$E:$E,ТГ_ИД!$B:$B,ТГ!$G$5,ТГ_ИД!$D:$D,ТГ!$A52)</f>
        <v>0</v>
      </c>
      <c r="N51" s="130">
        <f>SUMIFS(ТГ_ИД!$E:$E,ТГ_ИД!$B:$B,ТГ!$G$6,ТГ_ИД!$D:$D,ТГ!$A52)</f>
        <v>0</v>
      </c>
      <c r="O51" s="130">
        <f>SUMIFS(ТГ_ИД!$E:$E,ТГ_ИД!$B:$B,ТГ!$G$7,ТГ_ИД!$D:$D,ТГ!$A52)</f>
        <v>0</v>
      </c>
      <c r="P51" s="130">
        <f>SUMIFS(ТГ_ИД!$E:$E,ТГ_ИД!$B:$B,ТГ!$G$8,ТГ_ИД!$D:$D,ТГ!$A52)</f>
        <v>0</v>
      </c>
      <c r="Q51" s="130">
        <f>SUMIFS(ТГ_ИД!$E:$E,ТГ_ИД!$B:$B,ТГ!$G$9,ТГ_ИД!$D:$D,ТГ!$A52)</f>
        <v>0</v>
      </c>
      <c r="R51" s="130">
        <f>SUMIFS(ТГ_ИД!$E:$E,ТГ_ИД!$B:$B,ТГ!$G$10,ТГ_ИД!$D:$D,ТГ!$A52)</f>
        <v>0</v>
      </c>
      <c r="S51" s="130">
        <f>SUMIFS(ТГ_ИД!$E:$E,ТГ_ИД!$B:$B,ТГ!$G$11,ТГ_ИД!$D:$D,ТГ!$A52)</f>
        <v>0</v>
      </c>
      <c r="T51" s="130">
        <f>SUMIFS(ТГ_ИД!$E:$E,ТГ_ИД!$B:$B,ТГ!$G$12,ТГ_ИД!$D:$D,ТГ!$A52)</f>
        <v>0</v>
      </c>
      <c r="U51" s="130">
        <f>SUMIFS(ТГ_ИД!$E:$E,ТГ_ИД!$B:$B,ТГ!$G$13,ТГ_ИД!$D:$D,ТГ!$A52)</f>
        <v>0</v>
      </c>
      <c r="V51" s="130">
        <f>SUMIFS(ТГ_ИД!$E:$E,ТГ_ИД!$B:$B,ТГ!$G$14,ТГ_ИД!$D:$D,ТГ!$A52)</f>
        <v>0</v>
      </c>
    </row>
    <row r="52" spans="1:22" x14ac:dyDescent="0.25">
      <c r="A52" s="116" t="str">
        <f t="shared" si="1"/>
        <v>07010</v>
      </c>
      <c r="B52" s="115">
        <v>7010</v>
      </c>
      <c r="C52" s="97" t="s">
        <v>130</v>
      </c>
      <c r="K52" s="130">
        <f>SUMIFS(ТГ_ИД!$E:$E,ТГ_ИД!$B:$B,ТГ!$G$3,ТГ_ИД!$D:$D,ТГ!$A53)</f>
        <v>714.58</v>
      </c>
      <c r="L52" s="130">
        <f>SUMIFS(ТГ_ИД!$E:$E,ТГ_ИД!$B:$B,ТГ!$G$4,ТГ_ИД!$D:$D,ТГ!$A53)</f>
        <v>8845.0400000000009</v>
      </c>
      <c r="M52" s="130">
        <f>SUMIFS(ТГ_ИД!$E:$E,ТГ_ИД!$B:$B,ТГ!$G$5,ТГ_ИД!$D:$D,ТГ!$A53)</f>
        <v>0</v>
      </c>
      <c r="N52" s="130">
        <f>SUMIFS(ТГ_ИД!$E:$E,ТГ_ИД!$B:$B,ТГ!$G$6,ТГ_ИД!$D:$D,ТГ!$A53)</f>
        <v>0</v>
      </c>
      <c r="O52" s="130">
        <f>SUMIFS(ТГ_ИД!$E:$E,ТГ_ИД!$B:$B,ТГ!$G$7,ТГ_ИД!$D:$D,ТГ!$A53)</f>
        <v>0</v>
      </c>
      <c r="P52" s="130">
        <f>SUMIFS(ТГ_ИД!$E:$E,ТГ_ИД!$B:$B,ТГ!$G$8,ТГ_ИД!$D:$D,ТГ!$A53)</f>
        <v>0</v>
      </c>
      <c r="Q52" s="130">
        <f>SUMIFS(ТГ_ИД!$E:$E,ТГ_ИД!$B:$B,ТГ!$G$9,ТГ_ИД!$D:$D,ТГ!$A53)</f>
        <v>0</v>
      </c>
      <c r="R52" s="130">
        <f>SUMIFS(ТГ_ИД!$E:$E,ТГ_ИД!$B:$B,ТГ!$G$10,ТГ_ИД!$D:$D,ТГ!$A53)</f>
        <v>0</v>
      </c>
      <c r="S52" s="130">
        <f>SUMIFS(ТГ_ИД!$E:$E,ТГ_ИД!$B:$B,ТГ!$G$11,ТГ_ИД!$D:$D,ТГ!$A53)</f>
        <v>0</v>
      </c>
      <c r="T52" s="130">
        <f>SUMIFS(ТГ_ИД!$E:$E,ТГ_ИД!$B:$B,ТГ!$G$12,ТГ_ИД!$D:$D,ТГ!$A53)</f>
        <v>0</v>
      </c>
      <c r="U52" s="130">
        <f>SUMIFS(ТГ_ИД!$E:$E,ТГ_ИД!$B:$B,ТГ!$G$13,ТГ_ИД!$D:$D,ТГ!$A53)</f>
        <v>0</v>
      </c>
      <c r="V52" s="130">
        <f>SUMIFS(ТГ_ИД!$E:$E,ТГ_ИД!$B:$B,ТГ!$G$14,ТГ_ИД!$D:$D,ТГ!$A53)</f>
        <v>0</v>
      </c>
    </row>
    <row r="53" spans="1:22" x14ac:dyDescent="0.25">
      <c r="A53" s="116" t="str">
        <f t="shared" si="1"/>
        <v>07011</v>
      </c>
      <c r="B53" s="115">
        <v>7011</v>
      </c>
      <c r="C53" s="97" t="s">
        <v>131</v>
      </c>
      <c r="K53" s="130">
        <f>SUMIFS(ТГ_ИД!$E:$E,ТГ_ИД!$B:$B,ТГ!$G$3,ТГ_ИД!$D:$D,ТГ!$A54)</f>
        <v>0</v>
      </c>
      <c r="L53" s="130">
        <f>SUMIFS(ТГ_ИД!$E:$E,ТГ_ИД!$B:$B,ТГ!$G$4,ТГ_ИД!$D:$D,ТГ!$A54)</f>
        <v>0</v>
      </c>
      <c r="M53" s="130">
        <f>SUMIFS(ТГ_ИД!$E:$E,ТГ_ИД!$B:$B,ТГ!$G$5,ТГ_ИД!$D:$D,ТГ!$A54)</f>
        <v>0</v>
      </c>
      <c r="N53" s="130">
        <f>SUMIFS(ТГ_ИД!$E:$E,ТГ_ИД!$B:$B,ТГ!$G$6,ТГ_ИД!$D:$D,ТГ!$A54)</f>
        <v>0</v>
      </c>
      <c r="O53" s="130">
        <f>SUMIFS(ТГ_ИД!$E:$E,ТГ_ИД!$B:$B,ТГ!$G$7,ТГ_ИД!$D:$D,ТГ!$A54)</f>
        <v>0</v>
      </c>
      <c r="P53" s="130">
        <f>SUMIFS(ТГ_ИД!$E:$E,ТГ_ИД!$B:$B,ТГ!$G$8,ТГ_ИД!$D:$D,ТГ!$A54)</f>
        <v>0</v>
      </c>
      <c r="Q53" s="130">
        <f>SUMIFS(ТГ_ИД!$E:$E,ТГ_ИД!$B:$B,ТГ!$G$9,ТГ_ИД!$D:$D,ТГ!$A54)</f>
        <v>0</v>
      </c>
      <c r="R53" s="130">
        <f>SUMIFS(ТГ_ИД!$E:$E,ТГ_ИД!$B:$B,ТГ!$G$10,ТГ_ИД!$D:$D,ТГ!$A54)</f>
        <v>0</v>
      </c>
      <c r="S53" s="130">
        <f>SUMIFS(ТГ_ИД!$E:$E,ТГ_ИД!$B:$B,ТГ!$G$11,ТГ_ИД!$D:$D,ТГ!$A54)</f>
        <v>0</v>
      </c>
      <c r="T53" s="130">
        <f>SUMIFS(ТГ_ИД!$E:$E,ТГ_ИД!$B:$B,ТГ!$G$12,ТГ_ИД!$D:$D,ТГ!$A54)</f>
        <v>0</v>
      </c>
      <c r="U53" s="130">
        <f>SUMIFS(ТГ_ИД!$E:$E,ТГ_ИД!$B:$B,ТГ!$G$13,ТГ_ИД!$D:$D,ТГ!$A54)</f>
        <v>0</v>
      </c>
      <c r="V53" s="130">
        <f>SUMIFS(ТГ_ИД!$E:$E,ТГ_ИД!$B:$B,ТГ!$G$14,ТГ_ИД!$D:$D,ТГ!$A54)</f>
        <v>0</v>
      </c>
    </row>
    <row r="54" spans="1:22" x14ac:dyDescent="0.25">
      <c r="A54" s="116" t="str">
        <f t="shared" si="1"/>
        <v>07012</v>
      </c>
      <c r="B54" s="115">
        <v>7012</v>
      </c>
      <c r="C54" s="97" t="s">
        <v>132</v>
      </c>
      <c r="K54" s="130">
        <f>SUMIFS(ТГ_ИД!$E:$E,ТГ_ИД!$B:$B,ТГ!$G$3,ТГ_ИД!$D:$D,ТГ!$A55)</f>
        <v>941.09</v>
      </c>
      <c r="L54" s="130">
        <f>SUMIFS(ТГ_ИД!$E:$E,ТГ_ИД!$B:$B,ТГ!$G$4,ТГ_ИД!$D:$D,ТГ!$A55)</f>
        <v>5795.51</v>
      </c>
      <c r="M54" s="130">
        <f>SUMIFS(ТГ_ИД!$E:$E,ТГ_ИД!$B:$B,ТГ!$G$5,ТГ_ИД!$D:$D,ТГ!$A55)</f>
        <v>0</v>
      </c>
      <c r="N54" s="130">
        <f>SUMIFS(ТГ_ИД!$E:$E,ТГ_ИД!$B:$B,ТГ!$G$6,ТГ_ИД!$D:$D,ТГ!$A55)</f>
        <v>0</v>
      </c>
      <c r="O54" s="130">
        <f>SUMIFS(ТГ_ИД!$E:$E,ТГ_ИД!$B:$B,ТГ!$G$7,ТГ_ИД!$D:$D,ТГ!$A55)</f>
        <v>0</v>
      </c>
      <c r="P54" s="130">
        <f>SUMIFS(ТГ_ИД!$E:$E,ТГ_ИД!$B:$B,ТГ!$G$8,ТГ_ИД!$D:$D,ТГ!$A55)</f>
        <v>0</v>
      </c>
      <c r="Q54" s="130">
        <f>SUMIFS(ТГ_ИД!$E:$E,ТГ_ИД!$B:$B,ТГ!$G$9,ТГ_ИД!$D:$D,ТГ!$A55)</f>
        <v>0</v>
      </c>
      <c r="R54" s="130">
        <f>SUMIFS(ТГ_ИД!$E:$E,ТГ_ИД!$B:$B,ТГ!$G$10,ТГ_ИД!$D:$D,ТГ!$A55)</f>
        <v>0</v>
      </c>
      <c r="S54" s="130">
        <f>SUMIFS(ТГ_ИД!$E:$E,ТГ_ИД!$B:$B,ТГ!$G$11,ТГ_ИД!$D:$D,ТГ!$A55)</f>
        <v>0</v>
      </c>
      <c r="T54" s="130">
        <f>SUMIFS(ТГ_ИД!$E:$E,ТГ_ИД!$B:$B,ТГ!$G$12,ТГ_ИД!$D:$D,ТГ!$A55)</f>
        <v>0</v>
      </c>
      <c r="U54" s="130">
        <f>SUMIFS(ТГ_ИД!$E:$E,ТГ_ИД!$B:$B,ТГ!$G$13,ТГ_ИД!$D:$D,ТГ!$A55)</f>
        <v>0</v>
      </c>
      <c r="V54" s="130">
        <f>SUMIFS(ТГ_ИД!$E:$E,ТГ_ИД!$B:$B,ТГ!$G$14,ТГ_ИД!$D:$D,ТГ!$A55)</f>
        <v>0</v>
      </c>
    </row>
    <row r="55" spans="1:22" x14ac:dyDescent="0.25">
      <c r="A55" s="116" t="str">
        <f t="shared" si="1"/>
        <v>07013</v>
      </c>
      <c r="B55" s="115">
        <v>7013</v>
      </c>
      <c r="C55" s="97" t="s">
        <v>133</v>
      </c>
      <c r="K55" s="130">
        <f>SUMIFS(ТГ_ИД!$E:$E,ТГ_ИД!$B:$B,ТГ!$G$3,ТГ_ИД!$D:$D,ТГ!$A56)</f>
        <v>0</v>
      </c>
      <c r="L55" s="130">
        <f>SUMIFS(ТГ_ИД!$E:$E,ТГ_ИД!$B:$B,ТГ!$G$4,ТГ_ИД!$D:$D,ТГ!$A56)</f>
        <v>4447.38</v>
      </c>
      <c r="M55" s="130">
        <f>SUMIFS(ТГ_ИД!$E:$E,ТГ_ИД!$B:$B,ТГ!$G$5,ТГ_ИД!$D:$D,ТГ!$A56)</f>
        <v>0</v>
      </c>
      <c r="N55" s="130">
        <f>SUMIFS(ТГ_ИД!$E:$E,ТГ_ИД!$B:$B,ТГ!$G$6,ТГ_ИД!$D:$D,ТГ!$A56)</f>
        <v>0</v>
      </c>
      <c r="O55" s="130">
        <f>SUMIFS(ТГ_ИД!$E:$E,ТГ_ИД!$B:$B,ТГ!$G$7,ТГ_ИД!$D:$D,ТГ!$A56)</f>
        <v>0</v>
      </c>
      <c r="P55" s="130">
        <f>SUMIFS(ТГ_ИД!$E:$E,ТГ_ИД!$B:$B,ТГ!$G$8,ТГ_ИД!$D:$D,ТГ!$A56)</f>
        <v>0</v>
      </c>
      <c r="Q55" s="130">
        <f>SUMIFS(ТГ_ИД!$E:$E,ТГ_ИД!$B:$B,ТГ!$G$9,ТГ_ИД!$D:$D,ТГ!$A56)</f>
        <v>0</v>
      </c>
      <c r="R55" s="130">
        <f>SUMIFS(ТГ_ИД!$E:$E,ТГ_ИД!$B:$B,ТГ!$G$10,ТГ_ИД!$D:$D,ТГ!$A56)</f>
        <v>0</v>
      </c>
      <c r="S55" s="130">
        <f>SUMIFS(ТГ_ИД!$E:$E,ТГ_ИД!$B:$B,ТГ!$G$11,ТГ_ИД!$D:$D,ТГ!$A56)</f>
        <v>0</v>
      </c>
      <c r="T55" s="130">
        <f>SUMIFS(ТГ_ИД!$E:$E,ТГ_ИД!$B:$B,ТГ!$G$12,ТГ_ИД!$D:$D,ТГ!$A56)</f>
        <v>0</v>
      </c>
      <c r="U55" s="130">
        <f>SUMIFS(ТГ_ИД!$E:$E,ТГ_ИД!$B:$B,ТГ!$G$13,ТГ_ИД!$D:$D,ТГ!$A56)</f>
        <v>0</v>
      </c>
      <c r="V55" s="130">
        <f>SUMIFS(ТГ_ИД!$E:$E,ТГ_ИД!$B:$B,ТГ!$G$14,ТГ_ИД!$D:$D,ТГ!$A56)</f>
        <v>0</v>
      </c>
    </row>
    <row r="56" spans="1:22" x14ac:dyDescent="0.25">
      <c r="A56" s="116" t="str">
        <f t="shared" si="1"/>
        <v>07014</v>
      </c>
      <c r="B56" s="115">
        <v>7014</v>
      </c>
      <c r="C56" s="97" t="s">
        <v>134</v>
      </c>
      <c r="K56" s="130">
        <f>SUMIFS(ТГ_ИД!$E:$E,ТГ_ИД!$B:$B,ТГ!$G$3,ТГ_ИД!$D:$D,ТГ!$A57)</f>
        <v>0</v>
      </c>
      <c r="L56" s="130">
        <f>SUMIFS(ТГ_ИД!$E:$E,ТГ_ИД!$B:$B,ТГ!$G$4,ТГ_ИД!$D:$D,ТГ!$A57)</f>
        <v>3785.7799999999997</v>
      </c>
      <c r="M56" s="130">
        <f>SUMIFS(ТГ_ИД!$E:$E,ТГ_ИД!$B:$B,ТГ!$G$5,ТГ_ИД!$D:$D,ТГ!$A57)</f>
        <v>0</v>
      </c>
      <c r="N56" s="130">
        <f>SUMIFS(ТГ_ИД!$E:$E,ТГ_ИД!$B:$B,ТГ!$G$6,ТГ_ИД!$D:$D,ТГ!$A57)</f>
        <v>0</v>
      </c>
      <c r="O56" s="130">
        <f>SUMIFS(ТГ_ИД!$E:$E,ТГ_ИД!$B:$B,ТГ!$G$7,ТГ_ИД!$D:$D,ТГ!$A57)</f>
        <v>0</v>
      </c>
      <c r="P56" s="130">
        <f>SUMIFS(ТГ_ИД!$E:$E,ТГ_ИД!$B:$B,ТГ!$G$8,ТГ_ИД!$D:$D,ТГ!$A57)</f>
        <v>0</v>
      </c>
      <c r="Q56" s="130">
        <f>SUMIFS(ТГ_ИД!$E:$E,ТГ_ИД!$B:$B,ТГ!$G$9,ТГ_ИД!$D:$D,ТГ!$A57)</f>
        <v>0</v>
      </c>
      <c r="R56" s="130">
        <f>SUMIFS(ТГ_ИД!$E:$E,ТГ_ИД!$B:$B,ТГ!$G$10,ТГ_ИД!$D:$D,ТГ!$A57)</f>
        <v>0</v>
      </c>
      <c r="S56" s="130">
        <f>SUMIFS(ТГ_ИД!$E:$E,ТГ_ИД!$B:$B,ТГ!$G$11,ТГ_ИД!$D:$D,ТГ!$A57)</f>
        <v>0</v>
      </c>
      <c r="T56" s="130">
        <f>SUMIFS(ТГ_ИД!$E:$E,ТГ_ИД!$B:$B,ТГ!$G$12,ТГ_ИД!$D:$D,ТГ!$A57)</f>
        <v>0</v>
      </c>
      <c r="U56" s="130">
        <f>SUMIFS(ТГ_ИД!$E:$E,ТГ_ИД!$B:$B,ТГ!$G$13,ТГ_ИД!$D:$D,ТГ!$A57)</f>
        <v>0</v>
      </c>
      <c r="V56" s="130">
        <f>SUMIFS(ТГ_ИД!$E:$E,ТГ_ИД!$B:$B,ТГ!$G$14,ТГ_ИД!$D:$D,ТГ!$A57)</f>
        <v>0</v>
      </c>
    </row>
    <row r="57" spans="1:22" x14ac:dyDescent="0.25">
      <c r="A57" s="116" t="str">
        <f t="shared" si="1"/>
        <v>07015</v>
      </c>
      <c r="B57" s="115">
        <v>7015</v>
      </c>
      <c r="C57" s="97" t="s">
        <v>135</v>
      </c>
      <c r="K57" s="130">
        <f>SUMIFS(ТГ_ИД!$E:$E,ТГ_ИД!$B:$B,ТГ!$G$3,ТГ_ИД!$D:$D,ТГ!$A58)</f>
        <v>0</v>
      </c>
      <c r="L57" s="130">
        <f>SUMIFS(ТГ_ИД!$E:$E,ТГ_ИД!$B:$B,ТГ!$G$4,ТГ_ИД!$D:$D,ТГ!$A58)</f>
        <v>0</v>
      </c>
      <c r="M57" s="130">
        <f>SUMIFS(ТГ_ИД!$E:$E,ТГ_ИД!$B:$B,ТГ!$G$5,ТГ_ИД!$D:$D,ТГ!$A58)</f>
        <v>0</v>
      </c>
      <c r="N57" s="130">
        <f>SUMIFS(ТГ_ИД!$E:$E,ТГ_ИД!$B:$B,ТГ!$G$6,ТГ_ИД!$D:$D,ТГ!$A58)</f>
        <v>0</v>
      </c>
      <c r="O57" s="130">
        <f>SUMIFS(ТГ_ИД!$E:$E,ТГ_ИД!$B:$B,ТГ!$G$7,ТГ_ИД!$D:$D,ТГ!$A58)</f>
        <v>0</v>
      </c>
      <c r="P57" s="130">
        <f>SUMIFS(ТГ_ИД!$E:$E,ТГ_ИД!$B:$B,ТГ!$G$8,ТГ_ИД!$D:$D,ТГ!$A58)</f>
        <v>0</v>
      </c>
      <c r="Q57" s="130">
        <f>SUMIFS(ТГ_ИД!$E:$E,ТГ_ИД!$B:$B,ТГ!$G$9,ТГ_ИД!$D:$D,ТГ!$A58)</f>
        <v>0</v>
      </c>
      <c r="R57" s="130">
        <f>SUMIFS(ТГ_ИД!$E:$E,ТГ_ИД!$B:$B,ТГ!$G$10,ТГ_ИД!$D:$D,ТГ!$A58)</f>
        <v>0</v>
      </c>
      <c r="S57" s="130">
        <f>SUMIFS(ТГ_ИД!$E:$E,ТГ_ИД!$B:$B,ТГ!$G$11,ТГ_ИД!$D:$D,ТГ!$A58)</f>
        <v>0</v>
      </c>
      <c r="T57" s="130">
        <f>SUMIFS(ТГ_ИД!$E:$E,ТГ_ИД!$B:$B,ТГ!$G$12,ТГ_ИД!$D:$D,ТГ!$A58)</f>
        <v>0</v>
      </c>
      <c r="U57" s="130">
        <f>SUMIFS(ТГ_ИД!$E:$E,ТГ_ИД!$B:$B,ТГ!$G$13,ТГ_ИД!$D:$D,ТГ!$A58)</f>
        <v>0</v>
      </c>
      <c r="V57" s="130">
        <f>SUMIFS(ТГ_ИД!$E:$E,ТГ_ИД!$B:$B,ТГ!$G$14,ТГ_ИД!$D:$D,ТГ!$A58)</f>
        <v>0</v>
      </c>
    </row>
    <row r="58" spans="1:22" x14ac:dyDescent="0.25">
      <c r="A58" s="116" t="str">
        <f t="shared" si="1"/>
        <v>07016</v>
      </c>
      <c r="B58" s="115">
        <v>7016</v>
      </c>
      <c r="C58" s="97" t="s">
        <v>136</v>
      </c>
      <c r="K58" s="130">
        <f>SUMIFS(ТГ_ИД!$E:$E,ТГ_ИД!$B:$B,ТГ!$G$3,ТГ_ИД!$D:$D,ТГ!$A59)</f>
        <v>0</v>
      </c>
      <c r="L58" s="130">
        <f>SUMIFS(ТГ_ИД!$E:$E,ТГ_ИД!$B:$B,ТГ!$G$4,ТГ_ИД!$D:$D,ТГ!$A59)</f>
        <v>0</v>
      </c>
      <c r="M58" s="130">
        <f>SUMIFS(ТГ_ИД!$E:$E,ТГ_ИД!$B:$B,ТГ!$G$5,ТГ_ИД!$D:$D,ТГ!$A59)</f>
        <v>0</v>
      </c>
      <c r="N58" s="130">
        <f>SUMIFS(ТГ_ИД!$E:$E,ТГ_ИД!$B:$B,ТГ!$G$6,ТГ_ИД!$D:$D,ТГ!$A59)</f>
        <v>0</v>
      </c>
      <c r="O58" s="130">
        <f>SUMIFS(ТГ_ИД!$E:$E,ТГ_ИД!$B:$B,ТГ!$G$7,ТГ_ИД!$D:$D,ТГ!$A59)</f>
        <v>0</v>
      </c>
      <c r="P58" s="130">
        <f>SUMIFS(ТГ_ИД!$E:$E,ТГ_ИД!$B:$B,ТГ!$G$8,ТГ_ИД!$D:$D,ТГ!$A59)</f>
        <v>0</v>
      </c>
      <c r="Q58" s="130">
        <f>SUMIFS(ТГ_ИД!$E:$E,ТГ_ИД!$B:$B,ТГ!$G$9,ТГ_ИД!$D:$D,ТГ!$A59)</f>
        <v>0</v>
      </c>
      <c r="R58" s="130">
        <f>SUMIFS(ТГ_ИД!$E:$E,ТГ_ИД!$B:$B,ТГ!$G$10,ТГ_ИД!$D:$D,ТГ!$A59)</f>
        <v>0</v>
      </c>
      <c r="S58" s="130">
        <f>SUMIFS(ТГ_ИД!$E:$E,ТГ_ИД!$B:$B,ТГ!$G$11,ТГ_ИД!$D:$D,ТГ!$A59)</f>
        <v>0</v>
      </c>
      <c r="T58" s="130">
        <f>SUMIFS(ТГ_ИД!$E:$E,ТГ_ИД!$B:$B,ТГ!$G$12,ТГ_ИД!$D:$D,ТГ!$A59)</f>
        <v>0</v>
      </c>
      <c r="U58" s="130">
        <f>SUMIFS(ТГ_ИД!$E:$E,ТГ_ИД!$B:$B,ТГ!$G$13,ТГ_ИД!$D:$D,ТГ!$A59)</f>
        <v>0</v>
      </c>
      <c r="V58" s="130">
        <f>SUMIFS(ТГ_ИД!$E:$E,ТГ_ИД!$B:$B,ТГ!$G$14,ТГ_ИД!$D:$D,ТГ!$A59)</f>
        <v>0</v>
      </c>
    </row>
    <row r="59" spans="1:22" x14ac:dyDescent="0.25">
      <c r="A59" s="116" t="str">
        <f t="shared" si="1"/>
        <v>07017</v>
      </c>
      <c r="B59" s="115">
        <v>7017</v>
      </c>
      <c r="C59" s="97" t="s">
        <v>137</v>
      </c>
      <c r="K59" s="130">
        <f>SUMIFS(ТГ_ИД!$E:$E,ТГ_ИД!$B:$B,ТГ!$G$3,ТГ_ИД!$D:$D,ТГ!$A60)</f>
        <v>0</v>
      </c>
      <c r="L59" s="130">
        <f>SUMIFS(ТГ_ИД!$E:$E,ТГ_ИД!$B:$B,ТГ!$G$4,ТГ_ИД!$D:$D,ТГ!$A60)</f>
        <v>0</v>
      </c>
      <c r="M59" s="130">
        <f>SUMIFS(ТГ_ИД!$E:$E,ТГ_ИД!$B:$B,ТГ!$G$5,ТГ_ИД!$D:$D,ТГ!$A60)</f>
        <v>0</v>
      </c>
      <c r="N59" s="130">
        <f>SUMIFS(ТГ_ИД!$E:$E,ТГ_ИД!$B:$B,ТГ!$G$6,ТГ_ИД!$D:$D,ТГ!$A60)</f>
        <v>0</v>
      </c>
      <c r="O59" s="130">
        <f>SUMIFS(ТГ_ИД!$E:$E,ТГ_ИД!$B:$B,ТГ!$G$7,ТГ_ИД!$D:$D,ТГ!$A60)</f>
        <v>0</v>
      </c>
      <c r="P59" s="130">
        <f>SUMIFS(ТГ_ИД!$E:$E,ТГ_ИД!$B:$B,ТГ!$G$8,ТГ_ИД!$D:$D,ТГ!$A60)</f>
        <v>0</v>
      </c>
      <c r="Q59" s="130">
        <f>SUMIFS(ТГ_ИД!$E:$E,ТГ_ИД!$B:$B,ТГ!$G$9,ТГ_ИД!$D:$D,ТГ!$A60)</f>
        <v>0</v>
      </c>
      <c r="R59" s="130">
        <f>SUMIFS(ТГ_ИД!$E:$E,ТГ_ИД!$B:$B,ТГ!$G$10,ТГ_ИД!$D:$D,ТГ!$A60)</f>
        <v>0</v>
      </c>
      <c r="S59" s="130">
        <f>SUMIFS(ТГ_ИД!$E:$E,ТГ_ИД!$B:$B,ТГ!$G$11,ТГ_ИД!$D:$D,ТГ!$A60)</f>
        <v>0</v>
      </c>
      <c r="T59" s="130">
        <f>SUMIFS(ТГ_ИД!$E:$E,ТГ_ИД!$B:$B,ТГ!$G$12,ТГ_ИД!$D:$D,ТГ!$A60)</f>
        <v>0</v>
      </c>
      <c r="U59" s="130">
        <f>SUMIFS(ТГ_ИД!$E:$E,ТГ_ИД!$B:$B,ТГ!$G$13,ТГ_ИД!$D:$D,ТГ!$A60)</f>
        <v>0</v>
      </c>
      <c r="V59" s="130">
        <f>SUMIFS(ТГ_ИД!$E:$E,ТГ_ИД!$B:$B,ТГ!$G$14,ТГ_ИД!$D:$D,ТГ!$A60)</f>
        <v>0</v>
      </c>
    </row>
    <row r="60" spans="1:22" x14ac:dyDescent="0.25">
      <c r="A60" s="116" t="str">
        <f t="shared" si="1"/>
        <v>07018</v>
      </c>
      <c r="B60" s="115">
        <v>7018</v>
      </c>
      <c r="C60" s="97" t="s">
        <v>138</v>
      </c>
      <c r="K60" s="130">
        <f>SUMIFS(ТГ_ИД!$E:$E,ТГ_ИД!$B:$B,ТГ!$G$3,ТГ_ИД!$D:$D,ТГ!$A61)</f>
        <v>0</v>
      </c>
      <c r="L60" s="130">
        <f>SUMIFS(ТГ_ИД!$E:$E,ТГ_ИД!$B:$B,ТГ!$G$4,ТГ_ИД!$D:$D,ТГ!$A61)</f>
        <v>4613.68</v>
      </c>
      <c r="M60" s="130">
        <f>SUMIFS(ТГ_ИД!$E:$E,ТГ_ИД!$B:$B,ТГ!$G$5,ТГ_ИД!$D:$D,ТГ!$A61)</f>
        <v>0</v>
      </c>
      <c r="N60" s="130">
        <f>SUMIFS(ТГ_ИД!$E:$E,ТГ_ИД!$B:$B,ТГ!$G$6,ТГ_ИД!$D:$D,ТГ!$A61)</f>
        <v>0</v>
      </c>
      <c r="O60" s="130">
        <f>SUMIFS(ТГ_ИД!$E:$E,ТГ_ИД!$B:$B,ТГ!$G$7,ТГ_ИД!$D:$D,ТГ!$A61)</f>
        <v>0</v>
      </c>
      <c r="P60" s="130">
        <f>SUMIFS(ТГ_ИД!$E:$E,ТГ_ИД!$B:$B,ТГ!$G$8,ТГ_ИД!$D:$D,ТГ!$A61)</f>
        <v>0</v>
      </c>
      <c r="Q60" s="130">
        <f>SUMIFS(ТГ_ИД!$E:$E,ТГ_ИД!$B:$B,ТГ!$G$9,ТГ_ИД!$D:$D,ТГ!$A61)</f>
        <v>0</v>
      </c>
      <c r="R60" s="130">
        <f>SUMIFS(ТГ_ИД!$E:$E,ТГ_ИД!$B:$B,ТГ!$G$10,ТГ_ИД!$D:$D,ТГ!$A61)</f>
        <v>0</v>
      </c>
      <c r="S60" s="130">
        <f>SUMIFS(ТГ_ИД!$E:$E,ТГ_ИД!$B:$B,ТГ!$G$11,ТГ_ИД!$D:$D,ТГ!$A61)</f>
        <v>0</v>
      </c>
      <c r="T60" s="130">
        <f>SUMIFS(ТГ_ИД!$E:$E,ТГ_ИД!$B:$B,ТГ!$G$12,ТГ_ИД!$D:$D,ТГ!$A61)</f>
        <v>0</v>
      </c>
      <c r="U60" s="130">
        <f>SUMIFS(ТГ_ИД!$E:$E,ТГ_ИД!$B:$B,ТГ!$G$13,ТГ_ИД!$D:$D,ТГ!$A61)</f>
        <v>0</v>
      </c>
      <c r="V60" s="130">
        <f>SUMIFS(ТГ_ИД!$E:$E,ТГ_ИД!$B:$B,ТГ!$G$14,ТГ_ИД!$D:$D,ТГ!$A61)</f>
        <v>0</v>
      </c>
    </row>
    <row r="61" spans="1:22" x14ac:dyDescent="0.25">
      <c r="A61" s="116" t="str">
        <f t="shared" si="1"/>
        <v>07019</v>
      </c>
      <c r="B61" s="115">
        <v>7019</v>
      </c>
      <c r="C61" s="97" t="s">
        <v>139</v>
      </c>
      <c r="K61" s="130">
        <f>SUMIFS(ТГ_ИД!$E:$E,ТГ_ИД!$B:$B,ТГ!$G$3,ТГ_ИД!$D:$D,ТГ!$A62)</f>
        <v>0</v>
      </c>
      <c r="L61" s="130">
        <f>SUMIFS(ТГ_ИД!$E:$E,ТГ_ИД!$B:$B,ТГ!$G$4,ТГ_ИД!$D:$D,ТГ!$A62)</f>
        <v>4936.6000000000004</v>
      </c>
      <c r="M61" s="130">
        <f>SUMIFS(ТГ_ИД!$E:$E,ТГ_ИД!$B:$B,ТГ!$G$5,ТГ_ИД!$D:$D,ТГ!$A62)</f>
        <v>0</v>
      </c>
      <c r="N61" s="130">
        <f>SUMIFS(ТГ_ИД!$E:$E,ТГ_ИД!$B:$B,ТГ!$G$6,ТГ_ИД!$D:$D,ТГ!$A62)</f>
        <v>0</v>
      </c>
      <c r="O61" s="130">
        <f>SUMIFS(ТГ_ИД!$E:$E,ТГ_ИД!$B:$B,ТГ!$G$7,ТГ_ИД!$D:$D,ТГ!$A62)</f>
        <v>0</v>
      </c>
      <c r="P61" s="130">
        <f>SUMIFS(ТГ_ИД!$E:$E,ТГ_ИД!$B:$B,ТГ!$G$8,ТГ_ИД!$D:$D,ТГ!$A62)</f>
        <v>0</v>
      </c>
      <c r="Q61" s="130">
        <f>SUMIFS(ТГ_ИД!$E:$E,ТГ_ИД!$B:$B,ТГ!$G$9,ТГ_ИД!$D:$D,ТГ!$A62)</f>
        <v>0</v>
      </c>
      <c r="R61" s="130">
        <f>SUMIFS(ТГ_ИД!$E:$E,ТГ_ИД!$B:$B,ТГ!$G$10,ТГ_ИД!$D:$D,ТГ!$A62)</f>
        <v>0</v>
      </c>
      <c r="S61" s="130">
        <f>SUMIFS(ТГ_ИД!$E:$E,ТГ_ИД!$B:$B,ТГ!$G$11,ТГ_ИД!$D:$D,ТГ!$A62)</f>
        <v>0</v>
      </c>
      <c r="T61" s="130">
        <f>SUMIFS(ТГ_ИД!$E:$E,ТГ_ИД!$B:$B,ТГ!$G$12,ТГ_ИД!$D:$D,ТГ!$A62)</f>
        <v>0</v>
      </c>
      <c r="U61" s="130">
        <f>SUMIFS(ТГ_ИД!$E:$E,ТГ_ИД!$B:$B,ТГ!$G$13,ТГ_ИД!$D:$D,ТГ!$A62)</f>
        <v>0</v>
      </c>
      <c r="V61" s="130">
        <f>SUMIFS(ТГ_ИД!$E:$E,ТГ_ИД!$B:$B,ТГ!$G$14,ТГ_ИД!$D:$D,ТГ!$A62)</f>
        <v>0</v>
      </c>
    </row>
    <row r="62" spans="1:22" x14ac:dyDescent="0.25">
      <c r="A62" s="116" t="str">
        <f t="shared" si="1"/>
        <v>07020</v>
      </c>
      <c r="B62" s="115">
        <v>7020</v>
      </c>
      <c r="C62" s="97" t="s">
        <v>140</v>
      </c>
      <c r="K62" s="130">
        <f>SUMIFS(ТГ_ИД!$E:$E,ТГ_ИД!$B:$B,ТГ!$G$3,ТГ_ИД!$D:$D,ТГ!$A63)</f>
        <v>453.2</v>
      </c>
      <c r="L62" s="130">
        <f>SUMIFS(ТГ_ИД!$E:$E,ТГ_ИД!$B:$B,ТГ!$G$4,ТГ_ИД!$D:$D,ТГ!$A63)</f>
        <v>17346.43</v>
      </c>
      <c r="M62" s="130">
        <f>SUMIFS(ТГ_ИД!$E:$E,ТГ_ИД!$B:$B,ТГ!$G$5,ТГ_ИД!$D:$D,ТГ!$A63)</f>
        <v>0</v>
      </c>
      <c r="N62" s="130">
        <f>SUMIFS(ТГ_ИД!$E:$E,ТГ_ИД!$B:$B,ТГ!$G$6,ТГ_ИД!$D:$D,ТГ!$A63)</f>
        <v>0</v>
      </c>
      <c r="O62" s="130">
        <f>SUMIFS(ТГ_ИД!$E:$E,ТГ_ИД!$B:$B,ТГ!$G$7,ТГ_ИД!$D:$D,ТГ!$A63)</f>
        <v>0</v>
      </c>
      <c r="P62" s="130">
        <f>SUMIFS(ТГ_ИД!$E:$E,ТГ_ИД!$B:$B,ТГ!$G$8,ТГ_ИД!$D:$D,ТГ!$A63)</f>
        <v>0</v>
      </c>
      <c r="Q62" s="130">
        <f>SUMIFS(ТГ_ИД!$E:$E,ТГ_ИД!$B:$B,ТГ!$G$9,ТГ_ИД!$D:$D,ТГ!$A63)</f>
        <v>0</v>
      </c>
      <c r="R62" s="130">
        <f>SUMIFS(ТГ_ИД!$E:$E,ТГ_ИД!$B:$B,ТГ!$G$10,ТГ_ИД!$D:$D,ТГ!$A63)</f>
        <v>0</v>
      </c>
      <c r="S62" s="130">
        <f>SUMIFS(ТГ_ИД!$E:$E,ТГ_ИД!$B:$B,ТГ!$G$11,ТГ_ИД!$D:$D,ТГ!$A63)</f>
        <v>0</v>
      </c>
      <c r="T62" s="130">
        <f>SUMIFS(ТГ_ИД!$E:$E,ТГ_ИД!$B:$B,ТГ!$G$12,ТГ_ИД!$D:$D,ТГ!$A63)</f>
        <v>0</v>
      </c>
      <c r="U62" s="130">
        <f>SUMIFS(ТГ_ИД!$E:$E,ТГ_ИД!$B:$B,ТГ!$G$13,ТГ_ИД!$D:$D,ТГ!$A63)</f>
        <v>0</v>
      </c>
      <c r="V62" s="130">
        <f>SUMIFS(ТГ_ИД!$E:$E,ТГ_ИД!$B:$B,ТГ!$G$14,ТГ_ИД!$D:$D,ТГ!$A63)</f>
        <v>0</v>
      </c>
    </row>
    <row r="63" spans="1:22" x14ac:dyDescent="0.25">
      <c r="A63" s="116" t="str">
        <f t="shared" si="1"/>
        <v>07021</v>
      </c>
      <c r="B63" s="115">
        <v>7021</v>
      </c>
      <c r="C63" s="97" t="s">
        <v>141</v>
      </c>
      <c r="K63" s="130">
        <f>SUMIFS(ТГ_ИД!$E:$E,ТГ_ИД!$B:$B,ТГ!$G$3,ТГ_ИД!$D:$D,ТГ!$A64)</f>
        <v>515.94000000000005</v>
      </c>
      <c r="L63" s="130">
        <f>SUMIFS(ТГ_ИД!$E:$E,ТГ_ИД!$B:$B,ТГ!$G$4,ТГ_ИД!$D:$D,ТГ!$A64)</f>
        <v>22958.04</v>
      </c>
      <c r="M63" s="130">
        <f>SUMIFS(ТГ_ИД!$E:$E,ТГ_ИД!$B:$B,ТГ!$G$5,ТГ_ИД!$D:$D,ТГ!$A64)</f>
        <v>0</v>
      </c>
      <c r="N63" s="130">
        <f>SUMIFS(ТГ_ИД!$E:$E,ТГ_ИД!$B:$B,ТГ!$G$6,ТГ_ИД!$D:$D,ТГ!$A64)</f>
        <v>0</v>
      </c>
      <c r="O63" s="130">
        <f>SUMIFS(ТГ_ИД!$E:$E,ТГ_ИД!$B:$B,ТГ!$G$7,ТГ_ИД!$D:$D,ТГ!$A64)</f>
        <v>0</v>
      </c>
      <c r="P63" s="130">
        <f>SUMIFS(ТГ_ИД!$E:$E,ТГ_ИД!$B:$B,ТГ!$G$8,ТГ_ИД!$D:$D,ТГ!$A64)</f>
        <v>0</v>
      </c>
      <c r="Q63" s="130">
        <f>SUMIFS(ТГ_ИД!$E:$E,ТГ_ИД!$B:$B,ТГ!$G$9,ТГ_ИД!$D:$D,ТГ!$A64)</f>
        <v>0</v>
      </c>
      <c r="R63" s="130">
        <f>SUMIFS(ТГ_ИД!$E:$E,ТГ_ИД!$B:$B,ТГ!$G$10,ТГ_ИД!$D:$D,ТГ!$A64)</f>
        <v>0</v>
      </c>
      <c r="S63" s="130">
        <f>SUMIFS(ТГ_ИД!$E:$E,ТГ_ИД!$B:$B,ТГ!$G$11,ТГ_ИД!$D:$D,ТГ!$A64)</f>
        <v>0</v>
      </c>
      <c r="T63" s="130">
        <f>SUMIFS(ТГ_ИД!$E:$E,ТГ_ИД!$B:$B,ТГ!$G$12,ТГ_ИД!$D:$D,ТГ!$A64)</f>
        <v>0</v>
      </c>
      <c r="U63" s="130">
        <f>SUMIFS(ТГ_ИД!$E:$E,ТГ_ИД!$B:$B,ТГ!$G$13,ТГ_ИД!$D:$D,ТГ!$A64)</f>
        <v>0</v>
      </c>
      <c r="V63" s="130">
        <f>SUMIFS(ТГ_ИД!$E:$E,ТГ_ИД!$B:$B,ТГ!$G$14,ТГ_ИД!$D:$D,ТГ!$A64)</f>
        <v>0</v>
      </c>
    </row>
    <row r="64" spans="1:22" x14ac:dyDescent="0.25">
      <c r="A64" s="116" t="str">
        <f t="shared" si="1"/>
        <v>07022</v>
      </c>
      <c r="B64" s="115">
        <v>7022</v>
      </c>
      <c r="C64" s="97" t="s">
        <v>142</v>
      </c>
      <c r="K64" s="130">
        <f>SUMIFS(ТГ_ИД!$E:$E,ТГ_ИД!$B:$B,ТГ!$G$3,ТГ_ИД!$D:$D,ТГ!$A65)</f>
        <v>0</v>
      </c>
      <c r="L64" s="130">
        <f>SUMIFS(ТГ_ИД!$E:$E,ТГ_ИД!$B:$B,ТГ!$G$4,ТГ_ИД!$D:$D,ТГ!$A65)</f>
        <v>21428.809999999998</v>
      </c>
      <c r="M64" s="130">
        <f>SUMIFS(ТГ_ИД!$E:$E,ТГ_ИД!$B:$B,ТГ!$G$5,ТГ_ИД!$D:$D,ТГ!$A65)</f>
        <v>0</v>
      </c>
      <c r="N64" s="130">
        <f>SUMIFS(ТГ_ИД!$E:$E,ТГ_ИД!$B:$B,ТГ!$G$6,ТГ_ИД!$D:$D,ТГ!$A65)</f>
        <v>0</v>
      </c>
      <c r="O64" s="130">
        <f>SUMIFS(ТГ_ИД!$E:$E,ТГ_ИД!$B:$B,ТГ!$G$7,ТГ_ИД!$D:$D,ТГ!$A65)</f>
        <v>0</v>
      </c>
      <c r="P64" s="130">
        <f>SUMIFS(ТГ_ИД!$E:$E,ТГ_ИД!$B:$B,ТГ!$G$8,ТГ_ИД!$D:$D,ТГ!$A65)</f>
        <v>0</v>
      </c>
      <c r="Q64" s="130">
        <f>SUMIFS(ТГ_ИД!$E:$E,ТГ_ИД!$B:$B,ТГ!$G$9,ТГ_ИД!$D:$D,ТГ!$A65)</f>
        <v>0</v>
      </c>
      <c r="R64" s="130">
        <f>SUMIFS(ТГ_ИД!$E:$E,ТГ_ИД!$B:$B,ТГ!$G$10,ТГ_ИД!$D:$D,ТГ!$A65)</f>
        <v>0</v>
      </c>
      <c r="S64" s="130">
        <f>SUMIFS(ТГ_ИД!$E:$E,ТГ_ИД!$B:$B,ТГ!$G$11,ТГ_ИД!$D:$D,ТГ!$A65)</f>
        <v>0</v>
      </c>
      <c r="T64" s="130">
        <f>SUMIFS(ТГ_ИД!$E:$E,ТГ_ИД!$B:$B,ТГ!$G$12,ТГ_ИД!$D:$D,ТГ!$A65)</f>
        <v>0</v>
      </c>
      <c r="U64" s="130">
        <f>SUMIFS(ТГ_ИД!$E:$E,ТГ_ИД!$B:$B,ТГ!$G$13,ТГ_ИД!$D:$D,ТГ!$A65)</f>
        <v>0</v>
      </c>
      <c r="V64" s="130">
        <f>SUMIFS(ТГ_ИД!$E:$E,ТГ_ИД!$B:$B,ТГ!$G$14,ТГ_ИД!$D:$D,ТГ!$A65)</f>
        <v>0</v>
      </c>
    </row>
    <row r="65" spans="1:22" x14ac:dyDescent="0.25">
      <c r="A65" s="116" t="str">
        <f t="shared" si="1"/>
        <v>07023</v>
      </c>
      <c r="B65" s="115">
        <v>7023</v>
      </c>
      <c r="C65" s="97" t="s">
        <v>143</v>
      </c>
      <c r="K65" s="130">
        <f>SUMIFS(ТГ_ИД!$E:$E,ТГ_ИД!$B:$B,ТГ!$G$3,ТГ_ИД!$D:$D,ТГ!$A66)</f>
        <v>0</v>
      </c>
      <c r="L65" s="130">
        <f>SUMIFS(ТГ_ИД!$E:$E,ТГ_ИД!$B:$B,ТГ!$G$4,ТГ_ИД!$D:$D,ТГ!$A66)</f>
        <v>17940.629999999997</v>
      </c>
      <c r="M65" s="130">
        <f>SUMIFS(ТГ_ИД!$E:$E,ТГ_ИД!$B:$B,ТГ!$G$5,ТГ_ИД!$D:$D,ТГ!$A66)</f>
        <v>0</v>
      </c>
      <c r="N65" s="130">
        <f>SUMIFS(ТГ_ИД!$E:$E,ТГ_ИД!$B:$B,ТГ!$G$6,ТГ_ИД!$D:$D,ТГ!$A66)</f>
        <v>0</v>
      </c>
      <c r="O65" s="130">
        <f>SUMIFS(ТГ_ИД!$E:$E,ТГ_ИД!$B:$B,ТГ!$G$7,ТГ_ИД!$D:$D,ТГ!$A66)</f>
        <v>0</v>
      </c>
      <c r="P65" s="130">
        <f>SUMIFS(ТГ_ИД!$E:$E,ТГ_ИД!$B:$B,ТГ!$G$8,ТГ_ИД!$D:$D,ТГ!$A66)</f>
        <v>0</v>
      </c>
      <c r="Q65" s="130">
        <f>SUMIFS(ТГ_ИД!$E:$E,ТГ_ИД!$B:$B,ТГ!$G$9,ТГ_ИД!$D:$D,ТГ!$A66)</f>
        <v>0</v>
      </c>
      <c r="R65" s="130">
        <f>SUMIFS(ТГ_ИД!$E:$E,ТГ_ИД!$B:$B,ТГ!$G$10,ТГ_ИД!$D:$D,ТГ!$A66)</f>
        <v>0</v>
      </c>
      <c r="S65" s="130">
        <f>SUMIFS(ТГ_ИД!$E:$E,ТГ_ИД!$B:$B,ТГ!$G$11,ТГ_ИД!$D:$D,ТГ!$A66)</f>
        <v>0</v>
      </c>
      <c r="T65" s="130">
        <f>SUMIFS(ТГ_ИД!$E:$E,ТГ_ИД!$B:$B,ТГ!$G$12,ТГ_ИД!$D:$D,ТГ!$A66)</f>
        <v>0</v>
      </c>
      <c r="U65" s="130">
        <f>SUMIFS(ТГ_ИД!$E:$E,ТГ_ИД!$B:$B,ТГ!$G$13,ТГ_ИД!$D:$D,ТГ!$A66)</f>
        <v>0</v>
      </c>
      <c r="V65" s="130">
        <f>SUMIFS(ТГ_ИД!$E:$E,ТГ_ИД!$B:$B,ТГ!$G$14,ТГ_ИД!$D:$D,ТГ!$A66)</f>
        <v>0</v>
      </c>
    </row>
    <row r="66" spans="1:22" x14ac:dyDescent="0.25">
      <c r="A66" s="116" t="str">
        <f t="shared" si="1"/>
        <v>07024</v>
      </c>
      <c r="B66" s="115">
        <v>7024</v>
      </c>
      <c r="C66" s="97" t="s">
        <v>144</v>
      </c>
      <c r="K66" s="130">
        <f>SUMIFS(ТГ_ИД!$E:$E,ТГ_ИД!$B:$B,ТГ!$G$3,ТГ_ИД!$D:$D,ТГ!$A67)</f>
        <v>717.03</v>
      </c>
      <c r="L66" s="130">
        <f>SUMIFS(ТГ_ИД!$E:$E,ТГ_ИД!$B:$B,ТГ!$G$4,ТГ_ИД!$D:$D,ТГ!$A67)</f>
        <v>55807.57</v>
      </c>
      <c r="M66" s="130">
        <f>SUMIFS(ТГ_ИД!$E:$E,ТГ_ИД!$B:$B,ТГ!$G$5,ТГ_ИД!$D:$D,ТГ!$A67)</f>
        <v>0</v>
      </c>
      <c r="N66" s="130">
        <f>SUMIFS(ТГ_ИД!$E:$E,ТГ_ИД!$B:$B,ТГ!$G$6,ТГ_ИД!$D:$D,ТГ!$A67)</f>
        <v>0</v>
      </c>
      <c r="O66" s="130">
        <f>SUMIFS(ТГ_ИД!$E:$E,ТГ_ИД!$B:$B,ТГ!$G$7,ТГ_ИД!$D:$D,ТГ!$A67)</f>
        <v>0</v>
      </c>
      <c r="P66" s="130">
        <f>SUMIFS(ТГ_ИД!$E:$E,ТГ_ИД!$B:$B,ТГ!$G$8,ТГ_ИД!$D:$D,ТГ!$A67)</f>
        <v>0</v>
      </c>
      <c r="Q66" s="130">
        <f>SUMIFS(ТГ_ИД!$E:$E,ТГ_ИД!$B:$B,ТГ!$G$9,ТГ_ИД!$D:$D,ТГ!$A67)</f>
        <v>0</v>
      </c>
      <c r="R66" s="130">
        <f>SUMIFS(ТГ_ИД!$E:$E,ТГ_ИД!$B:$B,ТГ!$G$10,ТГ_ИД!$D:$D,ТГ!$A67)</f>
        <v>0</v>
      </c>
      <c r="S66" s="130">
        <f>SUMIFS(ТГ_ИД!$E:$E,ТГ_ИД!$B:$B,ТГ!$G$11,ТГ_ИД!$D:$D,ТГ!$A67)</f>
        <v>0</v>
      </c>
      <c r="T66" s="130">
        <f>SUMIFS(ТГ_ИД!$E:$E,ТГ_ИД!$B:$B,ТГ!$G$12,ТГ_ИД!$D:$D,ТГ!$A67)</f>
        <v>0</v>
      </c>
      <c r="U66" s="130">
        <f>SUMIFS(ТГ_ИД!$E:$E,ТГ_ИД!$B:$B,ТГ!$G$13,ТГ_ИД!$D:$D,ТГ!$A67)</f>
        <v>0</v>
      </c>
      <c r="V66" s="130">
        <f>SUMIFS(ТГ_ИД!$E:$E,ТГ_ИД!$B:$B,ТГ!$G$14,ТГ_ИД!$D:$D,ТГ!$A67)</f>
        <v>0</v>
      </c>
    </row>
    <row r="67" spans="1:22" x14ac:dyDescent="0.25">
      <c r="A67" s="116" t="str">
        <f t="shared" si="1"/>
        <v>07025</v>
      </c>
      <c r="B67" s="115">
        <v>7025</v>
      </c>
      <c r="C67" s="97" t="s">
        <v>145</v>
      </c>
      <c r="K67" s="130">
        <f>SUMIFS(ТГ_ИД!$E:$E,ТГ_ИД!$B:$B,ТГ!$G$3,ТГ_ИД!$D:$D,ТГ!$A68)</f>
        <v>0</v>
      </c>
      <c r="L67" s="130">
        <f>SUMIFS(ТГ_ИД!$E:$E,ТГ_ИД!$B:$B,ТГ!$G$4,ТГ_ИД!$D:$D,ТГ!$A68)</f>
        <v>0</v>
      </c>
      <c r="M67" s="130">
        <f>SUMIFS(ТГ_ИД!$E:$E,ТГ_ИД!$B:$B,ТГ!$G$5,ТГ_ИД!$D:$D,ТГ!$A68)</f>
        <v>0</v>
      </c>
      <c r="N67" s="130">
        <f>SUMIFS(ТГ_ИД!$E:$E,ТГ_ИД!$B:$B,ТГ!$G$6,ТГ_ИД!$D:$D,ТГ!$A68)</f>
        <v>0</v>
      </c>
      <c r="O67" s="130">
        <f>SUMIFS(ТГ_ИД!$E:$E,ТГ_ИД!$B:$B,ТГ!$G$7,ТГ_ИД!$D:$D,ТГ!$A68)</f>
        <v>0</v>
      </c>
      <c r="P67" s="130">
        <f>SUMIFS(ТГ_ИД!$E:$E,ТГ_ИД!$B:$B,ТГ!$G$8,ТГ_ИД!$D:$D,ТГ!$A68)</f>
        <v>0</v>
      </c>
      <c r="Q67" s="130">
        <f>SUMIFS(ТГ_ИД!$E:$E,ТГ_ИД!$B:$B,ТГ!$G$9,ТГ_ИД!$D:$D,ТГ!$A68)</f>
        <v>0</v>
      </c>
      <c r="R67" s="130">
        <f>SUMIFS(ТГ_ИД!$E:$E,ТГ_ИД!$B:$B,ТГ!$G$10,ТГ_ИД!$D:$D,ТГ!$A68)</f>
        <v>0</v>
      </c>
      <c r="S67" s="130">
        <f>SUMIFS(ТГ_ИД!$E:$E,ТГ_ИД!$B:$B,ТГ!$G$11,ТГ_ИД!$D:$D,ТГ!$A68)</f>
        <v>0</v>
      </c>
      <c r="T67" s="130">
        <f>SUMIFS(ТГ_ИД!$E:$E,ТГ_ИД!$B:$B,ТГ!$G$12,ТГ_ИД!$D:$D,ТГ!$A68)</f>
        <v>0</v>
      </c>
      <c r="U67" s="130">
        <f>SUMIFS(ТГ_ИД!$E:$E,ТГ_ИД!$B:$B,ТГ!$G$13,ТГ_ИД!$D:$D,ТГ!$A68)</f>
        <v>0</v>
      </c>
      <c r="V67" s="130">
        <f>SUMIFS(ТГ_ИД!$E:$E,ТГ_ИД!$B:$B,ТГ!$G$14,ТГ_ИД!$D:$D,ТГ!$A68)</f>
        <v>0</v>
      </c>
    </row>
    <row r="68" spans="1:22" x14ac:dyDescent="0.25">
      <c r="A68" s="116" t="str">
        <f t="shared" si="1"/>
        <v>07026</v>
      </c>
      <c r="B68" s="115">
        <v>7026</v>
      </c>
      <c r="C68" s="97" t="s">
        <v>146</v>
      </c>
      <c r="K68" s="130">
        <f>SUMIFS(ТГ_ИД!$E:$E,ТГ_ИД!$B:$B,ТГ!$G$3,ТГ_ИД!$D:$D,ТГ!$A69)</f>
        <v>941.09</v>
      </c>
      <c r="L68" s="130">
        <f>SUMIFS(ТГ_ИД!$E:$E,ТГ_ИД!$B:$B,ТГ!$G$4,ТГ_ИД!$D:$D,ТГ!$A69)</f>
        <v>23719.010000000002</v>
      </c>
      <c r="M68" s="130">
        <f>SUMIFS(ТГ_ИД!$E:$E,ТГ_ИД!$B:$B,ТГ!$G$5,ТГ_ИД!$D:$D,ТГ!$A69)</f>
        <v>0</v>
      </c>
      <c r="N68" s="130">
        <f>SUMIFS(ТГ_ИД!$E:$E,ТГ_ИД!$B:$B,ТГ!$G$6,ТГ_ИД!$D:$D,ТГ!$A69)</f>
        <v>0</v>
      </c>
      <c r="O68" s="130">
        <f>SUMIFS(ТГ_ИД!$E:$E,ТГ_ИД!$B:$B,ТГ!$G$7,ТГ_ИД!$D:$D,ТГ!$A69)</f>
        <v>0</v>
      </c>
      <c r="P68" s="130">
        <f>SUMIFS(ТГ_ИД!$E:$E,ТГ_ИД!$B:$B,ТГ!$G$8,ТГ_ИД!$D:$D,ТГ!$A69)</f>
        <v>0</v>
      </c>
      <c r="Q68" s="130">
        <f>SUMIFS(ТГ_ИД!$E:$E,ТГ_ИД!$B:$B,ТГ!$G$9,ТГ_ИД!$D:$D,ТГ!$A69)</f>
        <v>0</v>
      </c>
      <c r="R68" s="130">
        <f>SUMIFS(ТГ_ИД!$E:$E,ТГ_ИД!$B:$B,ТГ!$G$10,ТГ_ИД!$D:$D,ТГ!$A69)</f>
        <v>0</v>
      </c>
      <c r="S68" s="130">
        <f>SUMIFS(ТГ_ИД!$E:$E,ТГ_ИД!$B:$B,ТГ!$G$11,ТГ_ИД!$D:$D,ТГ!$A69)</f>
        <v>0</v>
      </c>
      <c r="T68" s="130">
        <f>SUMIFS(ТГ_ИД!$E:$E,ТГ_ИД!$B:$B,ТГ!$G$12,ТГ_ИД!$D:$D,ТГ!$A69)</f>
        <v>0</v>
      </c>
      <c r="U68" s="130">
        <f>SUMIFS(ТГ_ИД!$E:$E,ТГ_ИД!$B:$B,ТГ!$G$13,ТГ_ИД!$D:$D,ТГ!$A69)</f>
        <v>0</v>
      </c>
      <c r="V68" s="130">
        <f>SUMIFS(ТГ_ИД!$E:$E,ТГ_ИД!$B:$B,ТГ!$G$14,ТГ_ИД!$D:$D,ТГ!$A69)</f>
        <v>0</v>
      </c>
    </row>
    <row r="69" spans="1:22" x14ac:dyDescent="0.25">
      <c r="A69" s="116" t="str">
        <f t="shared" ref="A69:A132" si="2">IF(B69="","",TEXT(B69,"00000"))</f>
        <v>07027</v>
      </c>
      <c r="B69" s="115">
        <v>7027</v>
      </c>
      <c r="C69" s="97" t="s">
        <v>147</v>
      </c>
      <c r="K69" s="130">
        <f>SUMIFS(ТГ_ИД!$E:$E,ТГ_ИД!$B:$B,ТГ!$G$3,ТГ_ИД!$D:$D,ТГ!$A70)</f>
        <v>0</v>
      </c>
      <c r="L69" s="130">
        <f>SUMIFS(ТГ_ИД!$E:$E,ТГ_ИД!$B:$B,ТГ!$G$4,ТГ_ИД!$D:$D,ТГ!$A70)</f>
        <v>16005.829999999998</v>
      </c>
      <c r="M69" s="130">
        <f>SUMIFS(ТГ_ИД!$E:$E,ТГ_ИД!$B:$B,ТГ!$G$5,ТГ_ИД!$D:$D,ТГ!$A70)</f>
        <v>0</v>
      </c>
      <c r="N69" s="130">
        <f>SUMIFS(ТГ_ИД!$E:$E,ТГ_ИД!$B:$B,ТГ!$G$6,ТГ_ИД!$D:$D,ТГ!$A70)</f>
        <v>0</v>
      </c>
      <c r="O69" s="130">
        <f>SUMIFS(ТГ_ИД!$E:$E,ТГ_ИД!$B:$B,ТГ!$G$7,ТГ_ИД!$D:$D,ТГ!$A70)</f>
        <v>0</v>
      </c>
      <c r="P69" s="130">
        <f>SUMIFS(ТГ_ИД!$E:$E,ТГ_ИД!$B:$B,ТГ!$G$8,ТГ_ИД!$D:$D,ТГ!$A70)</f>
        <v>0</v>
      </c>
      <c r="Q69" s="130">
        <f>SUMIFS(ТГ_ИД!$E:$E,ТГ_ИД!$B:$B,ТГ!$G$9,ТГ_ИД!$D:$D,ТГ!$A70)</f>
        <v>0</v>
      </c>
      <c r="R69" s="130">
        <f>SUMIFS(ТГ_ИД!$E:$E,ТГ_ИД!$B:$B,ТГ!$G$10,ТГ_ИД!$D:$D,ТГ!$A70)</f>
        <v>0</v>
      </c>
      <c r="S69" s="130">
        <f>SUMIFS(ТГ_ИД!$E:$E,ТГ_ИД!$B:$B,ТГ!$G$11,ТГ_ИД!$D:$D,ТГ!$A70)</f>
        <v>0</v>
      </c>
      <c r="T69" s="130">
        <f>SUMIFS(ТГ_ИД!$E:$E,ТГ_ИД!$B:$B,ТГ!$G$12,ТГ_ИД!$D:$D,ТГ!$A70)</f>
        <v>0</v>
      </c>
      <c r="U69" s="130">
        <f>SUMIFS(ТГ_ИД!$E:$E,ТГ_ИД!$B:$B,ТГ!$G$13,ТГ_ИД!$D:$D,ТГ!$A70)</f>
        <v>0</v>
      </c>
      <c r="V69" s="130">
        <f>SUMIFS(ТГ_ИД!$E:$E,ТГ_ИД!$B:$B,ТГ!$G$14,ТГ_ИД!$D:$D,ТГ!$A70)</f>
        <v>0</v>
      </c>
    </row>
    <row r="70" spans="1:22" x14ac:dyDescent="0.25">
      <c r="A70" s="116" t="str">
        <f t="shared" si="2"/>
        <v>07028</v>
      </c>
      <c r="B70" s="115">
        <v>7028</v>
      </c>
      <c r="C70" s="97" t="s">
        <v>148</v>
      </c>
      <c r="K70" s="130">
        <f>SUMIFS(ТГ_ИД!$E:$E,ТГ_ИД!$B:$B,ТГ!$G$3,ТГ_ИД!$D:$D,ТГ!$A71)</f>
        <v>0</v>
      </c>
      <c r="L70" s="130">
        <f>SUMIFS(ТГ_ИД!$E:$E,ТГ_ИД!$B:$B,ТГ!$G$4,ТГ_ИД!$D:$D,ТГ!$A71)</f>
        <v>5039.8599999999997</v>
      </c>
      <c r="M70" s="130">
        <f>SUMIFS(ТГ_ИД!$E:$E,ТГ_ИД!$B:$B,ТГ!$G$5,ТГ_ИД!$D:$D,ТГ!$A71)</f>
        <v>0</v>
      </c>
      <c r="N70" s="130">
        <f>SUMIFS(ТГ_ИД!$E:$E,ТГ_ИД!$B:$B,ТГ!$G$6,ТГ_ИД!$D:$D,ТГ!$A71)</f>
        <v>0</v>
      </c>
      <c r="O70" s="130">
        <f>SUMIFS(ТГ_ИД!$E:$E,ТГ_ИД!$B:$B,ТГ!$G$7,ТГ_ИД!$D:$D,ТГ!$A71)</f>
        <v>0</v>
      </c>
      <c r="P70" s="130">
        <f>SUMIFS(ТГ_ИД!$E:$E,ТГ_ИД!$B:$B,ТГ!$G$8,ТГ_ИД!$D:$D,ТГ!$A71)</f>
        <v>0</v>
      </c>
      <c r="Q70" s="130">
        <f>SUMIFS(ТГ_ИД!$E:$E,ТГ_ИД!$B:$B,ТГ!$G$9,ТГ_ИД!$D:$D,ТГ!$A71)</f>
        <v>0</v>
      </c>
      <c r="R70" s="130">
        <f>SUMIFS(ТГ_ИД!$E:$E,ТГ_ИД!$B:$B,ТГ!$G$10,ТГ_ИД!$D:$D,ТГ!$A71)</f>
        <v>0</v>
      </c>
      <c r="S70" s="130">
        <f>SUMIFS(ТГ_ИД!$E:$E,ТГ_ИД!$B:$B,ТГ!$G$11,ТГ_ИД!$D:$D,ТГ!$A71)</f>
        <v>0</v>
      </c>
      <c r="T70" s="130">
        <f>SUMIFS(ТГ_ИД!$E:$E,ТГ_ИД!$B:$B,ТГ!$G$12,ТГ_ИД!$D:$D,ТГ!$A71)</f>
        <v>0</v>
      </c>
      <c r="U70" s="130">
        <f>SUMIFS(ТГ_ИД!$E:$E,ТГ_ИД!$B:$B,ТГ!$G$13,ТГ_ИД!$D:$D,ТГ!$A71)</f>
        <v>0</v>
      </c>
      <c r="V70" s="130">
        <f>SUMIFS(ТГ_ИД!$E:$E,ТГ_ИД!$B:$B,ТГ!$G$14,ТГ_ИД!$D:$D,ТГ!$A71)</f>
        <v>0</v>
      </c>
    </row>
    <row r="71" spans="1:22" x14ac:dyDescent="0.25">
      <c r="A71" s="116" t="str">
        <f t="shared" si="2"/>
        <v>07029</v>
      </c>
      <c r="B71" s="115">
        <v>7029</v>
      </c>
      <c r="C71" s="97" t="s">
        <v>149</v>
      </c>
      <c r="K71" s="130">
        <f>SUMIFS(ТГ_ИД!$E:$E,ТГ_ИД!$B:$B,ТГ!$G$3,ТГ_ИД!$D:$D,ТГ!$A72)</f>
        <v>0</v>
      </c>
      <c r="L71" s="130">
        <f>SUMIFS(ТГ_ИД!$E:$E,ТГ_ИД!$B:$B,ТГ!$G$4,ТГ_ИД!$D:$D,ТГ!$A72)</f>
        <v>0</v>
      </c>
      <c r="M71" s="130">
        <f>SUMIFS(ТГ_ИД!$E:$E,ТГ_ИД!$B:$B,ТГ!$G$5,ТГ_ИД!$D:$D,ТГ!$A72)</f>
        <v>0</v>
      </c>
      <c r="N71" s="130">
        <f>SUMIFS(ТГ_ИД!$E:$E,ТГ_ИД!$B:$B,ТГ!$G$6,ТГ_ИД!$D:$D,ТГ!$A72)</f>
        <v>0</v>
      </c>
      <c r="O71" s="130">
        <f>SUMIFS(ТГ_ИД!$E:$E,ТГ_ИД!$B:$B,ТГ!$G$7,ТГ_ИД!$D:$D,ТГ!$A72)</f>
        <v>0</v>
      </c>
      <c r="P71" s="130">
        <f>SUMIFS(ТГ_ИД!$E:$E,ТГ_ИД!$B:$B,ТГ!$G$8,ТГ_ИД!$D:$D,ТГ!$A72)</f>
        <v>0</v>
      </c>
      <c r="Q71" s="130">
        <f>SUMIFS(ТГ_ИД!$E:$E,ТГ_ИД!$B:$B,ТГ!$G$9,ТГ_ИД!$D:$D,ТГ!$A72)</f>
        <v>0</v>
      </c>
      <c r="R71" s="130">
        <f>SUMIFS(ТГ_ИД!$E:$E,ТГ_ИД!$B:$B,ТГ!$G$10,ТГ_ИД!$D:$D,ТГ!$A72)</f>
        <v>0</v>
      </c>
      <c r="S71" s="130">
        <f>SUMIFS(ТГ_ИД!$E:$E,ТГ_ИД!$B:$B,ТГ!$G$11,ТГ_ИД!$D:$D,ТГ!$A72)</f>
        <v>0</v>
      </c>
      <c r="T71" s="130">
        <f>SUMIFS(ТГ_ИД!$E:$E,ТГ_ИД!$B:$B,ТГ!$G$12,ТГ_ИД!$D:$D,ТГ!$A72)</f>
        <v>0</v>
      </c>
      <c r="U71" s="130">
        <f>SUMIFS(ТГ_ИД!$E:$E,ТГ_ИД!$B:$B,ТГ!$G$13,ТГ_ИД!$D:$D,ТГ!$A72)</f>
        <v>0</v>
      </c>
      <c r="V71" s="130">
        <f>SUMIFS(ТГ_ИД!$E:$E,ТГ_ИД!$B:$B,ТГ!$G$14,ТГ_ИД!$D:$D,ТГ!$A72)</f>
        <v>0</v>
      </c>
    </row>
    <row r="72" spans="1:22" x14ac:dyDescent="0.25">
      <c r="A72" s="116" t="str">
        <f t="shared" si="2"/>
        <v>07030</v>
      </c>
      <c r="B72" s="115">
        <v>7030</v>
      </c>
      <c r="C72" s="97" t="s">
        <v>150</v>
      </c>
      <c r="K72" s="130">
        <f>SUMIFS(ТГ_ИД!$E:$E,ТГ_ИД!$B:$B,ТГ!$G$3,ТГ_ИД!$D:$D,ТГ!$A73)</f>
        <v>0</v>
      </c>
      <c r="L72" s="130">
        <f>SUMIFS(ТГ_ИД!$E:$E,ТГ_ИД!$B:$B,ТГ!$G$4,ТГ_ИД!$D:$D,ТГ!$A73)</f>
        <v>0</v>
      </c>
      <c r="M72" s="130">
        <f>SUMIFS(ТГ_ИД!$E:$E,ТГ_ИД!$B:$B,ТГ!$G$5,ТГ_ИД!$D:$D,ТГ!$A73)</f>
        <v>0</v>
      </c>
      <c r="N72" s="130">
        <f>SUMIFS(ТГ_ИД!$E:$E,ТГ_ИД!$B:$B,ТГ!$G$6,ТГ_ИД!$D:$D,ТГ!$A73)</f>
        <v>0</v>
      </c>
      <c r="O72" s="130">
        <f>SUMIFS(ТГ_ИД!$E:$E,ТГ_ИД!$B:$B,ТГ!$G$7,ТГ_ИД!$D:$D,ТГ!$A73)</f>
        <v>0</v>
      </c>
      <c r="P72" s="130">
        <f>SUMIFS(ТГ_ИД!$E:$E,ТГ_ИД!$B:$B,ТГ!$G$8,ТГ_ИД!$D:$D,ТГ!$A73)</f>
        <v>0</v>
      </c>
      <c r="Q72" s="130">
        <f>SUMIFS(ТГ_ИД!$E:$E,ТГ_ИД!$B:$B,ТГ!$G$9,ТГ_ИД!$D:$D,ТГ!$A73)</f>
        <v>0</v>
      </c>
      <c r="R72" s="130">
        <f>SUMIFS(ТГ_ИД!$E:$E,ТГ_ИД!$B:$B,ТГ!$G$10,ТГ_ИД!$D:$D,ТГ!$A73)</f>
        <v>0</v>
      </c>
      <c r="S72" s="130">
        <f>SUMIFS(ТГ_ИД!$E:$E,ТГ_ИД!$B:$B,ТГ!$G$11,ТГ_ИД!$D:$D,ТГ!$A73)</f>
        <v>0</v>
      </c>
      <c r="T72" s="130">
        <f>SUMIFS(ТГ_ИД!$E:$E,ТГ_ИД!$B:$B,ТГ!$G$12,ТГ_ИД!$D:$D,ТГ!$A73)</f>
        <v>0</v>
      </c>
      <c r="U72" s="130">
        <f>SUMIFS(ТГ_ИД!$E:$E,ТГ_ИД!$B:$B,ТГ!$G$13,ТГ_ИД!$D:$D,ТГ!$A73)</f>
        <v>0</v>
      </c>
      <c r="V72" s="130">
        <f>SUMIFS(ТГ_ИД!$E:$E,ТГ_ИД!$B:$B,ТГ!$G$14,ТГ_ИД!$D:$D,ТГ!$A73)</f>
        <v>0</v>
      </c>
    </row>
    <row r="73" spans="1:22" x14ac:dyDescent="0.25">
      <c r="A73" s="116" t="str">
        <f t="shared" si="2"/>
        <v>07031</v>
      </c>
      <c r="B73" s="115">
        <v>7031</v>
      </c>
      <c r="C73" s="97" t="s">
        <v>151</v>
      </c>
      <c r="K73" s="130">
        <f>SUMIFS(ТГ_ИД!$E:$E,ТГ_ИД!$B:$B,ТГ!$G$3,ТГ_ИД!$D:$D,ТГ!$A74)</f>
        <v>0</v>
      </c>
      <c r="L73" s="130">
        <f>SUMIFS(ТГ_ИД!$E:$E,ТГ_ИД!$B:$B,ТГ!$G$4,ТГ_ИД!$D:$D,ТГ!$A74)</f>
        <v>0</v>
      </c>
      <c r="M73" s="130">
        <f>SUMIFS(ТГ_ИД!$E:$E,ТГ_ИД!$B:$B,ТГ!$G$5,ТГ_ИД!$D:$D,ТГ!$A74)</f>
        <v>0</v>
      </c>
      <c r="N73" s="130">
        <f>SUMIFS(ТГ_ИД!$E:$E,ТГ_ИД!$B:$B,ТГ!$G$6,ТГ_ИД!$D:$D,ТГ!$A74)</f>
        <v>0</v>
      </c>
      <c r="O73" s="130">
        <f>SUMIFS(ТГ_ИД!$E:$E,ТГ_ИД!$B:$B,ТГ!$G$7,ТГ_ИД!$D:$D,ТГ!$A74)</f>
        <v>0</v>
      </c>
      <c r="P73" s="130">
        <f>SUMIFS(ТГ_ИД!$E:$E,ТГ_ИД!$B:$B,ТГ!$G$8,ТГ_ИД!$D:$D,ТГ!$A74)</f>
        <v>0</v>
      </c>
      <c r="Q73" s="130">
        <f>SUMIFS(ТГ_ИД!$E:$E,ТГ_ИД!$B:$B,ТГ!$G$9,ТГ_ИД!$D:$D,ТГ!$A74)</f>
        <v>0</v>
      </c>
      <c r="R73" s="130">
        <f>SUMIFS(ТГ_ИД!$E:$E,ТГ_ИД!$B:$B,ТГ!$G$10,ТГ_ИД!$D:$D,ТГ!$A74)</f>
        <v>0</v>
      </c>
      <c r="S73" s="130">
        <f>SUMIFS(ТГ_ИД!$E:$E,ТГ_ИД!$B:$B,ТГ!$G$11,ТГ_ИД!$D:$D,ТГ!$A74)</f>
        <v>0</v>
      </c>
      <c r="T73" s="130">
        <f>SUMIFS(ТГ_ИД!$E:$E,ТГ_ИД!$B:$B,ТГ!$G$12,ТГ_ИД!$D:$D,ТГ!$A74)</f>
        <v>0</v>
      </c>
      <c r="U73" s="130">
        <f>SUMIFS(ТГ_ИД!$E:$E,ТГ_ИД!$B:$B,ТГ!$G$13,ТГ_ИД!$D:$D,ТГ!$A74)</f>
        <v>0</v>
      </c>
      <c r="V73" s="130">
        <f>SUMIFS(ТГ_ИД!$E:$E,ТГ_ИД!$B:$B,ТГ!$G$14,ТГ_ИД!$D:$D,ТГ!$A74)</f>
        <v>0</v>
      </c>
    </row>
    <row r="74" spans="1:22" x14ac:dyDescent="0.25">
      <c r="A74" s="116" t="str">
        <f t="shared" si="2"/>
        <v>07032</v>
      </c>
      <c r="B74" s="115">
        <v>7032</v>
      </c>
      <c r="C74" s="97" t="s">
        <v>152</v>
      </c>
      <c r="K74" s="130">
        <f>SUMIFS(ТГ_ИД!$E:$E,ТГ_ИД!$B:$B,ТГ!$G$3,ТГ_ИД!$D:$D,ТГ!$A75)</f>
        <v>0</v>
      </c>
      <c r="L74" s="130">
        <f>SUMIFS(ТГ_ИД!$E:$E,ТГ_ИД!$B:$B,ТГ!$G$4,ТГ_ИД!$D:$D,ТГ!$A75)</f>
        <v>0</v>
      </c>
      <c r="M74" s="130">
        <f>SUMIFS(ТГ_ИД!$E:$E,ТГ_ИД!$B:$B,ТГ!$G$5,ТГ_ИД!$D:$D,ТГ!$A75)</f>
        <v>0</v>
      </c>
      <c r="N74" s="130">
        <f>SUMIFS(ТГ_ИД!$E:$E,ТГ_ИД!$B:$B,ТГ!$G$6,ТГ_ИД!$D:$D,ТГ!$A75)</f>
        <v>0</v>
      </c>
      <c r="O74" s="130">
        <f>SUMIFS(ТГ_ИД!$E:$E,ТГ_ИД!$B:$B,ТГ!$G$7,ТГ_ИД!$D:$D,ТГ!$A75)</f>
        <v>0</v>
      </c>
      <c r="P74" s="130">
        <f>SUMIFS(ТГ_ИД!$E:$E,ТГ_ИД!$B:$B,ТГ!$G$8,ТГ_ИД!$D:$D,ТГ!$A75)</f>
        <v>0</v>
      </c>
      <c r="Q74" s="130">
        <f>SUMIFS(ТГ_ИД!$E:$E,ТГ_ИД!$B:$B,ТГ!$G$9,ТГ_ИД!$D:$D,ТГ!$A75)</f>
        <v>0</v>
      </c>
      <c r="R74" s="130">
        <f>SUMIFS(ТГ_ИД!$E:$E,ТГ_ИД!$B:$B,ТГ!$G$10,ТГ_ИД!$D:$D,ТГ!$A75)</f>
        <v>0</v>
      </c>
      <c r="S74" s="130">
        <f>SUMIFS(ТГ_ИД!$E:$E,ТГ_ИД!$B:$B,ТГ!$G$11,ТГ_ИД!$D:$D,ТГ!$A75)</f>
        <v>0</v>
      </c>
      <c r="T74" s="130">
        <f>SUMIFS(ТГ_ИД!$E:$E,ТГ_ИД!$B:$B,ТГ!$G$12,ТГ_ИД!$D:$D,ТГ!$A75)</f>
        <v>0</v>
      </c>
      <c r="U74" s="130">
        <f>SUMIFS(ТГ_ИД!$E:$E,ТГ_ИД!$B:$B,ТГ!$G$13,ТГ_ИД!$D:$D,ТГ!$A75)</f>
        <v>0</v>
      </c>
      <c r="V74" s="130">
        <f>SUMIFS(ТГ_ИД!$E:$E,ТГ_ИД!$B:$B,ТГ!$G$14,ТГ_ИД!$D:$D,ТГ!$A75)</f>
        <v>0</v>
      </c>
    </row>
    <row r="75" spans="1:22" x14ac:dyDescent="0.25">
      <c r="A75" s="116" t="str">
        <f t="shared" si="2"/>
        <v>07033</v>
      </c>
      <c r="B75" s="115">
        <v>7033</v>
      </c>
      <c r="C75" s="97" t="s">
        <v>153</v>
      </c>
      <c r="K75" s="130">
        <f>SUMIFS(ТГ_ИД!$E:$E,ТГ_ИД!$B:$B,ТГ!$G$3,ТГ_ИД!$D:$D,ТГ!$A76)</f>
        <v>678.04</v>
      </c>
      <c r="L75" s="130">
        <f>SUMIFS(ТГ_ИД!$E:$E,ТГ_ИД!$B:$B,ТГ!$G$4,ТГ_ИД!$D:$D,ТГ!$A76)</f>
        <v>2788.14</v>
      </c>
      <c r="M75" s="130">
        <f>SUMIFS(ТГ_ИД!$E:$E,ТГ_ИД!$B:$B,ТГ!$G$5,ТГ_ИД!$D:$D,ТГ!$A76)</f>
        <v>0</v>
      </c>
      <c r="N75" s="130">
        <f>SUMIFS(ТГ_ИД!$E:$E,ТГ_ИД!$B:$B,ТГ!$G$6,ТГ_ИД!$D:$D,ТГ!$A76)</f>
        <v>0</v>
      </c>
      <c r="O75" s="130">
        <f>SUMIFS(ТГ_ИД!$E:$E,ТГ_ИД!$B:$B,ТГ!$G$7,ТГ_ИД!$D:$D,ТГ!$A76)</f>
        <v>0</v>
      </c>
      <c r="P75" s="130">
        <f>SUMIFS(ТГ_ИД!$E:$E,ТГ_ИД!$B:$B,ТГ!$G$8,ТГ_ИД!$D:$D,ТГ!$A76)</f>
        <v>0</v>
      </c>
      <c r="Q75" s="130">
        <f>SUMIFS(ТГ_ИД!$E:$E,ТГ_ИД!$B:$B,ТГ!$G$9,ТГ_ИД!$D:$D,ТГ!$A76)</f>
        <v>0</v>
      </c>
      <c r="R75" s="130">
        <f>SUMIFS(ТГ_ИД!$E:$E,ТГ_ИД!$B:$B,ТГ!$G$10,ТГ_ИД!$D:$D,ТГ!$A76)</f>
        <v>0</v>
      </c>
      <c r="S75" s="130">
        <f>SUMIFS(ТГ_ИД!$E:$E,ТГ_ИД!$B:$B,ТГ!$G$11,ТГ_ИД!$D:$D,ТГ!$A76)</f>
        <v>0</v>
      </c>
      <c r="T75" s="130">
        <f>SUMIFS(ТГ_ИД!$E:$E,ТГ_ИД!$B:$B,ТГ!$G$12,ТГ_ИД!$D:$D,ТГ!$A76)</f>
        <v>0</v>
      </c>
      <c r="U75" s="130">
        <f>SUMIFS(ТГ_ИД!$E:$E,ТГ_ИД!$B:$B,ТГ!$G$13,ТГ_ИД!$D:$D,ТГ!$A76)</f>
        <v>0</v>
      </c>
      <c r="V75" s="130">
        <f>SUMIFS(ТГ_ИД!$E:$E,ТГ_ИД!$B:$B,ТГ!$G$14,ТГ_ИД!$D:$D,ТГ!$A76)</f>
        <v>0</v>
      </c>
    </row>
    <row r="76" spans="1:22" x14ac:dyDescent="0.25">
      <c r="A76" s="116" t="str">
        <f t="shared" si="2"/>
        <v>07034</v>
      </c>
      <c r="B76" s="115">
        <v>7034</v>
      </c>
      <c r="C76" s="97" t="s">
        <v>154</v>
      </c>
      <c r="K76" s="130">
        <f>SUMIFS(ТГ_ИД!$E:$E,ТГ_ИД!$B:$B,ТГ!$G$3,ТГ_ИД!$D:$D,ТГ!$A77)</f>
        <v>752.11</v>
      </c>
      <c r="L76" s="130">
        <f>SUMIFS(ТГ_ИД!$E:$E,ТГ_ИД!$B:$B,ТГ!$G$4,ТГ_ИД!$D:$D,ТГ!$A77)</f>
        <v>7695.44</v>
      </c>
      <c r="M76" s="130">
        <f>SUMIFS(ТГ_ИД!$E:$E,ТГ_ИД!$B:$B,ТГ!$G$5,ТГ_ИД!$D:$D,ТГ!$A77)</f>
        <v>0</v>
      </c>
      <c r="N76" s="130">
        <f>SUMIFS(ТГ_ИД!$E:$E,ТГ_ИД!$B:$B,ТГ!$G$6,ТГ_ИД!$D:$D,ТГ!$A77)</f>
        <v>0</v>
      </c>
      <c r="O76" s="130">
        <f>SUMIFS(ТГ_ИД!$E:$E,ТГ_ИД!$B:$B,ТГ!$G$7,ТГ_ИД!$D:$D,ТГ!$A77)</f>
        <v>0</v>
      </c>
      <c r="P76" s="130">
        <f>SUMIFS(ТГ_ИД!$E:$E,ТГ_ИД!$B:$B,ТГ!$G$8,ТГ_ИД!$D:$D,ТГ!$A77)</f>
        <v>0</v>
      </c>
      <c r="Q76" s="130">
        <f>SUMIFS(ТГ_ИД!$E:$E,ТГ_ИД!$B:$B,ТГ!$G$9,ТГ_ИД!$D:$D,ТГ!$A77)</f>
        <v>0</v>
      </c>
      <c r="R76" s="130">
        <f>SUMIFS(ТГ_ИД!$E:$E,ТГ_ИД!$B:$B,ТГ!$G$10,ТГ_ИД!$D:$D,ТГ!$A77)</f>
        <v>0</v>
      </c>
      <c r="S76" s="130">
        <f>SUMIFS(ТГ_ИД!$E:$E,ТГ_ИД!$B:$B,ТГ!$G$11,ТГ_ИД!$D:$D,ТГ!$A77)</f>
        <v>0</v>
      </c>
      <c r="T76" s="130">
        <f>SUMIFS(ТГ_ИД!$E:$E,ТГ_ИД!$B:$B,ТГ!$G$12,ТГ_ИД!$D:$D,ТГ!$A77)</f>
        <v>0</v>
      </c>
      <c r="U76" s="130">
        <f>SUMIFS(ТГ_ИД!$E:$E,ТГ_ИД!$B:$B,ТГ!$G$13,ТГ_ИД!$D:$D,ТГ!$A77)</f>
        <v>0</v>
      </c>
      <c r="V76" s="130">
        <f>SUMIFS(ТГ_ИД!$E:$E,ТГ_ИД!$B:$B,ТГ!$G$14,ТГ_ИД!$D:$D,ТГ!$A77)</f>
        <v>0</v>
      </c>
    </row>
    <row r="77" spans="1:22" x14ac:dyDescent="0.25">
      <c r="A77" s="116" t="str">
        <f t="shared" si="2"/>
        <v>07035</v>
      </c>
      <c r="B77" s="115">
        <v>7035</v>
      </c>
      <c r="C77" s="97" t="s">
        <v>155</v>
      </c>
      <c r="K77" s="130">
        <f>SUMIFS(ТГ_ИД!$E:$E,ТГ_ИД!$B:$B,ТГ!$G$3,ТГ_ИД!$D:$D,ТГ!$A78)</f>
        <v>18464.68</v>
      </c>
      <c r="L77" s="130">
        <f>SUMIFS(ТГ_ИД!$E:$E,ТГ_ИД!$B:$B,ТГ!$G$4,ТГ_ИД!$D:$D,ТГ!$A78)</f>
        <v>6784.53</v>
      </c>
      <c r="M77" s="130">
        <f>SUMIFS(ТГ_ИД!$E:$E,ТГ_ИД!$B:$B,ТГ!$G$5,ТГ_ИД!$D:$D,ТГ!$A78)</f>
        <v>0</v>
      </c>
      <c r="N77" s="130">
        <f>SUMIFS(ТГ_ИД!$E:$E,ТГ_ИД!$B:$B,ТГ!$G$6,ТГ_ИД!$D:$D,ТГ!$A78)</f>
        <v>0</v>
      </c>
      <c r="O77" s="130">
        <f>SUMIFS(ТГ_ИД!$E:$E,ТГ_ИД!$B:$B,ТГ!$G$7,ТГ_ИД!$D:$D,ТГ!$A78)</f>
        <v>0</v>
      </c>
      <c r="P77" s="130">
        <f>SUMIFS(ТГ_ИД!$E:$E,ТГ_ИД!$B:$B,ТГ!$G$8,ТГ_ИД!$D:$D,ТГ!$A78)</f>
        <v>0</v>
      </c>
      <c r="Q77" s="130">
        <f>SUMIFS(ТГ_ИД!$E:$E,ТГ_ИД!$B:$B,ТГ!$G$9,ТГ_ИД!$D:$D,ТГ!$A78)</f>
        <v>0</v>
      </c>
      <c r="R77" s="130">
        <f>SUMIFS(ТГ_ИД!$E:$E,ТГ_ИД!$B:$B,ТГ!$G$10,ТГ_ИД!$D:$D,ТГ!$A78)</f>
        <v>0</v>
      </c>
      <c r="S77" s="130">
        <f>SUMIFS(ТГ_ИД!$E:$E,ТГ_ИД!$B:$B,ТГ!$G$11,ТГ_ИД!$D:$D,ТГ!$A78)</f>
        <v>0</v>
      </c>
      <c r="T77" s="130">
        <f>SUMIFS(ТГ_ИД!$E:$E,ТГ_ИД!$B:$B,ТГ!$G$12,ТГ_ИД!$D:$D,ТГ!$A78)</f>
        <v>0</v>
      </c>
      <c r="U77" s="130">
        <f>SUMIFS(ТГ_ИД!$E:$E,ТГ_ИД!$B:$B,ТГ!$G$13,ТГ_ИД!$D:$D,ТГ!$A78)</f>
        <v>0</v>
      </c>
      <c r="V77" s="130">
        <f>SUMIFS(ТГ_ИД!$E:$E,ТГ_ИД!$B:$B,ТГ!$G$14,ТГ_ИД!$D:$D,ТГ!$A78)</f>
        <v>0</v>
      </c>
    </row>
    <row r="78" spans="1:22" x14ac:dyDescent="0.25">
      <c r="A78" s="116" t="str">
        <f t="shared" si="2"/>
        <v>07036</v>
      </c>
      <c r="B78" s="115">
        <v>7036</v>
      </c>
      <c r="C78" s="97" t="s">
        <v>156</v>
      </c>
      <c r="K78" s="130">
        <f>SUMIFS(ТГ_ИД!$E:$E,ТГ_ИД!$B:$B,ТГ!$G$3,ТГ_ИД!$D:$D,ТГ!$A79)</f>
        <v>0</v>
      </c>
      <c r="L78" s="130">
        <f>SUMIFS(ТГ_ИД!$E:$E,ТГ_ИД!$B:$B,ТГ!$G$4,ТГ_ИД!$D:$D,ТГ!$A79)</f>
        <v>3686.46</v>
      </c>
      <c r="M78" s="130">
        <f>SUMIFS(ТГ_ИД!$E:$E,ТГ_ИД!$B:$B,ТГ!$G$5,ТГ_ИД!$D:$D,ТГ!$A79)</f>
        <v>0</v>
      </c>
      <c r="N78" s="130">
        <f>SUMIFS(ТГ_ИД!$E:$E,ТГ_ИД!$B:$B,ТГ!$G$6,ТГ_ИД!$D:$D,ТГ!$A79)</f>
        <v>0</v>
      </c>
      <c r="O78" s="130">
        <f>SUMIFS(ТГ_ИД!$E:$E,ТГ_ИД!$B:$B,ТГ!$G$7,ТГ_ИД!$D:$D,ТГ!$A79)</f>
        <v>0</v>
      </c>
      <c r="P78" s="130">
        <f>SUMIFS(ТГ_ИД!$E:$E,ТГ_ИД!$B:$B,ТГ!$G$8,ТГ_ИД!$D:$D,ТГ!$A79)</f>
        <v>0</v>
      </c>
      <c r="Q78" s="130">
        <f>SUMIFS(ТГ_ИД!$E:$E,ТГ_ИД!$B:$B,ТГ!$G$9,ТГ_ИД!$D:$D,ТГ!$A79)</f>
        <v>0</v>
      </c>
      <c r="R78" s="130">
        <f>SUMIFS(ТГ_ИД!$E:$E,ТГ_ИД!$B:$B,ТГ!$G$10,ТГ_ИД!$D:$D,ТГ!$A79)</f>
        <v>0</v>
      </c>
      <c r="S78" s="130">
        <f>SUMIFS(ТГ_ИД!$E:$E,ТГ_ИД!$B:$B,ТГ!$G$11,ТГ_ИД!$D:$D,ТГ!$A79)</f>
        <v>0</v>
      </c>
      <c r="T78" s="130">
        <f>SUMIFS(ТГ_ИД!$E:$E,ТГ_ИД!$B:$B,ТГ!$G$12,ТГ_ИД!$D:$D,ТГ!$A79)</f>
        <v>0</v>
      </c>
      <c r="U78" s="130">
        <f>SUMIFS(ТГ_ИД!$E:$E,ТГ_ИД!$B:$B,ТГ!$G$13,ТГ_ИД!$D:$D,ТГ!$A79)</f>
        <v>0</v>
      </c>
      <c r="V78" s="130">
        <f>SUMIFS(ТГ_ИД!$E:$E,ТГ_ИД!$B:$B,ТГ!$G$14,ТГ_ИД!$D:$D,ТГ!$A79)</f>
        <v>0</v>
      </c>
    </row>
    <row r="79" spans="1:22" x14ac:dyDescent="0.25">
      <c r="A79" s="116" t="str">
        <f t="shared" si="2"/>
        <v>07037</v>
      </c>
      <c r="B79" s="115">
        <v>7037</v>
      </c>
      <c r="C79" s="97" t="s">
        <v>157</v>
      </c>
      <c r="K79" s="130">
        <f>SUMIFS(ТГ_ИД!$E:$E,ТГ_ИД!$B:$B,ТГ!$G$3,ТГ_ИД!$D:$D,ТГ!$A80)</f>
        <v>3070.58</v>
      </c>
      <c r="L79" s="130">
        <f>SUMIFS(ТГ_ИД!$E:$E,ТГ_ИД!$B:$B,ТГ!$G$4,ТГ_ИД!$D:$D,ТГ!$A80)</f>
        <v>4142.1000000000004</v>
      </c>
      <c r="M79" s="130">
        <f>SUMIFS(ТГ_ИД!$E:$E,ТГ_ИД!$B:$B,ТГ!$G$5,ТГ_ИД!$D:$D,ТГ!$A80)</f>
        <v>0</v>
      </c>
      <c r="N79" s="130">
        <f>SUMIFS(ТГ_ИД!$E:$E,ТГ_ИД!$B:$B,ТГ!$G$6,ТГ_ИД!$D:$D,ТГ!$A80)</f>
        <v>0</v>
      </c>
      <c r="O79" s="130">
        <f>SUMIFS(ТГ_ИД!$E:$E,ТГ_ИД!$B:$B,ТГ!$G$7,ТГ_ИД!$D:$D,ТГ!$A80)</f>
        <v>0</v>
      </c>
      <c r="P79" s="130">
        <f>SUMIFS(ТГ_ИД!$E:$E,ТГ_ИД!$B:$B,ТГ!$G$8,ТГ_ИД!$D:$D,ТГ!$A80)</f>
        <v>0</v>
      </c>
      <c r="Q79" s="130">
        <f>SUMIFS(ТГ_ИД!$E:$E,ТГ_ИД!$B:$B,ТГ!$G$9,ТГ_ИД!$D:$D,ТГ!$A80)</f>
        <v>0</v>
      </c>
      <c r="R79" s="130">
        <f>SUMIFS(ТГ_ИД!$E:$E,ТГ_ИД!$B:$B,ТГ!$G$10,ТГ_ИД!$D:$D,ТГ!$A80)</f>
        <v>0</v>
      </c>
      <c r="S79" s="130">
        <f>SUMIFS(ТГ_ИД!$E:$E,ТГ_ИД!$B:$B,ТГ!$G$11,ТГ_ИД!$D:$D,ТГ!$A80)</f>
        <v>0</v>
      </c>
      <c r="T79" s="130">
        <f>SUMIFS(ТГ_ИД!$E:$E,ТГ_ИД!$B:$B,ТГ!$G$12,ТГ_ИД!$D:$D,ТГ!$A80)</f>
        <v>0</v>
      </c>
      <c r="U79" s="130">
        <f>SUMIFS(ТГ_ИД!$E:$E,ТГ_ИД!$B:$B,ТГ!$G$13,ТГ_ИД!$D:$D,ТГ!$A80)</f>
        <v>0</v>
      </c>
      <c r="V79" s="130">
        <f>SUMIFS(ТГ_ИД!$E:$E,ТГ_ИД!$B:$B,ТГ!$G$14,ТГ_ИД!$D:$D,ТГ!$A80)</f>
        <v>0</v>
      </c>
    </row>
    <row r="80" spans="1:22" x14ac:dyDescent="0.25">
      <c r="A80" s="116" t="str">
        <f t="shared" si="2"/>
        <v>07038</v>
      </c>
      <c r="B80" s="115">
        <v>7038</v>
      </c>
      <c r="C80" s="97" t="s">
        <v>158</v>
      </c>
      <c r="K80" s="130">
        <f>SUMIFS(ТГ_ИД!$E:$E,ТГ_ИД!$B:$B,ТГ!$G$3,ТГ_ИД!$D:$D,ТГ!$A81)</f>
        <v>3631.21</v>
      </c>
      <c r="L80" s="130">
        <f>SUMIFS(ТГ_ИД!$E:$E,ТГ_ИД!$B:$B,ТГ!$G$4,ТГ_ИД!$D:$D,ТГ!$A81)</f>
        <v>0</v>
      </c>
      <c r="M80" s="130">
        <f>SUMIFS(ТГ_ИД!$E:$E,ТГ_ИД!$B:$B,ТГ!$G$5,ТГ_ИД!$D:$D,ТГ!$A81)</f>
        <v>0</v>
      </c>
      <c r="N80" s="130">
        <f>SUMIFS(ТГ_ИД!$E:$E,ТГ_ИД!$B:$B,ТГ!$G$6,ТГ_ИД!$D:$D,ТГ!$A81)</f>
        <v>0</v>
      </c>
      <c r="O80" s="130">
        <f>SUMIFS(ТГ_ИД!$E:$E,ТГ_ИД!$B:$B,ТГ!$G$7,ТГ_ИД!$D:$D,ТГ!$A81)</f>
        <v>0</v>
      </c>
      <c r="P80" s="130">
        <f>SUMIFS(ТГ_ИД!$E:$E,ТГ_ИД!$B:$B,ТГ!$G$8,ТГ_ИД!$D:$D,ТГ!$A81)</f>
        <v>0</v>
      </c>
      <c r="Q80" s="130">
        <f>SUMIFS(ТГ_ИД!$E:$E,ТГ_ИД!$B:$B,ТГ!$G$9,ТГ_ИД!$D:$D,ТГ!$A81)</f>
        <v>0</v>
      </c>
      <c r="R80" s="130">
        <f>SUMIFS(ТГ_ИД!$E:$E,ТГ_ИД!$B:$B,ТГ!$G$10,ТГ_ИД!$D:$D,ТГ!$A81)</f>
        <v>0</v>
      </c>
      <c r="S80" s="130">
        <f>SUMIFS(ТГ_ИД!$E:$E,ТГ_ИД!$B:$B,ТГ!$G$11,ТГ_ИД!$D:$D,ТГ!$A81)</f>
        <v>0</v>
      </c>
      <c r="T80" s="130">
        <f>SUMIFS(ТГ_ИД!$E:$E,ТГ_ИД!$B:$B,ТГ!$G$12,ТГ_ИД!$D:$D,ТГ!$A81)</f>
        <v>0</v>
      </c>
      <c r="U80" s="130">
        <f>SUMIFS(ТГ_ИД!$E:$E,ТГ_ИД!$B:$B,ТГ!$G$13,ТГ_ИД!$D:$D,ТГ!$A81)</f>
        <v>0</v>
      </c>
      <c r="V80" s="130">
        <f>SUMIFS(ТГ_ИД!$E:$E,ТГ_ИД!$B:$B,ТГ!$G$14,ТГ_ИД!$D:$D,ТГ!$A81)</f>
        <v>0</v>
      </c>
    </row>
    <row r="81" spans="1:22" x14ac:dyDescent="0.25">
      <c r="A81" s="116" t="str">
        <f t="shared" si="2"/>
        <v>07039</v>
      </c>
      <c r="B81" s="115">
        <v>7039</v>
      </c>
      <c r="C81" s="97" t="s">
        <v>159</v>
      </c>
      <c r="K81" s="130">
        <f>SUMIFS(ТГ_ИД!$E:$E,ТГ_ИД!$B:$B,ТГ!$G$3,ТГ_ИД!$D:$D,ТГ!$A82)</f>
        <v>0</v>
      </c>
      <c r="L81" s="130">
        <f>SUMIFS(ТГ_ИД!$E:$E,ТГ_ИД!$B:$B,ТГ!$G$4,ТГ_ИД!$D:$D,ТГ!$A82)</f>
        <v>0</v>
      </c>
      <c r="M81" s="130">
        <f>SUMIFS(ТГ_ИД!$E:$E,ТГ_ИД!$B:$B,ТГ!$G$5,ТГ_ИД!$D:$D,ТГ!$A82)</f>
        <v>0</v>
      </c>
      <c r="N81" s="130">
        <f>SUMIFS(ТГ_ИД!$E:$E,ТГ_ИД!$B:$B,ТГ!$G$6,ТГ_ИД!$D:$D,ТГ!$A82)</f>
        <v>0</v>
      </c>
      <c r="O81" s="130">
        <f>SUMIFS(ТГ_ИД!$E:$E,ТГ_ИД!$B:$B,ТГ!$G$7,ТГ_ИД!$D:$D,ТГ!$A82)</f>
        <v>0</v>
      </c>
      <c r="P81" s="130">
        <f>SUMIFS(ТГ_ИД!$E:$E,ТГ_ИД!$B:$B,ТГ!$G$8,ТГ_ИД!$D:$D,ТГ!$A82)</f>
        <v>0</v>
      </c>
      <c r="Q81" s="130">
        <f>SUMIFS(ТГ_ИД!$E:$E,ТГ_ИД!$B:$B,ТГ!$G$9,ТГ_ИД!$D:$D,ТГ!$A82)</f>
        <v>0</v>
      </c>
      <c r="R81" s="130">
        <f>SUMIFS(ТГ_ИД!$E:$E,ТГ_ИД!$B:$B,ТГ!$G$10,ТГ_ИД!$D:$D,ТГ!$A82)</f>
        <v>0</v>
      </c>
      <c r="S81" s="130">
        <f>SUMIFS(ТГ_ИД!$E:$E,ТГ_ИД!$B:$B,ТГ!$G$11,ТГ_ИД!$D:$D,ТГ!$A82)</f>
        <v>0</v>
      </c>
      <c r="T81" s="130">
        <f>SUMIFS(ТГ_ИД!$E:$E,ТГ_ИД!$B:$B,ТГ!$G$12,ТГ_ИД!$D:$D,ТГ!$A82)</f>
        <v>0</v>
      </c>
      <c r="U81" s="130">
        <f>SUMIFS(ТГ_ИД!$E:$E,ТГ_ИД!$B:$B,ТГ!$G$13,ТГ_ИД!$D:$D,ТГ!$A82)</f>
        <v>0</v>
      </c>
      <c r="V81" s="130">
        <f>SUMIFS(ТГ_ИД!$E:$E,ТГ_ИД!$B:$B,ТГ!$G$14,ТГ_ИД!$D:$D,ТГ!$A82)</f>
        <v>0</v>
      </c>
    </row>
    <row r="82" spans="1:22" x14ac:dyDescent="0.25">
      <c r="A82" s="116" t="str">
        <f t="shared" si="2"/>
        <v>07040</v>
      </c>
      <c r="B82" s="115">
        <v>7040</v>
      </c>
      <c r="C82" s="97" t="s">
        <v>160</v>
      </c>
      <c r="K82" s="130">
        <f>SUMIFS(ТГ_ИД!$E:$E,ТГ_ИД!$B:$B,ТГ!$G$3,ТГ_ИД!$D:$D,ТГ!$A83)</f>
        <v>0</v>
      </c>
      <c r="L82" s="130">
        <f>SUMIFS(ТГ_ИД!$E:$E,ТГ_ИД!$B:$B,ТГ!$G$4,ТГ_ИД!$D:$D,ТГ!$A83)</f>
        <v>0</v>
      </c>
      <c r="M82" s="130">
        <f>SUMIFS(ТГ_ИД!$E:$E,ТГ_ИД!$B:$B,ТГ!$G$5,ТГ_ИД!$D:$D,ТГ!$A83)</f>
        <v>0</v>
      </c>
      <c r="N82" s="130">
        <f>SUMIFS(ТГ_ИД!$E:$E,ТГ_ИД!$B:$B,ТГ!$G$6,ТГ_ИД!$D:$D,ТГ!$A83)</f>
        <v>0</v>
      </c>
      <c r="O82" s="130">
        <f>SUMIFS(ТГ_ИД!$E:$E,ТГ_ИД!$B:$B,ТГ!$G$7,ТГ_ИД!$D:$D,ТГ!$A83)</f>
        <v>0</v>
      </c>
      <c r="P82" s="130">
        <f>SUMIFS(ТГ_ИД!$E:$E,ТГ_ИД!$B:$B,ТГ!$G$8,ТГ_ИД!$D:$D,ТГ!$A83)</f>
        <v>0</v>
      </c>
      <c r="Q82" s="130">
        <f>SUMIFS(ТГ_ИД!$E:$E,ТГ_ИД!$B:$B,ТГ!$G$9,ТГ_ИД!$D:$D,ТГ!$A83)</f>
        <v>0</v>
      </c>
      <c r="R82" s="130">
        <f>SUMIFS(ТГ_ИД!$E:$E,ТГ_ИД!$B:$B,ТГ!$G$10,ТГ_ИД!$D:$D,ТГ!$A83)</f>
        <v>0</v>
      </c>
      <c r="S82" s="130">
        <f>SUMIFS(ТГ_ИД!$E:$E,ТГ_ИД!$B:$B,ТГ!$G$11,ТГ_ИД!$D:$D,ТГ!$A83)</f>
        <v>0</v>
      </c>
      <c r="T82" s="130">
        <f>SUMIFS(ТГ_ИД!$E:$E,ТГ_ИД!$B:$B,ТГ!$G$12,ТГ_ИД!$D:$D,ТГ!$A83)</f>
        <v>0</v>
      </c>
      <c r="U82" s="130">
        <f>SUMIFS(ТГ_ИД!$E:$E,ТГ_ИД!$B:$B,ТГ!$G$13,ТГ_ИД!$D:$D,ТГ!$A83)</f>
        <v>0</v>
      </c>
      <c r="V82" s="130">
        <f>SUMIFS(ТГ_ИД!$E:$E,ТГ_ИД!$B:$B,ТГ!$G$14,ТГ_ИД!$D:$D,ТГ!$A83)</f>
        <v>0</v>
      </c>
    </row>
    <row r="83" spans="1:22" x14ac:dyDescent="0.25">
      <c r="A83" s="116" t="str">
        <f t="shared" si="2"/>
        <v>07041</v>
      </c>
      <c r="B83" s="115">
        <v>7041</v>
      </c>
      <c r="C83" s="97" t="s">
        <v>161</v>
      </c>
      <c r="K83" s="130">
        <f>SUMIFS(ТГ_ИД!$E:$E,ТГ_ИД!$B:$B,ТГ!$G$3,ТГ_ИД!$D:$D,ТГ!$A84)</f>
        <v>0</v>
      </c>
      <c r="L83" s="130">
        <f>SUMIFS(ТГ_ИД!$E:$E,ТГ_ИД!$B:$B,ТГ!$G$4,ТГ_ИД!$D:$D,ТГ!$A84)</f>
        <v>7134.71</v>
      </c>
      <c r="M83" s="130">
        <f>SUMIFS(ТГ_ИД!$E:$E,ТГ_ИД!$B:$B,ТГ!$G$5,ТГ_ИД!$D:$D,ТГ!$A84)</f>
        <v>0</v>
      </c>
      <c r="N83" s="130">
        <f>SUMIFS(ТГ_ИД!$E:$E,ТГ_ИД!$B:$B,ТГ!$G$6,ТГ_ИД!$D:$D,ТГ!$A84)</f>
        <v>0</v>
      </c>
      <c r="O83" s="130">
        <f>SUMIFS(ТГ_ИД!$E:$E,ТГ_ИД!$B:$B,ТГ!$G$7,ТГ_ИД!$D:$D,ТГ!$A84)</f>
        <v>0</v>
      </c>
      <c r="P83" s="130">
        <f>SUMIFS(ТГ_ИД!$E:$E,ТГ_ИД!$B:$B,ТГ!$G$8,ТГ_ИД!$D:$D,ТГ!$A84)</f>
        <v>0</v>
      </c>
      <c r="Q83" s="130">
        <f>SUMIFS(ТГ_ИД!$E:$E,ТГ_ИД!$B:$B,ТГ!$G$9,ТГ_ИД!$D:$D,ТГ!$A84)</f>
        <v>0</v>
      </c>
      <c r="R83" s="130">
        <f>SUMIFS(ТГ_ИД!$E:$E,ТГ_ИД!$B:$B,ТГ!$G$10,ТГ_ИД!$D:$D,ТГ!$A84)</f>
        <v>0</v>
      </c>
      <c r="S83" s="130">
        <f>SUMIFS(ТГ_ИД!$E:$E,ТГ_ИД!$B:$B,ТГ!$G$11,ТГ_ИД!$D:$D,ТГ!$A84)</f>
        <v>0</v>
      </c>
      <c r="T83" s="130">
        <f>SUMIFS(ТГ_ИД!$E:$E,ТГ_ИД!$B:$B,ТГ!$G$12,ТГ_ИД!$D:$D,ТГ!$A84)</f>
        <v>0</v>
      </c>
      <c r="U83" s="130">
        <f>SUMIFS(ТГ_ИД!$E:$E,ТГ_ИД!$B:$B,ТГ!$G$13,ТГ_ИД!$D:$D,ТГ!$A84)</f>
        <v>0</v>
      </c>
      <c r="V83" s="130">
        <f>SUMIFS(ТГ_ИД!$E:$E,ТГ_ИД!$B:$B,ТГ!$G$14,ТГ_ИД!$D:$D,ТГ!$A84)</f>
        <v>0</v>
      </c>
    </row>
    <row r="84" spans="1:22" x14ac:dyDescent="0.25">
      <c r="A84" s="116" t="str">
        <f t="shared" si="2"/>
        <v>07042</v>
      </c>
      <c r="B84" s="115">
        <v>7042</v>
      </c>
      <c r="C84" s="97" t="s">
        <v>162</v>
      </c>
      <c r="K84" s="130">
        <f>SUMIFS(ТГ_ИД!$E:$E,ТГ_ИД!$B:$B,ТГ!$G$3,ТГ_ИД!$D:$D,ТГ!$A85)</f>
        <v>0</v>
      </c>
      <c r="L84" s="130">
        <f>SUMIFS(ТГ_ИД!$E:$E,ТГ_ИД!$B:$B,ТГ!$G$4,ТГ_ИД!$D:$D,ТГ!$A85)</f>
        <v>7881.87</v>
      </c>
      <c r="M84" s="130">
        <f>SUMIFS(ТГ_ИД!$E:$E,ТГ_ИД!$B:$B,ТГ!$G$5,ТГ_ИД!$D:$D,ТГ!$A85)</f>
        <v>0</v>
      </c>
      <c r="N84" s="130">
        <f>SUMIFS(ТГ_ИД!$E:$E,ТГ_ИД!$B:$B,ТГ!$G$6,ТГ_ИД!$D:$D,ТГ!$A85)</f>
        <v>0</v>
      </c>
      <c r="O84" s="130">
        <f>SUMIFS(ТГ_ИД!$E:$E,ТГ_ИД!$B:$B,ТГ!$G$7,ТГ_ИД!$D:$D,ТГ!$A85)</f>
        <v>0</v>
      </c>
      <c r="P84" s="130">
        <f>SUMIFS(ТГ_ИД!$E:$E,ТГ_ИД!$B:$B,ТГ!$G$8,ТГ_ИД!$D:$D,ТГ!$A85)</f>
        <v>0</v>
      </c>
      <c r="Q84" s="130">
        <f>SUMIFS(ТГ_ИД!$E:$E,ТГ_ИД!$B:$B,ТГ!$G$9,ТГ_ИД!$D:$D,ТГ!$A85)</f>
        <v>0</v>
      </c>
      <c r="R84" s="130">
        <f>SUMIFS(ТГ_ИД!$E:$E,ТГ_ИД!$B:$B,ТГ!$G$10,ТГ_ИД!$D:$D,ТГ!$A85)</f>
        <v>0</v>
      </c>
      <c r="S84" s="130">
        <f>SUMIFS(ТГ_ИД!$E:$E,ТГ_ИД!$B:$B,ТГ!$G$11,ТГ_ИД!$D:$D,ТГ!$A85)</f>
        <v>0</v>
      </c>
      <c r="T84" s="130">
        <f>SUMIFS(ТГ_ИД!$E:$E,ТГ_ИД!$B:$B,ТГ!$G$12,ТГ_ИД!$D:$D,ТГ!$A85)</f>
        <v>0</v>
      </c>
      <c r="U84" s="130">
        <f>SUMIFS(ТГ_ИД!$E:$E,ТГ_ИД!$B:$B,ТГ!$G$13,ТГ_ИД!$D:$D,ТГ!$A85)</f>
        <v>0</v>
      </c>
      <c r="V84" s="130">
        <f>SUMIFS(ТГ_ИД!$E:$E,ТГ_ИД!$B:$B,ТГ!$G$14,ТГ_ИД!$D:$D,ТГ!$A85)</f>
        <v>0</v>
      </c>
    </row>
    <row r="85" spans="1:22" x14ac:dyDescent="0.25">
      <c r="A85" s="116" t="str">
        <f t="shared" si="2"/>
        <v>07043</v>
      </c>
      <c r="B85" s="115">
        <v>7043</v>
      </c>
      <c r="C85" s="97" t="s">
        <v>163</v>
      </c>
      <c r="K85" s="130">
        <f>SUMIFS(ТГ_ИД!$E:$E,ТГ_ИД!$B:$B,ТГ!$G$3,ТГ_ИД!$D:$D,ТГ!$A86)</f>
        <v>0</v>
      </c>
      <c r="L85" s="130">
        <f>SUMIFS(ТГ_ИД!$E:$E,ТГ_ИД!$B:$B,ТГ!$G$4,ТГ_ИД!$D:$D,ТГ!$A86)</f>
        <v>7302.36</v>
      </c>
      <c r="M85" s="130">
        <f>SUMIFS(ТГ_ИД!$E:$E,ТГ_ИД!$B:$B,ТГ!$G$5,ТГ_ИД!$D:$D,ТГ!$A86)</f>
        <v>0</v>
      </c>
      <c r="N85" s="130">
        <f>SUMIFS(ТГ_ИД!$E:$E,ТГ_ИД!$B:$B,ТГ!$G$6,ТГ_ИД!$D:$D,ТГ!$A86)</f>
        <v>0</v>
      </c>
      <c r="O85" s="130">
        <f>SUMIFS(ТГ_ИД!$E:$E,ТГ_ИД!$B:$B,ТГ!$G$7,ТГ_ИД!$D:$D,ТГ!$A86)</f>
        <v>0</v>
      </c>
      <c r="P85" s="130">
        <f>SUMIFS(ТГ_ИД!$E:$E,ТГ_ИД!$B:$B,ТГ!$G$8,ТГ_ИД!$D:$D,ТГ!$A86)</f>
        <v>0</v>
      </c>
      <c r="Q85" s="130">
        <f>SUMIFS(ТГ_ИД!$E:$E,ТГ_ИД!$B:$B,ТГ!$G$9,ТГ_ИД!$D:$D,ТГ!$A86)</f>
        <v>0</v>
      </c>
      <c r="R85" s="130">
        <f>SUMIFS(ТГ_ИД!$E:$E,ТГ_ИД!$B:$B,ТГ!$G$10,ТГ_ИД!$D:$D,ТГ!$A86)</f>
        <v>0</v>
      </c>
      <c r="S85" s="130">
        <f>SUMIFS(ТГ_ИД!$E:$E,ТГ_ИД!$B:$B,ТГ!$G$11,ТГ_ИД!$D:$D,ТГ!$A86)</f>
        <v>0</v>
      </c>
      <c r="T85" s="130">
        <f>SUMIFS(ТГ_ИД!$E:$E,ТГ_ИД!$B:$B,ТГ!$G$12,ТГ_ИД!$D:$D,ТГ!$A86)</f>
        <v>0</v>
      </c>
      <c r="U85" s="130">
        <f>SUMIFS(ТГ_ИД!$E:$E,ТГ_ИД!$B:$B,ТГ!$G$13,ТГ_ИД!$D:$D,ТГ!$A86)</f>
        <v>0</v>
      </c>
      <c r="V85" s="130">
        <f>SUMIFS(ТГ_ИД!$E:$E,ТГ_ИД!$B:$B,ТГ!$G$14,ТГ_ИД!$D:$D,ТГ!$A86)</f>
        <v>0</v>
      </c>
    </row>
    <row r="86" spans="1:22" x14ac:dyDescent="0.25">
      <c r="A86" s="116" t="str">
        <f t="shared" si="2"/>
        <v>07044</v>
      </c>
      <c r="B86" s="115">
        <v>7044</v>
      </c>
      <c r="C86" s="97" t="s">
        <v>164</v>
      </c>
      <c r="K86" s="130">
        <f>SUMIFS(ТГ_ИД!$E:$E,ТГ_ИД!$B:$B,ТГ!$G$3,ТГ_ИД!$D:$D,ТГ!$A87)</f>
        <v>783.67</v>
      </c>
      <c r="L86" s="130">
        <f>SUMIFS(ТГ_ИД!$E:$E,ТГ_ИД!$B:$B,ТГ!$G$4,ТГ_ИД!$D:$D,ТГ!$A87)</f>
        <v>16074.41</v>
      </c>
      <c r="M86" s="130">
        <f>SUMIFS(ТГ_ИД!$E:$E,ТГ_ИД!$B:$B,ТГ!$G$5,ТГ_ИД!$D:$D,ТГ!$A87)</f>
        <v>0</v>
      </c>
      <c r="N86" s="130">
        <f>SUMIFS(ТГ_ИД!$E:$E,ТГ_ИД!$B:$B,ТГ!$G$6,ТГ_ИД!$D:$D,ТГ!$A87)</f>
        <v>0</v>
      </c>
      <c r="O86" s="130">
        <f>SUMIFS(ТГ_ИД!$E:$E,ТГ_ИД!$B:$B,ТГ!$G$7,ТГ_ИД!$D:$D,ТГ!$A87)</f>
        <v>0</v>
      </c>
      <c r="P86" s="130">
        <f>SUMIFS(ТГ_ИД!$E:$E,ТГ_ИД!$B:$B,ТГ!$G$8,ТГ_ИД!$D:$D,ТГ!$A87)</f>
        <v>0</v>
      </c>
      <c r="Q86" s="130">
        <f>SUMIFS(ТГ_ИД!$E:$E,ТГ_ИД!$B:$B,ТГ!$G$9,ТГ_ИД!$D:$D,ТГ!$A87)</f>
        <v>0</v>
      </c>
      <c r="R86" s="130">
        <f>SUMIFS(ТГ_ИД!$E:$E,ТГ_ИД!$B:$B,ТГ!$G$10,ТГ_ИД!$D:$D,ТГ!$A87)</f>
        <v>0</v>
      </c>
      <c r="S86" s="130">
        <f>SUMIFS(ТГ_ИД!$E:$E,ТГ_ИД!$B:$B,ТГ!$G$11,ТГ_ИД!$D:$D,ТГ!$A87)</f>
        <v>0</v>
      </c>
      <c r="T86" s="130">
        <f>SUMIFS(ТГ_ИД!$E:$E,ТГ_ИД!$B:$B,ТГ!$G$12,ТГ_ИД!$D:$D,ТГ!$A87)</f>
        <v>0</v>
      </c>
      <c r="U86" s="130">
        <f>SUMIFS(ТГ_ИД!$E:$E,ТГ_ИД!$B:$B,ТГ!$G$13,ТГ_ИД!$D:$D,ТГ!$A87)</f>
        <v>0</v>
      </c>
      <c r="V86" s="130">
        <f>SUMIFS(ТГ_ИД!$E:$E,ТГ_ИД!$B:$B,ТГ!$G$14,ТГ_ИД!$D:$D,ТГ!$A87)</f>
        <v>0</v>
      </c>
    </row>
    <row r="87" spans="1:22" x14ac:dyDescent="0.25">
      <c r="A87" s="116" t="str">
        <f t="shared" si="2"/>
        <v>07045</v>
      </c>
      <c r="B87" s="115">
        <v>7045</v>
      </c>
      <c r="C87" s="97" t="s">
        <v>165</v>
      </c>
      <c r="K87" s="130">
        <f>SUMIFS(ТГ_ИД!$E:$E,ТГ_ИД!$B:$B,ТГ!$G$3,ТГ_ИД!$D:$D,ТГ!$A88)</f>
        <v>54859.35</v>
      </c>
      <c r="L87" s="130">
        <f>SUMIFS(ТГ_ИД!$E:$E,ТГ_ИД!$B:$B,ТГ!$G$4,ТГ_ИД!$D:$D,ТГ!$A88)</f>
        <v>46081.01</v>
      </c>
      <c r="M87" s="130">
        <f>SUMIFS(ТГ_ИД!$E:$E,ТГ_ИД!$B:$B,ТГ!$G$5,ТГ_ИД!$D:$D,ТГ!$A88)</f>
        <v>0</v>
      </c>
      <c r="N87" s="130">
        <f>SUMIFS(ТГ_ИД!$E:$E,ТГ_ИД!$B:$B,ТГ!$G$6,ТГ_ИД!$D:$D,ТГ!$A88)</f>
        <v>0</v>
      </c>
      <c r="O87" s="130">
        <f>SUMIFS(ТГ_ИД!$E:$E,ТГ_ИД!$B:$B,ТГ!$G$7,ТГ_ИД!$D:$D,ТГ!$A88)</f>
        <v>0</v>
      </c>
      <c r="P87" s="130">
        <f>SUMIFS(ТГ_ИД!$E:$E,ТГ_ИД!$B:$B,ТГ!$G$8,ТГ_ИД!$D:$D,ТГ!$A88)</f>
        <v>0</v>
      </c>
      <c r="Q87" s="130">
        <f>SUMIFS(ТГ_ИД!$E:$E,ТГ_ИД!$B:$B,ТГ!$G$9,ТГ_ИД!$D:$D,ТГ!$A88)</f>
        <v>0</v>
      </c>
      <c r="R87" s="130">
        <f>SUMIFS(ТГ_ИД!$E:$E,ТГ_ИД!$B:$B,ТГ!$G$10,ТГ_ИД!$D:$D,ТГ!$A88)</f>
        <v>0</v>
      </c>
      <c r="S87" s="130">
        <f>SUMIFS(ТГ_ИД!$E:$E,ТГ_ИД!$B:$B,ТГ!$G$11,ТГ_ИД!$D:$D,ТГ!$A88)</f>
        <v>0</v>
      </c>
      <c r="T87" s="130">
        <f>SUMIFS(ТГ_ИД!$E:$E,ТГ_ИД!$B:$B,ТГ!$G$12,ТГ_ИД!$D:$D,ТГ!$A88)</f>
        <v>0</v>
      </c>
      <c r="U87" s="130">
        <f>SUMIFS(ТГ_ИД!$E:$E,ТГ_ИД!$B:$B,ТГ!$G$13,ТГ_ИД!$D:$D,ТГ!$A88)</f>
        <v>0</v>
      </c>
      <c r="V87" s="130">
        <f>SUMIFS(ТГ_ИД!$E:$E,ТГ_ИД!$B:$B,ТГ!$G$14,ТГ_ИД!$D:$D,ТГ!$A88)</f>
        <v>0</v>
      </c>
    </row>
    <row r="88" spans="1:22" x14ac:dyDescent="0.25">
      <c r="A88" s="116" t="str">
        <f t="shared" si="2"/>
        <v>07046</v>
      </c>
      <c r="B88" s="115">
        <v>7046</v>
      </c>
      <c r="C88" s="97" t="s">
        <v>166</v>
      </c>
      <c r="K88" s="130">
        <f>SUMIFS(ТГ_ИД!$E:$E,ТГ_ИД!$B:$B,ТГ!$G$3,ТГ_ИД!$D:$D,ТГ!$A89)</f>
        <v>0</v>
      </c>
      <c r="L88" s="130">
        <f>SUMIFS(ТГ_ИД!$E:$E,ТГ_ИД!$B:$B,ТГ!$G$4,ТГ_ИД!$D:$D,ТГ!$A89)</f>
        <v>9550.17</v>
      </c>
      <c r="M88" s="130">
        <f>SUMIFS(ТГ_ИД!$E:$E,ТГ_ИД!$B:$B,ТГ!$G$5,ТГ_ИД!$D:$D,ТГ!$A89)</f>
        <v>0</v>
      </c>
      <c r="N88" s="130">
        <f>SUMIFS(ТГ_ИД!$E:$E,ТГ_ИД!$B:$B,ТГ!$G$6,ТГ_ИД!$D:$D,ТГ!$A89)</f>
        <v>0</v>
      </c>
      <c r="O88" s="130">
        <f>SUMIFS(ТГ_ИД!$E:$E,ТГ_ИД!$B:$B,ТГ!$G$7,ТГ_ИД!$D:$D,ТГ!$A89)</f>
        <v>0</v>
      </c>
      <c r="P88" s="130">
        <f>SUMIFS(ТГ_ИД!$E:$E,ТГ_ИД!$B:$B,ТГ!$G$8,ТГ_ИД!$D:$D,ТГ!$A89)</f>
        <v>0</v>
      </c>
      <c r="Q88" s="130">
        <f>SUMIFS(ТГ_ИД!$E:$E,ТГ_ИД!$B:$B,ТГ!$G$9,ТГ_ИД!$D:$D,ТГ!$A89)</f>
        <v>0</v>
      </c>
      <c r="R88" s="130">
        <f>SUMIFS(ТГ_ИД!$E:$E,ТГ_ИД!$B:$B,ТГ!$G$10,ТГ_ИД!$D:$D,ТГ!$A89)</f>
        <v>0</v>
      </c>
      <c r="S88" s="130">
        <f>SUMIFS(ТГ_ИД!$E:$E,ТГ_ИД!$B:$B,ТГ!$G$11,ТГ_ИД!$D:$D,ТГ!$A89)</f>
        <v>0</v>
      </c>
      <c r="T88" s="130">
        <f>SUMIFS(ТГ_ИД!$E:$E,ТГ_ИД!$B:$B,ТГ!$G$12,ТГ_ИД!$D:$D,ТГ!$A89)</f>
        <v>0</v>
      </c>
      <c r="U88" s="130">
        <f>SUMIFS(ТГ_ИД!$E:$E,ТГ_ИД!$B:$B,ТГ!$G$13,ТГ_ИД!$D:$D,ТГ!$A89)</f>
        <v>0</v>
      </c>
      <c r="V88" s="130">
        <f>SUMIFS(ТГ_ИД!$E:$E,ТГ_ИД!$B:$B,ТГ!$G$14,ТГ_ИД!$D:$D,ТГ!$A89)</f>
        <v>0</v>
      </c>
    </row>
    <row r="89" spans="1:22" x14ac:dyDescent="0.25">
      <c r="A89" s="116" t="str">
        <f t="shared" si="2"/>
        <v>07047</v>
      </c>
      <c r="B89" s="115">
        <v>7047</v>
      </c>
      <c r="C89" s="97" t="s">
        <v>167</v>
      </c>
      <c r="K89" s="130">
        <f>SUMIFS(ТГ_ИД!$E:$E,ТГ_ИД!$B:$B,ТГ!$G$3,ТГ_ИД!$D:$D,ТГ!$A90)</f>
        <v>1040.07</v>
      </c>
      <c r="L89" s="130">
        <f>SUMIFS(ТГ_ИД!$E:$E,ТГ_ИД!$B:$B,ТГ!$G$4,ТГ_ИД!$D:$D,ТГ!$A90)</f>
        <v>21383.8</v>
      </c>
      <c r="M89" s="130">
        <f>SUMIFS(ТГ_ИД!$E:$E,ТГ_ИД!$B:$B,ТГ!$G$5,ТГ_ИД!$D:$D,ТГ!$A90)</f>
        <v>0</v>
      </c>
      <c r="N89" s="130">
        <f>SUMIFS(ТГ_ИД!$E:$E,ТГ_ИД!$B:$B,ТГ!$G$6,ТГ_ИД!$D:$D,ТГ!$A90)</f>
        <v>0</v>
      </c>
      <c r="O89" s="130">
        <f>SUMIFS(ТГ_ИД!$E:$E,ТГ_ИД!$B:$B,ТГ!$G$7,ТГ_ИД!$D:$D,ТГ!$A90)</f>
        <v>0</v>
      </c>
      <c r="P89" s="130">
        <f>SUMIFS(ТГ_ИД!$E:$E,ТГ_ИД!$B:$B,ТГ!$G$8,ТГ_ИД!$D:$D,ТГ!$A90)</f>
        <v>0</v>
      </c>
      <c r="Q89" s="130">
        <f>SUMIFS(ТГ_ИД!$E:$E,ТГ_ИД!$B:$B,ТГ!$G$9,ТГ_ИД!$D:$D,ТГ!$A90)</f>
        <v>0</v>
      </c>
      <c r="R89" s="130">
        <f>SUMIFS(ТГ_ИД!$E:$E,ТГ_ИД!$B:$B,ТГ!$G$10,ТГ_ИД!$D:$D,ТГ!$A90)</f>
        <v>0</v>
      </c>
      <c r="S89" s="130">
        <f>SUMIFS(ТГ_ИД!$E:$E,ТГ_ИД!$B:$B,ТГ!$G$11,ТГ_ИД!$D:$D,ТГ!$A90)</f>
        <v>0</v>
      </c>
      <c r="T89" s="130">
        <f>SUMIFS(ТГ_ИД!$E:$E,ТГ_ИД!$B:$B,ТГ!$G$12,ТГ_ИД!$D:$D,ТГ!$A90)</f>
        <v>0</v>
      </c>
      <c r="U89" s="130">
        <f>SUMIFS(ТГ_ИД!$E:$E,ТГ_ИД!$B:$B,ТГ!$G$13,ТГ_ИД!$D:$D,ТГ!$A90)</f>
        <v>0</v>
      </c>
      <c r="V89" s="130">
        <f>SUMIFS(ТГ_ИД!$E:$E,ТГ_ИД!$B:$B,ТГ!$G$14,ТГ_ИД!$D:$D,ТГ!$A90)</f>
        <v>0</v>
      </c>
    </row>
    <row r="90" spans="1:22" x14ac:dyDescent="0.25">
      <c r="A90" s="116" t="str">
        <f t="shared" si="2"/>
        <v>07048</v>
      </c>
      <c r="B90" s="115">
        <v>7048</v>
      </c>
      <c r="C90" s="97" t="s">
        <v>168</v>
      </c>
      <c r="K90" s="130">
        <f>SUMIFS(ТГ_ИД!$E:$E,ТГ_ИД!$B:$B,ТГ!$G$3,ТГ_ИД!$D:$D,ТГ!$A91)</f>
        <v>0</v>
      </c>
      <c r="L90" s="130">
        <f>SUMIFS(ТГ_ИД!$E:$E,ТГ_ИД!$B:$B,ТГ!$G$4,ТГ_ИД!$D:$D,ТГ!$A91)</f>
        <v>10023.290000000001</v>
      </c>
      <c r="M90" s="130">
        <f>SUMIFS(ТГ_ИД!$E:$E,ТГ_ИД!$B:$B,ТГ!$G$5,ТГ_ИД!$D:$D,ТГ!$A91)</f>
        <v>0</v>
      </c>
      <c r="N90" s="130">
        <f>SUMIFS(ТГ_ИД!$E:$E,ТГ_ИД!$B:$B,ТГ!$G$6,ТГ_ИД!$D:$D,ТГ!$A91)</f>
        <v>0</v>
      </c>
      <c r="O90" s="130">
        <f>SUMIFS(ТГ_ИД!$E:$E,ТГ_ИД!$B:$B,ТГ!$G$7,ТГ_ИД!$D:$D,ТГ!$A91)</f>
        <v>0</v>
      </c>
      <c r="P90" s="130">
        <f>SUMIFS(ТГ_ИД!$E:$E,ТГ_ИД!$B:$B,ТГ!$G$8,ТГ_ИД!$D:$D,ТГ!$A91)</f>
        <v>0</v>
      </c>
      <c r="Q90" s="130">
        <f>SUMIFS(ТГ_ИД!$E:$E,ТГ_ИД!$B:$B,ТГ!$G$9,ТГ_ИД!$D:$D,ТГ!$A91)</f>
        <v>0</v>
      </c>
      <c r="R90" s="130">
        <f>SUMIFS(ТГ_ИД!$E:$E,ТГ_ИД!$B:$B,ТГ!$G$10,ТГ_ИД!$D:$D,ТГ!$A91)</f>
        <v>0</v>
      </c>
      <c r="S90" s="130">
        <f>SUMIFS(ТГ_ИД!$E:$E,ТГ_ИД!$B:$B,ТГ!$G$11,ТГ_ИД!$D:$D,ТГ!$A91)</f>
        <v>0</v>
      </c>
      <c r="T90" s="130">
        <f>SUMIFS(ТГ_ИД!$E:$E,ТГ_ИД!$B:$B,ТГ!$G$12,ТГ_ИД!$D:$D,ТГ!$A91)</f>
        <v>0</v>
      </c>
      <c r="U90" s="130">
        <f>SUMIFS(ТГ_ИД!$E:$E,ТГ_ИД!$B:$B,ТГ!$G$13,ТГ_ИД!$D:$D,ТГ!$A91)</f>
        <v>0</v>
      </c>
      <c r="V90" s="130">
        <f>SUMIFS(ТГ_ИД!$E:$E,ТГ_ИД!$B:$B,ТГ!$G$14,ТГ_ИД!$D:$D,ТГ!$A91)</f>
        <v>0</v>
      </c>
    </row>
    <row r="91" spans="1:22" x14ac:dyDescent="0.25">
      <c r="A91" s="116" t="str">
        <f t="shared" si="2"/>
        <v>07049</v>
      </c>
      <c r="B91" s="115">
        <v>7049</v>
      </c>
      <c r="C91" s="97" t="s">
        <v>169</v>
      </c>
      <c r="K91" s="130">
        <f>SUMIFS(ТГ_ИД!$E:$E,ТГ_ИД!$B:$B,ТГ!$G$3,ТГ_ИД!$D:$D,ТГ!$A92)</f>
        <v>0</v>
      </c>
      <c r="L91" s="130">
        <f>SUMIFS(ТГ_ИД!$E:$E,ТГ_ИД!$B:$B,ТГ!$G$4,ТГ_ИД!$D:$D,ТГ!$A92)</f>
        <v>2887.46</v>
      </c>
      <c r="M91" s="130">
        <f>SUMIFS(ТГ_ИД!$E:$E,ТГ_ИД!$B:$B,ТГ!$G$5,ТГ_ИД!$D:$D,ТГ!$A92)</f>
        <v>0</v>
      </c>
      <c r="N91" s="130">
        <f>SUMIFS(ТГ_ИД!$E:$E,ТГ_ИД!$B:$B,ТГ!$G$6,ТГ_ИД!$D:$D,ТГ!$A92)</f>
        <v>0</v>
      </c>
      <c r="O91" s="130">
        <f>SUMIFS(ТГ_ИД!$E:$E,ТГ_ИД!$B:$B,ТГ!$G$7,ТГ_ИД!$D:$D,ТГ!$A92)</f>
        <v>0</v>
      </c>
      <c r="P91" s="130">
        <f>SUMIFS(ТГ_ИД!$E:$E,ТГ_ИД!$B:$B,ТГ!$G$8,ТГ_ИД!$D:$D,ТГ!$A92)</f>
        <v>0</v>
      </c>
      <c r="Q91" s="130">
        <f>SUMIFS(ТГ_ИД!$E:$E,ТГ_ИД!$B:$B,ТГ!$G$9,ТГ_ИД!$D:$D,ТГ!$A92)</f>
        <v>0</v>
      </c>
      <c r="R91" s="130">
        <f>SUMIFS(ТГ_ИД!$E:$E,ТГ_ИД!$B:$B,ТГ!$G$10,ТГ_ИД!$D:$D,ТГ!$A92)</f>
        <v>0</v>
      </c>
      <c r="S91" s="130">
        <f>SUMIFS(ТГ_ИД!$E:$E,ТГ_ИД!$B:$B,ТГ!$G$11,ТГ_ИД!$D:$D,ТГ!$A92)</f>
        <v>0</v>
      </c>
      <c r="T91" s="130">
        <f>SUMIFS(ТГ_ИД!$E:$E,ТГ_ИД!$B:$B,ТГ!$G$12,ТГ_ИД!$D:$D,ТГ!$A92)</f>
        <v>0</v>
      </c>
      <c r="U91" s="130">
        <f>SUMIFS(ТГ_ИД!$E:$E,ТГ_ИД!$B:$B,ТГ!$G$13,ТГ_ИД!$D:$D,ТГ!$A92)</f>
        <v>0</v>
      </c>
      <c r="V91" s="130">
        <f>SUMIFS(ТГ_ИД!$E:$E,ТГ_ИД!$B:$B,ТГ!$G$14,ТГ_ИД!$D:$D,ТГ!$A92)</f>
        <v>0</v>
      </c>
    </row>
    <row r="92" spans="1:22" x14ac:dyDescent="0.25">
      <c r="A92" s="116" t="str">
        <f t="shared" si="2"/>
        <v>07050</v>
      </c>
      <c r="B92" s="115">
        <v>7050</v>
      </c>
      <c r="C92" s="97" t="s">
        <v>170</v>
      </c>
      <c r="K92" s="130">
        <f>SUMIFS(ТГ_ИД!$E:$E,ТГ_ИД!$B:$B,ТГ!$G$3,ТГ_ИД!$D:$D,ТГ!$A93)</f>
        <v>0</v>
      </c>
      <c r="L92" s="130">
        <f>SUMIFS(ТГ_ИД!$E:$E,ТГ_ИД!$B:$B,ТГ!$G$4,ТГ_ИД!$D:$D,ТГ!$A93)</f>
        <v>0</v>
      </c>
      <c r="M92" s="130">
        <f>SUMIFS(ТГ_ИД!$E:$E,ТГ_ИД!$B:$B,ТГ!$G$5,ТГ_ИД!$D:$D,ТГ!$A93)</f>
        <v>0</v>
      </c>
      <c r="N92" s="130">
        <f>SUMIFS(ТГ_ИД!$E:$E,ТГ_ИД!$B:$B,ТГ!$G$6,ТГ_ИД!$D:$D,ТГ!$A93)</f>
        <v>0</v>
      </c>
      <c r="O92" s="130">
        <f>SUMIFS(ТГ_ИД!$E:$E,ТГ_ИД!$B:$B,ТГ!$G$7,ТГ_ИД!$D:$D,ТГ!$A93)</f>
        <v>0</v>
      </c>
      <c r="P92" s="130">
        <f>SUMIFS(ТГ_ИД!$E:$E,ТГ_ИД!$B:$B,ТГ!$G$8,ТГ_ИД!$D:$D,ТГ!$A93)</f>
        <v>0</v>
      </c>
      <c r="Q92" s="130">
        <f>SUMIFS(ТГ_ИД!$E:$E,ТГ_ИД!$B:$B,ТГ!$G$9,ТГ_ИД!$D:$D,ТГ!$A93)</f>
        <v>0</v>
      </c>
      <c r="R92" s="130">
        <f>SUMIFS(ТГ_ИД!$E:$E,ТГ_ИД!$B:$B,ТГ!$G$10,ТГ_ИД!$D:$D,ТГ!$A93)</f>
        <v>0</v>
      </c>
      <c r="S92" s="130">
        <f>SUMIFS(ТГ_ИД!$E:$E,ТГ_ИД!$B:$B,ТГ!$G$11,ТГ_ИД!$D:$D,ТГ!$A93)</f>
        <v>0</v>
      </c>
      <c r="T92" s="130">
        <f>SUMIFS(ТГ_ИД!$E:$E,ТГ_ИД!$B:$B,ТГ!$G$12,ТГ_ИД!$D:$D,ТГ!$A93)</f>
        <v>0</v>
      </c>
      <c r="U92" s="130">
        <f>SUMIFS(ТГ_ИД!$E:$E,ТГ_ИД!$B:$B,ТГ!$G$13,ТГ_ИД!$D:$D,ТГ!$A93)</f>
        <v>0</v>
      </c>
      <c r="V92" s="130">
        <f>SUMIFS(ТГ_ИД!$E:$E,ТГ_ИД!$B:$B,ТГ!$G$14,ТГ_ИД!$D:$D,ТГ!$A93)</f>
        <v>0</v>
      </c>
    </row>
    <row r="93" spans="1:22" x14ac:dyDescent="0.25">
      <c r="A93" s="116" t="str">
        <f t="shared" si="2"/>
        <v>07051</v>
      </c>
      <c r="B93" s="115">
        <v>7051</v>
      </c>
      <c r="C93" s="97" t="s">
        <v>171</v>
      </c>
      <c r="K93" s="130">
        <f>SUMIFS(ТГ_ИД!$E:$E,ТГ_ИД!$B:$B,ТГ!$G$3,ТГ_ИД!$D:$D,ТГ!$A94)</f>
        <v>0</v>
      </c>
      <c r="L93" s="130">
        <f>SUMIFS(ТГ_ИД!$E:$E,ТГ_ИД!$B:$B,ТГ!$G$4,ТГ_ИД!$D:$D,ТГ!$A94)</f>
        <v>0</v>
      </c>
      <c r="M93" s="130">
        <f>SUMIFS(ТГ_ИД!$E:$E,ТГ_ИД!$B:$B,ТГ!$G$5,ТГ_ИД!$D:$D,ТГ!$A94)</f>
        <v>0</v>
      </c>
      <c r="N93" s="130">
        <f>SUMIFS(ТГ_ИД!$E:$E,ТГ_ИД!$B:$B,ТГ!$G$6,ТГ_ИД!$D:$D,ТГ!$A94)</f>
        <v>0</v>
      </c>
      <c r="O93" s="130">
        <f>SUMIFS(ТГ_ИД!$E:$E,ТГ_ИД!$B:$B,ТГ!$G$7,ТГ_ИД!$D:$D,ТГ!$A94)</f>
        <v>0</v>
      </c>
      <c r="P93" s="130">
        <f>SUMIFS(ТГ_ИД!$E:$E,ТГ_ИД!$B:$B,ТГ!$G$8,ТГ_ИД!$D:$D,ТГ!$A94)</f>
        <v>0</v>
      </c>
      <c r="Q93" s="130">
        <f>SUMIFS(ТГ_ИД!$E:$E,ТГ_ИД!$B:$B,ТГ!$G$9,ТГ_ИД!$D:$D,ТГ!$A94)</f>
        <v>0</v>
      </c>
      <c r="R93" s="130">
        <f>SUMIFS(ТГ_ИД!$E:$E,ТГ_ИД!$B:$B,ТГ!$G$10,ТГ_ИД!$D:$D,ТГ!$A94)</f>
        <v>0</v>
      </c>
      <c r="S93" s="130">
        <f>SUMIFS(ТГ_ИД!$E:$E,ТГ_ИД!$B:$B,ТГ!$G$11,ТГ_ИД!$D:$D,ТГ!$A94)</f>
        <v>0</v>
      </c>
      <c r="T93" s="130">
        <f>SUMIFS(ТГ_ИД!$E:$E,ТГ_ИД!$B:$B,ТГ!$G$12,ТГ_ИД!$D:$D,ТГ!$A94)</f>
        <v>0</v>
      </c>
      <c r="U93" s="130">
        <f>SUMIFS(ТГ_ИД!$E:$E,ТГ_ИД!$B:$B,ТГ!$G$13,ТГ_ИД!$D:$D,ТГ!$A94)</f>
        <v>0</v>
      </c>
      <c r="V93" s="130">
        <f>SUMIFS(ТГ_ИД!$E:$E,ТГ_ИД!$B:$B,ТГ!$G$14,ТГ_ИД!$D:$D,ТГ!$A94)</f>
        <v>0</v>
      </c>
    </row>
    <row r="94" spans="1:22" x14ac:dyDescent="0.25">
      <c r="A94" s="116" t="str">
        <f t="shared" si="2"/>
        <v>07052</v>
      </c>
      <c r="B94" s="115">
        <v>7052</v>
      </c>
      <c r="C94" s="97" t="s">
        <v>172</v>
      </c>
      <c r="K94" s="130">
        <f>SUMIFS(ТГ_ИД!$E:$E,ТГ_ИД!$B:$B,ТГ!$G$3,ТГ_ИД!$D:$D,ТГ!$A95)</f>
        <v>0</v>
      </c>
      <c r="L94" s="130">
        <f>SUMIFS(ТГ_ИД!$E:$E,ТГ_ИД!$B:$B,ТГ!$G$4,ТГ_ИД!$D:$D,ТГ!$A95)</f>
        <v>0</v>
      </c>
      <c r="M94" s="130">
        <f>SUMIFS(ТГ_ИД!$E:$E,ТГ_ИД!$B:$B,ТГ!$G$5,ТГ_ИД!$D:$D,ТГ!$A95)</f>
        <v>0</v>
      </c>
      <c r="N94" s="130">
        <f>SUMIFS(ТГ_ИД!$E:$E,ТГ_ИД!$B:$B,ТГ!$G$6,ТГ_ИД!$D:$D,ТГ!$A95)</f>
        <v>0</v>
      </c>
      <c r="O94" s="130">
        <f>SUMIFS(ТГ_ИД!$E:$E,ТГ_ИД!$B:$B,ТГ!$G$7,ТГ_ИД!$D:$D,ТГ!$A95)</f>
        <v>0</v>
      </c>
      <c r="P94" s="130">
        <f>SUMIFS(ТГ_ИД!$E:$E,ТГ_ИД!$B:$B,ТГ!$G$8,ТГ_ИД!$D:$D,ТГ!$A95)</f>
        <v>0</v>
      </c>
      <c r="Q94" s="130">
        <f>SUMIFS(ТГ_ИД!$E:$E,ТГ_ИД!$B:$B,ТГ!$G$9,ТГ_ИД!$D:$D,ТГ!$A95)</f>
        <v>0</v>
      </c>
      <c r="R94" s="130">
        <f>SUMIFS(ТГ_ИД!$E:$E,ТГ_ИД!$B:$B,ТГ!$G$10,ТГ_ИД!$D:$D,ТГ!$A95)</f>
        <v>0</v>
      </c>
      <c r="S94" s="130">
        <f>SUMIFS(ТГ_ИД!$E:$E,ТГ_ИД!$B:$B,ТГ!$G$11,ТГ_ИД!$D:$D,ТГ!$A95)</f>
        <v>0</v>
      </c>
      <c r="T94" s="130">
        <f>SUMIFS(ТГ_ИД!$E:$E,ТГ_ИД!$B:$B,ТГ!$G$12,ТГ_ИД!$D:$D,ТГ!$A95)</f>
        <v>0</v>
      </c>
      <c r="U94" s="130">
        <f>SUMIFS(ТГ_ИД!$E:$E,ТГ_ИД!$B:$B,ТГ!$G$13,ТГ_ИД!$D:$D,ТГ!$A95)</f>
        <v>0</v>
      </c>
      <c r="V94" s="130">
        <f>SUMIFS(ТГ_ИД!$E:$E,ТГ_ИД!$B:$B,ТГ!$G$14,ТГ_ИД!$D:$D,ТГ!$A95)</f>
        <v>0</v>
      </c>
    </row>
    <row r="95" spans="1:22" x14ac:dyDescent="0.25">
      <c r="A95" s="116" t="str">
        <f t="shared" si="2"/>
        <v>07053</v>
      </c>
      <c r="B95" s="115">
        <v>7053</v>
      </c>
      <c r="C95" s="97" t="s">
        <v>173</v>
      </c>
      <c r="K95" s="130">
        <f>SUMIFS(ТГ_ИД!$E:$E,ТГ_ИД!$B:$B,ТГ!$G$3,ТГ_ИД!$D:$D,ТГ!$A96)</f>
        <v>0</v>
      </c>
      <c r="L95" s="130">
        <f>SUMIFS(ТГ_ИД!$E:$E,ТГ_ИД!$B:$B,ТГ!$G$4,ТГ_ИД!$D:$D,ТГ!$A96)</f>
        <v>0</v>
      </c>
      <c r="M95" s="130">
        <f>SUMIFS(ТГ_ИД!$E:$E,ТГ_ИД!$B:$B,ТГ!$G$5,ТГ_ИД!$D:$D,ТГ!$A96)</f>
        <v>0</v>
      </c>
      <c r="N95" s="130">
        <f>SUMIFS(ТГ_ИД!$E:$E,ТГ_ИД!$B:$B,ТГ!$G$6,ТГ_ИД!$D:$D,ТГ!$A96)</f>
        <v>0</v>
      </c>
      <c r="O95" s="130">
        <f>SUMIFS(ТГ_ИД!$E:$E,ТГ_ИД!$B:$B,ТГ!$G$7,ТГ_ИД!$D:$D,ТГ!$A96)</f>
        <v>0</v>
      </c>
      <c r="P95" s="130">
        <f>SUMIFS(ТГ_ИД!$E:$E,ТГ_ИД!$B:$B,ТГ!$G$8,ТГ_ИД!$D:$D,ТГ!$A96)</f>
        <v>0</v>
      </c>
      <c r="Q95" s="130">
        <f>SUMIFS(ТГ_ИД!$E:$E,ТГ_ИД!$B:$B,ТГ!$G$9,ТГ_ИД!$D:$D,ТГ!$A96)</f>
        <v>0</v>
      </c>
      <c r="R95" s="130">
        <f>SUMIFS(ТГ_ИД!$E:$E,ТГ_ИД!$B:$B,ТГ!$G$10,ТГ_ИД!$D:$D,ТГ!$A96)</f>
        <v>0</v>
      </c>
      <c r="S95" s="130">
        <f>SUMIFS(ТГ_ИД!$E:$E,ТГ_ИД!$B:$B,ТГ!$G$11,ТГ_ИД!$D:$D,ТГ!$A96)</f>
        <v>0</v>
      </c>
      <c r="T95" s="130">
        <f>SUMIFS(ТГ_ИД!$E:$E,ТГ_ИД!$B:$B,ТГ!$G$12,ТГ_ИД!$D:$D,ТГ!$A96)</f>
        <v>0</v>
      </c>
      <c r="U95" s="130">
        <f>SUMIFS(ТГ_ИД!$E:$E,ТГ_ИД!$B:$B,ТГ!$G$13,ТГ_ИД!$D:$D,ТГ!$A96)</f>
        <v>0</v>
      </c>
      <c r="V95" s="130">
        <f>SUMIFS(ТГ_ИД!$E:$E,ТГ_ИД!$B:$B,ТГ!$G$14,ТГ_ИД!$D:$D,ТГ!$A96)</f>
        <v>0</v>
      </c>
    </row>
    <row r="96" spans="1:22" x14ac:dyDescent="0.25">
      <c r="A96" s="116" t="str">
        <f t="shared" si="2"/>
        <v>07054</v>
      </c>
      <c r="B96" s="115">
        <v>7054</v>
      </c>
      <c r="C96" s="97" t="s">
        <v>174</v>
      </c>
      <c r="K96" s="130">
        <f>SUMIFS(ТГ_ИД!$E:$E,ТГ_ИД!$B:$B,ТГ!$G$3,ТГ_ИД!$D:$D,ТГ!$A97)</f>
        <v>0</v>
      </c>
      <c r="L96" s="130">
        <f>SUMIFS(ТГ_ИД!$E:$E,ТГ_ИД!$B:$B,ТГ!$G$4,ТГ_ИД!$D:$D,ТГ!$A97)</f>
        <v>0</v>
      </c>
      <c r="M96" s="130">
        <f>SUMIFS(ТГ_ИД!$E:$E,ТГ_ИД!$B:$B,ТГ!$G$5,ТГ_ИД!$D:$D,ТГ!$A97)</f>
        <v>0</v>
      </c>
      <c r="N96" s="130">
        <f>SUMIFS(ТГ_ИД!$E:$E,ТГ_ИД!$B:$B,ТГ!$G$6,ТГ_ИД!$D:$D,ТГ!$A97)</f>
        <v>0</v>
      </c>
      <c r="O96" s="130">
        <f>SUMIFS(ТГ_ИД!$E:$E,ТГ_ИД!$B:$B,ТГ!$G$7,ТГ_ИД!$D:$D,ТГ!$A97)</f>
        <v>0</v>
      </c>
      <c r="P96" s="130">
        <f>SUMIFS(ТГ_ИД!$E:$E,ТГ_ИД!$B:$B,ТГ!$G$8,ТГ_ИД!$D:$D,ТГ!$A97)</f>
        <v>0</v>
      </c>
      <c r="Q96" s="130">
        <f>SUMIFS(ТГ_ИД!$E:$E,ТГ_ИД!$B:$B,ТГ!$G$9,ТГ_ИД!$D:$D,ТГ!$A97)</f>
        <v>0</v>
      </c>
      <c r="R96" s="130">
        <f>SUMIFS(ТГ_ИД!$E:$E,ТГ_ИД!$B:$B,ТГ!$G$10,ТГ_ИД!$D:$D,ТГ!$A97)</f>
        <v>0</v>
      </c>
      <c r="S96" s="130">
        <f>SUMIFS(ТГ_ИД!$E:$E,ТГ_ИД!$B:$B,ТГ!$G$11,ТГ_ИД!$D:$D,ТГ!$A97)</f>
        <v>0</v>
      </c>
      <c r="T96" s="130">
        <f>SUMIFS(ТГ_ИД!$E:$E,ТГ_ИД!$B:$B,ТГ!$G$12,ТГ_ИД!$D:$D,ТГ!$A97)</f>
        <v>0</v>
      </c>
      <c r="U96" s="130">
        <f>SUMIFS(ТГ_ИД!$E:$E,ТГ_ИД!$B:$B,ТГ!$G$13,ТГ_ИД!$D:$D,ТГ!$A97)</f>
        <v>0</v>
      </c>
      <c r="V96" s="130">
        <f>SUMIFS(ТГ_ИД!$E:$E,ТГ_ИД!$B:$B,ТГ!$G$14,ТГ_ИД!$D:$D,ТГ!$A97)</f>
        <v>0</v>
      </c>
    </row>
    <row r="97" spans="1:22" x14ac:dyDescent="0.25">
      <c r="A97" s="116" t="str">
        <f t="shared" si="2"/>
        <v>07055</v>
      </c>
      <c r="B97" s="115">
        <v>7055</v>
      </c>
      <c r="C97" s="97" t="s">
        <v>175</v>
      </c>
      <c r="K97" s="130">
        <f>SUMIFS(ТГ_ИД!$E:$E,ТГ_ИД!$B:$B,ТГ!$G$3,ТГ_ИД!$D:$D,ТГ!$A98)</f>
        <v>0</v>
      </c>
      <c r="L97" s="130">
        <f>SUMIFS(ТГ_ИД!$E:$E,ТГ_ИД!$B:$B,ТГ!$G$4,ТГ_ИД!$D:$D,ТГ!$A98)</f>
        <v>0</v>
      </c>
      <c r="M97" s="130">
        <f>SUMIFS(ТГ_ИД!$E:$E,ТГ_ИД!$B:$B,ТГ!$G$5,ТГ_ИД!$D:$D,ТГ!$A98)</f>
        <v>0</v>
      </c>
      <c r="N97" s="130">
        <f>SUMIFS(ТГ_ИД!$E:$E,ТГ_ИД!$B:$B,ТГ!$G$6,ТГ_ИД!$D:$D,ТГ!$A98)</f>
        <v>0</v>
      </c>
      <c r="O97" s="130">
        <f>SUMIFS(ТГ_ИД!$E:$E,ТГ_ИД!$B:$B,ТГ!$G$7,ТГ_ИД!$D:$D,ТГ!$A98)</f>
        <v>0</v>
      </c>
      <c r="P97" s="130">
        <f>SUMIFS(ТГ_ИД!$E:$E,ТГ_ИД!$B:$B,ТГ!$G$8,ТГ_ИД!$D:$D,ТГ!$A98)</f>
        <v>0</v>
      </c>
      <c r="Q97" s="130">
        <f>SUMIFS(ТГ_ИД!$E:$E,ТГ_ИД!$B:$B,ТГ!$G$9,ТГ_ИД!$D:$D,ТГ!$A98)</f>
        <v>0</v>
      </c>
      <c r="R97" s="130">
        <f>SUMIFS(ТГ_ИД!$E:$E,ТГ_ИД!$B:$B,ТГ!$G$10,ТГ_ИД!$D:$D,ТГ!$A98)</f>
        <v>0</v>
      </c>
      <c r="S97" s="130">
        <f>SUMIFS(ТГ_ИД!$E:$E,ТГ_ИД!$B:$B,ТГ!$G$11,ТГ_ИД!$D:$D,ТГ!$A98)</f>
        <v>0</v>
      </c>
      <c r="T97" s="130">
        <f>SUMIFS(ТГ_ИД!$E:$E,ТГ_ИД!$B:$B,ТГ!$G$12,ТГ_ИД!$D:$D,ТГ!$A98)</f>
        <v>0</v>
      </c>
      <c r="U97" s="130">
        <f>SUMIFS(ТГ_ИД!$E:$E,ТГ_ИД!$B:$B,ТГ!$G$13,ТГ_ИД!$D:$D,ТГ!$A98)</f>
        <v>0</v>
      </c>
      <c r="V97" s="130">
        <f>SUMIFS(ТГ_ИД!$E:$E,ТГ_ИД!$B:$B,ТГ!$G$14,ТГ_ИД!$D:$D,ТГ!$A98)</f>
        <v>0</v>
      </c>
    </row>
    <row r="98" spans="1:22" x14ac:dyDescent="0.25">
      <c r="A98" s="116" t="str">
        <f t="shared" si="2"/>
        <v>07056</v>
      </c>
      <c r="B98" s="115">
        <v>7056</v>
      </c>
      <c r="C98" s="97" t="s">
        <v>176</v>
      </c>
      <c r="K98" s="130">
        <f>SUMIFS(ТГ_ИД!$E:$E,ТГ_ИД!$B:$B,ТГ!$G$3,ТГ_ИД!$D:$D,ТГ!$A99)</f>
        <v>3766.11</v>
      </c>
      <c r="L98" s="130">
        <f>SUMIFS(ТГ_ИД!$E:$E,ТГ_ИД!$B:$B,ТГ!$G$4,ТГ_ИД!$D:$D,ТГ!$A99)</f>
        <v>0</v>
      </c>
      <c r="M98" s="130">
        <f>SUMIFS(ТГ_ИД!$E:$E,ТГ_ИД!$B:$B,ТГ!$G$5,ТГ_ИД!$D:$D,ТГ!$A99)</f>
        <v>0</v>
      </c>
      <c r="N98" s="130">
        <f>SUMIFS(ТГ_ИД!$E:$E,ТГ_ИД!$B:$B,ТГ!$G$6,ТГ_ИД!$D:$D,ТГ!$A99)</f>
        <v>0</v>
      </c>
      <c r="O98" s="130">
        <f>SUMIFS(ТГ_ИД!$E:$E,ТГ_ИД!$B:$B,ТГ!$G$7,ТГ_ИД!$D:$D,ТГ!$A99)</f>
        <v>0</v>
      </c>
      <c r="P98" s="130">
        <f>SUMIFS(ТГ_ИД!$E:$E,ТГ_ИД!$B:$B,ТГ!$G$8,ТГ_ИД!$D:$D,ТГ!$A99)</f>
        <v>0</v>
      </c>
      <c r="Q98" s="130">
        <f>SUMIFS(ТГ_ИД!$E:$E,ТГ_ИД!$B:$B,ТГ!$G$9,ТГ_ИД!$D:$D,ТГ!$A99)</f>
        <v>0</v>
      </c>
      <c r="R98" s="130">
        <f>SUMIFS(ТГ_ИД!$E:$E,ТГ_ИД!$B:$B,ТГ!$G$10,ТГ_ИД!$D:$D,ТГ!$A99)</f>
        <v>0</v>
      </c>
      <c r="S98" s="130">
        <f>SUMIFS(ТГ_ИД!$E:$E,ТГ_ИД!$B:$B,ТГ!$G$11,ТГ_ИД!$D:$D,ТГ!$A99)</f>
        <v>0</v>
      </c>
      <c r="T98" s="130">
        <f>SUMIFS(ТГ_ИД!$E:$E,ТГ_ИД!$B:$B,ТГ!$G$12,ТГ_ИД!$D:$D,ТГ!$A99)</f>
        <v>0</v>
      </c>
      <c r="U98" s="130">
        <f>SUMIFS(ТГ_ИД!$E:$E,ТГ_ИД!$B:$B,ТГ!$G$13,ТГ_ИД!$D:$D,ТГ!$A99)</f>
        <v>0</v>
      </c>
      <c r="V98" s="130">
        <f>SUMIFS(ТГ_ИД!$E:$E,ТГ_ИД!$B:$B,ТГ!$G$14,ТГ_ИД!$D:$D,ТГ!$A99)</f>
        <v>0</v>
      </c>
    </row>
    <row r="99" spans="1:22" x14ac:dyDescent="0.25">
      <c r="A99" s="116" t="str">
        <f t="shared" si="2"/>
        <v>07057</v>
      </c>
      <c r="B99" s="115">
        <v>7057</v>
      </c>
      <c r="C99" s="97" t="s">
        <v>177</v>
      </c>
      <c r="K99" s="130">
        <f>SUMIFS(ТГ_ИД!$E:$E,ТГ_ИД!$B:$B,ТГ!$G$3,ТГ_ИД!$D:$D,ТГ!$A100)</f>
        <v>0</v>
      </c>
      <c r="L99" s="130">
        <f>SUMIFS(ТГ_ИД!$E:$E,ТГ_ИД!$B:$B,ТГ!$G$4,ТГ_ИД!$D:$D,ТГ!$A100)</f>
        <v>0</v>
      </c>
      <c r="M99" s="130">
        <f>SUMIFS(ТГ_ИД!$E:$E,ТГ_ИД!$B:$B,ТГ!$G$5,ТГ_ИД!$D:$D,ТГ!$A100)</f>
        <v>0</v>
      </c>
      <c r="N99" s="130">
        <f>SUMIFS(ТГ_ИД!$E:$E,ТГ_ИД!$B:$B,ТГ!$G$6,ТГ_ИД!$D:$D,ТГ!$A100)</f>
        <v>0</v>
      </c>
      <c r="O99" s="130">
        <f>SUMIFS(ТГ_ИД!$E:$E,ТГ_ИД!$B:$B,ТГ!$G$7,ТГ_ИД!$D:$D,ТГ!$A100)</f>
        <v>0</v>
      </c>
      <c r="P99" s="130">
        <f>SUMIFS(ТГ_ИД!$E:$E,ТГ_ИД!$B:$B,ТГ!$G$8,ТГ_ИД!$D:$D,ТГ!$A100)</f>
        <v>0</v>
      </c>
      <c r="Q99" s="130">
        <f>SUMIFS(ТГ_ИД!$E:$E,ТГ_ИД!$B:$B,ТГ!$G$9,ТГ_ИД!$D:$D,ТГ!$A100)</f>
        <v>0</v>
      </c>
      <c r="R99" s="130">
        <f>SUMIFS(ТГ_ИД!$E:$E,ТГ_ИД!$B:$B,ТГ!$G$10,ТГ_ИД!$D:$D,ТГ!$A100)</f>
        <v>0</v>
      </c>
      <c r="S99" s="130">
        <f>SUMIFS(ТГ_ИД!$E:$E,ТГ_ИД!$B:$B,ТГ!$G$11,ТГ_ИД!$D:$D,ТГ!$A100)</f>
        <v>0</v>
      </c>
      <c r="T99" s="130">
        <f>SUMIFS(ТГ_ИД!$E:$E,ТГ_ИД!$B:$B,ТГ!$G$12,ТГ_ИД!$D:$D,ТГ!$A100)</f>
        <v>0</v>
      </c>
      <c r="U99" s="130">
        <f>SUMIFS(ТГ_ИД!$E:$E,ТГ_ИД!$B:$B,ТГ!$G$13,ТГ_ИД!$D:$D,ТГ!$A100)</f>
        <v>0</v>
      </c>
      <c r="V99" s="130">
        <f>SUMIFS(ТГ_ИД!$E:$E,ТГ_ИД!$B:$B,ТГ!$G$14,ТГ_ИД!$D:$D,ТГ!$A100)</f>
        <v>0</v>
      </c>
    </row>
    <row r="100" spans="1:22" x14ac:dyDescent="0.25">
      <c r="A100" s="116" t="str">
        <f t="shared" si="2"/>
        <v>07058</v>
      </c>
      <c r="B100" s="115">
        <v>7058</v>
      </c>
      <c r="C100" s="97" t="s">
        <v>178</v>
      </c>
      <c r="K100" s="130">
        <f>SUMIFS(ТГ_ИД!$E:$E,ТГ_ИД!$B:$B,ТГ!$G$3,ТГ_ИД!$D:$D,ТГ!$A101)</f>
        <v>7182.9400000000005</v>
      </c>
      <c r="L100" s="130">
        <f>SUMIFS(ТГ_ИД!$E:$E,ТГ_ИД!$B:$B,ТГ!$G$4,ТГ_ИД!$D:$D,ТГ!$A101)</f>
        <v>0</v>
      </c>
      <c r="M100" s="130">
        <f>SUMIFS(ТГ_ИД!$E:$E,ТГ_ИД!$B:$B,ТГ!$G$5,ТГ_ИД!$D:$D,ТГ!$A101)</f>
        <v>0</v>
      </c>
      <c r="N100" s="130">
        <f>SUMIFS(ТГ_ИД!$E:$E,ТГ_ИД!$B:$B,ТГ!$G$6,ТГ_ИД!$D:$D,ТГ!$A101)</f>
        <v>0</v>
      </c>
      <c r="O100" s="130">
        <f>SUMIFS(ТГ_ИД!$E:$E,ТГ_ИД!$B:$B,ТГ!$G$7,ТГ_ИД!$D:$D,ТГ!$A101)</f>
        <v>0</v>
      </c>
      <c r="P100" s="130">
        <f>SUMIFS(ТГ_ИД!$E:$E,ТГ_ИД!$B:$B,ТГ!$G$8,ТГ_ИД!$D:$D,ТГ!$A101)</f>
        <v>0</v>
      </c>
      <c r="Q100" s="130">
        <f>SUMIFS(ТГ_ИД!$E:$E,ТГ_ИД!$B:$B,ТГ!$G$9,ТГ_ИД!$D:$D,ТГ!$A101)</f>
        <v>0</v>
      </c>
      <c r="R100" s="130">
        <f>SUMIFS(ТГ_ИД!$E:$E,ТГ_ИД!$B:$B,ТГ!$G$10,ТГ_ИД!$D:$D,ТГ!$A101)</f>
        <v>0</v>
      </c>
      <c r="S100" s="130">
        <f>SUMIFS(ТГ_ИД!$E:$E,ТГ_ИД!$B:$B,ТГ!$G$11,ТГ_ИД!$D:$D,ТГ!$A101)</f>
        <v>0</v>
      </c>
      <c r="T100" s="130">
        <f>SUMIFS(ТГ_ИД!$E:$E,ТГ_ИД!$B:$B,ТГ!$G$12,ТГ_ИД!$D:$D,ТГ!$A101)</f>
        <v>0</v>
      </c>
      <c r="U100" s="130">
        <f>SUMIFS(ТГ_ИД!$E:$E,ТГ_ИД!$B:$B,ТГ!$G$13,ТГ_ИД!$D:$D,ТГ!$A101)</f>
        <v>0</v>
      </c>
      <c r="V100" s="130">
        <f>SUMIFS(ТГ_ИД!$E:$E,ТГ_ИД!$B:$B,ТГ!$G$14,ТГ_ИД!$D:$D,ТГ!$A101)</f>
        <v>0</v>
      </c>
    </row>
    <row r="101" spans="1:22" x14ac:dyDescent="0.25">
      <c r="A101" s="116" t="str">
        <f t="shared" si="2"/>
        <v>07059</v>
      </c>
      <c r="B101" s="115">
        <v>7059</v>
      </c>
      <c r="C101" s="97" t="s">
        <v>179</v>
      </c>
      <c r="K101" s="130">
        <f>SUMIFS(ТГ_ИД!$E:$E,ТГ_ИД!$B:$B,ТГ!$G$3,ТГ_ИД!$D:$D,ТГ!$A102)</f>
        <v>0</v>
      </c>
      <c r="L101" s="130">
        <f>SUMIFS(ТГ_ИД!$E:$E,ТГ_ИД!$B:$B,ТГ!$G$4,ТГ_ИД!$D:$D,ТГ!$A102)</f>
        <v>0</v>
      </c>
      <c r="M101" s="130">
        <f>SUMIFS(ТГ_ИД!$E:$E,ТГ_ИД!$B:$B,ТГ!$G$5,ТГ_ИД!$D:$D,ТГ!$A102)</f>
        <v>0</v>
      </c>
      <c r="N101" s="130">
        <f>SUMIFS(ТГ_ИД!$E:$E,ТГ_ИД!$B:$B,ТГ!$G$6,ТГ_ИД!$D:$D,ТГ!$A102)</f>
        <v>0</v>
      </c>
      <c r="O101" s="130">
        <f>SUMIFS(ТГ_ИД!$E:$E,ТГ_ИД!$B:$B,ТГ!$G$7,ТГ_ИД!$D:$D,ТГ!$A102)</f>
        <v>0</v>
      </c>
      <c r="P101" s="130">
        <f>SUMIFS(ТГ_ИД!$E:$E,ТГ_ИД!$B:$B,ТГ!$G$8,ТГ_ИД!$D:$D,ТГ!$A102)</f>
        <v>0</v>
      </c>
      <c r="Q101" s="130">
        <f>SUMIFS(ТГ_ИД!$E:$E,ТГ_ИД!$B:$B,ТГ!$G$9,ТГ_ИД!$D:$D,ТГ!$A102)</f>
        <v>0</v>
      </c>
      <c r="R101" s="130">
        <f>SUMIFS(ТГ_ИД!$E:$E,ТГ_ИД!$B:$B,ТГ!$G$10,ТГ_ИД!$D:$D,ТГ!$A102)</f>
        <v>0</v>
      </c>
      <c r="S101" s="130">
        <f>SUMIFS(ТГ_ИД!$E:$E,ТГ_ИД!$B:$B,ТГ!$G$11,ТГ_ИД!$D:$D,ТГ!$A102)</f>
        <v>0</v>
      </c>
      <c r="T101" s="130">
        <f>SUMIFS(ТГ_ИД!$E:$E,ТГ_ИД!$B:$B,ТГ!$G$12,ТГ_ИД!$D:$D,ТГ!$A102)</f>
        <v>0</v>
      </c>
      <c r="U101" s="130">
        <f>SUMIFS(ТГ_ИД!$E:$E,ТГ_ИД!$B:$B,ТГ!$G$13,ТГ_ИД!$D:$D,ТГ!$A102)</f>
        <v>0</v>
      </c>
      <c r="V101" s="130">
        <f>SUMIFS(ТГ_ИД!$E:$E,ТГ_ИД!$B:$B,ТГ!$G$14,ТГ_ИД!$D:$D,ТГ!$A102)</f>
        <v>0</v>
      </c>
    </row>
    <row r="102" spans="1:22" x14ac:dyDescent="0.25">
      <c r="A102" s="116" t="str">
        <f t="shared" si="2"/>
        <v>07060</v>
      </c>
      <c r="B102" s="115">
        <v>7060</v>
      </c>
      <c r="C102" s="97" t="s">
        <v>180</v>
      </c>
      <c r="K102" s="130">
        <f>SUMIFS(ТГ_ИД!$E:$E,ТГ_ИД!$B:$B,ТГ!$G$3,ТГ_ИД!$D:$D,ТГ!$A103)</f>
        <v>16258.999999999998</v>
      </c>
      <c r="L102" s="130">
        <f>SUMIFS(ТГ_ИД!$E:$E,ТГ_ИД!$B:$B,ТГ!$G$4,ТГ_ИД!$D:$D,ТГ!$A103)</f>
        <v>0</v>
      </c>
      <c r="M102" s="130">
        <f>SUMIFS(ТГ_ИД!$E:$E,ТГ_ИД!$B:$B,ТГ!$G$5,ТГ_ИД!$D:$D,ТГ!$A103)</f>
        <v>0</v>
      </c>
      <c r="N102" s="130">
        <f>SUMIFS(ТГ_ИД!$E:$E,ТГ_ИД!$B:$B,ТГ!$G$6,ТГ_ИД!$D:$D,ТГ!$A103)</f>
        <v>0</v>
      </c>
      <c r="O102" s="130">
        <f>SUMIFS(ТГ_ИД!$E:$E,ТГ_ИД!$B:$B,ТГ!$G$7,ТГ_ИД!$D:$D,ТГ!$A103)</f>
        <v>0</v>
      </c>
      <c r="P102" s="130">
        <f>SUMIFS(ТГ_ИД!$E:$E,ТГ_ИД!$B:$B,ТГ!$G$8,ТГ_ИД!$D:$D,ТГ!$A103)</f>
        <v>0</v>
      </c>
      <c r="Q102" s="130">
        <f>SUMIFS(ТГ_ИД!$E:$E,ТГ_ИД!$B:$B,ТГ!$G$9,ТГ_ИД!$D:$D,ТГ!$A103)</f>
        <v>0</v>
      </c>
      <c r="R102" s="130">
        <f>SUMIFS(ТГ_ИД!$E:$E,ТГ_ИД!$B:$B,ТГ!$G$10,ТГ_ИД!$D:$D,ТГ!$A103)</f>
        <v>0</v>
      </c>
      <c r="S102" s="130">
        <f>SUMIFS(ТГ_ИД!$E:$E,ТГ_ИД!$B:$B,ТГ!$G$11,ТГ_ИД!$D:$D,ТГ!$A103)</f>
        <v>0</v>
      </c>
      <c r="T102" s="130">
        <f>SUMIFS(ТГ_ИД!$E:$E,ТГ_ИД!$B:$B,ТГ!$G$12,ТГ_ИД!$D:$D,ТГ!$A103)</f>
        <v>0</v>
      </c>
      <c r="U102" s="130">
        <f>SUMIFS(ТГ_ИД!$E:$E,ТГ_ИД!$B:$B,ТГ!$G$13,ТГ_ИД!$D:$D,ТГ!$A103)</f>
        <v>0</v>
      </c>
      <c r="V102" s="130">
        <f>SUMIFS(ТГ_ИД!$E:$E,ТГ_ИД!$B:$B,ТГ!$G$14,ТГ_ИД!$D:$D,ТГ!$A103)</f>
        <v>0</v>
      </c>
    </row>
    <row r="103" spans="1:22" x14ac:dyDescent="0.25">
      <c r="A103" s="116" t="str">
        <f t="shared" si="2"/>
        <v>07061</v>
      </c>
      <c r="B103" s="115">
        <v>7061</v>
      </c>
      <c r="C103" s="97" t="s">
        <v>181</v>
      </c>
      <c r="K103" s="130">
        <f>SUMIFS(ТГ_ИД!$E:$E,ТГ_ИД!$B:$B,ТГ!$G$3,ТГ_ИД!$D:$D,ТГ!$A104)</f>
        <v>1029.8</v>
      </c>
      <c r="L103" s="130">
        <f>SUMIFS(ТГ_ИД!$E:$E,ТГ_ИД!$B:$B,ТГ!$G$4,ТГ_ИД!$D:$D,ТГ!$A104)</f>
        <v>0</v>
      </c>
      <c r="M103" s="130">
        <f>SUMIFS(ТГ_ИД!$E:$E,ТГ_ИД!$B:$B,ТГ!$G$5,ТГ_ИД!$D:$D,ТГ!$A104)</f>
        <v>0</v>
      </c>
      <c r="N103" s="130">
        <f>SUMIFS(ТГ_ИД!$E:$E,ТГ_ИД!$B:$B,ТГ!$G$6,ТГ_ИД!$D:$D,ТГ!$A104)</f>
        <v>0</v>
      </c>
      <c r="O103" s="130">
        <f>SUMIFS(ТГ_ИД!$E:$E,ТГ_ИД!$B:$B,ТГ!$G$7,ТГ_ИД!$D:$D,ТГ!$A104)</f>
        <v>0</v>
      </c>
      <c r="P103" s="130">
        <f>SUMIFS(ТГ_ИД!$E:$E,ТГ_ИД!$B:$B,ТГ!$G$8,ТГ_ИД!$D:$D,ТГ!$A104)</f>
        <v>0</v>
      </c>
      <c r="Q103" s="130">
        <f>SUMIFS(ТГ_ИД!$E:$E,ТГ_ИД!$B:$B,ТГ!$G$9,ТГ_ИД!$D:$D,ТГ!$A104)</f>
        <v>0</v>
      </c>
      <c r="R103" s="130">
        <f>SUMIFS(ТГ_ИД!$E:$E,ТГ_ИД!$B:$B,ТГ!$G$10,ТГ_ИД!$D:$D,ТГ!$A104)</f>
        <v>0</v>
      </c>
      <c r="S103" s="130">
        <f>SUMIFS(ТГ_ИД!$E:$E,ТГ_ИД!$B:$B,ТГ!$G$11,ТГ_ИД!$D:$D,ТГ!$A104)</f>
        <v>0</v>
      </c>
      <c r="T103" s="130">
        <f>SUMIFS(ТГ_ИД!$E:$E,ТГ_ИД!$B:$B,ТГ!$G$12,ТГ_ИД!$D:$D,ТГ!$A104)</f>
        <v>0</v>
      </c>
      <c r="U103" s="130">
        <f>SUMIFS(ТГ_ИД!$E:$E,ТГ_ИД!$B:$B,ТГ!$G$13,ТГ_ИД!$D:$D,ТГ!$A104)</f>
        <v>0</v>
      </c>
      <c r="V103" s="130">
        <f>SUMIFS(ТГ_ИД!$E:$E,ТГ_ИД!$B:$B,ТГ!$G$14,ТГ_ИД!$D:$D,ТГ!$A104)</f>
        <v>0</v>
      </c>
    </row>
    <row r="104" spans="1:22" x14ac:dyDescent="0.25">
      <c r="A104" s="116" t="str">
        <f t="shared" si="2"/>
        <v>07062</v>
      </c>
      <c r="B104" s="115">
        <v>7062</v>
      </c>
      <c r="C104" s="97" t="s">
        <v>182</v>
      </c>
      <c r="K104" s="130">
        <f>SUMIFS(ТГ_ИД!$E:$E,ТГ_ИД!$B:$B,ТГ!$G$3,ТГ_ИД!$D:$D,ТГ!$A105)</f>
        <v>38621.380000000005</v>
      </c>
      <c r="L104" s="130">
        <f>SUMIFS(ТГ_ИД!$E:$E,ТГ_ИД!$B:$B,ТГ!$G$4,ТГ_ИД!$D:$D,ТГ!$A105)</f>
        <v>0</v>
      </c>
      <c r="M104" s="130">
        <f>SUMIFS(ТГ_ИД!$E:$E,ТГ_ИД!$B:$B,ТГ!$G$5,ТГ_ИД!$D:$D,ТГ!$A105)</f>
        <v>0</v>
      </c>
      <c r="N104" s="130">
        <f>SUMIFS(ТГ_ИД!$E:$E,ТГ_ИД!$B:$B,ТГ!$G$6,ТГ_ИД!$D:$D,ТГ!$A105)</f>
        <v>0</v>
      </c>
      <c r="O104" s="130">
        <f>SUMIFS(ТГ_ИД!$E:$E,ТГ_ИД!$B:$B,ТГ!$G$7,ТГ_ИД!$D:$D,ТГ!$A105)</f>
        <v>0</v>
      </c>
      <c r="P104" s="130">
        <f>SUMIFS(ТГ_ИД!$E:$E,ТГ_ИД!$B:$B,ТГ!$G$8,ТГ_ИД!$D:$D,ТГ!$A105)</f>
        <v>0</v>
      </c>
      <c r="Q104" s="130">
        <f>SUMIFS(ТГ_ИД!$E:$E,ТГ_ИД!$B:$B,ТГ!$G$9,ТГ_ИД!$D:$D,ТГ!$A105)</f>
        <v>0</v>
      </c>
      <c r="R104" s="130">
        <f>SUMIFS(ТГ_ИД!$E:$E,ТГ_ИД!$B:$B,ТГ!$G$10,ТГ_ИД!$D:$D,ТГ!$A105)</f>
        <v>0</v>
      </c>
      <c r="S104" s="130">
        <f>SUMIFS(ТГ_ИД!$E:$E,ТГ_ИД!$B:$B,ТГ!$G$11,ТГ_ИД!$D:$D,ТГ!$A105)</f>
        <v>0</v>
      </c>
      <c r="T104" s="130">
        <f>SUMIFS(ТГ_ИД!$E:$E,ТГ_ИД!$B:$B,ТГ!$G$12,ТГ_ИД!$D:$D,ТГ!$A105)</f>
        <v>0</v>
      </c>
      <c r="U104" s="130">
        <f>SUMIFS(ТГ_ИД!$E:$E,ТГ_ИД!$B:$B,ТГ!$G$13,ТГ_ИД!$D:$D,ТГ!$A105)</f>
        <v>0</v>
      </c>
      <c r="V104" s="130">
        <f>SUMIFS(ТГ_ИД!$E:$E,ТГ_ИД!$B:$B,ТГ!$G$14,ТГ_ИД!$D:$D,ТГ!$A105)</f>
        <v>0</v>
      </c>
    </row>
    <row r="105" spans="1:22" x14ac:dyDescent="0.25">
      <c r="A105" s="116" t="str">
        <f t="shared" si="2"/>
        <v>07063</v>
      </c>
      <c r="B105" s="115">
        <v>7063</v>
      </c>
      <c r="C105" s="97" t="s">
        <v>183</v>
      </c>
      <c r="K105" s="130">
        <f>SUMIFS(ТГ_ИД!$E:$E,ТГ_ИД!$B:$B,ТГ!$G$3,ТГ_ИД!$D:$D,ТГ!$A106)</f>
        <v>581.16</v>
      </c>
      <c r="L105" s="130">
        <f>SUMIFS(ТГ_ИД!$E:$E,ТГ_ИД!$B:$B,ТГ!$G$4,ТГ_ИД!$D:$D,ТГ!$A106)</f>
        <v>0</v>
      </c>
      <c r="M105" s="130">
        <f>SUMIFS(ТГ_ИД!$E:$E,ТГ_ИД!$B:$B,ТГ!$G$5,ТГ_ИД!$D:$D,ТГ!$A106)</f>
        <v>0</v>
      </c>
      <c r="N105" s="130">
        <f>SUMIFS(ТГ_ИД!$E:$E,ТГ_ИД!$B:$B,ТГ!$G$6,ТГ_ИД!$D:$D,ТГ!$A106)</f>
        <v>0</v>
      </c>
      <c r="O105" s="130">
        <f>SUMIFS(ТГ_ИД!$E:$E,ТГ_ИД!$B:$B,ТГ!$G$7,ТГ_ИД!$D:$D,ТГ!$A106)</f>
        <v>0</v>
      </c>
      <c r="P105" s="130">
        <f>SUMIFS(ТГ_ИД!$E:$E,ТГ_ИД!$B:$B,ТГ!$G$8,ТГ_ИД!$D:$D,ТГ!$A106)</f>
        <v>0</v>
      </c>
      <c r="Q105" s="130">
        <f>SUMIFS(ТГ_ИД!$E:$E,ТГ_ИД!$B:$B,ТГ!$G$9,ТГ_ИД!$D:$D,ТГ!$A106)</f>
        <v>0</v>
      </c>
      <c r="R105" s="130">
        <f>SUMIFS(ТГ_ИД!$E:$E,ТГ_ИД!$B:$B,ТГ!$G$10,ТГ_ИД!$D:$D,ТГ!$A106)</f>
        <v>0</v>
      </c>
      <c r="S105" s="130">
        <f>SUMIFS(ТГ_ИД!$E:$E,ТГ_ИД!$B:$B,ТГ!$G$11,ТГ_ИД!$D:$D,ТГ!$A106)</f>
        <v>0</v>
      </c>
      <c r="T105" s="130">
        <f>SUMIFS(ТГ_ИД!$E:$E,ТГ_ИД!$B:$B,ТГ!$G$12,ТГ_ИД!$D:$D,ТГ!$A106)</f>
        <v>0</v>
      </c>
      <c r="U105" s="130">
        <f>SUMIFS(ТГ_ИД!$E:$E,ТГ_ИД!$B:$B,ТГ!$G$13,ТГ_ИД!$D:$D,ТГ!$A106)</f>
        <v>0</v>
      </c>
      <c r="V105" s="130">
        <f>SUMIFS(ТГ_ИД!$E:$E,ТГ_ИД!$B:$B,ТГ!$G$14,ТГ_ИД!$D:$D,ТГ!$A106)</f>
        <v>0</v>
      </c>
    </row>
    <row r="106" spans="1:22" x14ac:dyDescent="0.25">
      <c r="A106" s="116" t="str">
        <f t="shared" si="2"/>
        <v>07064</v>
      </c>
      <c r="B106" s="115">
        <v>7064</v>
      </c>
      <c r="C106" s="97" t="s">
        <v>184</v>
      </c>
      <c r="K106" s="130">
        <f>SUMIFS(ТГ_ИД!$E:$E,ТГ_ИД!$B:$B,ТГ!$G$3,ТГ_ИД!$D:$D,ТГ!$A107)</f>
        <v>698.9</v>
      </c>
      <c r="L106" s="130">
        <f>SUMIFS(ТГ_ИД!$E:$E,ТГ_ИД!$B:$B,ТГ!$G$4,ТГ_ИД!$D:$D,ТГ!$A107)</f>
        <v>0</v>
      </c>
      <c r="M106" s="130">
        <f>SUMIFS(ТГ_ИД!$E:$E,ТГ_ИД!$B:$B,ТГ!$G$5,ТГ_ИД!$D:$D,ТГ!$A107)</f>
        <v>0</v>
      </c>
      <c r="N106" s="130">
        <f>SUMIFS(ТГ_ИД!$E:$E,ТГ_ИД!$B:$B,ТГ!$G$6,ТГ_ИД!$D:$D,ТГ!$A107)</f>
        <v>0</v>
      </c>
      <c r="O106" s="130">
        <f>SUMIFS(ТГ_ИД!$E:$E,ТГ_ИД!$B:$B,ТГ!$G$7,ТГ_ИД!$D:$D,ТГ!$A107)</f>
        <v>0</v>
      </c>
      <c r="P106" s="130">
        <f>SUMIFS(ТГ_ИД!$E:$E,ТГ_ИД!$B:$B,ТГ!$G$8,ТГ_ИД!$D:$D,ТГ!$A107)</f>
        <v>0</v>
      </c>
      <c r="Q106" s="130">
        <f>SUMIFS(ТГ_ИД!$E:$E,ТГ_ИД!$B:$B,ТГ!$G$9,ТГ_ИД!$D:$D,ТГ!$A107)</f>
        <v>0</v>
      </c>
      <c r="R106" s="130">
        <f>SUMIFS(ТГ_ИД!$E:$E,ТГ_ИД!$B:$B,ТГ!$G$10,ТГ_ИД!$D:$D,ТГ!$A107)</f>
        <v>0</v>
      </c>
      <c r="S106" s="130">
        <f>SUMIFS(ТГ_ИД!$E:$E,ТГ_ИД!$B:$B,ТГ!$G$11,ТГ_ИД!$D:$D,ТГ!$A107)</f>
        <v>0</v>
      </c>
      <c r="T106" s="130">
        <f>SUMIFS(ТГ_ИД!$E:$E,ТГ_ИД!$B:$B,ТГ!$G$12,ТГ_ИД!$D:$D,ТГ!$A107)</f>
        <v>0</v>
      </c>
      <c r="U106" s="130">
        <f>SUMIFS(ТГ_ИД!$E:$E,ТГ_ИД!$B:$B,ТГ!$G$13,ТГ_ИД!$D:$D,ТГ!$A107)</f>
        <v>0</v>
      </c>
      <c r="V106" s="130">
        <f>SUMIFS(ТГ_ИД!$E:$E,ТГ_ИД!$B:$B,ТГ!$G$14,ТГ_ИД!$D:$D,ТГ!$A107)</f>
        <v>0</v>
      </c>
    </row>
    <row r="107" spans="1:22" x14ac:dyDescent="0.25">
      <c r="A107" s="116" t="str">
        <f t="shared" si="2"/>
        <v>07065</v>
      </c>
      <c r="B107" s="115">
        <v>7065</v>
      </c>
      <c r="C107" s="97" t="s">
        <v>185</v>
      </c>
      <c r="K107" s="130">
        <f>SUMIFS(ТГ_ИД!$E:$E,ТГ_ИД!$B:$B,ТГ!$G$3,ТГ_ИД!$D:$D,ТГ!$A108)</f>
        <v>0</v>
      </c>
      <c r="L107" s="130">
        <f>SUMIFS(ТГ_ИД!$E:$E,ТГ_ИД!$B:$B,ТГ!$G$4,ТГ_ИД!$D:$D,ТГ!$A108)</f>
        <v>0</v>
      </c>
      <c r="M107" s="130">
        <f>SUMIFS(ТГ_ИД!$E:$E,ТГ_ИД!$B:$B,ТГ!$G$5,ТГ_ИД!$D:$D,ТГ!$A108)</f>
        <v>0</v>
      </c>
      <c r="N107" s="130">
        <f>SUMIFS(ТГ_ИД!$E:$E,ТГ_ИД!$B:$B,ТГ!$G$6,ТГ_ИД!$D:$D,ТГ!$A108)</f>
        <v>0</v>
      </c>
      <c r="O107" s="130">
        <f>SUMIFS(ТГ_ИД!$E:$E,ТГ_ИД!$B:$B,ТГ!$G$7,ТГ_ИД!$D:$D,ТГ!$A108)</f>
        <v>0</v>
      </c>
      <c r="P107" s="130">
        <f>SUMIFS(ТГ_ИД!$E:$E,ТГ_ИД!$B:$B,ТГ!$G$8,ТГ_ИД!$D:$D,ТГ!$A108)</f>
        <v>0</v>
      </c>
      <c r="Q107" s="130">
        <f>SUMIFS(ТГ_ИД!$E:$E,ТГ_ИД!$B:$B,ТГ!$G$9,ТГ_ИД!$D:$D,ТГ!$A108)</f>
        <v>0</v>
      </c>
      <c r="R107" s="130">
        <f>SUMIFS(ТГ_ИД!$E:$E,ТГ_ИД!$B:$B,ТГ!$G$10,ТГ_ИД!$D:$D,ТГ!$A108)</f>
        <v>0</v>
      </c>
      <c r="S107" s="130">
        <f>SUMIFS(ТГ_ИД!$E:$E,ТГ_ИД!$B:$B,ТГ!$G$11,ТГ_ИД!$D:$D,ТГ!$A108)</f>
        <v>0</v>
      </c>
      <c r="T107" s="130">
        <f>SUMIFS(ТГ_ИД!$E:$E,ТГ_ИД!$B:$B,ТГ!$G$12,ТГ_ИД!$D:$D,ТГ!$A108)</f>
        <v>0</v>
      </c>
      <c r="U107" s="130">
        <f>SUMIFS(ТГ_ИД!$E:$E,ТГ_ИД!$B:$B,ТГ!$G$13,ТГ_ИД!$D:$D,ТГ!$A108)</f>
        <v>0</v>
      </c>
      <c r="V107" s="130">
        <f>SUMIFS(ТГ_ИД!$E:$E,ТГ_ИД!$B:$B,ТГ!$G$14,ТГ_ИД!$D:$D,ТГ!$A108)</f>
        <v>0</v>
      </c>
    </row>
    <row r="108" spans="1:22" x14ac:dyDescent="0.25">
      <c r="A108" s="116" t="str">
        <f t="shared" si="2"/>
        <v>07066</v>
      </c>
      <c r="B108" s="115">
        <v>7066</v>
      </c>
      <c r="C108" s="97" t="s">
        <v>186</v>
      </c>
      <c r="K108" s="130">
        <f>SUMIFS(ТГ_ИД!$E:$E,ТГ_ИД!$B:$B,ТГ!$G$3,ТГ_ИД!$D:$D,ТГ!$A109)</f>
        <v>0</v>
      </c>
      <c r="L108" s="130">
        <f>SUMIFS(ТГ_ИД!$E:$E,ТГ_ИД!$B:$B,ТГ!$G$4,ТГ_ИД!$D:$D,ТГ!$A109)</f>
        <v>0</v>
      </c>
      <c r="M108" s="130">
        <f>SUMIFS(ТГ_ИД!$E:$E,ТГ_ИД!$B:$B,ТГ!$G$5,ТГ_ИД!$D:$D,ТГ!$A109)</f>
        <v>0</v>
      </c>
      <c r="N108" s="130">
        <f>SUMIFS(ТГ_ИД!$E:$E,ТГ_ИД!$B:$B,ТГ!$G$6,ТГ_ИД!$D:$D,ТГ!$A109)</f>
        <v>0</v>
      </c>
      <c r="O108" s="130">
        <f>SUMIFS(ТГ_ИД!$E:$E,ТГ_ИД!$B:$B,ТГ!$G$7,ТГ_ИД!$D:$D,ТГ!$A109)</f>
        <v>0</v>
      </c>
      <c r="P108" s="130">
        <f>SUMIFS(ТГ_ИД!$E:$E,ТГ_ИД!$B:$B,ТГ!$G$8,ТГ_ИД!$D:$D,ТГ!$A109)</f>
        <v>0</v>
      </c>
      <c r="Q108" s="130">
        <f>SUMIFS(ТГ_ИД!$E:$E,ТГ_ИД!$B:$B,ТГ!$G$9,ТГ_ИД!$D:$D,ТГ!$A109)</f>
        <v>0</v>
      </c>
      <c r="R108" s="130">
        <f>SUMIFS(ТГ_ИД!$E:$E,ТГ_ИД!$B:$B,ТГ!$G$10,ТГ_ИД!$D:$D,ТГ!$A109)</f>
        <v>0</v>
      </c>
      <c r="S108" s="130">
        <f>SUMIFS(ТГ_ИД!$E:$E,ТГ_ИД!$B:$B,ТГ!$G$11,ТГ_ИД!$D:$D,ТГ!$A109)</f>
        <v>0</v>
      </c>
      <c r="T108" s="130">
        <f>SUMIFS(ТГ_ИД!$E:$E,ТГ_ИД!$B:$B,ТГ!$G$12,ТГ_ИД!$D:$D,ТГ!$A109)</f>
        <v>0</v>
      </c>
      <c r="U108" s="130">
        <f>SUMIFS(ТГ_ИД!$E:$E,ТГ_ИД!$B:$B,ТГ!$G$13,ТГ_ИД!$D:$D,ТГ!$A109)</f>
        <v>0</v>
      </c>
      <c r="V108" s="130">
        <f>SUMIFS(ТГ_ИД!$E:$E,ТГ_ИД!$B:$B,ТГ!$G$14,ТГ_ИД!$D:$D,ТГ!$A109)</f>
        <v>0</v>
      </c>
    </row>
    <row r="109" spans="1:22" x14ac:dyDescent="0.25">
      <c r="A109" s="116" t="str">
        <f t="shared" si="2"/>
        <v>07067</v>
      </c>
      <c r="B109" s="115">
        <v>7067</v>
      </c>
      <c r="C109" s="97" t="s">
        <v>187</v>
      </c>
      <c r="K109" s="130">
        <f>SUMIFS(ТГ_ИД!$E:$E,ТГ_ИД!$B:$B,ТГ!$G$3,ТГ_ИД!$D:$D,ТГ!$A110)</f>
        <v>0</v>
      </c>
      <c r="L109" s="130">
        <f>SUMIFS(ТГ_ИД!$E:$E,ТГ_ИД!$B:$B,ТГ!$G$4,ТГ_ИД!$D:$D,ТГ!$A110)</f>
        <v>0</v>
      </c>
      <c r="M109" s="130">
        <f>SUMIFS(ТГ_ИД!$E:$E,ТГ_ИД!$B:$B,ТГ!$G$5,ТГ_ИД!$D:$D,ТГ!$A110)</f>
        <v>0</v>
      </c>
      <c r="N109" s="130">
        <f>SUMIFS(ТГ_ИД!$E:$E,ТГ_ИД!$B:$B,ТГ!$G$6,ТГ_ИД!$D:$D,ТГ!$A110)</f>
        <v>0</v>
      </c>
      <c r="O109" s="130">
        <f>SUMIFS(ТГ_ИД!$E:$E,ТГ_ИД!$B:$B,ТГ!$G$7,ТГ_ИД!$D:$D,ТГ!$A110)</f>
        <v>0</v>
      </c>
      <c r="P109" s="130">
        <f>SUMIFS(ТГ_ИД!$E:$E,ТГ_ИД!$B:$B,ТГ!$G$8,ТГ_ИД!$D:$D,ТГ!$A110)</f>
        <v>0</v>
      </c>
      <c r="Q109" s="130">
        <f>SUMIFS(ТГ_ИД!$E:$E,ТГ_ИД!$B:$B,ТГ!$G$9,ТГ_ИД!$D:$D,ТГ!$A110)</f>
        <v>0</v>
      </c>
      <c r="R109" s="130">
        <f>SUMIFS(ТГ_ИД!$E:$E,ТГ_ИД!$B:$B,ТГ!$G$10,ТГ_ИД!$D:$D,ТГ!$A110)</f>
        <v>0</v>
      </c>
      <c r="S109" s="130">
        <f>SUMIFS(ТГ_ИД!$E:$E,ТГ_ИД!$B:$B,ТГ!$G$11,ТГ_ИД!$D:$D,ТГ!$A110)</f>
        <v>0</v>
      </c>
      <c r="T109" s="130">
        <f>SUMIFS(ТГ_ИД!$E:$E,ТГ_ИД!$B:$B,ТГ!$G$12,ТГ_ИД!$D:$D,ТГ!$A110)</f>
        <v>0</v>
      </c>
      <c r="U109" s="130">
        <f>SUMIFS(ТГ_ИД!$E:$E,ТГ_ИД!$B:$B,ТГ!$G$13,ТГ_ИД!$D:$D,ТГ!$A110)</f>
        <v>0</v>
      </c>
      <c r="V109" s="130">
        <f>SUMIFS(ТГ_ИД!$E:$E,ТГ_ИД!$B:$B,ТГ!$G$14,ТГ_ИД!$D:$D,ТГ!$A110)</f>
        <v>0</v>
      </c>
    </row>
    <row r="110" spans="1:22" x14ac:dyDescent="0.25">
      <c r="A110" s="116" t="str">
        <f t="shared" si="2"/>
        <v>07068</v>
      </c>
      <c r="B110" s="115">
        <v>7068</v>
      </c>
      <c r="C110" s="97" t="s">
        <v>188</v>
      </c>
      <c r="K110" s="130">
        <f>SUMIFS(ТГ_ИД!$E:$E,ТГ_ИД!$B:$B,ТГ!$G$3,ТГ_ИД!$D:$D,ТГ!$A111)</f>
        <v>0</v>
      </c>
      <c r="L110" s="130">
        <f>SUMIFS(ТГ_ИД!$E:$E,ТГ_ИД!$B:$B,ТГ!$G$4,ТГ_ИД!$D:$D,ТГ!$A111)</f>
        <v>0</v>
      </c>
      <c r="M110" s="130">
        <f>SUMIFS(ТГ_ИД!$E:$E,ТГ_ИД!$B:$B,ТГ!$G$5,ТГ_ИД!$D:$D,ТГ!$A111)</f>
        <v>0</v>
      </c>
      <c r="N110" s="130">
        <f>SUMIFS(ТГ_ИД!$E:$E,ТГ_ИД!$B:$B,ТГ!$G$6,ТГ_ИД!$D:$D,ТГ!$A111)</f>
        <v>0</v>
      </c>
      <c r="O110" s="130">
        <f>SUMIFS(ТГ_ИД!$E:$E,ТГ_ИД!$B:$B,ТГ!$G$7,ТГ_ИД!$D:$D,ТГ!$A111)</f>
        <v>0</v>
      </c>
      <c r="P110" s="130">
        <f>SUMIFS(ТГ_ИД!$E:$E,ТГ_ИД!$B:$B,ТГ!$G$8,ТГ_ИД!$D:$D,ТГ!$A111)</f>
        <v>0</v>
      </c>
      <c r="Q110" s="130">
        <f>SUMIFS(ТГ_ИД!$E:$E,ТГ_ИД!$B:$B,ТГ!$G$9,ТГ_ИД!$D:$D,ТГ!$A111)</f>
        <v>0</v>
      </c>
      <c r="R110" s="130">
        <f>SUMIFS(ТГ_ИД!$E:$E,ТГ_ИД!$B:$B,ТГ!$G$10,ТГ_ИД!$D:$D,ТГ!$A111)</f>
        <v>0</v>
      </c>
      <c r="S110" s="130">
        <f>SUMIFS(ТГ_ИД!$E:$E,ТГ_ИД!$B:$B,ТГ!$G$11,ТГ_ИД!$D:$D,ТГ!$A111)</f>
        <v>0</v>
      </c>
      <c r="T110" s="130">
        <f>SUMIFS(ТГ_ИД!$E:$E,ТГ_ИД!$B:$B,ТГ!$G$12,ТГ_ИД!$D:$D,ТГ!$A111)</f>
        <v>0</v>
      </c>
      <c r="U110" s="130">
        <f>SUMIFS(ТГ_ИД!$E:$E,ТГ_ИД!$B:$B,ТГ!$G$13,ТГ_ИД!$D:$D,ТГ!$A111)</f>
        <v>0</v>
      </c>
      <c r="V110" s="130">
        <f>SUMIFS(ТГ_ИД!$E:$E,ТГ_ИД!$B:$B,ТГ!$G$14,ТГ_ИД!$D:$D,ТГ!$A111)</f>
        <v>0</v>
      </c>
    </row>
    <row r="111" spans="1:22" x14ac:dyDescent="0.25">
      <c r="A111" s="116" t="str">
        <f t="shared" si="2"/>
        <v>07069</v>
      </c>
      <c r="B111" s="115">
        <v>7069</v>
      </c>
      <c r="C111" s="97" t="s">
        <v>189</v>
      </c>
      <c r="K111" s="130">
        <f>SUMIFS(ТГ_ИД!$E:$E,ТГ_ИД!$B:$B,ТГ!$G$3,ТГ_ИД!$D:$D,ТГ!$A112)</f>
        <v>1078.21</v>
      </c>
      <c r="L111" s="130">
        <f>SUMIFS(ТГ_ИД!$E:$E,ТГ_ИД!$B:$B,ТГ!$G$4,ТГ_ИД!$D:$D,ТГ!$A112)</f>
        <v>0</v>
      </c>
      <c r="M111" s="130">
        <f>SUMIFS(ТГ_ИД!$E:$E,ТГ_ИД!$B:$B,ТГ!$G$5,ТГ_ИД!$D:$D,ТГ!$A112)</f>
        <v>0</v>
      </c>
      <c r="N111" s="130">
        <f>SUMIFS(ТГ_ИД!$E:$E,ТГ_ИД!$B:$B,ТГ!$G$6,ТГ_ИД!$D:$D,ТГ!$A112)</f>
        <v>0</v>
      </c>
      <c r="O111" s="130">
        <f>SUMIFS(ТГ_ИД!$E:$E,ТГ_ИД!$B:$B,ТГ!$G$7,ТГ_ИД!$D:$D,ТГ!$A112)</f>
        <v>0</v>
      </c>
      <c r="P111" s="130">
        <f>SUMIFS(ТГ_ИД!$E:$E,ТГ_ИД!$B:$B,ТГ!$G$8,ТГ_ИД!$D:$D,ТГ!$A112)</f>
        <v>0</v>
      </c>
      <c r="Q111" s="130">
        <f>SUMIFS(ТГ_ИД!$E:$E,ТГ_ИД!$B:$B,ТГ!$G$9,ТГ_ИД!$D:$D,ТГ!$A112)</f>
        <v>0</v>
      </c>
      <c r="R111" s="130">
        <f>SUMIFS(ТГ_ИД!$E:$E,ТГ_ИД!$B:$B,ТГ!$G$10,ТГ_ИД!$D:$D,ТГ!$A112)</f>
        <v>0</v>
      </c>
      <c r="S111" s="130">
        <f>SUMIFS(ТГ_ИД!$E:$E,ТГ_ИД!$B:$B,ТГ!$G$11,ТГ_ИД!$D:$D,ТГ!$A112)</f>
        <v>0</v>
      </c>
      <c r="T111" s="130">
        <f>SUMIFS(ТГ_ИД!$E:$E,ТГ_ИД!$B:$B,ТГ!$G$12,ТГ_ИД!$D:$D,ТГ!$A112)</f>
        <v>0</v>
      </c>
      <c r="U111" s="130">
        <f>SUMIFS(ТГ_ИД!$E:$E,ТГ_ИД!$B:$B,ТГ!$G$13,ТГ_ИД!$D:$D,ТГ!$A112)</f>
        <v>0</v>
      </c>
      <c r="V111" s="130">
        <f>SUMIFS(ТГ_ИД!$E:$E,ТГ_ИД!$B:$B,ТГ!$G$14,ТГ_ИД!$D:$D,ТГ!$A112)</f>
        <v>0</v>
      </c>
    </row>
    <row r="112" spans="1:22" x14ac:dyDescent="0.25">
      <c r="A112" s="116" t="str">
        <f t="shared" si="2"/>
        <v>07070</v>
      </c>
      <c r="B112" s="115">
        <v>7070</v>
      </c>
      <c r="C112" s="97" t="s">
        <v>190</v>
      </c>
      <c r="K112" s="130">
        <f>SUMIFS(ТГ_ИД!$E:$E,ТГ_ИД!$B:$B,ТГ!$G$3,ТГ_ИД!$D:$D,ТГ!$A113)</f>
        <v>3788.89</v>
      </c>
      <c r="L112" s="130">
        <f>SUMIFS(ТГ_ИД!$E:$E,ТГ_ИД!$B:$B,ТГ!$G$4,ТГ_ИД!$D:$D,ТГ!$A113)</f>
        <v>0</v>
      </c>
      <c r="M112" s="130">
        <f>SUMIFS(ТГ_ИД!$E:$E,ТГ_ИД!$B:$B,ТГ!$G$5,ТГ_ИД!$D:$D,ТГ!$A113)</f>
        <v>0</v>
      </c>
      <c r="N112" s="130">
        <f>SUMIFS(ТГ_ИД!$E:$E,ТГ_ИД!$B:$B,ТГ!$G$6,ТГ_ИД!$D:$D,ТГ!$A113)</f>
        <v>0</v>
      </c>
      <c r="O112" s="130">
        <f>SUMIFS(ТГ_ИД!$E:$E,ТГ_ИД!$B:$B,ТГ!$G$7,ТГ_ИД!$D:$D,ТГ!$A113)</f>
        <v>0</v>
      </c>
      <c r="P112" s="130">
        <f>SUMIFS(ТГ_ИД!$E:$E,ТГ_ИД!$B:$B,ТГ!$G$8,ТГ_ИД!$D:$D,ТГ!$A113)</f>
        <v>0</v>
      </c>
      <c r="Q112" s="130">
        <f>SUMIFS(ТГ_ИД!$E:$E,ТГ_ИД!$B:$B,ТГ!$G$9,ТГ_ИД!$D:$D,ТГ!$A113)</f>
        <v>0</v>
      </c>
      <c r="R112" s="130">
        <f>SUMIFS(ТГ_ИД!$E:$E,ТГ_ИД!$B:$B,ТГ!$G$10,ТГ_ИД!$D:$D,ТГ!$A113)</f>
        <v>0</v>
      </c>
      <c r="S112" s="130">
        <f>SUMIFS(ТГ_ИД!$E:$E,ТГ_ИД!$B:$B,ТГ!$G$11,ТГ_ИД!$D:$D,ТГ!$A113)</f>
        <v>0</v>
      </c>
      <c r="T112" s="130">
        <f>SUMIFS(ТГ_ИД!$E:$E,ТГ_ИД!$B:$B,ТГ!$G$12,ТГ_ИД!$D:$D,ТГ!$A113)</f>
        <v>0</v>
      </c>
      <c r="U112" s="130">
        <f>SUMIFS(ТГ_ИД!$E:$E,ТГ_ИД!$B:$B,ТГ!$G$13,ТГ_ИД!$D:$D,ТГ!$A113)</f>
        <v>0</v>
      </c>
      <c r="V112" s="130">
        <f>SUMIFS(ТГ_ИД!$E:$E,ТГ_ИД!$B:$B,ТГ!$G$14,ТГ_ИД!$D:$D,ТГ!$A113)</f>
        <v>0</v>
      </c>
    </row>
    <row r="113" spans="1:22" x14ac:dyDescent="0.25">
      <c r="A113" s="116" t="str">
        <f t="shared" si="2"/>
        <v>07071</v>
      </c>
      <c r="B113" s="115">
        <v>7071</v>
      </c>
      <c r="C113" s="97" t="s">
        <v>191</v>
      </c>
      <c r="K113" s="130">
        <f>SUMIFS(ТГ_ИД!$E:$E,ТГ_ИД!$B:$B,ТГ!$G$3,ТГ_ИД!$D:$D,ТГ!$A114)</f>
        <v>0</v>
      </c>
      <c r="L113" s="130">
        <f>SUMIFS(ТГ_ИД!$E:$E,ТГ_ИД!$B:$B,ТГ!$G$4,ТГ_ИД!$D:$D,ТГ!$A114)</f>
        <v>0</v>
      </c>
      <c r="M113" s="130">
        <f>SUMIFS(ТГ_ИД!$E:$E,ТГ_ИД!$B:$B,ТГ!$G$5,ТГ_ИД!$D:$D,ТГ!$A114)</f>
        <v>0</v>
      </c>
      <c r="N113" s="130">
        <f>SUMIFS(ТГ_ИД!$E:$E,ТГ_ИД!$B:$B,ТГ!$G$6,ТГ_ИД!$D:$D,ТГ!$A114)</f>
        <v>0</v>
      </c>
      <c r="O113" s="130">
        <f>SUMIFS(ТГ_ИД!$E:$E,ТГ_ИД!$B:$B,ТГ!$G$7,ТГ_ИД!$D:$D,ТГ!$A114)</f>
        <v>0</v>
      </c>
      <c r="P113" s="130">
        <f>SUMIFS(ТГ_ИД!$E:$E,ТГ_ИД!$B:$B,ТГ!$G$8,ТГ_ИД!$D:$D,ТГ!$A114)</f>
        <v>0</v>
      </c>
      <c r="Q113" s="130">
        <f>SUMIFS(ТГ_ИД!$E:$E,ТГ_ИД!$B:$B,ТГ!$G$9,ТГ_ИД!$D:$D,ТГ!$A114)</f>
        <v>0</v>
      </c>
      <c r="R113" s="130">
        <f>SUMIFS(ТГ_ИД!$E:$E,ТГ_ИД!$B:$B,ТГ!$G$10,ТГ_ИД!$D:$D,ТГ!$A114)</f>
        <v>0</v>
      </c>
      <c r="S113" s="130">
        <f>SUMIFS(ТГ_ИД!$E:$E,ТГ_ИД!$B:$B,ТГ!$G$11,ТГ_ИД!$D:$D,ТГ!$A114)</f>
        <v>0</v>
      </c>
      <c r="T113" s="130">
        <f>SUMIFS(ТГ_ИД!$E:$E,ТГ_ИД!$B:$B,ТГ!$G$12,ТГ_ИД!$D:$D,ТГ!$A114)</f>
        <v>0</v>
      </c>
      <c r="U113" s="130">
        <f>SUMIFS(ТГ_ИД!$E:$E,ТГ_ИД!$B:$B,ТГ!$G$13,ТГ_ИД!$D:$D,ТГ!$A114)</f>
        <v>0</v>
      </c>
      <c r="V113" s="130">
        <f>SUMIFS(ТГ_ИД!$E:$E,ТГ_ИД!$B:$B,ТГ!$G$14,ТГ_ИД!$D:$D,ТГ!$A114)</f>
        <v>0</v>
      </c>
    </row>
    <row r="114" spans="1:22" x14ac:dyDescent="0.25">
      <c r="A114" s="116" t="str">
        <f t="shared" si="2"/>
        <v>07072</v>
      </c>
      <c r="B114" s="115">
        <v>7072</v>
      </c>
      <c r="C114" s="97" t="s">
        <v>192</v>
      </c>
      <c r="K114" s="130">
        <f>SUMIFS(ТГ_ИД!$E:$E,ТГ_ИД!$B:$B,ТГ!$G$3,ТГ_ИД!$D:$D,ТГ!$A115)</f>
        <v>4806.18</v>
      </c>
      <c r="L114" s="130">
        <f>SUMIFS(ТГ_ИД!$E:$E,ТГ_ИД!$B:$B,ТГ!$G$4,ТГ_ИД!$D:$D,ТГ!$A115)</f>
        <v>0</v>
      </c>
      <c r="M114" s="130">
        <f>SUMIFS(ТГ_ИД!$E:$E,ТГ_ИД!$B:$B,ТГ!$G$5,ТГ_ИД!$D:$D,ТГ!$A115)</f>
        <v>0</v>
      </c>
      <c r="N114" s="130">
        <f>SUMIFS(ТГ_ИД!$E:$E,ТГ_ИД!$B:$B,ТГ!$G$6,ТГ_ИД!$D:$D,ТГ!$A115)</f>
        <v>0</v>
      </c>
      <c r="O114" s="130">
        <f>SUMIFS(ТГ_ИД!$E:$E,ТГ_ИД!$B:$B,ТГ!$G$7,ТГ_ИД!$D:$D,ТГ!$A115)</f>
        <v>0</v>
      </c>
      <c r="P114" s="130">
        <f>SUMIFS(ТГ_ИД!$E:$E,ТГ_ИД!$B:$B,ТГ!$G$8,ТГ_ИД!$D:$D,ТГ!$A115)</f>
        <v>0</v>
      </c>
      <c r="Q114" s="130">
        <f>SUMIFS(ТГ_ИД!$E:$E,ТГ_ИД!$B:$B,ТГ!$G$9,ТГ_ИД!$D:$D,ТГ!$A115)</f>
        <v>0</v>
      </c>
      <c r="R114" s="130">
        <f>SUMIFS(ТГ_ИД!$E:$E,ТГ_ИД!$B:$B,ТГ!$G$10,ТГ_ИД!$D:$D,ТГ!$A115)</f>
        <v>0</v>
      </c>
      <c r="S114" s="130">
        <f>SUMIFS(ТГ_ИД!$E:$E,ТГ_ИД!$B:$B,ТГ!$G$11,ТГ_ИД!$D:$D,ТГ!$A115)</f>
        <v>0</v>
      </c>
      <c r="T114" s="130">
        <f>SUMIFS(ТГ_ИД!$E:$E,ТГ_ИД!$B:$B,ТГ!$G$12,ТГ_ИД!$D:$D,ТГ!$A115)</f>
        <v>0</v>
      </c>
      <c r="U114" s="130">
        <f>SUMIFS(ТГ_ИД!$E:$E,ТГ_ИД!$B:$B,ТГ!$G$13,ТГ_ИД!$D:$D,ТГ!$A115)</f>
        <v>0</v>
      </c>
      <c r="V114" s="130">
        <f>SUMIFS(ТГ_ИД!$E:$E,ТГ_ИД!$B:$B,ТГ!$G$14,ТГ_ИД!$D:$D,ТГ!$A115)</f>
        <v>0</v>
      </c>
    </row>
    <row r="115" spans="1:22" x14ac:dyDescent="0.25">
      <c r="A115" s="116" t="str">
        <f t="shared" si="2"/>
        <v>07073</v>
      </c>
      <c r="B115" s="115">
        <v>7073</v>
      </c>
      <c r="C115" s="97" t="s">
        <v>193</v>
      </c>
      <c r="K115" s="130">
        <f>SUMIFS(ТГ_ИД!$E:$E,ТГ_ИД!$B:$B,ТГ!$G$3,ТГ_ИД!$D:$D,ТГ!$A116)</f>
        <v>0</v>
      </c>
      <c r="L115" s="130">
        <f>SUMIFS(ТГ_ИД!$E:$E,ТГ_ИД!$B:$B,ТГ!$G$4,ТГ_ИД!$D:$D,ТГ!$A116)</f>
        <v>0</v>
      </c>
      <c r="M115" s="130">
        <f>SUMIFS(ТГ_ИД!$E:$E,ТГ_ИД!$B:$B,ТГ!$G$5,ТГ_ИД!$D:$D,ТГ!$A116)</f>
        <v>0</v>
      </c>
      <c r="N115" s="130">
        <f>SUMIFS(ТГ_ИД!$E:$E,ТГ_ИД!$B:$B,ТГ!$G$6,ТГ_ИД!$D:$D,ТГ!$A116)</f>
        <v>0</v>
      </c>
      <c r="O115" s="130">
        <f>SUMIFS(ТГ_ИД!$E:$E,ТГ_ИД!$B:$B,ТГ!$G$7,ТГ_ИД!$D:$D,ТГ!$A116)</f>
        <v>0</v>
      </c>
      <c r="P115" s="130">
        <f>SUMIFS(ТГ_ИД!$E:$E,ТГ_ИД!$B:$B,ТГ!$G$8,ТГ_ИД!$D:$D,ТГ!$A116)</f>
        <v>0</v>
      </c>
      <c r="Q115" s="130">
        <f>SUMIFS(ТГ_ИД!$E:$E,ТГ_ИД!$B:$B,ТГ!$G$9,ТГ_ИД!$D:$D,ТГ!$A116)</f>
        <v>0</v>
      </c>
      <c r="R115" s="130">
        <f>SUMIFS(ТГ_ИД!$E:$E,ТГ_ИД!$B:$B,ТГ!$G$10,ТГ_ИД!$D:$D,ТГ!$A116)</f>
        <v>0</v>
      </c>
      <c r="S115" s="130">
        <f>SUMIFS(ТГ_ИД!$E:$E,ТГ_ИД!$B:$B,ТГ!$G$11,ТГ_ИД!$D:$D,ТГ!$A116)</f>
        <v>0</v>
      </c>
      <c r="T115" s="130">
        <f>SUMIFS(ТГ_ИД!$E:$E,ТГ_ИД!$B:$B,ТГ!$G$12,ТГ_ИД!$D:$D,ТГ!$A116)</f>
        <v>0</v>
      </c>
      <c r="U115" s="130">
        <f>SUMIFS(ТГ_ИД!$E:$E,ТГ_ИД!$B:$B,ТГ!$G$13,ТГ_ИД!$D:$D,ТГ!$A116)</f>
        <v>0</v>
      </c>
      <c r="V115" s="130">
        <f>SUMIFS(ТГ_ИД!$E:$E,ТГ_ИД!$B:$B,ТГ!$G$14,ТГ_ИД!$D:$D,ТГ!$A116)</f>
        <v>0</v>
      </c>
    </row>
    <row r="116" spans="1:22" x14ac:dyDescent="0.25">
      <c r="A116" s="116" t="str">
        <f t="shared" si="2"/>
        <v>07074</v>
      </c>
      <c r="B116" s="115">
        <v>7074</v>
      </c>
      <c r="C116" s="97" t="s">
        <v>194</v>
      </c>
      <c r="K116" s="130">
        <f>SUMIFS(ТГ_ИД!$E:$E,ТГ_ИД!$B:$B,ТГ!$G$3,ТГ_ИД!$D:$D,ТГ!$A117)</f>
        <v>5671.1</v>
      </c>
      <c r="L116" s="130">
        <f>SUMIFS(ТГ_ИД!$E:$E,ТГ_ИД!$B:$B,ТГ!$G$4,ТГ_ИД!$D:$D,ТГ!$A117)</f>
        <v>0</v>
      </c>
      <c r="M116" s="130">
        <f>SUMIFS(ТГ_ИД!$E:$E,ТГ_ИД!$B:$B,ТГ!$G$5,ТГ_ИД!$D:$D,ТГ!$A117)</f>
        <v>0</v>
      </c>
      <c r="N116" s="130">
        <f>SUMIFS(ТГ_ИД!$E:$E,ТГ_ИД!$B:$B,ТГ!$G$6,ТГ_ИД!$D:$D,ТГ!$A117)</f>
        <v>0</v>
      </c>
      <c r="O116" s="130">
        <f>SUMIFS(ТГ_ИД!$E:$E,ТГ_ИД!$B:$B,ТГ!$G$7,ТГ_ИД!$D:$D,ТГ!$A117)</f>
        <v>0</v>
      </c>
      <c r="P116" s="130">
        <f>SUMIFS(ТГ_ИД!$E:$E,ТГ_ИД!$B:$B,ТГ!$G$8,ТГ_ИД!$D:$D,ТГ!$A117)</f>
        <v>0</v>
      </c>
      <c r="Q116" s="130">
        <f>SUMIFS(ТГ_ИД!$E:$E,ТГ_ИД!$B:$B,ТГ!$G$9,ТГ_ИД!$D:$D,ТГ!$A117)</f>
        <v>0</v>
      </c>
      <c r="R116" s="130">
        <f>SUMIFS(ТГ_ИД!$E:$E,ТГ_ИД!$B:$B,ТГ!$G$10,ТГ_ИД!$D:$D,ТГ!$A117)</f>
        <v>0</v>
      </c>
      <c r="S116" s="130">
        <f>SUMIFS(ТГ_ИД!$E:$E,ТГ_ИД!$B:$B,ТГ!$G$11,ТГ_ИД!$D:$D,ТГ!$A117)</f>
        <v>0</v>
      </c>
      <c r="T116" s="130">
        <f>SUMIFS(ТГ_ИД!$E:$E,ТГ_ИД!$B:$B,ТГ!$G$12,ТГ_ИД!$D:$D,ТГ!$A117)</f>
        <v>0</v>
      </c>
      <c r="U116" s="130">
        <f>SUMIFS(ТГ_ИД!$E:$E,ТГ_ИД!$B:$B,ТГ!$G$13,ТГ_ИД!$D:$D,ТГ!$A117)</f>
        <v>0</v>
      </c>
      <c r="V116" s="130">
        <f>SUMIFS(ТГ_ИД!$E:$E,ТГ_ИД!$B:$B,ТГ!$G$14,ТГ_ИД!$D:$D,ТГ!$A117)</f>
        <v>0</v>
      </c>
    </row>
    <row r="117" spans="1:22" x14ac:dyDescent="0.25">
      <c r="A117" s="116" t="str">
        <f t="shared" si="2"/>
        <v>07075</v>
      </c>
      <c r="B117" s="115">
        <v>7075</v>
      </c>
      <c r="C117" s="97" t="s">
        <v>195</v>
      </c>
      <c r="K117" s="130">
        <f>SUMIFS(ТГ_ИД!$E:$E,ТГ_ИД!$B:$B,ТГ!$G$3,ТГ_ИД!$D:$D,ТГ!$A118)</f>
        <v>1010.29</v>
      </c>
      <c r="L117" s="130">
        <f>SUMIFS(ТГ_ИД!$E:$E,ТГ_ИД!$B:$B,ТГ!$G$4,ТГ_ИД!$D:$D,ТГ!$A118)</f>
        <v>0</v>
      </c>
      <c r="M117" s="130">
        <f>SUMIFS(ТГ_ИД!$E:$E,ТГ_ИД!$B:$B,ТГ!$G$5,ТГ_ИД!$D:$D,ТГ!$A118)</f>
        <v>0</v>
      </c>
      <c r="N117" s="130">
        <f>SUMIFS(ТГ_ИД!$E:$E,ТГ_ИД!$B:$B,ТГ!$G$6,ТГ_ИД!$D:$D,ТГ!$A118)</f>
        <v>0</v>
      </c>
      <c r="O117" s="130">
        <f>SUMIFS(ТГ_ИД!$E:$E,ТГ_ИД!$B:$B,ТГ!$G$7,ТГ_ИД!$D:$D,ТГ!$A118)</f>
        <v>0</v>
      </c>
      <c r="P117" s="130">
        <f>SUMIFS(ТГ_ИД!$E:$E,ТГ_ИД!$B:$B,ТГ!$G$8,ТГ_ИД!$D:$D,ТГ!$A118)</f>
        <v>0</v>
      </c>
      <c r="Q117" s="130">
        <f>SUMIFS(ТГ_ИД!$E:$E,ТГ_ИД!$B:$B,ТГ!$G$9,ТГ_ИД!$D:$D,ТГ!$A118)</f>
        <v>0</v>
      </c>
      <c r="R117" s="130">
        <f>SUMIFS(ТГ_ИД!$E:$E,ТГ_ИД!$B:$B,ТГ!$G$10,ТГ_ИД!$D:$D,ТГ!$A118)</f>
        <v>0</v>
      </c>
      <c r="S117" s="130">
        <f>SUMIFS(ТГ_ИД!$E:$E,ТГ_ИД!$B:$B,ТГ!$G$11,ТГ_ИД!$D:$D,ТГ!$A118)</f>
        <v>0</v>
      </c>
      <c r="T117" s="130">
        <f>SUMIFS(ТГ_ИД!$E:$E,ТГ_ИД!$B:$B,ТГ!$G$12,ТГ_ИД!$D:$D,ТГ!$A118)</f>
        <v>0</v>
      </c>
      <c r="U117" s="130">
        <f>SUMIFS(ТГ_ИД!$E:$E,ТГ_ИД!$B:$B,ТГ!$G$13,ТГ_ИД!$D:$D,ТГ!$A118)</f>
        <v>0</v>
      </c>
      <c r="V117" s="130">
        <f>SUMIFS(ТГ_ИД!$E:$E,ТГ_ИД!$B:$B,ТГ!$G$14,ТГ_ИД!$D:$D,ТГ!$A118)</f>
        <v>0</v>
      </c>
    </row>
    <row r="118" spans="1:22" x14ac:dyDescent="0.25">
      <c r="A118" s="116" t="str">
        <f t="shared" si="2"/>
        <v>07076</v>
      </c>
      <c r="B118" s="115">
        <v>7076</v>
      </c>
      <c r="C118" s="97" t="s">
        <v>196</v>
      </c>
      <c r="K118" s="130">
        <f>SUMIFS(ТГ_ИД!$E:$E,ТГ_ИД!$B:$B,ТГ!$G$3,ТГ_ИД!$D:$D,ТГ!$A119)</f>
        <v>3675.24</v>
      </c>
      <c r="L118" s="130">
        <f>SUMIFS(ТГ_ИД!$E:$E,ТГ_ИД!$B:$B,ТГ!$G$4,ТГ_ИД!$D:$D,ТГ!$A119)</f>
        <v>0</v>
      </c>
      <c r="M118" s="130">
        <f>SUMIFS(ТГ_ИД!$E:$E,ТГ_ИД!$B:$B,ТГ!$G$5,ТГ_ИД!$D:$D,ТГ!$A119)</f>
        <v>0</v>
      </c>
      <c r="N118" s="130">
        <f>SUMIFS(ТГ_ИД!$E:$E,ТГ_ИД!$B:$B,ТГ!$G$6,ТГ_ИД!$D:$D,ТГ!$A119)</f>
        <v>0</v>
      </c>
      <c r="O118" s="130">
        <f>SUMIFS(ТГ_ИД!$E:$E,ТГ_ИД!$B:$B,ТГ!$G$7,ТГ_ИД!$D:$D,ТГ!$A119)</f>
        <v>0</v>
      </c>
      <c r="P118" s="130">
        <f>SUMIFS(ТГ_ИД!$E:$E,ТГ_ИД!$B:$B,ТГ!$G$8,ТГ_ИД!$D:$D,ТГ!$A119)</f>
        <v>0</v>
      </c>
      <c r="Q118" s="130">
        <f>SUMIFS(ТГ_ИД!$E:$E,ТГ_ИД!$B:$B,ТГ!$G$9,ТГ_ИД!$D:$D,ТГ!$A119)</f>
        <v>0</v>
      </c>
      <c r="R118" s="130">
        <f>SUMIFS(ТГ_ИД!$E:$E,ТГ_ИД!$B:$B,ТГ!$G$10,ТГ_ИД!$D:$D,ТГ!$A119)</f>
        <v>0</v>
      </c>
      <c r="S118" s="130">
        <f>SUMIFS(ТГ_ИД!$E:$E,ТГ_ИД!$B:$B,ТГ!$G$11,ТГ_ИД!$D:$D,ТГ!$A119)</f>
        <v>0</v>
      </c>
      <c r="T118" s="130">
        <f>SUMIFS(ТГ_ИД!$E:$E,ТГ_ИД!$B:$B,ТГ!$G$12,ТГ_ИД!$D:$D,ТГ!$A119)</f>
        <v>0</v>
      </c>
      <c r="U118" s="130">
        <f>SUMIFS(ТГ_ИД!$E:$E,ТГ_ИД!$B:$B,ТГ!$G$13,ТГ_ИД!$D:$D,ТГ!$A119)</f>
        <v>0</v>
      </c>
      <c r="V118" s="130">
        <f>SUMIFS(ТГ_ИД!$E:$E,ТГ_ИД!$B:$B,ТГ!$G$14,ТГ_ИД!$D:$D,ТГ!$A119)</f>
        <v>0</v>
      </c>
    </row>
    <row r="119" spans="1:22" x14ac:dyDescent="0.25">
      <c r="A119" s="116" t="str">
        <f t="shared" si="2"/>
        <v>07077</v>
      </c>
      <c r="B119" s="115">
        <v>7077</v>
      </c>
      <c r="C119" s="97" t="s">
        <v>197</v>
      </c>
      <c r="K119" s="130">
        <f>SUMIFS(ТГ_ИД!$E:$E,ТГ_ИД!$B:$B,ТГ!$G$3,ТГ_ИД!$D:$D,ТГ!$A120)</f>
        <v>2038.22</v>
      </c>
      <c r="L119" s="130">
        <f>SUMIFS(ТГ_ИД!$E:$E,ТГ_ИД!$B:$B,ТГ!$G$4,ТГ_ИД!$D:$D,ТГ!$A120)</f>
        <v>0</v>
      </c>
      <c r="M119" s="130">
        <f>SUMIFS(ТГ_ИД!$E:$E,ТГ_ИД!$B:$B,ТГ!$G$5,ТГ_ИД!$D:$D,ТГ!$A120)</f>
        <v>0</v>
      </c>
      <c r="N119" s="130">
        <f>SUMIFS(ТГ_ИД!$E:$E,ТГ_ИД!$B:$B,ТГ!$G$6,ТГ_ИД!$D:$D,ТГ!$A120)</f>
        <v>0</v>
      </c>
      <c r="O119" s="130">
        <f>SUMIFS(ТГ_ИД!$E:$E,ТГ_ИД!$B:$B,ТГ!$G$7,ТГ_ИД!$D:$D,ТГ!$A120)</f>
        <v>0</v>
      </c>
      <c r="P119" s="130">
        <f>SUMIFS(ТГ_ИД!$E:$E,ТГ_ИД!$B:$B,ТГ!$G$8,ТГ_ИД!$D:$D,ТГ!$A120)</f>
        <v>0</v>
      </c>
      <c r="Q119" s="130">
        <f>SUMIFS(ТГ_ИД!$E:$E,ТГ_ИД!$B:$B,ТГ!$G$9,ТГ_ИД!$D:$D,ТГ!$A120)</f>
        <v>0</v>
      </c>
      <c r="R119" s="130">
        <f>SUMIFS(ТГ_ИД!$E:$E,ТГ_ИД!$B:$B,ТГ!$G$10,ТГ_ИД!$D:$D,ТГ!$A120)</f>
        <v>0</v>
      </c>
      <c r="S119" s="130">
        <f>SUMIFS(ТГ_ИД!$E:$E,ТГ_ИД!$B:$B,ТГ!$G$11,ТГ_ИД!$D:$D,ТГ!$A120)</f>
        <v>0</v>
      </c>
      <c r="T119" s="130">
        <f>SUMIFS(ТГ_ИД!$E:$E,ТГ_ИД!$B:$B,ТГ!$G$12,ТГ_ИД!$D:$D,ТГ!$A120)</f>
        <v>0</v>
      </c>
      <c r="U119" s="130">
        <f>SUMIFS(ТГ_ИД!$E:$E,ТГ_ИД!$B:$B,ТГ!$G$13,ТГ_ИД!$D:$D,ТГ!$A120)</f>
        <v>0</v>
      </c>
      <c r="V119" s="130">
        <f>SUMIFS(ТГ_ИД!$E:$E,ТГ_ИД!$B:$B,ТГ!$G$14,ТГ_ИД!$D:$D,ТГ!$A120)</f>
        <v>0</v>
      </c>
    </row>
    <row r="120" spans="1:22" x14ac:dyDescent="0.25">
      <c r="A120" s="116" t="str">
        <f t="shared" si="2"/>
        <v>07078</v>
      </c>
      <c r="B120" s="115">
        <v>7078</v>
      </c>
      <c r="C120" s="97" t="s">
        <v>198</v>
      </c>
      <c r="K120" s="130">
        <f>SUMIFS(ТГ_ИД!$E:$E,ТГ_ИД!$B:$B,ТГ!$G$3,ТГ_ИД!$D:$D,ТГ!$A121)</f>
        <v>692.13</v>
      </c>
      <c r="L120" s="130">
        <f>SUMIFS(ТГ_ИД!$E:$E,ТГ_ИД!$B:$B,ТГ!$G$4,ТГ_ИД!$D:$D,ТГ!$A121)</f>
        <v>0</v>
      </c>
      <c r="M120" s="130">
        <f>SUMIFS(ТГ_ИД!$E:$E,ТГ_ИД!$B:$B,ТГ!$G$5,ТГ_ИД!$D:$D,ТГ!$A121)</f>
        <v>0</v>
      </c>
      <c r="N120" s="130">
        <f>SUMIFS(ТГ_ИД!$E:$E,ТГ_ИД!$B:$B,ТГ!$G$6,ТГ_ИД!$D:$D,ТГ!$A121)</f>
        <v>0</v>
      </c>
      <c r="O120" s="130">
        <f>SUMIFS(ТГ_ИД!$E:$E,ТГ_ИД!$B:$B,ТГ!$G$7,ТГ_ИД!$D:$D,ТГ!$A121)</f>
        <v>0</v>
      </c>
      <c r="P120" s="130">
        <f>SUMIFS(ТГ_ИД!$E:$E,ТГ_ИД!$B:$B,ТГ!$G$8,ТГ_ИД!$D:$D,ТГ!$A121)</f>
        <v>0</v>
      </c>
      <c r="Q120" s="130">
        <f>SUMIFS(ТГ_ИД!$E:$E,ТГ_ИД!$B:$B,ТГ!$G$9,ТГ_ИД!$D:$D,ТГ!$A121)</f>
        <v>0</v>
      </c>
      <c r="R120" s="130">
        <f>SUMIFS(ТГ_ИД!$E:$E,ТГ_ИД!$B:$B,ТГ!$G$10,ТГ_ИД!$D:$D,ТГ!$A121)</f>
        <v>0</v>
      </c>
      <c r="S120" s="130">
        <f>SUMIFS(ТГ_ИД!$E:$E,ТГ_ИД!$B:$B,ТГ!$G$11,ТГ_ИД!$D:$D,ТГ!$A121)</f>
        <v>0</v>
      </c>
      <c r="T120" s="130">
        <f>SUMIFS(ТГ_ИД!$E:$E,ТГ_ИД!$B:$B,ТГ!$G$12,ТГ_ИД!$D:$D,ТГ!$A121)</f>
        <v>0</v>
      </c>
      <c r="U120" s="130">
        <f>SUMIFS(ТГ_ИД!$E:$E,ТГ_ИД!$B:$B,ТГ!$G$13,ТГ_ИД!$D:$D,ТГ!$A121)</f>
        <v>0</v>
      </c>
      <c r="V120" s="130">
        <f>SUMIFS(ТГ_ИД!$E:$E,ТГ_ИД!$B:$B,ТГ!$G$14,ТГ_ИД!$D:$D,ТГ!$A121)</f>
        <v>0</v>
      </c>
    </row>
    <row r="121" spans="1:22" x14ac:dyDescent="0.25">
      <c r="A121" s="116" t="str">
        <f t="shared" si="2"/>
        <v>07079</v>
      </c>
      <c r="B121" s="115">
        <v>7079</v>
      </c>
      <c r="C121" s="97" t="s">
        <v>199</v>
      </c>
      <c r="K121" s="130">
        <f>SUMIFS(ТГ_ИД!$E:$E,ТГ_ИД!$B:$B,ТГ!$G$3,ТГ_ИД!$D:$D,ТГ!$A122)</f>
        <v>2867.37</v>
      </c>
      <c r="L121" s="130">
        <f>SUMIFS(ТГ_ИД!$E:$E,ТГ_ИД!$B:$B,ТГ!$G$4,ТГ_ИД!$D:$D,ТГ!$A122)</f>
        <v>0</v>
      </c>
      <c r="M121" s="130">
        <f>SUMIFS(ТГ_ИД!$E:$E,ТГ_ИД!$B:$B,ТГ!$G$5,ТГ_ИД!$D:$D,ТГ!$A122)</f>
        <v>0</v>
      </c>
      <c r="N121" s="130">
        <f>SUMIFS(ТГ_ИД!$E:$E,ТГ_ИД!$B:$B,ТГ!$G$6,ТГ_ИД!$D:$D,ТГ!$A122)</f>
        <v>0</v>
      </c>
      <c r="O121" s="130">
        <f>SUMIFS(ТГ_ИД!$E:$E,ТГ_ИД!$B:$B,ТГ!$G$7,ТГ_ИД!$D:$D,ТГ!$A122)</f>
        <v>0</v>
      </c>
      <c r="P121" s="130">
        <f>SUMIFS(ТГ_ИД!$E:$E,ТГ_ИД!$B:$B,ТГ!$G$8,ТГ_ИД!$D:$D,ТГ!$A122)</f>
        <v>0</v>
      </c>
      <c r="Q121" s="130">
        <f>SUMIFS(ТГ_ИД!$E:$E,ТГ_ИД!$B:$B,ТГ!$G$9,ТГ_ИД!$D:$D,ТГ!$A122)</f>
        <v>0</v>
      </c>
      <c r="R121" s="130">
        <f>SUMIFS(ТГ_ИД!$E:$E,ТГ_ИД!$B:$B,ТГ!$G$10,ТГ_ИД!$D:$D,ТГ!$A122)</f>
        <v>0</v>
      </c>
      <c r="S121" s="130">
        <f>SUMIFS(ТГ_ИД!$E:$E,ТГ_ИД!$B:$B,ТГ!$G$11,ТГ_ИД!$D:$D,ТГ!$A122)</f>
        <v>0</v>
      </c>
      <c r="T121" s="130">
        <f>SUMIFS(ТГ_ИД!$E:$E,ТГ_ИД!$B:$B,ТГ!$G$12,ТГ_ИД!$D:$D,ТГ!$A122)</f>
        <v>0</v>
      </c>
      <c r="U121" s="130">
        <f>SUMIFS(ТГ_ИД!$E:$E,ТГ_ИД!$B:$B,ТГ!$G$13,ТГ_ИД!$D:$D,ТГ!$A122)</f>
        <v>0</v>
      </c>
      <c r="V121" s="130">
        <f>SUMIFS(ТГ_ИД!$E:$E,ТГ_ИД!$B:$B,ТГ!$G$14,ТГ_ИД!$D:$D,ТГ!$A122)</f>
        <v>0</v>
      </c>
    </row>
    <row r="122" spans="1:22" x14ac:dyDescent="0.25">
      <c r="A122" s="116" t="str">
        <f t="shared" si="2"/>
        <v>07084</v>
      </c>
      <c r="B122" s="115">
        <v>7084</v>
      </c>
      <c r="C122" s="97" t="s">
        <v>200</v>
      </c>
      <c r="K122" s="130">
        <f>SUMIFS(ТГ_ИД!$E:$E,ТГ_ИД!$B:$B,ТГ!$G$3,ТГ_ИД!$D:$D,ТГ!$A123)</f>
        <v>990.05</v>
      </c>
      <c r="L122" s="130">
        <f>SUMIFS(ТГ_ИД!$E:$E,ТГ_ИД!$B:$B,ТГ!$G$4,ТГ_ИД!$D:$D,ТГ!$A123)</f>
        <v>0</v>
      </c>
      <c r="M122" s="130">
        <f>SUMIFS(ТГ_ИД!$E:$E,ТГ_ИД!$B:$B,ТГ!$G$5,ТГ_ИД!$D:$D,ТГ!$A123)</f>
        <v>0</v>
      </c>
      <c r="N122" s="130">
        <f>SUMIFS(ТГ_ИД!$E:$E,ТГ_ИД!$B:$B,ТГ!$G$6,ТГ_ИД!$D:$D,ТГ!$A123)</f>
        <v>0</v>
      </c>
      <c r="O122" s="130">
        <f>SUMIFS(ТГ_ИД!$E:$E,ТГ_ИД!$B:$B,ТГ!$G$7,ТГ_ИД!$D:$D,ТГ!$A123)</f>
        <v>0</v>
      </c>
      <c r="P122" s="130">
        <f>SUMIFS(ТГ_ИД!$E:$E,ТГ_ИД!$B:$B,ТГ!$G$8,ТГ_ИД!$D:$D,ТГ!$A123)</f>
        <v>0</v>
      </c>
      <c r="Q122" s="130">
        <f>SUMIFS(ТГ_ИД!$E:$E,ТГ_ИД!$B:$B,ТГ!$G$9,ТГ_ИД!$D:$D,ТГ!$A123)</f>
        <v>0</v>
      </c>
      <c r="R122" s="130">
        <f>SUMIFS(ТГ_ИД!$E:$E,ТГ_ИД!$B:$B,ТГ!$G$10,ТГ_ИД!$D:$D,ТГ!$A123)</f>
        <v>0</v>
      </c>
      <c r="S122" s="130">
        <f>SUMIFS(ТГ_ИД!$E:$E,ТГ_ИД!$B:$B,ТГ!$G$11,ТГ_ИД!$D:$D,ТГ!$A123)</f>
        <v>0</v>
      </c>
      <c r="T122" s="130">
        <f>SUMIFS(ТГ_ИД!$E:$E,ТГ_ИД!$B:$B,ТГ!$G$12,ТГ_ИД!$D:$D,ТГ!$A123)</f>
        <v>0</v>
      </c>
      <c r="U122" s="130">
        <f>SUMIFS(ТГ_ИД!$E:$E,ТГ_ИД!$B:$B,ТГ!$G$13,ТГ_ИД!$D:$D,ТГ!$A123)</f>
        <v>0</v>
      </c>
      <c r="V122" s="130">
        <f>SUMIFS(ТГ_ИД!$E:$E,ТГ_ИД!$B:$B,ТГ!$G$14,ТГ_ИД!$D:$D,ТГ!$A123)</f>
        <v>0</v>
      </c>
    </row>
    <row r="123" spans="1:22" x14ac:dyDescent="0.25">
      <c r="A123" s="116" t="str">
        <f t="shared" si="2"/>
        <v>07085</v>
      </c>
      <c r="B123" s="115">
        <v>7085</v>
      </c>
      <c r="C123" s="97" t="s">
        <v>201</v>
      </c>
      <c r="K123" s="130">
        <f>SUMIFS(ТГ_ИД!$E:$E,ТГ_ИД!$B:$B,ТГ!$G$3,ТГ_ИД!$D:$D,ТГ!$A124)</f>
        <v>3554.1800000000003</v>
      </c>
      <c r="L123" s="130">
        <f>SUMIFS(ТГ_ИД!$E:$E,ТГ_ИД!$B:$B,ТГ!$G$4,ТГ_ИД!$D:$D,ТГ!$A124)</f>
        <v>0</v>
      </c>
      <c r="M123" s="130">
        <f>SUMIFS(ТГ_ИД!$E:$E,ТГ_ИД!$B:$B,ТГ!$G$5,ТГ_ИД!$D:$D,ТГ!$A124)</f>
        <v>0</v>
      </c>
      <c r="N123" s="130">
        <f>SUMIFS(ТГ_ИД!$E:$E,ТГ_ИД!$B:$B,ТГ!$G$6,ТГ_ИД!$D:$D,ТГ!$A124)</f>
        <v>0</v>
      </c>
      <c r="O123" s="130">
        <f>SUMIFS(ТГ_ИД!$E:$E,ТГ_ИД!$B:$B,ТГ!$G$7,ТГ_ИД!$D:$D,ТГ!$A124)</f>
        <v>0</v>
      </c>
      <c r="P123" s="130">
        <f>SUMIFS(ТГ_ИД!$E:$E,ТГ_ИД!$B:$B,ТГ!$G$8,ТГ_ИД!$D:$D,ТГ!$A124)</f>
        <v>0</v>
      </c>
      <c r="Q123" s="130">
        <f>SUMIFS(ТГ_ИД!$E:$E,ТГ_ИД!$B:$B,ТГ!$G$9,ТГ_ИД!$D:$D,ТГ!$A124)</f>
        <v>0</v>
      </c>
      <c r="R123" s="130">
        <f>SUMIFS(ТГ_ИД!$E:$E,ТГ_ИД!$B:$B,ТГ!$G$10,ТГ_ИД!$D:$D,ТГ!$A124)</f>
        <v>0</v>
      </c>
      <c r="S123" s="130">
        <f>SUMIFS(ТГ_ИД!$E:$E,ТГ_ИД!$B:$B,ТГ!$G$11,ТГ_ИД!$D:$D,ТГ!$A124)</f>
        <v>0</v>
      </c>
      <c r="T123" s="130">
        <f>SUMIFS(ТГ_ИД!$E:$E,ТГ_ИД!$B:$B,ТГ!$G$12,ТГ_ИД!$D:$D,ТГ!$A124)</f>
        <v>0</v>
      </c>
      <c r="U123" s="130">
        <f>SUMIFS(ТГ_ИД!$E:$E,ТГ_ИД!$B:$B,ТГ!$G$13,ТГ_ИД!$D:$D,ТГ!$A124)</f>
        <v>0</v>
      </c>
      <c r="V123" s="130">
        <f>SUMIFS(ТГ_ИД!$E:$E,ТГ_ИД!$B:$B,ТГ!$G$14,ТГ_ИД!$D:$D,ТГ!$A124)</f>
        <v>0</v>
      </c>
    </row>
    <row r="124" spans="1:22" x14ac:dyDescent="0.25">
      <c r="A124" s="116" t="str">
        <f t="shared" si="2"/>
        <v>07086</v>
      </c>
      <c r="B124" s="115">
        <v>7086</v>
      </c>
      <c r="C124" s="97" t="s">
        <v>202</v>
      </c>
      <c r="K124" s="130">
        <f>SUMIFS(ТГ_ИД!$E:$E,ТГ_ИД!$B:$B,ТГ!$G$3,ТГ_ИД!$D:$D,ТГ!$A125)</f>
        <v>0</v>
      </c>
      <c r="L124" s="130">
        <f>SUMIFS(ТГ_ИД!$E:$E,ТГ_ИД!$B:$B,ТГ!$G$4,ТГ_ИД!$D:$D,ТГ!$A125)</f>
        <v>0</v>
      </c>
      <c r="M124" s="130">
        <f>SUMIFS(ТГ_ИД!$E:$E,ТГ_ИД!$B:$B,ТГ!$G$5,ТГ_ИД!$D:$D,ТГ!$A125)</f>
        <v>0</v>
      </c>
      <c r="N124" s="130">
        <f>SUMIFS(ТГ_ИД!$E:$E,ТГ_ИД!$B:$B,ТГ!$G$6,ТГ_ИД!$D:$D,ТГ!$A125)</f>
        <v>0</v>
      </c>
      <c r="O124" s="130">
        <f>SUMIFS(ТГ_ИД!$E:$E,ТГ_ИД!$B:$B,ТГ!$G$7,ТГ_ИД!$D:$D,ТГ!$A125)</f>
        <v>0</v>
      </c>
      <c r="P124" s="130">
        <f>SUMIFS(ТГ_ИД!$E:$E,ТГ_ИД!$B:$B,ТГ!$G$8,ТГ_ИД!$D:$D,ТГ!$A125)</f>
        <v>0</v>
      </c>
      <c r="Q124" s="130">
        <f>SUMIFS(ТГ_ИД!$E:$E,ТГ_ИД!$B:$B,ТГ!$G$9,ТГ_ИД!$D:$D,ТГ!$A125)</f>
        <v>0</v>
      </c>
      <c r="R124" s="130">
        <f>SUMIFS(ТГ_ИД!$E:$E,ТГ_ИД!$B:$B,ТГ!$G$10,ТГ_ИД!$D:$D,ТГ!$A125)</f>
        <v>0</v>
      </c>
      <c r="S124" s="130">
        <f>SUMIFS(ТГ_ИД!$E:$E,ТГ_ИД!$B:$B,ТГ!$G$11,ТГ_ИД!$D:$D,ТГ!$A125)</f>
        <v>0</v>
      </c>
      <c r="T124" s="130">
        <f>SUMIFS(ТГ_ИД!$E:$E,ТГ_ИД!$B:$B,ТГ!$G$12,ТГ_ИД!$D:$D,ТГ!$A125)</f>
        <v>0</v>
      </c>
      <c r="U124" s="130">
        <f>SUMIFS(ТГ_ИД!$E:$E,ТГ_ИД!$B:$B,ТГ!$G$13,ТГ_ИД!$D:$D,ТГ!$A125)</f>
        <v>0</v>
      </c>
      <c r="V124" s="130">
        <f>SUMIFS(ТГ_ИД!$E:$E,ТГ_ИД!$B:$B,ТГ!$G$14,ТГ_ИД!$D:$D,ТГ!$A125)</f>
        <v>0</v>
      </c>
    </row>
    <row r="125" spans="1:22" x14ac:dyDescent="0.25">
      <c r="A125" s="116" t="str">
        <f t="shared" si="2"/>
        <v>07080</v>
      </c>
      <c r="B125" s="115">
        <v>7080</v>
      </c>
      <c r="C125" s="97" t="s">
        <v>203</v>
      </c>
      <c r="K125" s="130">
        <f>SUMIFS(ТГ_ИД!$E:$E,ТГ_ИД!$B:$B,ТГ!$G$3,ТГ_ИД!$D:$D,ТГ!$A126)</f>
        <v>0</v>
      </c>
      <c r="L125" s="130">
        <f>SUMIFS(ТГ_ИД!$E:$E,ТГ_ИД!$B:$B,ТГ!$G$4,ТГ_ИД!$D:$D,ТГ!$A126)</f>
        <v>0</v>
      </c>
      <c r="M125" s="130">
        <f>SUMIFS(ТГ_ИД!$E:$E,ТГ_ИД!$B:$B,ТГ!$G$5,ТГ_ИД!$D:$D,ТГ!$A126)</f>
        <v>0</v>
      </c>
      <c r="N125" s="130">
        <f>SUMIFS(ТГ_ИД!$E:$E,ТГ_ИД!$B:$B,ТГ!$G$6,ТГ_ИД!$D:$D,ТГ!$A126)</f>
        <v>0</v>
      </c>
      <c r="O125" s="130">
        <f>SUMIFS(ТГ_ИД!$E:$E,ТГ_ИД!$B:$B,ТГ!$G$7,ТГ_ИД!$D:$D,ТГ!$A126)</f>
        <v>0</v>
      </c>
      <c r="P125" s="130">
        <f>SUMIFS(ТГ_ИД!$E:$E,ТГ_ИД!$B:$B,ТГ!$G$8,ТГ_ИД!$D:$D,ТГ!$A126)</f>
        <v>0</v>
      </c>
      <c r="Q125" s="130">
        <f>SUMIFS(ТГ_ИД!$E:$E,ТГ_ИД!$B:$B,ТГ!$G$9,ТГ_ИД!$D:$D,ТГ!$A126)</f>
        <v>0</v>
      </c>
      <c r="R125" s="130">
        <f>SUMIFS(ТГ_ИД!$E:$E,ТГ_ИД!$B:$B,ТГ!$G$10,ТГ_ИД!$D:$D,ТГ!$A126)</f>
        <v>0</v>
      </c>
      <c r="S125" s="130">
        <f>SUMIFS(ТГ_ИД!$E:$E,ТГ_ИД!$B:$B,ТГ!$G$11,ТГ_ИД!$D:$D,ТГ!$A126)</f>
        <v>0</v>
      </c>
      <c r="T125" s="130">
        <f>SUMIFS(ТГ_ИД!$E:$E,ТГ_ИД!$B:$B,ТГ!$G$12,ТГ_ИД!$D:$D,ТГ!$A126)</f>
        <v>0</v>
      </c>
      <c r="U125" s="130">
        <f>SUMIFS(ТГ_ИД!$E:$E,ТГ_ИД!$B:$B,ТГ!$G$13,ТГ_ИД!$D:$D,ТГ!$A126)</f>
        <v>0</v>
      </c>
      <c r="V125" s="130">
        <f>SUMIFS(ТГ_ИД!$E:$E,ТГ_ИД!$B:$B,ТГ!$G$14,ТГ_ИД!$D:$D,ТГ!$A126)</f>
        <v>0</v>
      </c>
    </row>
    <row r="126" spans="1:22" x14ac:dyDescent="0.25">
      <c r="A126" s="116" t="str">
        <f t="shared" si="2"/>
        <v>07081</v>
      </c>
      <c r="B126" s="115">
        <v>7081</v>
      </c>
      <c r="C126" s="97" t="s">
        <v>204</v>
      </c>
      <c r="K126" s="130">
        <f>SUMIFS(ТГ_ИД!$E:$E,ТГ_ИД!$B:$B,ТГ!$G$3,ТГ_ИД!$D:$D,ТГ!$A127)</f>
        <v>0</v>
      </c>
      <c r="L126" s="130">
        <f>SUMIFS(ТГ_ИД!$E:$E,ТГ_ИД!$B:$B,ТГ!$G$4,ТГ_ИД!$D:$D,ТГ!$A127)</f>
        <v>0</v>
      </c>
      <c r="M126" s="130">
        <f>SUMIFS(ТГ_ИД!$E:$E,ТГ_ИД!$B:$B,ТГ!$G$5,ТГ_ИД!$D:$D,ТГ!$A127)</f>
        <v>0</v>
      </c>
      <c r="N126" s="130">
        <f>SUMIFS(ТГ_ИД!$E:$E,ТГ_ИД!$B:$B,ТГ!$G$6,ТГ_ИД!$D:$D,ТГ!$A127)</f>
        <v>0</v>
      </c>
      <c r="O126" s="130">
        <f>SUMIFS(ТГ_ИД!$E:$E,ТГ_ИД!$B:$B,ТГ!$G$7,ТГ_ИД!$D:$D,ТГ!$A127)</f>
        <v>0</v>
      </c>
      <c r="P126" s="130">
        <f>SUMIFS(ТГ_ИД!$E:$E,ТГ_ИД!$B:$B,ТГ!$G$8,ТГ_ИД!$D:$D,ТГ!$A127)</f>
        <v>0</v>
      </c>
      <c r="Q126" s="130">
        <f>SUMIFS(ТГ_ИД!$E:$E,ТГ_ИД!$B:$B,ТГ!$G$9,ТГ_ИД!$D:$D,ТГ!$A127)</f>
        <v>0</v>
      </c>
      <c r="R126" s="130">
        <f>SUMIFS(ТГ_ИД!$E:$E,ТГ_ИД!$B:$B,ТГ!$G$10,ТГ_ИД!$D:$D,ТГ!$A127)</f>
        <v>0</v>
      </c>
      <c r="S126" s="130">
        <f>SUMIFS(ТГ_ИД!$E:$E,ТГ_ИД!$B:$B,ТГ!$G$11,ТГ_ИД!$D:$D,ТГ!$A127)</f>
        <v>0</v>
      </c>
      <c r="T126" s="130">
        <f>SUMIFS(ТГ_ИД!$E:$E,ТГ_ИД!$B:$B,ТГ!$G$12,ТГ_ИД!$D:$D,ТГ!$A127)</f>
        <v>0</v>
      </c>
      <c r="U126" s="130">
        <f>SUMIFS(ТГ_ИД!$E:$E,ТГ_ИД!$B:$B,ТГ!$G$13,ТГ_ИД!$D:$D,ТГ!$A127)</f>
        <v>0</v>
      </c>
      <c r="V126" s="130">
        <f>SUMIFS(ТГ_ИД!$E:$E,ТГ_ИД!$B:$B,ТГ!$G$14,ТГ_ИД!$D:$D,ТГ!$A127)</f>
        <v>0</v>
      </c>
    </row>
    <row r="127" spans="1:22" x14ac:dyDescent="0.25">
      <c r="A127" s="116" t="str">
        <f t="shared" si="2"/>
        <v>07082</v>
      </c>
      <c r="B127" s="115">
        <v>7082</v>
      </c>
      <c r="C127" s="97" t="s">
        <v>205</v>
      </c>
      <c r="K127" s="130">
        <f>SUMIFS(ТГ_ИД!$E:$E,ТГ_ИД!$B:$B,ТГ!$G$3,ТГ_ИД!$D:$D,ТГ!$A128)</f>
        <v>0</v>
      </c>
      <c r="L127" s="130">
        <f>SUMIFS(ТГ_ИД!$E:$E,ТГ_ИД!$B:$B,ТГ!$G$4,ТГ_ИД!$D:$D,ТГ!$A128)</f>
        <v>0</v>
      </c>
      <c r="M127" s="130">
        <f>SUMIFS(ТГ_ИД!$E:$E,ТГ_ИД!$B:$B,ТГ!$G$5,ТГ_ИД!$D:$D,ТГ!$A128)</f>
        <v>0</v>
      </c>
      <c r="N127" s="130">
        <f>SUMIFS(ТГ_ИД!$E:$E,ТГ_ИД!$B:$B,ТГ!$G$6,ТГ_ИД!$D:$D,ТГ!$A128)</f>
        <v>0</v>
      </c>
      <c r="O127" s="130">
        <f>SUMIFS(ТГ_ИД!$E:$E,ТГ_ИД!$B:$B,ТГ!$G$7,ТГ_ИД!$D:$D,ТГ!$A128)</f>
        <v>0</v>
      </c>
      <c r="P127" s="130">
        <f>SUMIFS(ТГ_ИД!$E:$E,ТГ_ИД!$B:$B,ТГ!$G$8,ТГ_ИД!$D:$D,ТГ!$A128)</f>
        <v>0</v>
      </c>
      <c r="Q127" s="130">
        <f>SUMIFS(ТГ_ИД!$E:$E,ТГ_ИД!$B:$B,ТГ!$G$9,ТГ_ИД!$D:$D,ТГ!$A128)</f>
        <v>0</v>
      </c>
      <c r="R127" s="130">
        <f>SUMIFS(ТГ_ИД!$E:$E,ТГ_ИД!$B:$B,ТГ!$G$10,ТГ_ИД!$D:$D,ТГ!$A128)</f>
        <v>0</v>
      </c>
      <c r="S127" s="130">
        <f>SUMIFS(ТГ_ИД!$E:$E,ТГ_ИД!$B:$B,ТГ!$G$11,ТГ_ИД!$D:$D,ТГ!$A128)</f>
        <v>0</v>
      </c>
      <c r="T127" s="130">
        <f>SUMIFS(ТГ_ИД!$E:$E,ТГ_ИД!$B:$B,ТГ!$G$12,ТГ_ИД!$D:$D,ТГ!$A128)</f>
        <v>0</v>
      </c>
      <c r="U127" s="130">
        <f>SUMIFS(ТГ_ИД!$E:$E,ТГ_ИД!$B:$B,ТГ!$G$13,ТГ_ИД!$D:$D,ТГ!$A128)</f>
        <v>0</v>
      </c>
      <c r="V127" s="130">
        <f>SUMIFS(ТГ_ИД!$E:$E,ТГ_ИД!$B:$B,ТГ!$G$14,ТГ_ИД!$D:$D,ТГ!$A128)</f>
        <v>0</v>
      </c>
    </row>
    <row r="128" spans="1:22" x14ac:dyDescent="0.25">
      <c r="A128" s="116" t="str">
        <f t="shared" si="2"/>
        <v>07083</v>
      </c>
      <c r="B128" s="115">
        <v>7083</v>
      </c>
      <c r="C128" s="97" t="s">
        <v>206</v>
      </c>
      <c r="K128" s="130">
        <f>SUMIFS(ТГ_ИД!$E:$E,ТГ_ИД!$B:$B,ТГ!$G$3,ТГ_ИД!$D:$D,ТГ!$A129)</f>
        <v>4249.18</v>
      </c>
      <c r="L128" s="130">
        <f>SUMIFS(ТГ_ИД!$E:$E,ТГ_ИД!$B:$B,ТГ!$G$4,ТГ_ИД!$D:$D,ТГ!$A129)</f>
        <v>0</v>
      </c>
      <c r="M128" s="130">
        <f>SUMIFS(ТГ_ИД!$E:$E,ТГ_ИД!$B:$B,ТГ!$G$5,ТГ_ИД!$D:$D,ТГ!$A129)</f>
        <v>0</v>
      </c>
      <c r="N128" s="130">
        <f>SUMIFS(ТГ_ИД!$E:$E,ТГ_ИД!$B:$B,ТГ!$G$6,ТГ_ИД!$D:$D,ТГ!$A129)</f>
        <v>0</v>
      </c>
      <c r="O128" s="130">
        <f>SUMIFS(ТГ_ИД!$E:$E,ТГ_ИД!$B:$B,ТГ!$G$7,ТГ_ИД!$D:$D,ТГ!$A129)</f>
        <v>0</v>
      </c>
      <c r="P128" s="130">
        <f>SUMIFS(ТГ_ИД!$E:$E,ТГ_ИД!$B:$B,ТГ!$G$8,ТГ_ИД!$D:$D,ТГ!$A129)</f>
        <v>0</v>
      </c>
      <c r="Q128" s="130">
        <f>SUMIFS(ТГ_ИД!$E:$E,ТГ_ИД!$B:$B,ТГ!$G$9,ТГ_ИД!$D:$D,ТГ!$A129)</f>
        <v>0</v>
      </c>
      <c r="R128" s="130">
        <f>SUMIFS(ТГ_ИД!$E:$E,ТГ_ИД!$B:$B,ТГ!$G$10,ТГ_ИД!$D:$D,ТГ!$A129)</f>
        <v>0</v>
      </c>
      <c r="S128" s="130">
        <f>SUMIFS(ТГ_ИД!$E:$E,ТГ_ИД!$B:$B,ТГ!$G$11,ТГ_ИД!$D:$D,ТГ!$A129)</f>
        <v>0</v>
      </c>
      <c r="T128" s="130">
        <f>SUMIFS(ТГ_ИД!$E:$E,ТГ_ИД!$B:$B,ТГ!$G$12,ТГ_ИД!$D:$D,ТГ!$A129)</f>
        <v>0</v>
      </c>
      <c r="U128" s="130">
        <f>SUMIFS(ТГ_ИД!$E:$E,ТГ_ИД!$B:$B,ТГ!$G$13,ТГ_ИД!$D:$D,ТГ!$A129)</f>
        <v>0</v>
      </c>
      <c r="V128" s="130">
        <f>SUMIFS(ТГ_ИД!$E:$E,ТГ_ИД!$B:$B,ТГ!$G$14,ТГ_ИД!$D:$D,ТГ!$A129)</f>
        <v>0</v>
      </c>
    </row>
    <row r="129" spans="1:22" x14ac:dyDescent="0.25">
      <c r="A129" s="116" t="str">
        <f t="shared" si="2"/>
        <v>07087</v>
      </c>
      <c r="B129" s="115">
        <v>7087</v>
      </c>
      <c r="C129" s="97" t="s">
        <v>207</v>
      </c>
      <c r="K129" s="130">
        <f>SUMIFS(ТГ_ИД!$E:$E,ТГ_ИД!$B:$B,ТГ!$G$3,ТГ_ИД!$D:$D,ТГ!$A130)</f>
        <v>1557.77</v>
      </c>
      <c r="L129" s="130">
        <f>SUMIFS(ТГ_ИД!$E:$E,ТГ_ИД!$B:$B,ТГ!$G$4,ТГ_ИД!$D:$D,ТГ!$A130)</f>
        <v>0</v>
      </c>
      <c r="M129" s="130">
        <f>SUMIFS(ТГ_ИД!$E:$E,ТГ_ИД!$B:$B,ТГ!$G$5,ТГ_ИД!$D:$D,ТГ!$A130)</f>
        <v>0</v>
      </c>
      <c r="N129" s="130">
        <f>SUMIFS(ТГ_ИД!$E:$E,ТГ_ИД!$B:$B,ТГ!$G$6,ТГ_ИД!$D:$D,ТГ!$A130)</f>
        <v>0</v>
      </c>
      <c r="O129" s="130">
        <f>SUMIFS(ТГ_ИД!$E:$E,ТГ_ИД!$B:$B,ТГ!$G$7,ТГ_ИД!$D:$D,ТГ!$A130)</f>
        <v>0</v>
      </c>
      <c r="P129" s="130">
        <f>SUMIFS(ТГ_ИД!$E:$E,ТГ_ИД!$B:$B,ТГ!$G$8,ТГ_ИД!$D:$D,ТГ!$A130)</f>
        <v>0</v>
      </c>
      <c r="Q129" s="130">
        <f>SUMIFS(ТГ_ИД!$E:$E,ТГ_ИД!$B:$B,ТГ!$G$9,ТГ_ИД!$D:$D,ТГ!$A130)</f>
        <v>0</v>
      </c>
      <c r="R129" s="130">
        <f>SUMIFS(ТГ_ИД!$E:$E,ТГ_ИД!$B:$B,ТГ!$G$10,ТГ_ИД!$D:$D,ТГ!$A130)</f>
        <v>0</v>
      </c>
      <c r="S129" s="130">
        <f>SUMIFS(ТГ_ИД!$E:$E,ТГ_ИД!$B:$B,ТГ!$G$11,ТГ_ИД!$D:$D,ТГ!$A130)</f>
        <v>0</v>
      </c>
      <c r="T129" s="130">
        <f>SUMIFS(ТГ_ИД!$E:$E,ТГ_ИД!$B:$B,ТГ!$G$12,ТГ_ИД!$D:$D,ТГ!$A130)</f>
        <v>0</v>
      </c>
      <c r="U129" s="130">
        <f>SUMIFS(ТГ_ИД!$E:$E,ТГ_ИД!$B:$B,ТГ!$G$13,ТГ_ИД!$D:$D,ТГ!$A130)</f>
        <v>0</v>
      </c>
      <c r="V129" s="130">
        <f>SUMIFS(ТГ_ИД!$E:$E,ТГ_ИД!$B:$B,ТГ!$G$14,ТГ_ИД!$D:$D,ТГ!$A130)</f>
        <v>0</v>
      </c>
    </row>
    <row r="130" spans="1:22" x14ac:dyDescent="0.25">
      <c r="A130" s="116" t="str">
        <f t="shared" si="2"/>
        <v>07088</v>
      </c>
      <c r="B130" s="1">
        <v>7088</v>
      </c>
      <c r="C130" s="1" t="s">
        <v>208</v>
      </c>
      <c r="K130" s="130">
        <f>SUMIFS(ТГ_ИД!$E:$E,ТГ_ИД!$B:$B,ТГ!$G$3,ТГ_ИД!$D:$D,ТГ!$A131)</f>
        <v>1774.48</v>
      </c>
      <c r="L130" s="130">
        <f>SUMIFS(ТГ_ИД!$E:$E,ТГ_ИД!$B:$B,ТГ!$G$4,ТГ_ИД!$D:$D,ТГ!$A131)</f>
        <v>0</v>
      </c>
      <c r="M130" s="130">
        <f>SUMIFS(ТГ_ИД!$E:$E,ТГ_ИД!$B:$B,ТГ!$G$5,ТГ_ИД!$D:$D,ТГ!$A131)</f>
        <v>0</v>
      </c>
      <c r="N130" s="130">
        <f>SUMIFS(ТГ_ИД!$E:$E,ТГ_ИД!$B:$B,ТГ!$G$6,ТГ_ИД!$D:$D,ТГ!$A131)</f>
        <v>0</v>
      </c>
      <c r="O130" s="130">
        <f>SUMIFS(ТГ_ИД!$E:$E,ТГ_ИД!$B:$B,ТГ!$G$7,ТГ_ИД!$D:$D,ТГ!$A131)</f>
        <v>0</v>
      </c>
      <c r="P130" s="130">
        <f>SUMIFS(ТГ_ИД!$E:$E,ТГ_ИД!$B:$B,ТГ!$G$8,ТГ_ИД!$D:$D,ТГ!$A131)</f>
        <v>0</v>
      </c>
      <c r="Q130" s="130">
        <f>SUMIFS(ТГ_ИД!$E:$E,ТГ_ИД!$B:$B,ТГ!$G$9,ТГ_ИД!$D:$D,ТГ!$A131)</f>
        <v>0</v>
      </c>
      <c r="R130" s="130">
        <f>SUMIFS(ТГ_ИД!$E:$E,ТГ_ИД!$B:$B,ТГ!$G$10,ТГ_ИД!$D:$D,ТГ!$A131)</f>
        <v>0</v>
      </c>
      <c r="S130" s="130">
        <f>SUMIFS(ТГ_ИД!$E:$E,ТГ_ИД!$B:$B,ТГ!$G$11,ТГ_ИД!$D:$D,ТГ!$A131)</f>
        <v>0</v>
      </c>
      <c r="T130" s="130">
        <f>SUMIFS(ТГ_ИД!$E:$E,ТГ_ИД!$B:$B,ТГ!$G$12,ТГ_ИД!$D:$D,ТГ!$A131)</f>
        <v>0</v>
      </c>
      <c r="U130" s="130">
        <f>SUMIFS(ТГ_ИД!$E:$E,ТГ_ИД!$B:$B,ТГ!$G$13,ТГ_ИД!$D:$D,ТГ!$A131)</f>
        <v>0</v>
      </c>
      <c r="V130" s="130">
        <f>SUMIFS(ТГ_ИД!$E:$E,ТГ_ИД!$B:$B,ТГ!$G$14,ТГ_ИД!$D:$D,ТГ!$A131)</f>
        <v>0</v>
      </c>
    </row>
    <row r="131" spans="1:22" x14ac:dyDescent="0.25">
      <c r="A131" s="116" t="str">
        <f t="shared" si="2"/>
        <v>07089</v>
      </c>
      <c r="B131" s="1">
        <v>7089</v>
      </c>
      <c r="C131" s="1" t="s">
        <v>209</v>
      </c>
      <c r="K131" s="130">
        <f>SUMIFS(ТГ_ИД!$E:$E,ТГ_ИД!$B:$B,ТГ!$G$3,ТГ_ИД!$D:$D,ТГ!$A132)</f>
        <v>0</v>
      </c>
      <c r="L131" s="130">
        <f>SUMIFS(ТГ_ИД!$E:$E,ТГ_ИД!$B:$B,ТГ!$G$4,ТГ_ИД!$D:$D,ТГ!$A132)</f>
        <v>0</v>
      </c>
      <c r="M131" s="130">
        <f>SUMIFS(ТГ_ИД!$E:$E,ТГ_ИД!$B:$B,ТГ!$G$5,ТГ_ИД!$D:$D,ТГ!$A132)</f>
        <v>0</v>
      </c>
      <c r="N131" s="130">
        <f>SUMIFS(ТГ_ИД!$E:$E,ТГ_ИД!$B:$B,ТГ!$G$6,ТГ_ИД!$D:$D,ТГ!$A132)</f>
        <v>0</v>
      </c>
      <c r="O131" s="130">
        <f>SUMIFS(ТГ_ИД!$E:$E,ТГ_ИД!$B:$B,ТГ!$G$7,ТГ_ИД!$D:$D,ТГ!$A132)</f>
        <v>0</v>
      </c>
      <c r="P131" s="130">
        <f>SUMIFS(ТГ_ИД!$E:$E,ТГ_ИД!$B:$B,ТГ!$G$8,ТГ_ИД!$D:$D,ТГ!$A132)</f>
        <v>0</v>
      </c>
      <c r="Q131" s="130">
        <f>SUMIFS(ТГ_ИД!$E:$E,ТГ_ИД!$B:$B,ТГ!$G$9,ТГ_ИД!$D:$D,ТГ!$A132)</f>
        <v>0</v>
      </c>
      <c r="R131" s="130">
        <f>SUMIFS(ТГ_ИД!$E:$E,ТГ_ИД!$B:$B,ТГ!$G$10,ТГ_ИД!$D:$D,ТГ!$A132)</f>
        <v>0</v>
      </c>
      <c r="S131" s="130">
        <f>SUMIFS(ТГ_ИД!$E:$E,ТГ_ИД!$B:$B,ТГ!$G$11,ТГ_ИД!$D:$D,ТГ!$A132)</f>
        <v>0</v>
      </c>
      <c r="T131" s="130">
        <f>SUMIFS(ТГ_ИД!$E:$E,ТГ_ИД!$B:$B,ТГ!$G$12,ТГ_ИД!$D:$D,ТГ!$A132)</f>
        <v>0</v>
      </c>
      <c r="U131" s="130">
        <f>SUMIFS(ТГ_ИД!$E:$E,ТГ_ИД!$B:$B,ТГ!$G$13,ТГ_ИД!$D:$D,ТГ!$A132)</f>
        <v>0</v>
      </c>
      <c r="V131" s="130">
        <f>SUMIFS(ТГ_ИД!$E:$E,ТГ_ИД!$B:$B,ТГ!$G$14,ТГ_ИД!$D:$D,ТГ!$A132)</f>
        <v>0</v>
      </c>
    </row>
    <row r="132" spans="1:22" x14ac:dyDescent="0.25">
      <c r="A132" s="116" t="str">
        <f t="shared" si="2"/>
        <v>07090</v>
      </c>
      <c r="B132" s="1">
        <v>7090</v>
      </c>
      <c r="C132" s="1" t="s">
        <v>210</v>
      </c>
      <c r="K132" s="130">
        <f>SUMIFS(ТГ_ИД!$E:$E,ТГ_ИД!$B:$B,ТГ!$G$3,ТГ_ИД!$D:$D,ТГ!$A133)</f>
        <v>0</v>
      </c>
      <c r="L132" s="130">
        <f>SUMIFS(ТГ_ИД!$E:$E,ТГ_ИД!$B:$B,ТГ!$G$4,ТГ_ИД!$D:$D,ТГ!$A133)</f>
        <v>0</v>
      </c>
      <c r="M132" s="130">
        <f>SUMIFS(ТГ_ИД!$E:$E,ТГ_ИД!$B:$B,ТГ!$G$5,ТГ_ИД!$D:$D,ТГ!$A133)</f>
        <v>0</v>
      </c>
      <c r="N132" s="130">
        <f>SUMIFS(ТГ_ИД!$E:$E,ТГ_ИД!$B:$B,ТГ!$G$6,ТГ_ИД!$D:$D,ТГ!$A133)</f>
        <v>0</v>
      </c>
      <c r="O132" s="130">
        <f>SUMIFS(ТГ_ИД!$E:$E,ТГ_ИД!$B:$B,ТГ!$G$7,ТГ_ИД!$D:$D,ТГ!$A133)</f>
        <v>0</v>
      </c>
      <c r="P132" s="130">
        <f>SUMIFS(ТГ_ИД!$E:$E,ТГ_ИД!$B:$B,ТГ!$G$8,ТГ_ИД!$D:$D,ТГ!$A133)</f>
        <v>0</v>
      </c>
      <c r="Q132" s="130">
        <f>SUMIFS(ТГ_ИД!$E:$E,ТГ_ИД!$B:$B,ТГ!$G$9,ТГ_ИД!$D:$D,ТГ!$A133)</f>
        <v>0</v>
      </c>
      <c r="R132" s="130">
        <f>SUMIFS(ТГ_ИД!$E:$E,ТГ_ИД!$B:$B,ТГ!$G$10,ТГ_ИД!$D:$D,ТГ!$A133)</f>
        <v>0</v>
      </c>
      <c r="S132" s="130">
        <f>SUMIFS(ТГ_ИД!$E:$E,ТГ_ИД!$B:$B,ТГ!$G$11,ТГ_ИД!$D:$D,ТГ!$A133)</f>
        <v>0</v>
      </c>
      <c r="T132" s="130">
        <f>SUMIFS(ТГ_ИД!$E:$E,ТГ_ИД!$B:$B,ТГ!$G$12,ТГ_ИД!$D:$D,ТГ!$A133)</f>
        <v>0</v>
      </c>
      <c r="U132" s="130">
        <f>SUMIFS(ТГ_ИД!$E:$E,ТГ_ИД!$B:$B,ТГ!$G$13,ТГ_ИД!$D:$D,ТГ!$A133)</f>
        <v>0</v>
      </c>
      <c r="V132" s="130">
        <f>SUMIFS(ТГ_ИД!$E:$E,ТГ_ИД!$B:$B,ТГ!$G$14,ТГ_ИД!$D:$D,ТГ!$A133)</f>
        <v>0</v>
      </c>
    </row>
    <row r="133" spans="1:22" x14ac:dyDescent="0.25">
      <c r="A133" s="116" t="str">
        <f t="shared" ref="A133:A196" si="3">IF(B133="","",TEXT(B133,"00000"))</f>
        <v>07091</v>
      </c>
      <c r="B133" s="1">
        <v>7091</v>
      </c>
      <c r="C133" s="1" t="s">
        <v>211</v>
      </c>
      <c r="K133" s="130">
        <f>SUMIFS(ТГ_ИД!$E:$E,ТГ_ИД!$B:$B,ТГ!$G$3,ТГ_ИД!$D:$D,ТГ!$A134)</f>
        <v>649.96</v>
      </c>
      <c r="L133" s="130">
        <f>SUMIFS(ТГ_ИД!$E:$E,ТГ_ИД!$B:$B,ТГ!$G$4,ТГ_ИД!$D:$D,ТГ!$A134)</f>
        <v>0</v>
      </c>
      <c r="M133" s="130">
        <f>SUMIFS(ТГ_ИД!$E:$E,ТГ_ИД!$B:$B,ТГ!$G$5,ТГ_ИД!$D:$D,ТГ!$A134)</f>
        <v>0</v>
      </c>
      <c r="N133" s="130">
        <f>SUMIFS(ТГ_ИД!$E:$E,ТГ_ИД!$B:$B,ТГ!$G$6,ТГ_ИД!$D:$D,ТГ!$A134)</f>
        <v>0</v>
      </c>
      <c r="O133" s="130">
        <f>SUMIFS(ТГ_ИД!$E:$E,ТГ_ИД!$B:$B,ТГ!$G$7,ТГ_ИД!$D:$D,ТГ!$A134)</f>
        <v>0</v>
      </c>
      <c r="P133" s="130">
        <f>SUMIFS(ТГ_ИД!$E:$E,ТГ_ИД!$B:$B,ТГ!$G$8,ТГ_ИД!$D:$D,ТГ!$A134)</f>
        <v>0</v>
      </c>
      <c r="Q133" s="130">
        <f>SUMIFS(ТГ_ИД!$E:$E,ТГ_ИД!$B:$B,ТГ!$G$9,ТГ_ИД!$D:$D,ТГ!$A134)</f>
        <v>0</v>
      </c>
      <c r="R133" s="130">
        <f>SUMIFS(ТГ_ИД!$E:$E,ТГ_ИД!$B:$B,ТГ!$G$10,ТГ_ИД!$D:$D,ТГ!$A134)</f>
        <v>0</v>
      </c>
      <c r="S133" s="130">
        <f>SUMIFS(ТГ_ИД!$E:$E,ТГ_ИД!$B:$B,ТГ!$G$11,ТГ_ИД!$D:$D,ТГ!$A134)</f>
        <v>0</v>
      </c>
      <c r="T133" s="130">
        <f>SUMIFS(ТГ_ИД!$E:$E,ТГ_ИД!$B:$B,ТГ!$G$12,ТГ_ИД!$D:$D,ТГ!$A134)</f>
        <v>0</v>
      </c>
      <c r="U133" s="130">
        <f>SUMIFS(ТГ_ИД!$E:$E,ТГ_ИД!$B:$B,ТГ!$G$13,ТГ_ИД!$D:$D,ТГ!$A134)</f>
        <v>0</v>
      </c>
      <c r="V133" s="130">
        <f>SUMIFS(ТГ_ИД!$E:$E,ТГ_ИД!$B:$B,ТГ!$G$14,ТГ_ИД!$D:$D,ТГ!$A134)</f>
        <v>0</v>
      </c>
    </row>
    <row r="134" spans="1:22" x14ac:dyDescent="0.25">
      <c r="A134" s="116" t="str">
        <f t="shared" si="3"/>
        <v>07092</v>
      </c>
      <c r="B134" s="1">
        <v>7092</v>
      </c>
      <c r="C134" s="1" t="s">
        <v>212</v>
      </c>
      <c r="K134" s="130">
        <f>SUMIFS(ТГ_ИД!$E:$E,ТГ_ИД!$B:$B,ТГ!$G$3,ТГ_ИД!$D:$D,ТГ!$A135)</f>
        <v>742.34</v>
      </c>
      <c r="L134" s="130">
        <f>SUMIFS(ТГ_ИД!$E:$E,ТГ_ИД!$B:$B,ТГ!$G$4,ТГ_ИД!$D:$D,ТГ!$A135)</f>
        <v>0</v>
      </c>
      <c r="M134" s="130">
        <f>SUMIFS(ТГ_ИД!$E:$E,ТГ_ИД!$B:$B,ТГ!$G$5,ТГ_ИД!$D:$D,ТГ!$A135)</f>
        <v>0</v>
      </c>
      <c r="N134" s="130">
        <f>SUMIFS(ТГ_ИД!$E:$E,ТГ_ИД!$B:$B,ТГ!$G$6,ТГ_ИД!$D:$D,ТГ!$A135)</f>
        <v>0</v>
      </c>
      <c r="O134" s="130">
        <f>SUMIFS(ТГ_ИД!$E:$E,ТГ_ИД!$B:$B,ТГ!$G$7,ТГ_ИД!$D:$D,ТГ!$A135)</f>
        <v>0</v>
      </c>
      <c r="P134" s="130">
        <f>SUMIFS(ТГ_ИД!$E:$E,ТГ_ИД!$B:$B,ТГ!$G$8,ТГ_ИД!$D:$D,ТГ!$A135)</f>
        <v>0</v>
      </c>
      <c r="Q134" s="130">
        <f>SUMIFS(ТГ_ИД!$E:$E,ТГ_ИД!$B:$B,ТГ!$G$9,ТГ_ИД!$D:$D,ТГ!$A135)</f>
        <v>0</v>
      </c>
      <c r="R134" s="130">
        <f>SUMIFS(ТГ_ИД!$E:$E,ТГ_ИД!$B:$B,ТГ!$G$10,ТГ_ИД!$D:$D,ТГ!$A135)</f>
        <v>0</v>
      </c>
      <c r="S134" s="130">
        <f>SUMIFS(ТГ_ИД!$E:$E,ТГ_ИД!$B:$B,ТГ!$G$11,ТГ_ИД!$D:$D,ТГ!$A135)</f>
        <v>0</v>
      </c>
      <c r="T134" s="130">
        <f>SUMIFS(ТГ_ИД!$E:$E,ТГ_ИД!$B:$B,ТГ!$G$12,ТГ_ИД!$D:$D,ТГ!$A135)</f>
        <v>0</v>
      </c>
      <c r="U134" s="130">
        <f>SUMIFS(ТГ_ИД!$E:$E,ТГ_ИД!$B:$B,ТГ!$G$13,ТГ_ИД!$D:$D,ТГ!$A135)</f>
        <v>0</v>
      </c>
      <c r="V134" s="130">
        <f>SUMIFS(ТГ_ИД!$E:$E,ТГ_ИД!$B:$B,ТГ!$G$14,ТГ_ИД!$D:$D,ТГ!$A135)</f>
        <v>0</v>
      </c>
    </row>
    <row r="135" spans="1:22" x14ac:dyDescent="0.25">
      <c r="A135" s="116" t="str">
        <f t="shared" si="3"/>
        <v>07093</v>
      </c>
      <c r="B135" s="1">
        <v>7093</v>
      </c>
      <c r="C135" s="1" t="s">
        <v>213</v>
      </c>
      <c r="K135" s="130">
        <f>SUMIFS(ТГ_ИД!$E:$E,ТГ_ИД!$B:$B,ТГ!$G$3,ТГ_ИД!$D:$D,ТГ!$A136)</f>
        <v>2379.04</v>
      </c>
      <c r="L135" s="130">
        <f>SUMIFS(ТГ_ИД!$E:$E,ТГ_ИД!$B:$B,ТГ!$G$4,ТГ_ИД!$D:$D,ТГ!$A136)</f>
        <v>0</v>
      </c>
      <c r="M135" s="130">
        <f>SUMIFS(ТГ_ИД!$E:$E,ТГ_ИД!$B:$B,ТГ!$G$5,ТГ_ИД!$D:$D,ТГ!$A136)</f>
        <v>0</v>
      </c>
      <c r="N135" s="130">
        <f>SUMIFS(ТГ_ИД!$E:$E,ТГ_ИД!$B:$B,ТГ!$G$6,ТГ_ИД!$D:$D,ТГ!$A136)</f>
        <v>0</v>
      </c>
      <c r="O135" s="130">
        <f>SUMIFS(ТГ_ИД!$E:$E,ТГ_ИД!$B:$B,ТГ!$G$7,ТГ_ИД!$D:$D,ТГ!$A136)</f>
        <v>0</v>
      </c>
      <c r="P135" s="130">
        <f>SUMIFS(ТГ_ИД!$E:$E,ТГ_ИД!$B:$B,ТГ!$G$8,ТГ_ИД!$D:$D,ТГ!$A136)</f>
        <v>0</v>
      </c>
      <c r="Q135" s="130">
        <f>SUMIFS(ТГ_ИД!$E:$E,ТГ_ИД!$B:$B,ТГ!$G$9,ТГ_ИД!$D:$D,ТГ!$A136)</f>
        <v>0</v>
      </c>
      <c r="R135" s="130">
        <f>SUMIFS(ТГ_ИД!$E:$E,ТГ_ИД!$B:$B,ТГ!$G$10,ТГ_ИД!$D:$D,ТГ!$A136)</f>
        <v>0</v>
      </c>
      <c r="S135" s="130">
        <f>SUMIFS(ТГ_ИД!$E:$E,ТГ_ИД!$B:$B,ТГ!$G$11,ТГ_ИД!$D:$D,ТГ!$A136)</f>
        <v>0</v>
      </c>
      <c r="T135" s="130">
        <f>SUMIFS(ТГ_ИД!$E:$E,ТГ_ИД!$B:$B,ТГ!$G$12,ТГ_ИД!$D:$D,ТГ!$A136)</f>
        <v>0</v>
      </c>
      <c r="U135" s="130">
        <f>SUMIFS(ТГ_ИД!$E:$E,ТГ_ИД!$B:$B,ТГ!$G$13,ТГ_ИД!$D:$D,ТГ!$A136)</f>
        <v>0</v>
      </c>
      <c r="V135" s="130">
        <f>SUMIFS(ТГ_ИД!$E:$E,ТГ_ИД!$B:$B,ТГ!$G$14,ТГ_ИД!$D:$D,ТГ!$A136)</f>
        <v>0</v>
      </c>
    </row>
    <row r="136" spans="1:22" x14ac:dyDescent="0.25">
      <c r="A136" s="116" t="str">
        <f t="shared" si="3"/>
        <v>07094</v>
      </c>
      <c r="B136" s="1">
        <v>7094</v>
      </c>
      <c r="C136" s="1" t="s">
        <v>214</v>
      </c>
      <c r="K136" s="130">
        <f>SUMIFS(ТГ_ИД!$E:$E,ТГ_ИД!$B:$B,ТГ!$G$3,ТГ_ИД!$D:$D,ТГ!$A137)</f>
        <v>1028.43</v>
      </c>
      <c r="L136" s="130">
        <f>SUMIFS(ТГ_ИД!$E:$E,ТГ_ИД!$B:$B,ТГ!$G$4,ТГ_ИД!$D:$D,ТГ!$A137)</f>
        <v>0</v>
      </c>
      <c r="M136" s="130">
        <f>SUMIFS(ТГ_ИД!$E:$E,ТГ_ИД!$B:$B,ТГ!$G$5,ТГ_ИД!$D:$D,ТГ!$A137)</f>
        <v>0</v>
      </c>
      <c r="N136" s="130">
        <f>SUMIFS(ТГ_ИД!$E:$E,ТГ_ИД!$B:$B,ТГ!$G$6,ТГ_ИД!$D:$D,ТГ!$A137)</f>
        <v>0</v>
      </c>
      <c r="O136" s="130">
        <f>SUMIFS(ТГ_ИД!$E:$E,ТГ_ИД!$B:$B,ТГ!$G$7,ТГ_ИД!$D:$D,ТГ!$A137)</f>
        <v>0</v>
      </c>
      <c r="P136" s="130">
        <f>SUMIFS(ТГ_ИД!$E:$E,ТГ_ИД!$B:$B,ТГ!$G$8,ТГ_ИД!$D:$D,ТГ!$A137)</f>
        <v>0</v>
      </c>
      <c r="Q136" s="130">
        <f>SUMIFS(ТГ_ИД!$E:$E,ТГ_ИД!$B:$B,ТГ!$G$9,ТГ_ИД!$D:$D,ТГ!$A137)</f>
        <v>0</v>
      </c>
      <c r="R136" s="130">
        <f>SUMIFS(ТГ_ИД!$E:$E,ТГ_ИД!$B:$B,ТГ!$G$10,ТГ_ИД!$D:$D,ТГ!$A137)</f>
        <v>0</v>
      </c>
      <c r="S136" s="130">
        <f>SUMIFS(ТГ_ИД!$E:$E,ТГ_ИД!$B:$B,ТГ!$G$11,ТГ_ИД!$D:$D,ТГ!$A137)</f>
        <v>0</v>
      </c>
      <c r="T136" s="130">
        <f>SUMIFS(ТГ_ИД!$E:$E,ТГ_ИД!$B:$B,ТГ!$G$12,ТГ_ИД!$D:$D,ТГ!$A137)</f>
        <v>0</v>
      </c>
      <c r="U136" s="130">
        <f>SUMIFS(ТГ_ИД!$E:$E,ТГ_ИД!$B:$B,ТГ!$G$13,ТГ_ИД!$D:$D,ТГ!$A137)</f>
        <v>0</v>
      </c>
      <c r="V136" s="130">
        <f>SUMIFS(ТГ_ИД!$E:$E,ТГ_ИД!$B:$B,ТГ!$G$14,ТГ_ИД!$D:$D,ТГ!$A137)</f>
        <v>0</v>
      </c>
    </row>
    <row r="137" spans="1:22" x14ac:dyDescent="0.25">
      <c r="A137" s="116" t="str">
        <f t="shared" si="3"/>
        <v>07095</v>
      </c>
      <c r="B137" s="1">
        <v>7095</v>
      </c>
      <c r="C137" s="1" t="s">
        <v>215</v>
      </c>
      <c r="K137" s="130">
        <f>SUMIFS(ТГ_ИД!$E:$E,ТГ_ИД!$B:$B,ТГ!$G$3,ТГ_ИД!$D:$D,ТГ!$A138)</f>
        <v>1158.94</v>
      </c>
      <c r="L137" s="130">
        <f>SUMIFS(ТГ_ИД!$E:$E,ТГ_ИД!$B:$B,ТГ!$G$4,ТГ_ИД!$D:$D,ТГ!$A138)</f>
        <v>0</v>
      </c>
      <c r="M137" s="130">
        <f>SUMIFS(ТГ_ИД!$E:$E,ТГ_ИД!$B:$B,ТГ!$G$5,ТГ_ИД!$D:$D,ТГ!$A138)</f>
        <v>0</v>
      </c>
      <c r="N137" s="130">
        <f>SUMIFS(ТГ_ИД!$E:$E,ТГ_ИД!$B:$B,ТГ!$G$6,ТГ_ИД!$D:$D,ТГ!$A138)</f>
        <v>0</v>
      </c>
      <c r="O137" s="130">
        <f>SUMIFS(ТГ_ИД!$E:$E,ТГ_ИД!$B:$B,ТГ!$G$7,ТГ_ИД!$D:$D,ТГ!$A138)</f>
        <v>0</v>
      </c>
      <c r="P137" s="130">
        <f>SUMIFS(ТГ_ИД!$E:$E,ТГ_ИД!$B:$B,ТГ!$G$8,ТГ_ИД!$D:$D,ТГ!$A138)</f>
        <v>0</v>
      </c>
      <c r="Q137" s="130">
        <f>SUMIFS(ТГ_ИД!$E:$E,ТГ_ИД!$B:$B,ТГ!$G$9,ТГ_ИД!$D:$D,ТГ!$A138)</f>
        <v>0</v>
      </c>
      <c r="R137" s="130">
        <f>SUMIFS(ТГ_ИД!$E:$E,ТГ_ИД!$B:$B,ТГ!$G$10,ТГ_ИД!$D:$D,ТГ!$A138)</f>
        <v>0</v>
      </c>
      <c r="S137" s="130">
        <f>SUMIFS(ТГ_ИД!$E:$E,ТГ_ИД!$B:$B,ТГ!$G$11,ТГ_ИД!$D:$D,ТГ!$A138)</f>
        <v>0</v>
      </c>
      <c r="T137" s="130">
        <f>SUMIFS(ТГ_ИД!$E:$E,ТГ_ИД!$B:$B,ТГ!$G$12,ТГ_ИД!$D:$D,ТГ!$A138)</f>
        <v>0</v>
      </c>
      <c r="U137" s="130">
        <f>SUMIFS(ТГ_ИД!$E:$E,ТГ_ИД!$B:$B,ТГ!$G$13,ТГ_ИД!$D:$D,ТГ!$A138)</f>
        <v>0</v>
      </c>
      <c r="V137" s="130">
        <f>SUMIFS(ТГ_ИД!$E:$E,ТГ_ИД!$B:$B,ТГ!$G$14,ТГ_ИД!$D:$D,ТГ!$A138)</f>
        <v>0</v>
      </c>
    </row>
    <row r="138" spans="1:22" x14ac:dyDescent="0.25">
      <c r="A138" s="116" t="str">
        <f t="shared" si="3"/>
        <v>07096</v>
      </c>
      <c r="B138" s="1">
        <v>7096</v>
      </c>
      <c r="C138" s="1" t="s">
        <v>216</v>
      </c>
      <c r="K138" s="130">
        <f>SUMIFS(ТГ_ИД!$E:$E,ТГ_ИД!$B:$B,ТГ!$G$3,ТГ_ИД!$D:$D,ТГ!$A139)</f>
        <v>0</v>
      </c>
      <c r="L138" s="130">
        <f>SUMIFS(ТГ_ИД!$E:$E,ТГ_ИД!$B:$B,ТГ!$G$4,ТГ_ИД!$D:$D,ТГ!$A139)</f>
        <v>0</v>
      </c>
      <c r="M138" s="130">
        <f>SUMIFS(ТГ_ИД!$E:$E,ТГ_ИД!$B:$B,ТГ!$G$5,ТГ_ИД!$D:$D,ТГ!$A139)</f>
        <v>0</v>
      </c>
      <c r="N138" s="130">
        <f>SUMIFS(ТГ_ИД!$E:$E,ТГ_ИД!$B:$B,ТГ!$G$6,ТГ_ИД!$D:$D,ТГ!$A139)</f>
        <v>0</v>
      </c>
      <c r="O138" s="130">
        <f>SUMIFS(ТГ_ИД!$E:$E,ТГ_ИД!$B:$B,ТГ!$G$7,ТГ_ИД!$D:$D,ТГ!$A139)</f>
        <v>0</v>
      </c>
      <c r="P138" s="130">
        <f>SUMIFS(ТГ_ИД!$E:$E,ТГ_ИД!$B:$B,ТГ!$G$8,ТГ_ИД!$D:$D,ТГ!$A139)</f>
        <v>0</v>
      </c>
      <c r="Q138" s="130">
        <f>SUMIFS(ТГ_ИД!$E:$E,ТГ_ИД!$B:$B,ТГ!$G$9,ТГ_ИД!$D:$D,ТГ!$A139)</f>
        <v>0</v>
      </c>
      <c r="R138" s="130">
        <f>SUMIFS(ТГ_ИД!$E:$E,ТГ_ИД!$B:$B,ТГ!$G$10,ТГ_ИД!$D:$D,ТГ!$A139)</f>
        <v>0</v>
      </c>
      <c r="S138" s="130">
        <f>SUMIFS(ТГ_ИД!$E:$E,ТГ_ИД!$B:$B,ТГ!$G$11,ТГ_ИД!$D:$D,ТГ!$A139)</f>
        <v>0</v>
      </c>
      <c r="T138" s="130">
        <f>SUMIFS(ТГ_ИД!$E:$E,ТГ_ИД!$B:$B,ТГ!$G$12,ТГ_ИД!$D:$D,ТГ!$A139)</f>
        <v>0</v>
      </c>
      <c r="U138" s="130">
        <f>SUMIFS(ТГ_ИД!$E:$E,ТГ_ИД!$B:$B,ТГ!$G$13,ТГ_ИД!$D:$D,ТГ!$A139)</f>
        <v>0</v>
      </c>
      <c r="V138" s="130">
        <f>SUMIFS(ТГ_ИД!$E:$E,ТГ_ИД!$B:$B,ТГ!$G$14,ТГ_ИД!$D:$D,ТГ!$A139)</f>
        <v>0</v>
      </c>
    </row>
    <row r="139" spans="1:22" x14ac:dyDescent="0.25">
      <c r="A139" s="116" t="str">
        <f t="shared" si="3"/>
        <v>07097</v>
      </c>
      <c r="B139" s="1">
        <v>7097</v>
      </c>
      <c r="C139" s="1" t="s">
        <v>217</v>
      </c>
      <c r="K139" s="130">
        <f>SUMIFS(ТГ_ИД!$E:$E,ТГ_ИД!$B:$B,ТГ!$G$3,ТГ_ИД!$D:$D,ТГ!$A140)</f>
        <v>7701.84</v>
      </c>
      <c r="L139" s="130">
        <f>SUMIFS(ТГ_ИД!$E:$E,ТГ_ИД!$B:$B,ТГ!$G$4,ТГ_ИД!$D:$D,ТГ!$A140)</f>
        <v>0</v>
      </c>
      <c r="M139" s="130">
        <f>SUMIFS(ТГ_ИД!$E:$E,ТГ_ИД!$B:$B,ТГ!$G$5,ТГ_ИД!$D:$D,ТГ!$A140)</f>
        <v>0</v>
      </c>
      <c r="N139" s="130">
        <f>SUMIFS(ТГ_ИД!$E:$E,ТГ_ИД!$B:$B,ТГ!$G$6,ТГ_ИД!$D:$D,ТГ!$A140)</f>
        <v>0</v>
      </c>
      <c r="O139" s="130">
        <f>SUMIFS(ТГ_ИД!$E:$E,ТГ_ИД!$B:$B,ТГ!$G$7,ТГ_ИД!$D:$D,ТГ!$A140)</f>
        <v>0</v>
      </c>
      <c r="P139" s="130">
        <f>SUMIFS(ТГ_ИД!$E:$E,ТГ_ИД!$B:$B,ТГ!$G$8,ТГ_ИД!$D:$D,ТГ!$A140)</f>
        <v>0</v>
      </c>
      <c r="Q139" s="130">
        <f>SUMIFS(ТГ_ИД!$E:$E,ТГ_ИД!$B:$B,ТГ!$G$9,ТГ_ИД!$D:$D,ТГ!$A140)</f>
        <v>0</v>
      </c>
      <c r="R139" s="130">
        <f>SUMIFS(ТГ_ИД!$E:$E,ТГ_ИД!$B:$B,ТГ!$G$10,ТГ_ИД!$D:$D,ТГ!$A140)</f>
        <v>0</v>
      </c>
      <c r="S139" s="130">
        <f>SUMIFS(ТГ_ИД!$E:$E,ТГ_ИД!$B:$B,ТГ!$G$11,ТГ_ИД!$D:$D,ТГ!$A140)</f>
        <v>0</v>
      </c>
      <c r="T139" s="130">
        <f>SUMIFS(ТГ_ИД!$E:$E,ТГ_ИД!$B:$B,ТГ!$G$12,ТГ_ИД!$D:$D,ТГ!$A140)</f>
        <v>0</v>
      </c>
      <c r="U139" s="130">
        <f>SUMIFS(ТГ_ИД!$E:$E,ТГ_ИД!$B:$B,ТГ!$G$13,ТГ_ИД!$D:$D,ТГ!$A140)</f>
        <v>0</v>
      </c>
      <c r="V139" s="130">
        <f>SUMIFS(ТГ_ИД!$E:$E,ТГ_ИД!$B:$B,ТГ!$G$14,ТГ_ИД!$D:$D,ТГ!$A140)</f>
        <v>0</v>
      </c>
    </row>
    <row r="140" spans="1:22" x14ac:dyDescent="0.25">
      <c r="A140" s="116" t="str">
        <f t="shared" si="3"/>
        <v>07098</v>
      </c>
      <c r="B140" s="1">
        <v>7098</v>
      </c>
      <c r="C140" s="1" t="s">
        <v>218</v>
      </c>
      <c r="K140" s="130">
        <f>SUMIFS(ТГ_ИД!$E:$E,ТГ_ИД!$B:$B,ТГ!$G$3,ТГ_ИД!$D:$D,ТГ!$A141)</f>
        <v>350.35</v>
      </c>
      <c r="L140" s="130">
        <f>SUMIFS(ТГ_ИД!$E:$E,ТГ_ИД!$B:$B,ТГ!$G$4,ТГ_ИД!$D:$D,ТГ!$A141)</f>
        <v>0</v>
      </c>
      <c r="M140" s="130">
        <f>SUMIFS(ТГ_ИД!$E:$E,ТГ_ИД!$B:$B,ТГ!$G$5,ТГ_ИД!$D:$D,ТГ!$A141)</f>
        <v>0</v>
      </c>
      <c r="N140" s="130">
        <f>SUMIFS(ТГ_ИД!$E:$E,ТГ_ИД!$B:$B,ТГ!$G$6,ТГ_ИД!$D:$D,ТГ!$A141)</f>
        <v>0</v>
      </c>
      <c r="O140" s="130">
        <f>SUMIFS(ТГ_ИД!$E:$E,ТГ_ИД!$B:$B,ТГ!$G$7,ТГ_ИД!$D:$D,ТГ!$A141)</f>
        <v>0</v>
      </c>
      <c r="P140" s="130">
        <f>SUMIFS(ТГ_ИД!$E:$E,ТГ_ИД!$B:$B,ТГ!$G$8,ТГ_ИД!$D:$D,ТГ!$A141)</f>
        <v>0</v>
      </c>
      <c r="Q140" s="130">
        <f>SUMIFS(ТГ_ИД!$E:$E,ТГ_ИД!$B:$B,ТГ!$G$9,ТГ_ИД!$D:$D,ТГ!$A141)</f>
        <v>0</v>
      </c>
      <c r="R140" s="130">
        <f>SUMIFS(ТГ_ИД!$E:$E,ТГ_ИД!$B:$B,ТГ!$G$10,ТГ_ИД!$D:$D,ТГ!$A141)</f>
        <v>0</v>
      </c>
      <c r="S140" s="130">
        <f>SUMIFS(ТГ_ИД!$E:$E,ТГ_ИД!$B:$B,ТГ!$G$11,ТГ_ИД!$D:$D,ТГ!$A141)</f>
        <v>0</v>
      </c>
      <c r="T140" s="130">
        <f>SUMIFS(ТГ_ИД!$E:$E,ТГ_ИД!$B:$B,ТГ!$G$12,ТГ_ИД!$D:$D,ТГ!$A141)</f>
        <v>0</v>
      </c>
      <c r="U140" s="130">
        <f>SUMIFS(ТГ_ИД!$E:$E,ТГ_ИД!$B:$B,ТГ!$G$13,ТГ_ИД!$D:$D,ТГ!$A141)</f>
        <v>0</v>
      </c>
      <c r="V140" s="130">
        <f>SUMIFS(ТГ_ИД!$E:$E,ТГ_ИД!$B:$B,ТГ!$G$14,ТГ_ИД!$D:$D,ТГ!$A141)</f>
        <v>0</v>
      </c>
    </row>
    <row r="141" spans="1:22" x14ac:dyDescent="0.25">
      <c r="A141" s="116" t="str">
        <f t="shared" si="3"/>
        <v>07099</v>
      </c>
      <c r="B141" s="1">
        <v>7099</v>
      </c>
      <c r="C141" s="1" t="s">
        <v>219</v>
      </c>
      <c r="K141" s="130">
        <f>SUMIFS(ТГ_ИД!$E:$E,ТГ_ИД!$B:$B,ТГ!$G$3,ТГ_ИД!$D:$D,ТГ!$A142)</f>
        <v>0</v>
      </c>
      <c r="L141" s="130">
        <f>SUMIFS(ТГ_ИД!$E:$E,ТГ_ИД!$B:$B,ТГ!$G$4,ТГ_ИД!$D:$D,ТГ!$A142)</f>
        <v>0</v>
      </c>
      <c r="M141" s="130">
        <f>SUMIFS(ТГ_ИД!$E:$E,ТГ_ИД!$B:$B,ТГ!$G$5,ТГ_ИД!$D:$D,ТГ!$A142)</f>
        <v>0</v>
      </c>
      <c r="N141" s="130">
        <f>SUMIFS(ТГ_ИД!$E:$E,ТГ_ИД!$B:$B,ТГ!$G$6,ТГ_ИД!$D:$D,ТГ!$A142)</f>
        <v>0</v>
      </c>
      <c r="O141" s="130">
        <f>SUMIFS(ТГ_ИД!$E:$E,ТГ_ИД!$B:$B,ТГ!$G$7,ТГ_ИД!$D:$D,ТГ!$A142)</f>
        <v>0</v>
      </c>
      <c r="P141" s="130">
        <f>SUMIFS(ТГ_ИД!$E:$E,ТГ_ИД!$B:$B,ТГ!$G$8,ТГ_ИД!$D:$D,ТГ!$A142)</f>
        <v>0</v>
      </c>
      <c r="Q141" s="130">
        <f>SUMIFS(ТГ_ИД!$E:$E,ТГ_ИД!$B:$B,ТГ!$G$9,ТГ_ИД!$D:$D,ТГ!$A142)</f>
        <v>0</v>
      </c>
      <c r="R141" s="130">
        <f>SUMIFS(ТГ_ИД!$E:$E,ТГ_ИД!$B:$B,ТГ!$G$10,ТГ_ИД!$D:$D,ТГ!$A142)</f>
        <v>0</v>
      </c>
      <c r="S141" s="130">
        <f>SUMIFS(ТГ_ИД!$E:$E,ТГ_ИД!$B:$B,ТГ!$G$11,ТГ_ИД!$D:$D,ТГ!$A142)</f>
        <v>0</v>
      </c>
      <c r="T141" s="130">
        <f>SUMIFS(ТГ_ИД!$E:$E,ТГ_ИД!$B:$B,ТГ!$G$12,ТГ_ИД!$D:$D,ТГ!$A142)</f>
        <v>0</v>
      </c>
      <c r="U141" s="130">
        <f>SUMIFS(ТГ_ИД!$E:$E,ТГ_ИД!$B:$B,ТГ!$G$13,ТГ_ИД!$D:$D,ТГ!$A142)</f>
        <v>0</v>
      </c>
      <c r="V141" s="130">
        <f>SUMIFS(ТГ_ИД!$E:$E,ТГ_ИД!$B:$B,ТГ!$G$14,ТГ_ИД!$D:$D,ТГ!$A142)</f>
        <v>0</v>
      </c>
    </row>
    <row r="142" spans="1:22" x14ac:dyDescent="0.25">
      <c r="A142" s="116" t="str">
        <f t="shared" si="3"/>
        <v/>
      </c>
      <c r="K142" s="130">
        <f>SUMIFS(ТГ_ИД!$E:$E,ТГ_ИД!$B:$B,ТГ!$G$3,ТГ_ИД!$D:$D,ТГ!$A143)</f>
        <v>0</v>
      </c>
      <c r="L142" s="130">
        <f>SUMIFS(ТГ_ИД!$E:$E,ТГ_ИД!$B:$B,ТГ!$G$4,ТГ_ИД!$D:$D,ТГ!$A143)</f>
        <v>0</v>
      </c>
      <c r="M142" s="130">
        <f>SUMIFS(ТГ_ИД!$E:$E,ТГ_ИД!$B:$B,ТГ!$G$5,ТГ_ИД!$D:$D,ТГ!$A143)</f>
        <v>0</v>
      </c>
      <c r="N142" s="130">
        <f>SUMIFS(ТГ_ИД!$E:$E,ТГ_ИД!$B:$B,ТГ!$G$6,ТГ_ИД!$D:$D,ТГ!$A143)</f>
        <v>0</v>
      </c>
      <c r="O142" s="130">
        <f>SUMIFS(ТГ_ИД!$E:$E,ТГ_ИД!$B:$B,ТГ!$G$7,ТГ_ИД!$D:$D,ТГ!$A143)</f>
        <v>0</v>
      </c>
      <c r="P142" s="130">
        <f>SUMIFS(ТГ_ИД!$E:$E,ТГ_ИД!$B:$B,ТГ!$G$8,ТГ_ИД!$D:$D,ТГ!$A143)</f>
        <v>0</v>
      </c>
      <c r="Q142" s="130">
        <f>SUMIFS(ТГ_ИД!$E:$E,ТГ_ИД!$B:$B,ТГ!$G$9,ТГ_ИД!$D:$D,ТГ!$A143)</f>
        <v>0</v>
      </c>
      <c r="R142" s="130">
        <f>SUMIFS(ТГ_ИД!$E:$E,ТГ_ИД!$B:$B,ТГ!$G$10,ТГ_ИД!$D:$D,ТГ!$A143)</f>
        <v>0</v>
      </c>
      <c r="S142" s="130">
        <f>SUMIFS(ТГ_ИД!$E:$E,ТГ_ИД!$B:$B,ТГ!$G$11,ТГ_ИД!$D:$D,ТГ!$A143)</f>
        <v>0</v>
      </c>
      <c r="T142" s="130">
        <f>SUMIFS(ТГ_ИД!$E:$E,ТГ_ИД!$B:$B,ТГ!$G$12,ТГ_ИД!$D:$D,ТГ!$A143)</f>
        <v>0</v>
      </c>
      <c r="U142" s="130">
        <f>SUMIFS(ТГ_ИД!$E:$E,ТГ_ИД!$B:$B,ТГ!$G$13,ТГ_ИД!$D:$D,ТГ!$A143)</f>
        <v>0</v>
      </c>
      <c r="V142" s="130">
        <f>SUMIFS(ТГ_ИД!$E:$E,ТГ_ИД!$B:$B,ТГ!$G$14,ТГ_ИД!$D:$D,ТГ!$A143)</f>
        <v>0</v>
      </c>
    </row>
    <row r="143" spans="1:22" x14ac:dyDescent="0.25">
      <c r="A143" s="116" t="str">
        <f t="shared" si="3"/>
        <v/>
      </c>
      <c r="K143" s="130">
        <f>SUMIFS(ТГ_ИД!$E:$E,ТГ_ИД!$B:$B,ТГ!$G$3,ТГ_ИД!$D:$D,ТГ!$A144)</f>
        <v>0</v>
      </c>
      <c r="L143" s="130">
        <f>SUMIFS(ТГ_ИД!$E:$E,ТГ_ИД!$B:$B,ТГ!$G$4,ТГ_ИД!$D:$D,ТГ!$A144)</f>
        <v>0</v>
      </c>
      <c r="M143" s="130">
        <f>SUMIFS(ТГ_ИД!$E:$E,ТГ_ИД!$B:$B,ТГ!$G$5,ТГ_ИД!$D:$D,ТГ!$A144)</f>
        <v>0</v>
      </c>
      <c r="N143" s="130">
        <f>SUMIFS(ТГ_ИД!$E:$E,ТГ_ИД!$B:$B,ТГ!$G$6,ТГ_ИД!$D:$D,ТГ!$A144)</f>
        <v>0</v>
      </c>
      <c r="O143" s="130">
        <f>SUMIFS(ТГ_ИД!$E:$E,ТГ_ИД!$B:$B,ТГ!$G$7,ТГ_ИД!$D:$D,ТГ!$A144)</f>
        <v>0</v>
      </c>
      <c r="P143" s="130">
        <f>SUMIFS(ТГ_ИД!$E:$E,ТГ_ИД!$B:$B,ТГ!$G$8,ТГ_ИД!$D:$D,ТГ!$A144)</f>
        <v>0</v>
      </c>
      <c r="Q143" s="130">
        <f>SUMIFS(ТГ_ИД!$E:$E,ТГ_ИД!$B:$B,ТГ!$G$9,ТГ_ИД!$D:$D,ТГ!$A144)</f>
        <v>0</v>
      </c>
      <c r="R143" s="130">
        <f>SUMIFS(ТГ_ИД!$E:$E,ТГ_ИД!$B:$B,ТГ!$G$10,ТГ_ИД!$D:$D,ТГ!$A144)</f>
        <v>0</v>
      </c>
      <c r="S143" s="130">
        <f>SUMIFS(ТГ_ИД!$E:$E,ТГ_ИД!$B:$B,ТГ!$G$11,ТГ_ИД!$D:$D,ТГ!$A144)</f>
        <v>0</v>
      </c>
      <c r="T143" s="130">
        <f>SUMIFS(ТГ_ИД!$E:$E,ТГ_ИД!$B:$B,ТГ!$G$12,ТГ_ИД!$D:$D,ТГ!$A144)</f>
        <v>0</v>
      </c>
      <c r="U143" s="130">
        <f>SUMIFS(ТГ_ИД!$E:$E,ТГ_ИД!$B:$B,ТГ!$G$13,ТГ_ИД!$D:$D,ТГ!$A144)</f>
        <v>0</v>
      </c>
      <c r="V143" s="130">
        <f>SUMIFS(ТГ_ИД!$E:$E,ТГ_ИД!$B:$B,ТГ!$G$14,ТГ_ИД!$D:$D,ТГ!$A144)</f>
        <v>0</v>
      </c>
    </row>
    <row r="144" spans="1:22" x14ac:dyDescent="0.25">
      <c r="A144" s="116" t="str">
        <f t="shared" si="3"/>
        <v/>
      </c>
      <c r="K144" s="130">
        <f>SUMIFS(ТГ_ИД!$E:$E,ТГ_ИД!$B:$B,ТГ!$G$3,ТГ_ИД!$D:$D,ТГ!$A145)</f>
        <v>0</v>
      </c>
      <c r="L144" s="130">
        <f>SUMIFS(ТГ_ИД!$E:$E,ТГ_ИД!$B:$B,ТГ!$G$4,ТГ_ИД!$D:$D,ТГ!$A145)</f>
        <v>0</v>
      </c>
      <c r="M144" s="130">
        <f>SUMIFS(ТГ_ИД!$E:$E,ТГ_ИД!$B:$B,ТГ!$G$5,ТГ_ИД!$D:$D,ТГ!$A145)</f>
        <v>0</v>
      </c>
      <c r="N144" s="130">
        <f>SUMIFS(ТГ_ИД!$E:$E,ТГ_ИД!$B:$B,ТГ!$G$6,ТГ_ИД!$D:$D,ТГ!$A145)</f>
        <v>0</v>
      </c>
      <c r="O144" s="130">
        <f>SUMIFS(ТГ_ИД!$E:$E,ТГ_ИД!$B:$B,ТГ!$G$7,ТГ_ИД!$D:$D,ТГ!$A145)</f>
        <v>0</v>
      </c>
      <c r="P144" s="130">
        <f>SUMIFS(ТГ_ИД!$E:$E,ТГ_ИД!$B:$B,ТГ!$G$8,ТГ_ИД!$D:$D,ТГ!$A145)</f>
        <v>0</v>
      </c>
      <c r="Q144" s="130">
        <f>SUMIFS(ТГ_ИД!$E:$E,ТГ_ИД!$B:$B,ТГ!$G$9,ТГ_ИД!$D:$D,ТГ!$A145)</f>
        <v>0</v>
      </c>
      <c r="R144" s="130">
        <f>SUMIFS(ТГ_ИД!$E:$E,ТГ_ИД!$B:$B,ТГ!$G$10,ТГ_ИД!$D:$D,ТГ!$A145)</f>
        <v>0</v>
      </c>
      <c r="S144" s="130">
        <f>SUMIFS(ТГ_ИД!$E:$E,ТГ_ИД!$B:$B,ТГ!$G$11,ТГ_ИД!$D:$D,ТГ!$A145)</f>
        <v>0</v>
      </c>
      <c r="T144" s="130">
        <f>SUMIFS(ТГ_ИД!$E:$E,ТГ_ИД!$B:$B,ТГ!$G$12,ТГ_ИД!$D:$D,ТГ!$A145)</f>
        <v>0</v>
      </c>
      <c r="U144" s="130">
        <f>SUMIFS(ТГ_ИД!$E:$E,ТГ_ИД!$B:$B,ТГ!$G$13,ТГ_ИД!$D:$D,ТГ!$A145)</f>
        <v>0</v>
      </c>
      <c r="V144" s="130">
        <f>SUMIFS(ТГ_ИД!$E:$E,ТГ_ИД!$B:$B,ТГ!$G$14,ТГ_ИД!$D:$D,ТГ!$A145)</f>
        <v>0</v>
      </c>
    </row>
    <row r="145" spans="1:22" x14ac:dyDescent="0.25">
      <c r="A145" s="116" t="str">
        <f t="shared" si="3"/>
        <v/>
      </c>
      <c r="K145" s="130">
        <f>SUMIFS(ТГ_ИД!$E:$E,ТГ_ИД!$B:$B,ТГ!$G$3,ТГ_ИД!$D:$D,ТГ!$A146)</f>
        <v>0</v>
      </c>
      <c r="L145" s="130">
        <f>SUMIFS(ТГ_ИД!$E:$E,ТГ_ИД!$B:$B,ТГ!$G$4,ТГ_ИД!$D:$D,ТГ!$A146)</f>
        <v>0</v>
      </c>
      <c r="M145" s="130">
        <f>SUMIFS(ТГ_ИД!$E:$E,ТГ_ИД!$B:$B,ТГ!$G$5,ТГ_ИД!$D:$D,ТГ!$A146)</f>
        <v>0</v>
      </c>
      <c r="N145" s="130">
        <f>SUMIFS(ТГ_ИД!$E:$E,ТГ_ИД!$B:$B,ТГ!$G$6,ТГ_ИД!$D:$D,ТГ!$A146)</f>
        <v>0</v>
      </c>
      <c r="O145" s="130">
        <f>SUMIFS(ТГ_ИД!$E:$E,ТГ_ИД!$B:$B,ТГ!$G$7,ТГ_ИД!$D:$D,ТГ!$A146)</f>
        <v>0</v>
      </c>
      <c r="P145" s="130">
        <f>SUMIFS(ТГ_ИД!$E:$E,ТГ_ИД!$B:$B,ТГ!$G$8,ТГ_ИД!$D:$D,ТГ!$A146)</f>
        <v>0</v>
      </c>
      <c r="Q145" s="130">
        <f>SUMIFS(ТГ_ИД!$E:$E,ТГ_ИД!$B:$B,ТГ!$G$9,ТГ_ИД!$D:$D,ТГ!$A146)</f>
        <v>0</v>
      </c>
      <c r="R145" s="130">
        <f>SUMIFS(ТГ_ИД!$E:$E,ТГ_ИД!$B:$B,ТГ!$G$10,ТГ_ИД!$D:$D,ТГ!$A146)</f>
        <v>0</v>
      </c>
      <c r="S145" s="130">
        <f>SUMIFS(ТГ_ИД!$E:$E,ТГ_ИД!$B:$B,ТГ!$G$11,ТГ_ИД!$D:$D,ТГ!$A146)</f>
        <v>0</v>
      </c>
      <c r="T145" s="130">
        <f>SUMIFS(ТГ_ИД!$E:$E,ТГ_ИД!$B:$B,ТГ!$G$12,ТГ_ИД!$D:$D,ТГ!$A146)</f>
        <v>0</v>
      </c>
      <c r="U145" s="130">
        <f>SUMIFS(ТГ_ИД!$E:$E,ТГ_ИД!$B:$B,ТГ!$G$13,ТГ_ИД!$D:$D,ТГ!$A146)</f>
        <v>0</v>
      </c>
      <c r="V145" s="130">
        <f>SUMIFS(ТГ_ИД!$E:$E,ТГ_ИД!$B:$B,ТГ!$G$14,ТГ_ИД!$D:$D,ТГ!$A146)</f>
        <v>0</v>
      </c>
    </row>
    <row r="146" spans="1:22" x14ac:dyDescent="0.25">
      <c r="A146" s="116" t="str">
        <f t="shared" si="3"/>
        <v/>
      </c>
      <c r="K146" s="130">
        <f>SUMIFS(ТГ_ИД!$E:$E,ТГ_ИД!$B:$B,ТГ!$G$3,ТГ_ИД!$D:$D,ТГ!$A147)</f>
        <v>0</v>
      </c>
      <c r="L146" s="130">
        <f>SUMIFS(ТГ_ИД!$E:$E,ТГ_ИД!$B:$B,ТГ!$G$4,ТГ_ИД!$D:$D,ТГ!$A147)</f>
        <v>0</v>
      </c>
      <c r="M146" s="130">
        <f>SUMIFS(ТГ_ИД!$E:$E,ТГ_ИД!$B:$B,ТГ!$G$5,ТГ_ИД!$D:$D,ТГ!$A147)</f>
        <v>0</v>
      </c>
      <c r="N146" s="130">
        <f>SUMIFS(ТГ_ИД!$E:$E,ТГ_ИД!$B:$B,ТГ!$G$6,ТГ_ИД!$D:$D,ТГ!$A147)</f>
        <v>0</v>
      </c>
      <c r="O146" s="130">
        <f>SUMIFS(ТГ_ИД!$E:$E,ТГ_ИД!$B:$B,ТГ!$G$7,ТГ_ИД!$D:$D,ТГ!$A147)</f>
        <v>0</v>
      </c>
      <c r="P146" s="130">
        <f>SUMIFS(ТГ_ИД!$E:$E,ТГ_ИД!$B:$B,ТГ!$G$8,ТГ_ИД!$D:$D,ТГ!$A147)</f>
        <v>0</v>
      </c>
      <c r="Q146" s="130">
        <f>SUMIFS(ТГ_ИД!$E:$E,ТГ_ИД!$B:$B,ТГ!$G$9,ТГ_ИД!$D:$D,ТГ!$A147)</f>
        <v>0</v>
      </c>
      <c r="R146" s="130">
        <f>SUMIFS(ТГ_ИД!$E:$E,ТГ_ИД!$B:$B,ТГ!$G$10,ТГ_ИД!$D:$D,ТГ!$A147)</f>
        <v>0</v>
      </c>
      <c r="S146" s="130">
        <f>SUMIFS(ТГ_ИД!$E:$E,ТГ_ИД!$B:$B,ТГ!$G$11,ТГ_ИД!$D:$D,ТГ!$A147)</f>
        <v>0</v>
      </c>
      <c r="T146" s="130">
        <f>SUMIFS(ТГ_ИД!$E:$E,ТГ_ИД!$B:$B,ТГ!$G$12,ТГ_ИД!$D:$D,ТГ!$A147)</f>
        <v>0</v>
      </c>
      <c r="U146" s="130">
        <f>SUMIFS(ТГ_ИД!$E:$E,ТГ_ИД!$B:$B,ТГ!$G$13,ТГ_ИД!$D:$D,ТГ!$A147)</f>
        <v>0</v>
      </c>
      <c r="V146" s="130">
        <f>SUMIFS(ТГ_ИД!$E:$E,ТГ_ИД!$B:$B,ТГ!$G$14,ТГ_ИД!$D:$D,ТГ!$A147)</f>
        <v>0</v>
      </c>
    </row>
    <row r="147" spans="1:22" x14ac:dyDescent="0.25">
      <c r="A147" s="116" t="str">
        <f t="shared" si="3"/>
        <v/>
      </c>
      <c r="K147" s="130">
        <f>SUMIFS(ТГ_ИД!$E:$E,ТГ_ИД!$B:$B,ТГ!$G$3,ТГ_ИД!$D:$D,ТГ!$A148)</f>
        <v>0</v>
      </c>
      <c r="L147" s="130">
        <f>SUMIFS(ТГ_ИД!$E:$E,ТГ_ИД!$B:$B,ТГ!$G$4,ТГ_ИД!$D:$D,ТГ!$A148)</f>
        <v>0</v>
      </c>
      <c r="M147" s="130">
        <f>SUMIFS(ТГ_ИД!$E:$E,ТГ_ИД!$B:$B,ТГ!$G$5,ТГ_ИД!$D:$D,ТГ!$A148)</f>
        <v>0</v>
      </c>
      <c r="N147" s="130">
        <f>SUMIFS(ТГ_ИД!$E:$E,ТГ_ИД!$B:$B,ТГ!$G$6,ТГ_ИД!$D:$D,ТГ!$A148)</f>
        <v>0</v>
      </c>
      <c r="O147" s="130">
        <f>SUMIFS(ТГ_ИД!$E:$E,ТГ_ИД!$B:$B,ТГ!$G$7,ТГ_ИД!$D:$D,ТГ!$A148)</f>
        <v>0</v>
      </c>
      <c r="P147" s="130">
        <f>SUMIFS(ТГ_ИД!$E:$E,ТГ_ИД!$B:$B,ТГ!$G$8,ТГ_ИД!$D:$D,ТГ!$A148)</f>
        <v>0</v>
      </c>
      <c r="Q147" s="130">
        <f>SUMIFS(ТГ_ИД!$E:$E,ТГ_ИД!$B:$B,ТГ!$G$9,ТГ_ИД!$D:$D,ТГ!$A148)</f>
        <v>0</v>
      </c>
      <c r="R147" s="130">
        <f>SUMIFS(ТГ_ИД!$E:$E,ТГ_ИД!$B:$B,ТГ!$G$10,ТГ_ИД!$D:$D,ТГ!$A148)</f>
        <v>0</v>
      </c>
      <c r="S147" s="130">
        <f>SUMIFS(ТГ_ИД!$E:$E,ТГ_ИД!$B:$B,ТГ!$G$11,ТГ_ИД!$D:$D,ТГ!$A148)</f>
        <v>0</v>
      </c>
      <c r="T147" s="130">
        <f>SUMIFS(ТГ_ИД!$E:$E,ТГ_ИД!$B:$B,ТГ!$G$12,ТГ_ИД!$D:$D,ТГ!$A148)</f>
        <v>0</v>
      </c>
      <c r="U147" s="130">
        <f>SUMIFS(ТГ_ИД!$E:$E,ТГ_ИД!$B:$B,ТГ!$G$13,ТГ_ИД!$D:$D,ТГ!$A148)</f>
        <v>0</v>
      </c>
      <c r="V147" s="130">
        <f>SUMIFS(ТГ_ИД!$E:$E,ТГ_ИД!$B:$B,ТГ!$G$14,ТГ_ИД!$D:$D,ТГ!$A148)</f>
        <v>0</v>
      </c>
    </row>
    <row r="148" spans="1:22" x14ac:dyDescent="0.25">
      <c r="A148" s="116" t="str">
        <f t="shared" si="3"/>
        <v/>
      </c>
      <c r="K148" s="130">
        <f>SUMIFS(ТГ_ИД!$E:$E,ТГ_ИД!$B:$B,ТГ!$G$3,ТГ_ИД!$D:$D,ТГ!$A149)</f>
        <v>0</v>
      </c>
      <c r="L148" s="130">
        <f>SUMIFS(ТГ_ИД!$E:$E,ТГ_ИД!$B:$B,ТГ!$G$4,ТГ_ИД!$D:$D,ТГ!$A149)</f>
        <v>0</v>
      </c>
      <c r="M148" s="130">
        <f>SUMIFS(ТГ_ИД!$E:$E,ТГ_ИД!$B:$B,ТГ!$G$5,ТГ_ИД!$D:$D,ТГ!$A149)</f>
        <v>0</v>
      </c>
      <c r="N148" s="130">
        <f>SUMIFS(ТГ_ИД!$E:$E,ТГ_ИД!$B:$B,ТГ!$G$6,ТГ_ИД!$D:$D,ТГ!$A149)</f>
        <v>0</v>
      </c>
      <c r="O148" s="130">
        <f>SUMIFS(ТГ_ИД!$E:$E,ТГ_ИД!$B:$B,ТГ!$G$7,ТГ_ИД!$D:$D,ТГ!$A149)</f>
        <v>0</v>
      </c>
      <c r="P148" s="130">
        <f>SUMIFS(ТГ_ИД!$E:$E,ТГ_ИД!$B:$B,ТГ!$G$8,ТГ_ИД!$D:$D,ТГ!$A149)</f>
        <v>0</v>
      </c>
      <c r="Q148" s="130">
        <f>SUMIFS(ТГ_ИД!$E:$E,ТГ_ИД!$B:$B,ТГ!$G$9,ТГ_ИД!$D:$D,ТГ!$A149)</f>
        <v>0</v>
      </c>
      <c r="R148" s="130">
        <f>SUMIFS(ТГ_ИД!$E:$E,ТГ_ИД!$B:$B,ТГ!$G$10,ТГ_ИД!$D:$D,ТГ!$A149)</f>
        <v>0</v>
      </c>
      <c r="S148" s="130">
        <f>SUMIFS(ТГ_ИД!$E:$E,ТГ_ИД!$B:$B,ТГ!$G$11,ТГ_ИД!$D:$D,ТГ!$A149)</f>
        <v>0</v>
      </c>
      <c r="T148" s="130">
        <f>SUMIFS(ТГ_ИД!$E:$E,ТГ_ИД!$B:$B,ТГ!$G$12,ТГ_ИД!$D:$D,ТГ!$A149)</f>
        <v>0</v>
      </c>
      <c r="U148" s="130">
        <f>SUMIFS(ТГ_ИД!$E:$E,ТГ_ИД!$B:$B,ТГ!$G$13,ТГ_ИД!$D:$D,ТГ!$A149)</f>
        <v>0</v>
      </c>
      <c r="V148" s="130">
        <f>SUMIFS(ТГ_ИД!$E:$E,ТГ_ИД!$B:$B,ТГ!$G$14,ТГ_ИД!$D:$D,ТГ!$A149)</f>
        <v>0</v>
      </c>
    </row>
    <row r="149" spans="1:22" x14ac:dyDescent="0.25">
      <c r="A149" s="116" t="str">
        <f t="shared" si="3"/>
        <v/>
      </c>
      <c r="K149" s="130">
        <f>SUMIFS(ТГ_ИД!$E:$E,ТГ_ИД!$B:$B,ТГ!$G$3,ТГ_ИД!$D:$D,ТГ!$A150)</f>
        <v>0</v>
      </c>
      <c r="L149" s="130">
        <f>SUMIFS(ТГ_ИД!$E:$E,ТГ_ИД!$B:$B,ТГ!$G$4,ТГ_ИД!$D:$D,ТГ!$A150)</f>
        <v>0</v>
      </c>
      <c r="M149" s="130">
        <f>SUMIFS(ТГ_ИД!$E:$E,ТГ_ИД!$B:$B,ТГ!$G$5,ТГ_ИД!$D:$D,ТГ!$A150)</f>
        <v>0</v>
      </c>
      <c r="N149" s="130">
        <f>SUMIFS(ТГ_ИД!$E:$E,ТГ_ИД!$B:$B,ТГ!$G$6,ТГ_ИД!$D:$D,ТГ!$A150)</f>
        <v>0</v>
      </c>
      <c r="O149" s="130">
        <f>SUMIFS(ТГ_ИД!$E:$E,ТГ_ИД!$B:$B,ТГ!$G$7,ТГ_ИД!$D:$D,ТГ!$A150)</f>
        <v>0</v>
      </c>
      <c r="P149" s="130">
        <f>SUMIFS(ТГ_ИД!$E:$E,ТГ_ИД!$B:$B,ТГ!$G$8,ТГ_ИД!$D:$D,ТГ!$A150)</f>
        <v>0</v>
      </c>
      <c r="Q149" s="130">
        <f>SUMIFS(ТГ_ИД!$E:$E,ТГ_ИД!$B:$B,ТГ!$G$9,ТГ_ИД!$D:$D,ТГ!$A150)</f>
        <v>0</v>
      </c>
      <c r="R149" s="130">
        <f>SUMIFS(ТГ_ИД!$E:$E,ТГ_ИД!$B:$B,ТГ!$G$10,ТГ_ИД!$D:$D,ТГ!$A150)</f>
        <v>0</v>
      </c>
      <c r="S149" s="130">
        <f>SUMIFS(ТГ_ИД!$E:$E,ТГ_ИД!$B:$B,ТГ!$G$11,ТГ_ИД!$D:$D,ТГ!$A150)</f>
        <v>0</v>
      </c>
      <c r="T149" s="130">
        <f>SUMIFS(ТГ_ИД!$E:$E,ТГ_ИД!$B:$B,ТГ!$G$12,ТГ_ИД!$D:$D,ТГ!$A150)</f>
        <v>0</v>
      </c>
      <c r="U149" s="130">
        <f>SUMIFS(ТГ_ИД!$E:$E,ТГ_ИД!$B:$B,ТГ!$G$13,ТГ_ИД!$D:$D,ТГ!$A150)</f>
        <v>0</v>
      </c>
      <c r="V149" s="130">
        <f>SUMIFS(ТГ_ИД!$E:$E,ТГ_ИД!$B:$B,ТГ!$G$14,ТГ_ИД!$D:$D,ТГ!$A150)</f>
        <v>0</v>
      </c>
    </row>
    <row r="150" spans="1:22" x14ac:dyDescent="0.25">
      <c r="A150" s="116" t="str">
        <f t="shared" si="3"/>
        <v/>
      </c>
      <c r="K150" s="130">
        <f>SUMIFS(ТГ_ИД!$E:$E,ТГ_ИД!$B:$B,ТГ!$G$3,ТГ_ИД!$D:$D,ТГ!$A151)</f>
        <v>0</v>
      </c>
      <c r="L150" s="130">
        <f>SUMIFS(ТГ_ИД!$E:$E,ТГ_ИД!$B:$B,ТГ!$G$4,ТГ_ИД!$D:$D,ТГ!$A151)</f>
        <v>0</v>
      </c>
      <c r="M150" s="130">
        <f>SUMIFS(ТГ_ИД!$E:$E,ТГ_ИД!$B:$B,ТГ!$G$5,ТГ_ИД!$D:$D,ТГ!$A151)</f>
        <v>0</v>
      </c>
      <c r="N150" s="130">
        <f>SUMIFS(ТГ_ИД!$E:$E,ТГ_ИД!$B:$B,ТГ!$G$6,ТГ_ИД!$D:$D,ТГ!$A151)</f>
        <v>0</v>
      </c>
      <c r="O150" s="130">
        <f>SUMIFS(ТГ_ИД!$E:$E,ТГ_ИД!$B:$B,ТГ!$G$7,ТГ_ИД!$D:$D,ТГ!$A151)</f>
        <v>0</v>
      </c>
      <c r="P150" s="130">
        <f>SUMIFS(ТГ_ИД!$E:$E,ТГ_ИД!$B:$B,ТГ!$G$8,ТГ_ИД!$D:$D,ТГ!$A151)</f>
        <v>0</v>
      </c>
      <c r="Q150" s="130">
        <f>SUMIFS(ТГ_ИД!$E:$E,ТГ_ИД!$B:$B,ТГ!$G$9,ТГ_ИД!$D:$D,ТГ!$A151)</f>
        <v>0</v>
      </c>
      <c r="R150" s="130">
        <f>SUMIFS(ТГ_ИД!$E:$E,ТГ_ИД!$B:$B,ТГ!$G$10,ТГ_ИД!$D:$D,ТГ!$A151)</f>
        <v>0</v>
      </c>
      <c r="S150" s="130">
        <f>SUMIFS(ТГ_ИД!$E:$E,ТГ_ИД!$B:$B,ТГ!$G$11,ТГ_ИД!$D:$D,ТГ!$A151)</f>
        <v>0</v>
      </c>
      <c r="T150" s="130">
        <f>SUMIFS(ТГ_ИД!$E:$E,ТГ_ИД!$B:$B,ТГ!$G$12,ТГ_ИД!$D:$D,ТГ!$A151)</f>
        <v>0</v>
      </c>
      <c r="U150" s="130">
        <f>SUMIFS(ТГ_ИД!$E:$E,ТГ_ИД!$B:$B,ТГ!$G$13,ТГ_ИД!$D:$D,ТГ!$A151)</f>
        <v>0</v>
      </c>
      <c r="V150" s="130">
        <f>SUMIFS(ТГ_ИД!$E:$E,ТГ_ИД!$B:$B,ТГ!$G$14,ТГ_ИД!$D:$D,ТГ!$A151)</f>
        <v>0</v>
      </c>
    </row>
    <row r="151" spans="1:22" x14ac:dyDescent="0.25">
      <c r="A151" s="116" t="str">
        <f t="shared" si="3"/>
        <v/>
      </c>
      <c r="K151" s="130">
        <f>SUMIFS(ТГ_ИД!$E:$E,ТГ_ИД!$B:$B,ТГ!$G$3,ТГ_ИД!$D:$D,ТГ!$A152)</f>
        <v>0</v>
      </c>
      <c r="L151" s="130">
        <f>SUMIFS(ТГ_ИД!$E:$E,ТГ_ИД!$B:$B,ТГ!$G$4,ТГ_ИД!$D:$D,ТГ!$A152)</f>
        <v>0</v>
      </c>
      <c r="M151" s="130">
        <f>SUMIFS(ТГ_ИД!$E:$E,ТГ_ИД!$B:$B,ТГ!$G$5,ТГ_ИД!$D:$D,ТГ!$A152)</f>
        <v>0</v>
      </c>
      <c r="N151" s="130">
        <f>SUMIFS(ТГ_ИД!$E:$E,ТГ_ИД!$B:$B,ТГ!$G$6,ТГ_ИД!$D:$D,ТГ!$A152)</f>
        <v>0</v>
      </c>
      <c r="O151" s="130">
        <f>SUMIFS(ТГ_ИД!$E:$E,ТГ_ИД!$B:$B,ТГ!$G$7,ТГ_ИД!$D:$D,ТГ!$A152)</f>
        <v>0</v>
      </c>
      <c r="P151" s="130">
        <f>SUMIFS(ТГ_ИД!$E:$E,ТГ_ИД!$B:$B,ТГ!$G$8,ТГ_ИД!$D:$D,ТГ!$A152)</f>
        <v>0</v>
      </c>
      <c r="Q151" s="130">
        <f>SUMIFS(ТГ_ИД!$E:$E,ТГ_ИД!$B:$B,ТГ!$G$9,ТГ_ИД!$D:$D,ТГ!$A152)</f>
        <v>0</v>
      </c>
      <c r="R151" s="130">
        <f>SUMIFS(ТГ_ИД!$E:$E,ТГ_ИД!$B:$B,ТГ!$G$10,ТГ_ИД!$D:$D,ТГ!$A152)</f>
        <v>0</v>
      </c>
      <c r="S151" s="130">
        <f>SUMIFS(ТГ_ИД!$E:$E,ТГ_ИД!$B:$B,ТГ!$G$11,ТГ_ИД!$D:$D,ТГ!$A152)</f>
        <v>0</v>
      </c>
      <c r="T151" s="130">
        <f>SUMIFS(ТГ_ИД!$E:$E,ТГ_ИД!$B:$B,ТГ!$G$12,ТГ_ИД!$D:$D,ТГ!$A152)</f>
        <v>0</v>
      </c>
      <c r="U151" s="130">
        <f>SUMIFS(ТГ_ИД!$E:$E,ТГ_ИД!$B:$B,ТГ!$G$13,ТГ_ИД!$D:$D,ТГ!$A152)</f>
        <v>0</v>
      </c>
      <c r="V151" s="130">
        <f>SUMIFS(ТГ_ИД!$E:$E,ТГ_ИД!$B:$B,ТГ!$G$14,ТГ_ИД!$D:$D,ТГ!$A152)</f>
        <v>0</v>
      </c>
    </row>
    <row r="152" spans="1:22" x14ac:dyDescent="0.25">
      <c r="A152" s="116" t="str">
        <f t="shared" si="3"/>
        <v/>
      </c>
      <c r="K152" s="130">
        <f>SUMIFS(ТГ_ИД!$E:$E,ТГ_ИД!$B:$B,ТГ!$G$3,ТГ_ИД!$D:$D,ТГ!$A153)</f>
        <v>0</v>
      </c>
      <c r="L152" s="130">
        <f>SUMIFS(ТГ_ИД!$E:$E,ТГ_ИД!$B:$B,ТГ!$G$4,ТГ_ИД!$D:$D,ТГ!$A153)</f>
        <v>0</v>
      </c>
      <c r="M152" s="130">
        <f>SUMIFS(ТГ_ИД!$E:$E,ТГ_ИД!$B:$B,ТГ!$G$5,ТГ_ИД!$D:$D,ТГ!$A153)</f>
        <v>0</v>
      </c>
      <c r="N152" s="130">
        <f>SUMIFS(ТГ_ИД!$E:$E,ТГ_ИД!$B:$B,ТГ!$G$6,ТГ_ИД!$D:$D,ТГ!$A153)</f>
        <v>0</v>
      </c>
      <c r="O152" s="130">
        <f>SUMIFS(ТГ_ИД!$E:$E,ТГ_ИД!$B:$B,ТГ!$G$7,ТГ_ИД!$D:$D,ТГ!$A153)</f>
        <v>0</v>
      </c>
      <c r="P152" s="130">
        <f>SUMIFS(ТГ_ИД!$E:$E,ТГ_ИД!$B:$B,ТГ!$G$8,ТГ_ИД!$D:$D,ТГ!$A153)</f>
        <v>0</v>
      </c>
      <c r="Q152" s="130">
        <f>SUMIFS(ТГ_ИД!$E:$E,ТГ_ИД!$B:$B,ТГ!$G$9,ТГ_ИД!$D:$D,ТГ!$A153)</f>
        <v>0</v>
      </c>
      <c r="R152" s="130">
        <f>SUMIFS(ТГ_ИД!$E:$E,ТГ_ИД!$B:$B,ТГ!$G$10,ТГ_ИД!$D:$D,ТГ!$A153)</f>
        <v>0</v>
      </c>
      <c r="S152" s="130">
        <f>SUMIFS(ТГ_ИД!$E:$E,ТГ_ИД!$B:$B,ТГ!$G$11,ТГ_ИД!$D:$D,ТГ!$A153)</f>
        <v>0</v>
      </c>
      <c r="T152" s="130">
        <f>SUMIFS(ТГ_ИД!$E:$E,ТГ_ИД!$B:$B,ТГ!$G$12,ТГ_ИД!$D:$D,ТГ!$A153)</f>
        <v>0</v>
      </c>
      <c r="U152" s="130">
        <f>SUMIFS(ТГ_ИД!$E:$E,ТГ_ИД!$B:$B,ТГ!$G$13,ТГ_ИД!$D:$D,ТГ!$A153)</f>
        <v>0</v>
      </c>
      <c r="V152" s="130">
        <f>SUMIFS(ТГ_ИД!$E:$E,ТГ_ИД!$B:$B,ТГ!$G$14,ТГ_ИД!$D:$D,ТГ!$A153)</f>
        <v>0</v>
      </c>
    </row>
    <row r="153" spans="1:22" x14ac:dyDescent="0.25">
      <c r="A153" s="116" t="str">
        <f t="shared" si="3"/>
        <v/>
      </c>
      <c r="K153" s="130">
        <f>SUMIFS(ТГ_ИД!$E:$E,ТГ_ИД!$B:$B,ТГ!$G$3,ТГ_ИД!$D:$D,ТГ!$A154)</f>
        <v>0</v>
      </c>
      <c r="L153" s="130">
        <f>SUMIFS(ТГ_ИД!$E:$E,ТГ_ИД!$B:$B,ТГ!$G$4,ТГ_ИД!$D:$D,ТГ!$A154)</f>
        <v>0</v>
      </c>
      <c r="M153" s="130">
        <f>SUMIFS(ТГ_ИД!$E:$E,ТГ_ИД!$B:$B,ТГ!$G$5,ТГ_ИД!$D:$D,ТГ!$A154)</f>
        <v>0</v>
      </c>
      <c r="N153" s="130">
        <f>SUMIFS(ТГ_ИД!$E:$E,ТГ_ИД!$B:$B,ТГ!$G$6,ТГ_ИД!$D:$D,ТГ!$A154)</f>
        <v>0</v>
      </c>
      <c r="O153" s="130">
        <f>SUMIFS(ТГ_ИД!$E:$E,ТГ_ИД!$B:$B,ТГ!$G$7,ТГ_ИД!$D:$D,ТГ!$A154)</f>
        <v>0</v>
      </c>
      <c r="P153" s="130">
        <f>SUMIFS(ТГ_ИД!$E:$E,ТГ_ИД!$B:$B,ТГ!$G$8,ТГ_ИД!$D:$D,ТГ!$A154)</f>
        <v>0</v>
      </c>
      <c r="Q153" s="130">
        <f>SUMIFS(ТГ_ИД!$E:$E,ТГ_ИД!$B:$B,ТГ!$G$9,ТГ_ИД!$D:$D,ТГ!$A154)</f>
        <v>0</v>
      </c>
      <c r="R153" s="130">
        <f>SUMIFS(ТГ_ИД!$E:$E,ТГ_ИД!$B:$B,ТГ!$G$10,ТГ_ИД!$D:$D,ТГ!$A154)</f>
        <v>0</v>
      </c>
      <c r="S153" s="130">
        <f>SUMIFS(ТГ_ИД!$E:$E,ТГ_ИД!$B:$B,ТГ!$G$11,ТГ_ИД!$D:$D,ТГ!$A154)</f>
        <v>0</v>
      </c>
      <c r="T153" s="130">
        <f>SUMIFS(ТГ_ИД!$E:$E,ТГ_ИД!$B:$B,ТГ!$G$12,ТГ_ИД!$D:$D,ТГ!$A154)</f>
        <v>0</v>
      </c>
      <c r="U153" s="130">
        <f>SUMIFS(ТГ_ИД!$E:$E,ТГ_ИД!$B:$B,ТГ!$G$13,ТГ_ИД!$D:$D,ТГ!$A154)</f>
        <v>0</v>
      </c>
      <c r="V153" s="130">
        <f>SUMIFS(ТГ_ИД!$E:$E,ТГ_ИД!$B:$B,ТГ!$G$14,ТГ_ИД!$D:$D,ТГ!$A154)</f>
        <v>0</v>
      </c>
    </row>
    <row r="154" spans="1:22" x14ac:dyDescent="0.25">
      <c r="A154" s="116" t="str">
        <f t="shared" si="3"/>
        <v/>
      </c>
      <c r="K154" s="130">
        <f>SUMIFS(ТГ_ИД!$E:$E,ТГ_ИД!$B:$B,ТГ!$G$3,ТГ_ИД!$D:$D,ТГ!$A155)</f>
        <v>0</v>
      </c>
      <c r="L154" s="130">
        <f>SUMIFS(ТГ_ИД!$E:$E,ТГ_ИД!$B:$B,ТГ!$G$4,ТГ_ИД!$D:$D,ТГ!$A155)</f>
        <v>0</v>
      </c>
      <c r="M154" s="130">
        <f>SUMIFS(ТГ_ИД!$E:$E,ТГ_ИД!$B:$B,ТГ!$G$5,ТГ_ИД!$D:$D,ТГ!$A155)</f>
        <v>0</v>
      </c>
      <c r="N154" s="130">
        <f>SUMIFS(ТГ_ИД!$E:$E,ТГ_ИД!$B:$B,ТГ!$G$6,ТГ_ИД!$D:$D,ТГ!$A155)</f>
        <v>0</v>
      </c>
      <c r="O154" s="130">
        <f>SUMIFS(ТГ_ИД!$E:$E,ТГ_ИД!$B:$B,ТГ!$G$7,ТГ_ИД!$D:$D,ТГ!$A155)</f>
        <v>0</v>
      </c>
      <c r="P154" s="130">
        <f>SUMIFS(ТГ_ИД!$E:$E,ТГ_ИД!$B:$B,ТГ!$G$8,ТГ_ИД!$D:$D,ТГ!$A155)</f>
        <v>0</v>
      </c>
      <c r="Q154" s="130">
        <f>SUMIFS(ТГ_ИД!$E:$E,ТГ_ИД!$B:$B,ТГ!$G$9,ТГ_ИД!$D:$D,ТГ!$A155)</f>
        <v>0</v>
      </c>
      <c r="R154" s="130">
        <f>SUMIFS(ТГ_ИД!$E:$E,ТГ_ИД!$B:$B,ТГ!$G$10,ТГ_ИД!$D:$D,ТГ!$A155)</f>
        <v>0</v>
      </c>
      <c r="S154" s="130">
        <f>SUMIFS(ТГ_ИД!$E:$E,ТГ_ИД!$B:$B,ТГ!$G$11,ТГ_ИД!$D:$D,ТГ!$A155)</f>
        <v>0</v>
      </c>
      <c r="T154" s="130">
        <f>SUMIFS(ТГ_ИД!$E:$E,ТГ_ИД!$B:$B,ТГ!$G$12,ТГ_ИД!$D:$D,ТГ!$A155)</f>
        <v>0</v>
      </c>
      <c r="U154" s="130">
        <f>SUMIFS(ТГ_ИД!$E:$E,ТГ_ИД!$B:$B,ТГ!$G$13,ТГ_ИД!$D:$D,ТГ!$A155)</f>
        <v>0</v>
      </c>
      <c r="V154" s="130">
        <f>SUMIFS(ТГ_ИД!$E:$E,ТГ_ИД!$B:$B,ТГ!$G$14,ТГ_ИД!$D:$D,ТГ!$A155)</f>
        <v>0</v>
      </c>
    </row>
    <row r="155" spans="1:22" x14ac:dyDescent="0.25">
      <c r="A155" s="116" t="str">
        <f t="shared" si="3"/>
        <v/>
      </c>
      <c r="K155" s="130">
        <f>SUMIFS(ТГ_ИД!$E:$E,ТГ_ИД!$B:$B,ТГ!$G$3,ТГ_ИД!$D:$D,ТГ!$A156)</f>
        <v>0</v>
      </c>
      <c r="L155" s="130">
        <f>SUMIFS(ТГ_ИД!$E:$E,ТГ_ИД!$B:$B,ТГ!$G$4,ТГ_ИД!$D:$D,ТГ!$A156)</f>
        <v>0</v>
      </c>
      <c r="M155" s="130">
        <f>SUMIFS(ТГ_ИД!$E:$E,ТГ_ИД!$B:$B,ТГ!$G$5,ТГ_ИД!$D:$D,ТГ!$A156)</f>
        <v>0</v>
      </c>
      <c r="N155" s="130">
        <f>SUMIFS(ТГ_ИД!$E:$E,ТГ_ИД!$B:$B,ТГ!$G$6,ТГ_ИД!$D:$D,ТГ!$A156)</f>
        <v>0</v>
      </c>
      <c r="O155" s="130">
        <f>SUMIFS(ТГ_ИД!$E:$E,ТГ_ИД!$B:$B,ТГ!$G$7,ТГ_ИД!$D:$D,ТГ!$A156)</f>
        <v>0</v>
      </c>
      <c r="P155" s="130">
        <f>SUMIFS(ТГ_ИД!$E:$E,ТГ_ИД!$B:$B,ТГ!$G$8,ТГ_ИД!$D:$D,ТГ!$A156)</f>
        <v>0</v>
      </c>
      <c r="Q155" s="130">
        <f>SUMIFS(ТГ_ИД!$E:$E,ТГ_ИД!$B:$B,ТГ!$G$9,ТГ_ИД!$D:$D,ТГ!$A156)</f>
        <v>0</v>
      </c>
      <c r="R155" s="130">
        <f>SUMIFS(ТГ_ИД!$E:$E,ТГ_ИД!$B:$B,ТГ!$G$10,ТГ_ИД!$D:$D,ТГ!$A156)</f>
        <v>0</v>
      </c>
      <c r="S155" s="130">
        <f>SUMIFS(ТГ_ИД!$E:$E,ТГ_ИД!$B:$B,ТГ!$G$11,ТГ_ИД!$D:$D,ТГ!$A156)</f>
        <v>0</v>
      </c>
      <c r="T155" s="130">
        <f>SUMIFS(ТГ_ИД!$E:$E,ТГ_ИД!$B:$B,ТГ!$G$12,ТГ_ИД!$D:$D,ТГ!$A156)</f>
        <v>0</v>
      </c>
      <c r="U155" s="130">
        <f>SUMIFS(ТГ_ИД!$E:$E,ТГ_ИД!$B:$B,ТГ!$G$13,ТГ_ИД!$D:$D,ТГ!$A156)</f>
        <v>0</v>
      </c>
      <c r="V155" s="130">
        <f>SUMIFS(ТГ_ИД!$E:$E,ТГ_ИД!$B:$B,ТГ!$G$14,ТГ_ИД!$D:$D,ТГ!$A156)</f>
        <v>0</v>
      </c>
    </row>
    <row r="156" spans="1:22" x14ac:dyDescent="0.25">
      <c r="A156" s="116" t="str">
        <f t="shared" si="3"/>
        <v/>
      </c>
      <c r="K156" s="130">
        <f>SUMIFS(ТГ_ИД!$E:$E,ТГ_ИД!$B:$B,ТГ!$G$3,ТГ_ИД!$D:$D,ТГ!$A157)</f>
        <v>0</v>
      </c>
      <c r="L156" s="130">
        <f>SUMIFS(ТГ_ИД!$E:$E,ТГ_ИД!$B:$B,ТГ!$G$4,ТГ_ИД!$D:$D,ТГ!$A157)</f>
        <v>0</v>
      </c>
      <c r="M156" s="130">
        <f>SUMIFS(ТГ_ИД!$E:$E,ТГ_ИД!$B:$B,ТГ!$G$5,ТГ_ИД!$D:$D,ТГ!$A157)</f>
        <v>0</v>
      </c>
      <c r="N156" s="130">
        <f>SUMIFS(ТГ_ИД!$E:$E,ТГ_ИД!$B:$B,ТГ!$G$6,ТГ_ИД!$D:$D,ТГ!$A157)</f>
        <v>0</v>
      </c>
      <c r="O156" s="130">
        <f>SUMIFS(ТГ_ИД!$E:$E,ТГ_ИД!$B:$B,ТГ!$G$7,ТГ_ИД!$D:$D,ТГ!$A157)</f>
        <v>0</v>
      </c>
      <c r="P156" s="130">
        <f>SUMIFS(ТГ_ИД!$E:$E,ТГ_ИД!$B:$B,ТГ!$G$8,ТГ_ИД!$D:$D,ТГ!$A157)</f>
        <v>0</v>
      </c>
      <c r="Q156" s="130">
        <f>SUMIFS(ТГ_ИД!$E:$E,ТГ_ИД!$B:$B,ТГ!$G$9,ТГ_ИД!$D:$D,ТГ!$A157)</f>
        <v>0</v>
      </c>
      <c r="R156" s="130">
        <f>SUMIFS(ТГ_ИД!$E:$E,ТГ_ИД!$B:$B,ТГ!$G$10,ТГ_ИД!$D:$D,ТГ!$A157)</f>
        <v>0</v>
      </c>
      <c r="S156" s="130">
        <f>SUMIFS(ТГ_ИД!$E:$E,ТГ_ИД!$B:$B,ТГ!$G$11,ТГ_ИД!$D:$D,ТГ!$A157)</f>
        <v>0</v>
      </c>
      <c r="T156" s="130">
        <f>SUMIFS(ТГ_ИД!$E:$E,ТГ_ИД!$B:$B,ТГ!$G$12,ТГ_ИД!$D:$D,ТГ!$A157)</f>
        <v>0</v>
      </c>
      <c r="U156" s="130">
        <f>SUMIFS(ТГ_ИД!$E:$E,ТГ_ИД!$B:$B,ТГ!$G$13,ТГ_ИД!$D:$D,ТГ!$A157)</f>
        <v>0</v>
      </c>
      <c r="V156" s="130">
        <f>SUMIFS(ТГ_ИД!$E:$E,ТГ_ИД!$B:$B,ТГ!$G$14,ТГ_ИД!$D:$D,ТГ!$A157)</f>
        <v>0</v>
      </c>
    </row>
    <row r="157" spans="1:22" x14ac:dyDescent="0.25">
      <c r="A157" s="116" t="str">
        <f t="shared" si="3"/>
        <v/>
      </c>
      <c r="K157" s="130">
        <f>SUMIFS(ТГ_ИД!$E:$E,ТГ_ИД!$B:$B,ТГ!$G$3,ТГ_ИД!$D:$D,ТГ!$A158)</f>
        <v>0</v>
      </c>
      <c r="L157" s="130">
        <f>SUMIFS(ТГ_ИД!$E:$E,ТГ_ИД!$B:$B,ТГ!$G$4,ТГ_ИД!$D:$D,ТГ!$A158)</f>
        <v>0</v>
      </c>
      <c r="M157" s="130">
        <f>SUMIFS(ТГ_ИД!$E:$E,ТГ_ИД!$B:$B,ТГ!$G$5,ТГ_ИД!$D:$D,ТГ!$A158)</f>
        <v>0</v>
      </c>
      <c r="N157" s="130">
        <f>SUMIFS(ТГ_ИД!$E:$E,ТГ_ИД!$B:$B,ТГ!$G$6,ТГ_ИД!$D:$D,ТГ!$A158)</f>
        <v>0</v>
      </c>
      <c r="O157" s="130">
        <f>SUMIFS(ТГ_ИД!$E:$E,ТГ_ИД!$B:$B,ТГ!$G$7,ТГ_ИД!$D:$D,ТГ!$A158)</f>
        <v>0</v>
      </c>
      <c r="P157" s="130">
        <f>SUMIFS(ТГ_ИД!$E:$E,ТГ_ИД!$B:$B,ТГ!$G$8,ТГ_ИД!$D:$D,ТГ!$A158)</f>
        <v>0</v>
      </c>
      <c r="Q157" s="130">
        <f>SUMIFS(ТГ_ИД!$E:$E,ТГ_ИД!$B:$B,ТГ!$G$9,ТГ_ИД!$D:$D,ТГ!$A158)</f>
        <v>0</v>
      </c>
      <c r="R157" s="130">
        <f>SUMIFS(ТГ_ИД!$E:$E,ТГ_ИД!$B:$B,ТГ!$G$10,ТГ_ИД!$D:$D,ТГ!$A158)</f>
        <v>0</v>
      </c>
      <c r="S157" s="130">
        <f>SUMIFS(ТГ_ИД!$E:$E,ТГ_ИД!$B:$B,ТГ!$G$11,ТГ_ИД!$D:$D,ТГ!$A158)</f>
        <v>0</v>
      </c>
      <c r="T157" s="130">
        <f>SUMIFS(ТГ_ИД!$E:$E,ТГ_ИД!$B:$B,ТГ!$G$12,ТГ_ИД!$D:$D,ТГ!$A158)</f>
        <v>0</v>
      </c>
      <c r="U157" s="130">
        <f>SUMIFS(ТГ_ИД!$E:$E,ТГ_ИД!$B:$B,ТГ!$G$13,ТГ_ИД!$D:$D,ТГ!$A158)</f>
        <v>0</v>
      </c>
      <c r="V157" s="130">
        <f>SUMIFS(ТГ_ИД!$E:$E,ТГ_ИД!$B:$B,ТГ!$G$14,ТГ_ИД!$D:$D,ТГ!$A158)</f>
        <v>0</v>
      </c>
    </row>
    <row r="158" spans="1:22" x14ac:dyDescent="0.25">
      <c r="A158" s="116" t="str">
        <f t="shared" si="3"/>
        <v/>
      </c>
      <c r="K158" s="130">
        <f>SUMIFS(ТГ_ИД!$E:$E,ТГ_ИД!$B:$B,ТГ!$G$3,ТГ_ИД!$D:$D,ТГ!$A159)</f>
        <v>0</v>
      </c>
      <c r="L158" s="130">
        <f>SUMIFS(ТГ_ИД!$E:$E,ТГ_ИД!$B:$B,ТГ!$G$4,ТГ_ИД!$D:$D,ТГ!$A159)</f>
        <v>0</v>
      </c>
      <c r="M158" s="130">
        <f>SUMIFS(ТГ_ИД!$E:$E,ТГ_ИД!$B:$B,ТГ!$G$5,ТГ_ИД!$D:$D,ТГ!$A159)</f>
        <v>0</v>
      </c>
      <c r="N158" s="130">
        <f>SUMIFS(ТГ_ИД!$E:$E,ТГ_ИД!$B:$B,ТГ!$G$6,ТГ_ИД!$D:$D,ТГ!$A159)</f>
        <v>0</v>
      </c>
      <c r="O158" s="130">
        <f>SUMIFS(ТГ_ИД!$E:$E,ТГ_ИД!$B:$B,ТГ!$G$7,ТГ_ИД!$D:$D,ТГ!$A159)</f>
        <v>0</v>
      </c>
      <c r="P158" s="130">
        <f>SUMIFS(ТГ_ИД!$E:$E,ТГ_ИД!$B:$B,ТГ!$G$8,ТГ_ИД!$D:$D,ТГ!$A159)</f>
        <v>0</v>
      </c>
      <c r="Q158" s="130">
        <f>SUMIFS(ТГ_ИД!$E:$E,ТГ_ИД!$B:$B,ТГ!$G$9,ТГ_ИД!$D:$D,ТГ!$A159)</f>
        <v>0</v>
      </c>
      <c r="R158" s="130">
        <f>SUMIFS(ТГ_ИД!$E:$E,ТГ_ИД!$B:$B,ТГ!$G$10,ТГ_ИД!$D:$D,ТГ!$A159)</f>
        <v>0</v>
      </c>
      <c r="S158" s="130">
        <f>SUMIFS(ТГ_ИД!$E:$E,ТГ_ИД!$B:$B,ТГ!$G$11,ТГ_ИД!$D:$D,ТГ!$A159)</f>
        <v>0</v>
      </c>
      <c r="T158" s="130">
        <f>SUMIFS(ТГ_ИД!$E:$E,ТГ_ИД!$B:$B,ТГ!$G$12,ТГ_ИД!$D:$D,ТГ!$A159)</f>
        <v>0</v>
      </c>
      <c r="U158" s="130">
        <f>SUMIFS(ТГ_ИД!$E:$E,ТГ_ИД!$B:$B,ТГ!$G$13,ТГ_ИД!$D:$D,ТГ!$A159)</f>
        <v>0</v>
      </c>
      <c r="V158" s="130">
        <f>SUMIFS(ТГ_ИД!$E:$E,ТГ_ИД!$B:$B,ТГ!$G$14,ТГ_ИД!$D:$D,ТГ!$A159)</f>
        <v>0</v>
      </c>
    </row>
    <row r="159" spans="1:22" x14ac:dyDescent="0.25">
      <c r="A159" s="116" t="str">
        <f t="shared" si="3"/>
        <v/>
      </c>
      <c r="K159" s="130">
        <f>SUMIFS(ТГ_ИД!$E:$E,ТГ_ИД!$B:$B,ТГ!$G$3,ТГ_ИД!$D:$D,ТГ!$A160)</f>
        <v>0</v>
      </c>
      <c r="L159" s="130">
        <f>SUMIFS(ТГ_ИД!$E:$E,ТГ_ИД!$B:$B,ТГ!$G$4,ТГ_ИД!$D:$D,ТГ!$A160)</f>
        <v>0</v>
      </c>
      <c r="M159" s="130">
        <f>SUMIFS(ТГ_ИД!$E:$E,ТГ_ИД!$B:$B,ТГ!$G$5,ТГ_ИД!$D:$D,ТГ!$A160)</f>
        <v>0</v>
      </c>
      <c r="N159" s="130">
        <f>SUMIFS(ТГ_ИД!$E:$E,ТГ_ИД!$B:$B,ТГ!$G$6,ТГ_ИД!$D:$D,ТГ!$A160)</f>
        <v>0</v>
      </c>
      <c r="O159" s="130">
        <f>SUMIFS(ТГ_ИД!$E:$E,ТГ_ИД!$B:$B,ТГ!$G$7,ТГ_ИД!$D:$D,ТГ!$A160)</f>
        <v>0</v>
      </c>
      <c r="P159" s="130">
        <f>SUMIFS(ТГ_ИД!$E:$E,ТГ_ИД!$B:$B,ТГ!$G$8,ТГ_ИД!$D:$D,ТГ!$A160)</f>
        <v>0</v>
      </c>
      <c r="Q159" s="130">
        <f>SUMIFS(ТГ_ИД!$E:$E,ТГ_ИД!$B:$B,ТГ!$G$9,ТГ_ИД!$D:$D,ТГ!$A160)</f>
        <v>0</v>
      </c>
      <c r="R159" s="130">
        <f>SUMIFS(ТГ_ИД!$E:$E,ТГ_ИД!$B:$B,ТГ!$G$10,ТГ_ИД!$D:$D,ТГ!$A160)</f>
        <v>0</v>
      </c>
      <c r="S159" s="130">
        <f>SUMIFS(ТГ_ИД!$E:$E,ТГ_ИД!$B:$B,ТГ!$G$11,ТГ_ИД!$D:$D,ТГ!$A160)</f>
        <v>0</v>
      </c>
      <c r="T159" s="130">
        <f>SUMIFS(ТГ_ИД!$E:$E,ТГ_ИД!$B:$B,ТГ!$G$12,ТГ_ИД!$D:$D,ТГ!$A160)</f>
        <v>0</v>
      </c>
      <c r="U159" s="130">
        <f>SUMIFS(ТГ_ИД!$E:$E,ТГ_ИД!$B:$B,ТГ!$G$13,ТГ_ИД!$D:$D,ТГ!$A160)</f>
        <v>0</v>
      </c>
      <c r="V159" s="130">
        <f>SUMIFS(ТГ_ИД!$E:$E,ТГ_ИД!$B:$B,ТГ!$G$14,ТГ_ИД!$D:$D,ТГ!$A160)</f>
        <v>0</v>
      </c>
    </row>
    <row r="160" spans="1:22" x14ac:dyDescent="0.25">
      <c r="A160" s="116" t="str">
        <f t="shared" si="3"/>
        <v/>
      </c>
      <c r="K160" s="130">
        <f>SUMIFS(ТГ_ИД!$E:$E,ТГ_ИД!$B:$B,ТГ!$G$3,ТГ_ИД!$D:$D,ТГ!$A161)</f>
        <v>0</v>
      </c>
      <c r="L160" s="130">
        <f>SUMIFS(ТГ_ИД!$E:$E,ТГ_ИД!$B:$B,ТГ!$G$4,ТГ_ИД!$D:$D,ТГ!$A161)</f>
        <v>0</v>
      </c>
      <c r="M160" s="130">
        <f>SUMIFS(ТГ_ИД!$E:$E,ТГ_ИД!$B:$B,ТГ!$G$5,ТГ_ИД!$D:$D,ТГ!$A161)</f>
        <v>0</v>
      </c>
      <c r="N160" s="130">
        <f>SUMIFS(ТГ_ИД!$E:$E,ТГ_ИД!$B:$B,ТГ!$G$6,ТГ_ИД!$D:$D,ТГ!$A161)</f>
        <v>0</v>
      </c>
      <c r="O160" s="130">
        <f>SUMIFS(ТГ_ИД!$E:$E,ТГ_ИД!$B:$B,ТГ!$G$7,ТГ_ИД!$D:$D,ТГ!$A161)</f>
        <v>0</v>
      </c>
      <c r="P160" s="130">
        <f>SUMIFS(ТГ_ИД!$E:$E,ТГ_ИД!$B:$B,ТГ!$G$8,ТГ_ИД!$D:$D,ТГ!$A161)</f>
        <v>0</v>
      </c>
      <c r="Q160" s="130">
        <f>SUMIFS(ТГ_ИД!$E:$E,ТГ_ИД!$B:$B,ТГ!$G$9,ТГ_ИД!$D:$D,ТГ!$A161)</f>
        <v>0</v>
      </c>
      <c r="R160" s="130">
        <f>SUMIFS(ТГ_ИД!$E:$E,ТГ_ИД!$B:$B,ТГ!$G$10,ТГ_ИД!$D:$D,ТГ!$A161)</f>
        <v>0</v>
      </c>
      <c r="S160" s="130">
        <f>SUMIFS(ТГ_ИД!$E:$E,ТГ_ИД!$B:$B,ТГ!$G$11,ТГ_ИД!$D:$D,ТГ!$A161)</f>
        <v>0</v>
      </c>
      <c r="T160" s="130">
        <f>SUMIFS(ТГ_ИД!$E:$E,ТГ_ИД!$B:$B,ТГ!$G$12,ТГ_ИД!$D:$D,ТГ!$A161)</f>
        <v>0</v>
      </c>
      <c r="U160" s="130">
        <f>SUMIFS(ТГ_ИД!$E:$E,ТГ_ИД!$B:$B,ТГ!$G$13,ТГ_ИД!$D:$D,ТГ!$A161)</f>
        <v>0</v>
      </c>
      <c r="V160" s="130">
        <f>SUMIFS(ТГ_ИД!$E:$E,ТГ_ИД!$B:$B,ТГ!$G$14,ТГ_ИД!$D:$D,ТГ!$A161)</f>
        <v>0</v>
      </c>
    </row>
    <row r="161" spans="1:22" x14ac:dyDescent="0.25">
      <c r="A161" s="116" t="str">
        <f t="shared" si="3"/>
        <v/>
      </c>
      <c r="K161" s="130">
        <f>SUMIFS(ТГ_ИД!$E:$E,ТГ_ИД!$B:$B,ТГ!$G$3,ТГ_ИД!$D:$D,ТГ!$A162)</f>
        <v>0</v>
      </c>
      <c r="L161" s="130">
        <f>SUMIFS(ТГ_ИД!$E:$E,ТГ_ИД!$B:$B,ТГ!$G$4,ТГ_ИД!$D:$D,ТГ!$A162)</f>
        <v>0</v>
      </c>
      <c r="M161" s="130">
        <f>SUMIFS(ТГ_ИД!$E:$E,ТГ_ИД!$B:$B,ТГ!$G$5,ТГ_ИД!$D:$D,ТГ!$A162)</f>
        <v>0</v>
      </c>
      <c r="N161" s="130">
        <f>SUMIFS(ТГ_ИД!$E:$E,ТГ_ИД!$B:$B,ТГ!$G$6,ТГ_ИД!$D:$D,ТГ!$A162)</f>
        <v>0</v>
      </c>
      <c r="O161" s="130">
        <f>SUMIFS(ТГ_ИД!$E:$E,ТГ_ИД!$B:$B,ТГ!$G$7,ТГ_ИД!$D:$D,ТГ!$A162)</f>
        <v>0</v>
      </c>
      <c r="P161" s="130">
        <f>SUMIFS(ТГ_ИД!$E:$E,ТГ_ИД!$B:$B,ТГ!$G$8,ТГ_ИД!$D:$D,ТГ!$A162)</f>
        <v>0</v>
      </c>
      <c r="Q161" s="130">
        <f>SUMIFS(ТГ_ИД!$E:$E,ТГ_ИД!$B:$B,ТГ!$G$9,ТГ_ИД!$D:$D,ТГ!$A162)</f>
        <v>0</v>
      </c>
      <c r="R161" s="130">
        <f>SUMIFS(ТГ_ИД!$E:$E,ТГ_ИД!$B:$B,ТГ!$G$10,ТГ_ИД!$D:$D,ТГ!$A162)</f>
        <v>0</v>
      </c>
      <c r="S161" s="130">
        <f>SUMIFS(ТГ_ИД!$E:$E,ТГ_ИД!$B:$B,ТГ!$G$11,ТГ_ИД!$D:$D,ТГ!$A162)</f>
        <v>0</v>
      </c>
      <c r="T161" s="130">
        <f>SUMIFS(ТГ_ИД!$E:$E,ТГ_ИД!$B:$B,ТГ!$G$12,ТГ_ИД!$D:$D,ТГ!$A162)</f>
        <v>0</v>
      </c>
      <c r="U161" s="130">
        <f>SUMIFS(ТГ_ИД!$E:$E,ТГ_ИД!$B:$B,ТГ!$G$13,ТГ_ИД!$D:$D,ТГ!$A162)</f>
        <v>0</v>
      </c>
      <c r="V161" s="130">
        <f>SUMIFS(ТГ_ИД!$E:$E,ТГ_ИД!$B:$B,ТГ!$G$14,ТГ_ИД!$D:$D,ТГ!$A162)</f>
        <v>0</v>
      </c>
    </row>
    <row r="162" spans="1:22" x14ac:dyDescent="0.25">
      <c r="A162" s="116" t="str">
        <f t="shared" si="3"/>
        <v/>
      </c>
      <c r="K162" s="130">
        <f>SUMIFS(ТГ_ИД!$E:$E,ТГ_ИД!$B:$B,ТГ!$G$3,ТГ_ИД!$D:$D,ТГ!$A163)</f>
        <v>0</v>
      </c>
      <c r="L162" s="130">
        <f>SUMIFS(ТГ_ИД!$E:$E,ТГ_ИД!$B:$B,ТГ!$G$4,ТГ_ИД!$D:$D,ТГ!$A163)</f>
        <v>0</v>
      </c>
      <c r="M162" s="130">
        <f>SUMIFS(ТГ_ИД!$E:$E,ТГ_ИД!$B:$B,ТГ!$G$5,ТГ_ИД!$D:$D,ТГ!$A163)</f>
        <v>0</v>
      </c>
      <c r="N162" s="130">
        <f>SUMIFS(ТГ_ИД!$E:$E,ТГ_ИД!$B:$B,ТГ!$G$6,ТГ_ИД!$D:$D,ТГ!$A163)</f>
        <v>0</v>
      </c>
      <c r="O162" s="130">
        <f>SUMIFS(ТГ_ИД!$E:$E,ТГ_ИД!$B:$B,ТГ!$G$7,ТГ_ИД!$D:$D,ТГ!$A163)</f>
        <v>0</v>
      </c>
      <c r="P162" s="130">
        <f>SUMIFS(ТГ_ИД!$E:$E,ТГ_ИД!$B:$B,ТГ!$G$8,ТГ_ИД!$D:$D,ТГ!$A163)</f>
        <v>0</v>
      </c>
      <c r="Q162" s="130">
        <f>SUMIFS(ТГ_ИД!$E:$E,ТГ_ИД!$B:$B,ТГ!$G$9,ТГ_ИД!$D:$D,ТГ!$A163)</f>
        <v>0</v>
      </c>
      <c r="R162" s="130">
        <f>SUMIFS(ТГ_ИД!$E:$E,ТГ_ИД!$B:$B,ТГ!$G$10,ТГ_ИД!$D:$D,ТГ!$A163)</f>
        <v>0</v>
      </c>
      <c r="S162" s="130">
        <f>SUMIFS(ТГ_ИД!$E:$E,ТГ_ИД!$B:$B,ТГ!$G$11,ТГ_ИД!$D:$D,ТГ!$A163)</f>
        <v>0</v>
      </c>
      <c r="T162" s="130">
        <f>SUMIFS(ТГ_ИД!$E:$E,ТГ_ИД!$B:$B,ТГ!$G$12,ТГ_ИД!$D:$D,ТГ!$A163)</f>
        <v>0</v>
      </c>
      <c r="U162" s="130">
        <f>SUMIFS(ТГ_ИД!$E:$E,ТГ_ИД!$B:$B,ТГ!$G$13,ТГ_ИД!$D:$D,ТГ!$A163)</f>
        <v>0</v>
      </c>
      <c r="V162" s="130">
        <f>SUMIFS(ТГ_ИД!$E:$E,ТГ_ИД!$B:$B,ТГ!$G$14,ТГ_ИД!$D:$D,ТГ!$A163)</f>
        <v>0</v>
      </c>
    </row>
    <row r="163" spans="1:22" x14ac:dyDescent="0.25">
      <c r="A163" s="116" t="str">
        <f t="shared" si="3"/>
        <v/>
      </c>
      <c r="K163" s="130">
        <f>SUMIFS(ТГ_ИД!$E:$E,ТГ_ИД!$B:$B,ТГ!$G$3,ТГ_ИД!$D:$D,ТГ!$A164)</f>
        <v>0</v>
      </c>
      <c r="L163" s="130">
        <f>SUMIFS(ТГ_ИД!$E:$E,ТГ_ИД!$B:$B,ТГ!$G$4,ТГ_ИД!$D:$D,ТГ!$A164)</f>
        <v>0</v>
      </c>
      <c r="M163" s="130">
        <f>SUMIFS(ТГ_ИД!$E:$E,ТГ_ИД!$B:$B,ТГ!$G$5,ТГ_ИД!$D:$D,ТГ!$A164)</f>
        <v>0</v>
      </c>
      <c r="N163" s="130">
        <f>SUMIFS(ТГ_ИД!$E:$E,ТГ_ИД!$B:$B,ТГ!$G$6,ТГ_ИД!$D:$D,ТГ!$A164)</f>
        <v>0</v>
      </c>
      <c r="O163" s="130">
        <f>SUMIFS(ТГ_ИД!$E:$E,ТГ_ИД!$B:$B,ТГ!$G$7,ТГ_ИД!$D:$D,ТГ!$A164)</f>
        <v>0</v>
      </c>
      <c r="P163" s="130">
        <f>SUMIFS(ТГ_ИД!$E:$E,ТГ_ИД!$B:$B,ТГ!$G$8,ТГ_ИД!$D:$D,ТГ!$A164)</f>
        <v>0</v>
      </c>
      <c r="Q163" s="130">
        <f>SUMIFS(ТГ_ИД!$E:$E,ТГ_ИД!$B:$B,ТГ!$G$9,ТГ_ИД!$D:$D,ТГ!$A164)</f>
        <v>0</v>
      </c>
      <c r="R163" s="130">
        <f>SUMIFS(ТГ_ИД!$E:$E,ТГ_ИД!$B:$B,ТГ!$G$10,ТГ_ИД!$D:$D,ТГ!$A164)</f>
        <v>0</v>
      </c>
      <c r="S163" s="130">
        <f>SUMIFS(ТГ_ИД!$E:$E,ТГ_ИД!$B:$B,ТГ!$G$11,ТГ_ИД!$D:$D,ТГ!$A164)</f>
        <v>0</v>
      </c>
      <c r="T163" s="130">
        <f>SUMIFS(ТГ_ИД!$E:$E,ТГ_ИД!$B:$B,ТГ!$G$12,ТГ_ИД!$D:$D,ТГ!$A164)</f>
        <v>0</v>
      </c>
      <c r="U163" s="130">
        <f>SUMIFS(ТГ_ИД!$E:$E,ТГ_ИД!$B:$B,ТГ!$G$13,ТГ_ИД!$D:$D,ТГ!$A164)</f>
        <v>0</v>
      </c>
      <c r="V163" s="130">
        <f>SUMIFS(ТГ_ИД!$E:$E,ТГ_ИД!$B:$B,ТГ!$G$14,ТГ_ИД!$D:$D,ТГ!$A164)</f>
        <v>0</v>
      </c>
    </row>
    <row r="164" spans="1:22" x14ac:dyDescent="0.25">
      <c r="A164" s="116" t="str">
        <f t="shared" si="3"/>
        <v/>
      </c>
      <c r="K164" s="130">
        <f>SUMIFS(ТГ_ИД!$E:$E,ТГ_ИД!$B:$B,ТГ!$G$3,ТГ_ИД!$D:$D,ТГ!$A165)</f>
        <v>0</v>
      </c>
      <c r="L164" s="130">
        <f>SUMIFS(ТГ_ИД!$E:$E,ТГ_ИД!$B:$B,ТГ!$G$4,ТГ_ИД!$D:$D,ТГ!$A165)</f>
        <v>0</v>
      </c>
      <c r="M164" s="130">
        <f>SUMIFS(ТГ_ИД!$E:$E,ТГ_ИД!$B:$B,ТГ!$G$5,ТГ_ИД!$D:$D,ТГ!$A165)</f>
        <v>0</v>
      </c>
      <c r="N164" s="130">
        <f>SUMIFS(ТГ_ИД!$E:$E,ТГ_ИД!$B:$B,ТГ!$G$6,ТГ_ИД!$D:$D,ТГ!$A165)</f>
        <v>0</v>
      </c>
      <c r="O164" s="130">
        <f>SUMIFS(ТГ_ИД!$E:$E,ТГ_ИД!$B:$B,ТГ!$G$7,ТГ_ИД!$D:$D,ТГ!$A165)</f>
        <v>0</v>
      </c>
      <c r="P164" s="130">
        <f>SUMIFS(ТГ_ИД!$E:$E,ТГ_ИД!$B:$B,ТГ!$G$8,ТГ_ИД!$D:$D,ТГ!$A165)</f>
        <v>0</v>
      </c>
      <c r="Q164" s="130">
        <f>SUMIFS(ТГ_ИД!$E:$E,ТГ_ИД!$B:$B,ТГ!$G$9,ТГ_ИД!$D:$D,ТГ!$A165)</f>
        <v>0</v>
      </c>
      <c r="R164" s="130">
        <f>SUMIFS(ТГ_ИД!$E:$E,ТГ_ИД!$B:$B,ТГ!$G$10,ТГ_ИД!$D:$D,ТГ!$A165)</f>
        <v>0</v>
      </c>
      <c r="S164" s="130">
        <f>SUMIFS(ТГ_ИД!$E:$E,ТГ_ИД!$B:$B,ТГ!$G$11,ТГ_ИД!$D:$D,ТГ!$A165)</f>
        <v>0</v>
      </c>
      <c r="T164" s="130">
        <f>SUMIFS(ТГ_ИД!$E:$E,ТГ_ИД!$B:$B,ТГ!$G$12,ТГ_ИД!$D:$D,ТГ!$A165)</f>
        <v>0</v>
      </c>
      <c r="U164" s="130">
        <f>SUMIFS(ТГ_ИД!$E:$E,ТГ_ИД!$B:$B,ТГ!$G$13,ТГ_ИД!$D:$D,ТГ!$A165)</f>
        <v>0</v>
      </c>
      <c r="V164" s="130">
        <f>SUMIFS(ТГ_ИД!$E:$E,ТГ_ИД!$B:$B,ТГ!$G$14,ТГ_ИД!$D:$D,ТГ!$A165)</f>
        <v>0</v>
      </c>
    </row>
    <row r="165" spans="1:22" x14ac:dyDescent="0.25">
      <c r="A165" s="116" t="str">
        <f t="shared" si="3"/>
        <v/>
      </c>
      <c r="K165" s="130">
        <f>SUMIFS(ТГ_ИД!$E:$E,ТГ_ИД!$B:$B,ТГ!$G$3,ТГ_ИД!$D:$D,ТГ!$A166)</f>
        <v>0</v>
      </c>
      <c r="L165" s="130">
        <f>SUMIFS(ТГ_ИД!$E:$E,ТГ_ИД!$B:$B,ТГ!$G$4,ТГ_ИД!$D:$D,ТГ!$A166)</f>
        <v>0</v>
      </c>
      <c r="M165" s="130">
        <f>SUMIFS(ТГ_ИД!$E:$E,ТГ_ИД!$B:$B,ТГ!$G$5,ТГ_ИД!$D:$D,ТГ!$A166)</f>
        <v>0</v>
      </c>
      <c r="N165" s="130">
        <f>SUMIFS(ТГ_ИД!$E:$E,ТГ_ИД!$B:$B,ТГ!$G$6,ТГ_ИД!$D:$D,ТГ!$A166)</f>
        <v>0</v>
      </c>
      <c r="O165" s="130">
        <f>SUMIFS(ТГ_ИД!$E:$E,ТГ_ИД!$B:$B,ТГ!$G$7,ТГ_ИД!$D:$D,ТГ!$A166)</f>
        <v>0</v>
      </c>
      <c r="P165" s="130">
        <f>SUMIFS(ТГ_ИД!$E:$E,ТГ_ИД!$B:$B,ТГ!$G$8,ТГ_ИД!$D:$D,ТГ!$A166)</f>
        <v>0</v>
      </c>
      <c r="Q165" s="130">
        <f>SUMIFS(ТГ_ИД!$E:$E,ТГ_ИД!$B:$B,ТГ!$G$9,ТГ_ИД!$D:$D,ТГ!$A166)</f>
        <v>0</v>
      </c>
      <c r="R165" s="130">
        <f>SUMIFS(ТГ_ИД!$E:$E,ТГ_ИД!$B:$B,ТГ!$G$10,ТГ_ИД!$D:$D,ТГ!$A166)</f>
        <v>0</v>
      </c>
      <c r="S165" s="130">
        <f>SUMIFS(ТГ_ИД!$E:$E,ТГ_ИД!$B:$B,ТГ!$G$11,ТГ_ИД!$D:$D,ТГ!$A166)</f>
        <v>0</v>
      </c>
      <c r="T165" s="130">
        <f>SUMIFS(ТГ_ИД!$E:$E,ТГ_ИД!$B:$B,ТГ!$G$12,ТГ_ИД!$D:$D,ТГ!$A166)</f>
        <v>0</v>
      </c>
      <c r="U165" s="130">
        <f>SUMIFS(ТГ_ИД!$E:$E,ТГ_ИД!$B:$B,ТГ!$G$13,ТГ_ИД!$D:$D,ТГ!$A166)</f>
        <v>0</v>
      </c>
      <c r="V165" s="130">
        <f>SUMIFS(ТГ_ИД!$E:$E,ТГ_ИД!$B:$B,ТГ!$G$14,ТГ_ИД!$D:$D,ТГ!$A166)</f>
        <v>0</v>
      </c>
    </row>
    <row r="166" spans="1:22" x14ac:dyDescent="0.25">
      <c r="A166" s="116" t="str">
        <f t="shared" si="3"/>
        <v/>
      </c>
      <c r="K166" s="130">
        <f>SUMIFS(ТГ_ИД!$E:$E,ТГ_ИД!$B:$B,ТГ!$G$3,ТГ_ИД!$D:$D,ТГ!$A167)</f>
        <v>0</v>
      </c>
      <c r="L166" s="130">
        <f>SUMIFS(ТГ_ИД!$E:$E,ТГ_ИД!$B:$B,ТГ!$G$4,ТГ_ИД!$D:$D,ТГ!$A167)</f>
        <v>0</v>
      </c>
      <c r="M166" s="130">
        <f>SUMIFS(ТГ_ИД!$E:$E,ТГ_ИД!$B:$B,ТГ!$G$5,ТГ_ИД!$D:$D,ТГ!$A167)</f>
        <v>0</v>
      </c>
      <c r="N166" s="130">
        <f>SUMIFS(ТГ_ИД!$E:$E,ТГ_ИД!$B:$B,ТГ!$G$6,ТГ_ИД!$D:$D,ТГ!$A167)</f>
        <v>0</v>
      </c>
      <c r="O166" s="130">
        <f>SUMIFS(ТГ_ИД!$E:$E,ТГ_ИД!$B:$B,ТГ!$G$7,ТГ_ИД!$D:$D,ТГ!$A167)</f>
        <v>0</v>
      </c>
      <c r="P166" s="130">
        <f>SUMIFS(ТГ_ИД!$E:$E,ТГ_ИД!$B:$B,ТГ!$G$8,ТГ_ИД!$D:$D,ТГ!$A167)</f>
        <v>0</v>
      </c>
      <c r="Q166" s="130">
        <f>SUMIFS(ТГ_ИД!$E:$E,ТГ_ИД!$B:$B,ТГ!$G$9,ТГ_ИД!$D:$D,ТГ!$A167)</f>
        <v>0</v>
      </c>
      <c r="R166" s="130">
        <f>SUMIFS(ТГ_ИД!$E:$E,ТГ_ИД!$B:$B,ТГ!$G$10,ТГ_ИД!$D:$D,ТГ!$A167)</f>
        <v>0</v>
      </c>
      <c r="S166" s="130">
        <f>SUMIFS(ТГ_ИД!$E:$E,ТГ_ИД!$B:$B,ТГ!$G$11,ТГ_ИД!$D:$D,ТГ!$A167)</f>
        <v>0</v>
      </c>
      <c r="T166" s="130">
        <f>SUMIFS(ТГ_ИД!$E:$E,ТГ_ИД!$B:$B,ТГ!$G$12,ТГ_ИД!$D:$D,ТГ!$A167)</f>
        <v>0</v>
      </c>
      <c r="U166" s="130">
        <f>SUMIFS(ТГ_ИД!$E:$E,ТГ_ИД!$B:$B,ТГ!$G$13,ТГ_ИД!$D:$D,ТГ!$A167)</f>
        <v>0</v>
      </c>
      <c r="V166" s="130">
        <f>SUMIFS(ТГ_ИД!$E:$E,ТГ_ИД!$B:$B,ТГ!$G$14,ТГ_ИД!$D:$D,ТГ!$A167)</f>
        <v>0</v>
      </c>
    </row>
    <row r="167" spans="1:22" x14ac:dyDescent="0.25">
      <c r="A167" s="116" t="str">
        <f t="shared" si="3"/>
        <v/>
      </c>
      <c r="K167" s="130">
        <f>SUMIFS(ТГ_ИД!$E:$E,ТГ_ИД!$B:$B,ТГ!$G$3,ТГ_ИД!$D:$D,ТГ!$A168)</f>
        <v>0</v>
      </c>
      <c r="L167" s="130">
        <f>SUMIFS(ТГ_ИД!$E:$E,ТГ_ИД!$B:$B,ТГ!$G$4,ТГ_ИД!$D:$D,ТГ!$A168)</f>
        <v>0</v>
      </c>
      <c r="M167" s="130">
        <f>SUMIFS(ТГ_ИД!$E:$E,ТГ_ИД!$B:$B,ТГ!$G$5,ТГ_ИД!$D:$D,ТГ!$A168)</f>
        <v>0</v>
      </c>
      <c r="N167" s="130">
        <f>SUMIFS(ТГ_ИД!$E:$E,ТГ_ИД!$B:$B,ТГ!$G$6,ТГ_ИД!$D:$D,ТГ!$A168)</f>
        <v>0</v>
      </c>
      <c r="O167" s="130">
        <f>SUMIFS(ТГ_ИД!$E:$E,ТГ_ИД!$B:$B,ТГ!$G$7,ТГ_ИД!$D:$D,ТГ!$A168)</f>
        <v>0</v>
      </c>
      <c r="P167" s="130">
        <f>SUMIFS(ТГ_ИД!$E:$E,ТГ_ИД!$B:$B,ТГ!$G$8,ТГ_ИД!$D:$D,ТГ!$A168)</f>
        <v>0</v>
      </c>
      <c r="Q167" s="130">
        <f>SUMIFS(ТГ_ИД!$E:$E,ТГ_ИД!$B:$B,ТГ!$G$9,ТГ_ИД!$D:$D,ТГ!$A168)</f>
        <v>0</v>
      </c>
      <c r="R167" s="130">
        <f>SUMIFS(ТГ_ИД!$E:$E,ТГ_ИД!$B:$B,ТГ!$G$10,ТГ_ИД!$D:$D,ТГ!$A168)</f>
        <v>0</v>
      </c>
      <c r="S167" s="130">
        <f>SUMIFS(ТГ_ИД!$E:$E,ТГ_ИД!$B:$B,ТГ!$G$11,ТГ_ИД!$D:$D,ТГ!$A168)</f>
        <v>0</v>
      </c>
      <c r="T167" s="130">
        <f>SUMIFS(ТГ_ИД!$E:$E,ТГ_ИД!$B:$B,ТГ!$G$12,ТГ_ИД!$D:$D,ТГ!$A168)</f>
        <v>0</v>
      </c>
      <c r="U167" s="130">
        <f>SUMIFS(ТГ_ИД!$E:$E,ТГ_ИД!$B:$B,ТГ!$G$13,ТГ_ИД!$D:$D,ТГ!$A168)</f>
        <v>0</v>
      </c>
      <c r="V167" s="130">
        <f>SUMIFS(ТГ_ИД!$E:$E,ТГ_ИД!$B:$B,ТГ!$G$14,ТГ_ИД!$D:$D,ТГ!$A168)</f>
        <v>0</v>
      </c>
    </row>
    <row r="168" spans="1:22" x14ac:dyDescent="0.25">
      <c r="A168" s="116" t="str">
        <f t="shared" si="3"/>
        <v/>
      </c>
      <c r="K168" s="130">
        <f>SUMIFS(ТГ_ИД!$E:$E,ТГ_ИД!$B:$B,ТГ!$G$3,ТГ_ИД!$D:$D,ТГ!$A169)</f>
        <v>0</v>
      </c>
      <c r="L168" s="130">
        <f>SUMIFS(ТГ_ИД!$E:$E,ТГ_ИД!$B:$B,ТГ!$G$4,ТГ_ИД!$D:$D,ТГ!$A169)</f>
        <v>0</v>
      </c>
      <c r="M168" s="130">
        <f>SUMIFS(ТГ_ИД!$E:$E,ТГ_ИД!$B:$B,ТГ!$G$5,ТГ_ИД!$D:$D,ТГ!$A169)</f>
        <v>0</v>
      </c>
      <c r="N168" s="130">
        <f>SUMIFS(ТГ_ИД!$E:$E,ТГ_ИД!$B:$B,ТГ!$G$6,ТГ_ИД!$D:$D,ТГ!$A169)</f>
        <v>0</v>
      </c>
      <c r="O168" s="130">
        <f>SUMIFS(ТГ_ИД!$E:$E,ТГ_ИД!$B:$B,ТГ!$G$7,ТГ_ИД!$D:$D,ТГ!$A169)</f>
        <v>0</v>
      </c>
      <c r="P168" s="130">
        <f>SUMIFS(ТГ_ИД!$E:$E,ТГ_ИД!$B:$B,ТГ!$G$8,ТГ_ИД!$D:$D,ТГ!$A169)</f>
        <v>0</v>
      </c>
      <c r="Q168" s="130">
        <f>SUMIFS(ТГ_ИД!$E:$E,ТГ_ИД!$B:$B,ТГ!$G$9,ТГ_ИД!$D:$D,ТГ!$A169)</f>
        <v>0</v>
      </c>
      <c r="R168" s="130">
        <f>SUMIFS(ТГ_ИД!$E:$E,ТГ_ИД!$B:$B,ТГ!$G$10,ТГ_ИД!$D:$D,ТГ!$A169)</f>
        <v>0</v>
      </c>
      <c r="S168" s="130">
        <f>SUMIFS(ТГ_ИД!$E:$E,ТГ_ИД!$B:$B,ТГ!$G$11,ТГ_ИД!$D:$D,ТГ!$A169)</f>
        <v>0</v>
      </c>
      <c r="T168" s="130">
        <f>SUMIFS(ТГ_ИД!$E:$E,ТГ_ИД!$B:$B,ТГ!$G$12,ТГ_ИД!$D:$D,ТГ!$A169)</f>
        <v>0</v>
      </c>
      <c r="U168" s="130">
        <f>SUMIFS(ТГ_ИД!$E:$E,ТГ_ИД!$B:$B,ТГ!$G$13,ТГ_ИД!$D:$D,ТГ!$A169)</f>
        <v>0</v>
      </c>
      <c r="V168" s="130">
        <f>SUMIFS(ТГ_ИД!$E:$E,ТГ_ИД!$B:$B,ТГ!$G$14,ТГ_ИД!$D:$D,ТГ!$A169)</f>
        <v>0</v>
      </c>
    </row>
    <row r="169" spans="1:22" x14ac:dyDescent="0.25">
      <c r="A169" s="116" t="str">
        <f t="shared" si="3"/>
        <v/>
      </c>
      <c r="K169" s="130">
        <f>SUMIFS(ТГ_ИД!$E:$E,ТГ_ИД!$B:$B,ТГ!$G$3,ТГ_ИД!$D:$D,ТГ!$A170)</f>
        <v>0</v>
      </c>
      <c r="L169" s="130">
        <f>SUMIFS(ТГ_ИД!$E:$E,ТГ_ИД!$B:$B,ТГ!$G$4,ТГ_ИД!$D:$D,ТГ!$A170)</f>
        <v>0</v>
      </c>
      <c r="M169" s="130">
        <f>SUMIFS(ТГ_ИД!$E:$E,ТГ_ИД!$B:$B,ТГ!$G$5,ТГ_ИД!$D:$D,ТГ!$A170)</f>
        <v>0</v>
      </c>
      <c r="N169" s="130">
        <f>SUMIFS(ТГ_ИД!$E:$E,ТГ_ИД!$B:$B,ТГ!$G$6,ТГ_ИД!$D:$D,ТГ!$A170)</f>
        <v>0</v>
      </c>
      <c r="O169" s="130">
        <f>SUMIFS(ТГ_ИД!$E:$E,ТГ_ИД!$B:$B,ТГ!$G$7,ТГ_ИД!$D:$D,ТГ!$A170)</f>
        <v>0</v>
      </c>
      <c r="P169" s="130">
        <f>SUMIFS(ТГ_ИД!$E:$E,ТГ_ИД!$B:$B,ТГ!$G$8,ТГ_ИД!$D:$D,ТГ!$A170)</f>
        <v>0</v>
      </c>
      <c r="Q169" s="130">
        <f>SUMIFS(ТГ_ИД!$E:$E,ТГ_ИД!$B:$B,ТГ!$G$9,ТГ_ИД!$D:$D,ТГ!$A170)</f>
        <v>0</v>
      </c>
      <c r="R169" s="130">
        <f>SUMIFS(ТГ_ИД!$E:$E,ТГ_ИД!$B:$B,ТГ!$G$10,ТГ_ИД!$D:$D,ТГ!$A170)</f>
        <v>0</v>
      </c>
      <c r="S169" s="130">
        <f>SUMIFS(ТГ_ИД!$E:$E,ТГ_ИД!$B:$B,ТГ!$G$11,ТГ_ИД!$D:$D,ТГ!$A170)</f>
        <v>0</v>
      </c>
      <c r="T169" s="130">
        <f>SUMIFS(ТГ_ИД!$E:$E,ТГ_ИД!$B:$B,ТГ!$G$12,ТГ_ИД!$D:$D,ТГ!$A170)</f>
        <v>0</v>
      </c>
      <c r="U169" s="130">
        <f>SUMIFS(ТГ_ИД!$E:$E,ТГ_ИД!$B:$B,ТГ!$G$13,ТГ_ИД!$D:$D,ТГ!$A170)</f>
        <v>0</v>
      </c>
      <c r="V169" s="130">
        <f>SUMIFS(ТГ_ИД!$E:$E,ТГ_ИД!$B:$B,ТГ!$G$14,ТГ_ИД!$D:$D,ТГ!$A170)</f>
        <v>0</v>
      </c>
    </row>
    <row r="170" spans="1:22" x14ac:dyDescent="0.25">
      <c r="A170" s="116" t="str">
        <f t="shared" si="3"/>
        <v/>
      </c>
      <c r="K170" s="130">
        <f>SUMIFS(ТГ_ИД!$E:$E,ТГ_ИД!$B:$B,ТГ!$G$3,ТГ_ИД!$D:$D,ТГ!$A171)</f>
        <v>0</v>
      </c>
      <c r="L170" s="130">
        <f>SUMIFS(ТГ_ИД!$E:$E,ТГ_ИД!$B:$B,ТГ!$G$4,ТГ_ИД!$D:$D,ТГ!$A171)</f>
        <v>0</v>
      </c>
      <c r="M170" s="130">
        <f>SUMIFS(ТГ_ИД!$E:$E,ТГ_ИД!$B:$B,ТГ!$G$5,ТГ_ИД!$D:$D,ТГ!$A171)</f>
        <v>0</v>
      </c>
      <c r="N170" s="130">
        <f>SUMIFS(ТГ_ИД!$E:$E,ТГ_ИД!$B:$B,ТГ!$G$6,ТГ_ИД!$D:$D,ТГ!$A171)</f>
        <v>0</v>
      </c>
      <c r="O170" s="130">
        <f>SUMIFS(ТГ_ИД!$E:$E,ТГ_ИД!$B:$B,ТГ!$G$7,ТГ_ИД!$D:$D,ТГ!$A171)</f>
        <v>0</v>
      </c>
      <c r="P170" s="130">
        <f>SUMIFS(ТГ_ИД!$E:$E,ТГ_ИД!$B:$B,ТГ!$G$8,ТГ_ИД!$D:$D,ТГ!$A171)</f>
        <v>0</v>
      </c>
      <c r="Q170" s="130">
        <f>SUMIFS(ТГ_ИД!$E:$E,ТГ_ИД!$B:$B,ТГ!$G$9,ТГ_ИД!$D:$D,ТГ!$A171)</f>
        <v>0</v>
      </c>
      <c r="R170" s="130">
        <f>SUMIFS(ТГ_ИД!$E:$E,ТГ_ИД!$B:$B,ТГ!$G$10,ТГ_ИД!$D:$D,ТГ!$A171)</f>
        <v>0</v>
      </c>
      <c r="S170" s="130">
        <f>SUMIFS(ТГ_ИД!$E:$E,ТГ_ИД!$B:$B,ТГ!$G$11,ТГ_ИД!$D:$D,ТГ!$A171)</f>
        <v>0</v>
      </c>
      <c r="T170" s="130">
        <f>SUMIFS(ТГ_ИД!$E:$E,ТГ_ИД!$B:$B,ТГ!$G$12,ТГ_ИД!$D:$D,ТГ!$A171)</f>
        <v>0</v>
      </c>
      <c r="U170" s="130">
        <f>SUMIFS(ТГ_ИД!$E:$E,ТГ_ИД!$B:$B,ТГ!$G$13,ТГ_ИД!$D:$D,ТГ!$A171)</f>
        <v>0</v>
      </c>
      <c r="V170" s="130">
        <f>SUMIFS(ТГ_ИД!$E:$E,ТГ_ИД!$B:$B,ТГ!$G$14,ТГ_ИД!$D:$D,ТГ!$A171)</f>
        <v>0</v>
      </c>
    </row>
    <row r="171" spans="1:22" x14ac:dyDescent="0.25">
      <c r="A171" s="116" t="str">
        <f t="shared" si="3"/>
        <v/>
      </c>
      <c r="K171" s="130">
        <f>SUMIFS(ТГ_ИД!$E:$E,ТГ_ИД!$B:$B,ТГ!$G$3,ТГ_ИД!$D:$D,ТГ!$A172)</f>
        <v>0</v>
      </c>
      <c r="L171" s="130">
        <f>SUMIFS(ТГ_ИД!$E:$E,ТГ_ИД!$B:$B,ТГ!$G$4,ТГ_ИД!$D:$D,ТГ!$A172)</f>
        <v>0</v>
      </c>
      <c r="M171" s="130">
        <f>SUMIFS(ТГ_ИД!$E:$E,ТГ_ИД!$B:$B,ТГ!$G$5,ТГ_ИД!$D:$D,ТГ!$A172)</f>
        <v>0</v>
      </c>
      <c r="N171" s="130">
        <f>SUMIFS(ТГ_ИД!$E:$E,ТГ_ИД!$B:$B,ТГ!$G$6,ТГ_ИД!$D:$D,ТГ!$A172)</f>
        <v>0</v>
      </c>
      <c r="O171" s="130">
        <f>SUMIFS(ТГ_ИД!$E:$E,ТГ_ИД!$B:$B,ТГ!$G$7,ТГ_ИД!$D:$D,ТГ!$A172)</f>
        <v>0</v>
      </c>
      <c r="P171" s="130">
        <f>SUMIFS(ТГ_ИД!$E:$E,ТГ_ИД!$B:$B,ТГ!$G$8,ТГ_ИД!$D:$D,ТГ!$A172)</f>
        <v>0</v>
      </c>
      <c r="Q171" s="130">
        <f>SUMIFS(ТГ_ИД!$E:$E,ТГ_ИД!$B:$B,ТГ!$G$9,ТГ_ИД!$D:$D,ТГ!$A172)</f>
        <v>0</v>
      </c>
      <c r="R171" s="130">
        <f>SUMIFS(ТГ_ИД!$E:$E,ТГ_ИД!$B:$B,ТГ!$G$10,ТГ_ИД!$D:$D,ТГ!$A172)</f>
        <v>0</v>
      </c>
      <c r="S171" s="130">
        <f>SUMIFS(ТГ_ИД!$E:$E,ТГ_ИД!$B:$B,ТГ!$G$11,ТГ_ИД!$D:$D,ТГ!$A172)</f>
        <v>0</v>
      </c>
      <c r="T171" s="130">
        <f>SUMIFS(ТГ_ИД!$E:$E,ТГ_ИД!$B:$B,ТГ!$G$12,ТГ_ИД!$D:$D,ТГ!$A172)</f>
        <v>0</v>
      </c>
      <c r="U171" s="130">
        <f>SUMIFS(ТГ_ИД!$E:$E,ТГ_ИД!$B:$B,ТГ!$G$13,ТГ_ИД!$D:$D,ТГ!$A172)</f>
        <v>0</v>
      </c>
      <c r="V171" s="130">
        <f>SUMIFS(ТГ_ИД!$E:$E,ТГ_ИД!$B:$B,ТГ!$G$14,ТГ_ИД!$D:$D,ТГ!$A172)</f>
        <v>0</v>
      </c>
    </row>
    <row r="172" spans="1:22" x14ac:dyDescent="0.25">
      <c r="A172" s="116" t="str">
        <f t="shared" si="3"/>
        <v/>
      </c>
      <c r="K172" s="130">
        <f>SUMIFS(ТГ_ИД!$E:$E,ТГ_ИД!$B:$B,ТГ!$G$3,ТГ_ИД!$D:$D,ТГ!$A173)</f>
        <v>0</v>
      </c>
      <c r="L172" s="130">
        <f>SUMIFS(ТГ_ИД!$E:$E,ТГ_ИД!$B:$B,ТГ!$G$4,ТГ_ИД!$D:$D,ТГ!$A173)</f>
        <v>0</v>
      </c>
      <c r="M172" s="130">
        <f>SUMIFS(ТГ_ИД!$E:$E,ТГ_ИД!$B:$B,ТГ!$G$5,ТГ_ИД!$D:$D,ТГ!$A173)</f>
        <v>0</v>
      </c>
      <c r="N172" s="130">
        <f>SUMIFS(ТГ_ИД!$E:$E,ТГ_ИД!$B:$B,ТГ!$G$6,ТГ_ИД!$D:$D,ТГ!$A173)</f>
        <v>0</v>
      </c>
      <c r="O172" s="130">
        <f>SUMIFS(ТГ_ИД!$E:$E,ТГ_ИД!$B:$B,ТГ!$G$7,ТГ_ИД!$D:$D,ТГ!$A173)</f>
        <v>0</v>
      </c>
      <c r="P172" s="130">
        <f>SUMIFS(ТГ_ИД!$E:$E,ТГ_ИД!$B:$B,ТГ!$G$8,ТГ_ИД!$D:$D,ТГ!$A173)</f>
        <v>0</v>
      </c>
      <c r="Q172" s="130">
        <f>SUMIFS(ТГ_ИД!$E:$E,ТГ_ИД!$B:$B,ТГ!$G$9,ТГ_ИД!$D:$D,ТГ!$A173)</f>
        <v>0</v>
      </c>
      <c r="R172" s="130">
        <f>SUMIFS(ТГ_ИД!$E:$E,ТГ_ИД!$B:$B,ТГ!$G$10,ТГ_ИД!$D:$D,ТГ!$A173)</f>
        <v>0</v>
      </c>
      <c r="S172" s="130">
        <f>SUMIFS(ТГ_ИД!$E:$E,ТГ_ИД!$B:$B,ТГ!$G$11,ТГ_ИД!$D:$D,ТГ!$A173)</f>
        <v>0</v>
      </c>
      <c r="T172" s="130">
        <f>SUMIFS(ТГ_ИД!$E:$E,ТГ_ИД!$B:$B,ТГ!$G$12,ТГ_ИД!$D:$D,ТГ!$A173)</f>
        <v>0</v>
      </c>
      <c r="U172" s="130">
        <f>SUMIFS(ТГ_ИД!$E:$E,ТГ_ИД!$B:$B,ТГ!$G$13,ТГ_ИД!$D:$D,ТГ!$A173)</f>
        <v>0</v>
      </c>
      <c r="V172" s="130">
        <f>SUMIFS(ТГ_ИД!$E:$E,ТГ_ИД!$B:$B,ТГ!$G$14,ТГ_ИД!$D:$D,ТГ!$A173)</f>
        <v>0</v>
      </c>
    </row>
    <row r="173" spans="1:22" x14ac:dyDescent="0.25">
      <c r="A173" s="116" t="str">
        <f t="shared" si="3"/>
        <v/>
      </c>
      <c r="K173" s="130">
        <f>SUMIFS(ТГ_ИД!$E:$E,ТГ_ИД!$B:$B,ТГ!$G$3,ТГ_ИД!$D:$D,ТГ!$A174)</f>
        <v>0</v>
      </c>
      <c r="L173" s="130">
        <f>SUMIFS(ТГ_ИД!$E:$E,ТГ_ИД!$B:$B,ТГ!$G$4,ТГ_ИД!$D:$D,ТГ!$A174)</f>
        <v>0</v>
      </c>
      <c r="M173" s="130">
        <f>SUMIFS(ТГ_ИД!$E:$E,ТГ_ИД!$B:$B,ТГ!$G$5,ТГ_ИД!$D:$D,ТГ!$A174)</f>
        <v>0</v>
      </c>
      <c r="N173" s="130">
        <f>SUMIFS(ТГ_ИД!$E:$E,ТГ_ИД!$B:$B,ТГ!$G$6,ТГ_ИД!$D:$D,ТГ!$A174)</f>
        <v>0</v>
      </c>
      <c r="O173" s="130">
        <f>SUMIFS(ТГ_ИД!$E:$E,ТГ_ИД!$B:$B,ТГ!$G$7,ТГ_ИД!$D:$D,ТГ!$A174)</f>
        <v>0</v>
      </c>
      <c r="P173" s="130">
        <f>SUMIFS(ТГ_ИД!$E:$E,ТГ_ИД!$B:$B,ТГ!$G$8,ТГ_ИД!$D:$D,ТГ!$A174)</f>
        <v>0</v>
      </c>
      <c r="Q173" s="130">
        <f>SUMIFS(ТГ_ИД!$E:$E,ТГ_ИД!$B:$B,ТГ!$G$9,ТГ_ИД!$D:$D,ТГ!$A174)</f>
        <v>0</v>
      </c>
      <c r="R173" s="130">
        <f>SUMIFS(ТГ_ИД!$E:$E,ТГ_ИД!$B:$B,ТГ!$G$10,ТГ_ИД!$D:$D,ТГ!$A174)</f>
        <v>0</v>
      </c>
      <c r="S173" s="130">
        <f>SUMIFS(ТГ_ИД!$E:$E,ТГ_ИД!$B:$B,ТГ!$G$11,ТГ_ИД!$D:$D,ТГ!$A174)</f>
        <v>0</v>
      </c>
      <c r="T173" s="130">
        <f>SUMIFS(ТГ_ИД!$E:$E,ТГ_ИД!$B:$B,ТГ!$G$12,ТГ_ИД!$D:$D,ТГ!$A174)</f>
        <v>0</v>
      </c>
      <c r="U173" s="130">
        <f>SUMIFS(ТГ_ИД!$E:$E,ТГ_ИД!$B:$B,ТГ!$G$13,ТГ_ИД!$D:$D,ТГ!$A174)</f>
        <v>0</v>
      </c>
      <c r="V173" s="130">
        <f>SUMIFS(ТГ_ИД!$E:$E,ТГ_ИД!$B:$B,ТГ!$G$14,ТГ_ИД!$D:$D,ТГ!$A174)</f>
        <v>0</v>
      </c>
    </row>
    <row r="174" spans="1:22" x14ac:dyDescent="0.25">
      <c r="A174" s="116" t="str">
        <f t="shared" si="3"/>
        <v/>
      </c>
      <c r="K174" s="130">
        <f>SUMIFS(ТГ_ИД!$E:$E,ТГ_ИД!$B:$B,ТГ!$G$3,ТГ_ИД!$D:$D,ТГ!$A175)</f>
        <v>0</v>
      </c>
      <c r="L174" s="130">
        <f>SUMIFS(ТГ_ИД!$E:$E,ТГ_ИД!$B:$B,ТГ!$G$4,ТГ_ИД!$D:$D,ТГ!$A175)</f>
        <v>0</v>
      </c>
      <c r="M174" s="130">
        <f>SUMIFS(ТГ_ИД!$E:$E,ТГ_ИД!$B:$B,ТГ!$G$5,ТГ_ИД!$D:$D,ТГ!$A175)</f>
        <v>0</v>
      </c>
      <c r="N174" s="130">
        <f>SUMIFS(ТГ_ИД!$E:$E,ТГ_ИД!$B:$B,ТГ!$G$6,ТГ_ИД!$D:$D,ТГ!$A175)</f>
        <v>0</v>
      </c>
      <c r="O174" s="130">
        <f>SUMIFS(ТГ_ИД!$E:$E,ТГ_ИД!$B:$B,ТГ!$G$7,ТГ_ИД!$D:$D,ТГ!$A175)</f>
        <v>0</v>
      </c>
      <c r="P174" s="130">
        <f>SUMIFS(ТГ_ИД!$E:$E,ТГ_ИД!$B:$B,ТГ!$G$8,ТГ_ИД!$D:$D,ТГ!$A175)</f>
        <v>0</v>
      </c>
      <c r="Q174" s="130">
        <f>SUMIFS(ТГ_ИД!$E:$E,ТГ_ИД!$B:$B,ТГ!$G$9,ТГ_ИД!$D:$D,ТГ!$A175)</f>
        <v>0</v>
      </c>
      <c r="R174" s="130">
        <f>SUMIFS(ТГ_ИД!$E:$E,ТГ_ИД!$B:$B,ТГ!$G$10,ТГ_ИД!$D:$D,ТГ!$A175)</f>
        <v>0</v>
      </c>
      <c r="S174" s="130">
        <f>SUMIFS(ТГ_ИД!$E:$E,ТГ_ИД!$B:$B,ТГ!$G$11,ТГ_ИД!$D:$D,ТГ!$A175)</f>
        <v>0</v>
      </c>
      <c r="T174" s="130">
        <f>SUMIFS(ТГ_ИД!$E:$E,ТГ_ИД!$B:$B,ТГ!$G$12,ТГ_ИД!$D:$D,ТГ!$A175)</f>
        <v>0</v>
      </c>
      <c r="U174" s="130">
        <f>SUMIFS(ТГ_ИД!$E:$E,ТГ_ИД!$B:$B,ТГ!$G$13,ТГ_ИД!$D:$D,ТГ!$A175)</f>
        <v>0</v>
      </c>
      <c r="V174" s="130">
        <f>SUMIFS(ТГ_ИД!$E:$E,ТГ_ИД!$B:$B,ТГ!$G$14,ТГ_ИД!$D:$D,ТГ!$A175)</f>
        <v>0</v>
      </c>
    </row>
    <row r="175" spans="1:22" x14ac:dyDescent="0.25">
      <c r="A175" s="116" t="str">
        <f t="shared" si="3"/>
        <v/>
      </c>
      <c r="K175" s="130">
        <f>SUMIFS(ТГ_ИД!$E:$E,ТГ_ИД!$B:$B,ТГ!$G$3,ТГ_ИД!$D:$D,ТГ!$A176)</f>
        <v>0</v>
      </c>
      <c r="L175" s="130">
        <f>SUMIFS(ТГ_ИД!$E:$E,ТГ_ИД!$B:$B,ТГ!$G$4,ТГ_ИД!$D:$D,ТГ!$A176)</f>
        <v>0</v>
      </c>
      <c r="M175" s="130">
        <f>SUMIFS(ТГ_ИД!$E:$E,ТГ_ИД!$B:$B,ТГ!$G$5,ТГ_ИД!$D:$D,ТГ!$A176)</f>
        <v>0</v>
      </c>
      <c r="N175" s="130">
        <f>SUMIFS(ТГ_ИД!$E:$E,ТГ_ИД!$B:$B,ТГ!$G$6,ТГ_ИД!$D:$D,ТГ!$A176)</f>
        <v>0</v>
      </c>
      <c r="O175" s="130">
        <f>SUMIFS(ТГ_ИД!$E:$E,ТГ_ИД!$B:$B,ТГ!$G$7,ТГ_ИД!$D:$D,ТГ!$A176)</f>
        <v>0</v>
      </c>
      <c r="P175" s="130">
        <f>SUMIFS(ТГ_ИД!$E:$E,ТГ_ИД!$B:$B,ТГ!$G$8,ТГ_ИД!$D:$D,ТГ!$A176)</f>
        <v>0</v>
      </c>
      <c r="Q175" s="130">
        <f>SUMIFS(ТГ_ИД!$E:$E,ТГ_ИД!$B:$B,ТГ!$G$9,ТГ_ИД!$D:$D,ТГ!$A176)</f>
        <v>0</v>
      </c>
      <c r="R175" s="130">
        <f>SUMIFS(ТГ_ИД!$E:$E,ТГ_ИД!$B:$B,ТГ!$G$10,ТГ_ИД!$D:$D,ТГ!$A176)</f>
        <v>0</v>
      </c>
      <c r="S175" s="130">
        <f>SUMIFS(ТГ_ИД!$E:$E,ТГ_ИД!$B:$B,ТГ!$G$11,ТГ_ИД!$D:$D,ТГ!$A176)</f>
        <v>0</v>
      </c>
      <c r="T175" s="130">
        <f>SUMIFS(ТГ_ИД!$E:$E,ТГ_ИД!$B:$B,ТГ!$G$12,ТГ_ИД!$D:$D,ТГ!$A176)</f>
        <v>0</v>
      </c>
      <c r="U175" s="130">
        <f>SUMIFS(ТГ_ИД!$E:$E,ТГ_ИД!$B:$B,ТГ!$G$13,ТГ_ИД!$D:$D,ТГ!$A176)</f>
        <v>0</v>
      </c>
      <c r="V175" s="130">
        <f>SUMIFS(ТГ_ИД!$E:$E,ТГ_ИД!$B:$B,ТГ!$G$14,ТГ_ИД!$D:$D,ТГ!$A176)</f>
        <v>0</v>
      </c>
    </row>
    <row r="176" spans="1:22" x14ac:dyDescent="0.25">
      <c r="A176" s="116" t="str">
        <f t="shared" si="3"/>
        <v/>
      </c>
      <c r="K176" s="130">
        <f>SUMIFS(ТГ_ИД!$E:$E,ТГ_ИД!$B:$B,ТГ!$G$3,ТГ_ИД!$D:$D,ТГ!$A177)</f>
        <v>0</v>
      </c>
      <c r="L176" s="130">
        <f>SUMIFS(ТГ_ИД!$E:$E,ТГ_ИД!$B:$B,ТГ!$G$4,ТГ_ИД!$D:$D,ТГ!$A177)</f>
        <v>0</v>
      </c>
      <c r="M176" s="130">
        <f>SUMIFS(ТГ_ИД!$E:$E,ТГ_ИД!$B:$B,ТГ!$G$5,ТГ_ИД!$D:$D,ТГ!$A177)</f>
        <v>0</v>
      </c>
      <c r="N176" s="130">
        <f>SUMIFS(ТГ_ИД!$E:$E,ТГ_ИД!$B:$B,ТГ!$G$6,ТГ_ИД!$D:$D,ТГ!$A177)</f>
        <v>0</v>
      </c>
      <c r="O176" s="130">
        <f>SUMIFS(ТГ_ИД!$E:$E,ТГ_ИД!$B:$B,ТГ!$G$7,ТГ_ИД!$D:$D,ТГ!$A177)</f>
        <v>0</v>
      </c>
      <c r="P176" s="130">
        <f>SUMIFS(ТГ_ИД!$E:$E,ТГ_ИД!$B:$B,ТГ!$G$8,ТГ_ИД!$D:$D,ТГ!$A177)</f>
        <v>0</v>
      </c>
      <c r="Q176" s="130">
        <f>SUMIFS(ТГ_ИД!$E:$E,ТГ_ИД!$B:$B,ТГ!$G$9,ТГ_ИД!$D:$D,ТГ!$A177)</f>
        <v>0</v>
      </c>
      <c r="R176" s="130">
        <f>SUMIFS(ТГ_ИД!$E:$E,ТГ_ИД!$B:$B,ТГ!$G$10,ТГ_ИД!$D:$D,ТГ!$A177)</f>
        <v>0</v>
      </c>
      <c r="S176" s="130">
        <f>SUMIFS(ТГ_ИД!$E:$E,ТГ_ИД!$B:$B,ТГ!$G$11,ТГ_ИД!$D:$D,ТГ!$A177)</f>
        <v>0</v>
      </c>
      <c r="T176" s="130">
        <f>SUMIFS(ТГ_ИД!$E:$E,ТГ_ИД!$B:$B,ТГ!$G$12,ТГ_ИД!$D:$D,ТГ!$A177)</f>
        <v>0</v>
      </c>
      <c r="U176" s="130">
        <f>SUMIFS(ТГ_ИД!$E:$E,ТГ_ИД!$B:$B,ТГ!$G$13,ТГ_ИД!$D:$D,ТГ!$A177)</f>
        <v>0</v>
      </c>
      <c r="V176" s="130">
        <f>SUMIFS(ТГ_ИД!$E:$E,ТГ_ИД!$B:$B,ТГ!$G$14,ТГ_ИД!$D:$D,ТГ!$A177)</f>
        <v>0</v>
      </c>
    </row>
    <row r="177" spans="1:22" x14ac:dyDescent="0.25">
      <c r="A177" s="116" t="str">
        <f t="shared" si="3"/>
        <v/>
      </c>
      <c r="K177" s="130">
        <f>SUMIFS(ТГ_ИД!$E:$E,ТГ_ИД!$B:$B,ТГ!$G$3,ТГ_ИД!$D:$D,ТГ!$A178)</f>
        <v>0</v>
      </c>
      <c r="L177" s="130">
        <f>SUMIFS(ТГ_ИД!$E:$E,ТГ_ИД!$B:$B,ТГ!$G$4,ТГ_ИД!$D:$D,ТГ!$A178)</f>
        <v>0</v>
      </c>
      <c r="M177" s="130">
        <f>SUMIFS(ТГ_ИД!$E:$E,ТГ_ИД!$B:$B,ТГ!$G$5,ТГ_ИД!$D:$D,ТГ!$A178)</f>
        <v>0</v>
      </c>
      <c r="N177" s="130">
        <f>SUMIFS(ТГ_ИД!$E:$E,ТГ_ИД!$B:$B,ТГ!$G$6,ТГ_ИД!$D:$D,ТГ!$A178)</f>
        <v>0</v>
      </c>
      <c r="O177" s="130">
        <f>SUMIFS(ТГ_ИД!$E:$E,ТГ_ИД!$B:$B,ТГ!$G$7,ТГ_ИД!$D:$D,ТГ!$A178)</f>
        <v>0</v>
      </c>
      <c r="P177" s="130">
        <f>SUMIFS(ТГ_ИД!$E:$E,ТГ_ИД!$B:$B,ТГ!$G$8,ТГ_ИД!$D:$D,ТГ!$A178)</f>
        <v>0</v>
      </c>
      <c r="Q177" s="130">
        <f>SUMIFS(ТГ_ИД!$E:$E,ТГ_ИД!$B:$B,ТГ!$G$9,ТГ_ИД!$D:$D,ТГ!$A178)</f>
        <v>0</v>
      </c>
      <c r="R177" s="130">
        <f>SUMIFS(ТГ_ИД!$E:$E,ТГ_ИД!$B:$B,ТГ!$G$10,ТГ_ИД!$D:$D,ТГ!$A178)</f>
        <v>0</v>
      </c>
      <c r="S177" s="130">
        <f>SUMIFS(ТГ_ИД!$E:$E,ТГ_ИД!$B:$B,ТГ!$G$11,ТГ_ИД!$D:$D,ТГ!$A178)</f>
        <v>0</v>
      </c>
      <c r="T177" s="130">
        <f>SUMIFS(ТГ_ИД!$E:$E,ТГ_ИД!$B:$B,ТГ!$G$12,ТГ_ИД!$D:$D,ТГ!$A178)</f>
        <v>0</v>
      </c>
      <c r="U177" s="130">
        <f>SUMIFS(ТГ_ИД!$E:$E,ТГ_ИД!$B:$B,ТГ!$G$13,ТГ_ИД!$D:$D,ТГ!$A178)</f>
        <v>0</v>
      </c>
      <c r="V177" s="130">
        <f>SUMIFS(ТГ_ИД!$E:$E,ТГ_ИД!$B:$B,ТГ!$G$14,ТГ_ИД!$D:$D,ТГ!$A178)</f>
        <v>0</v>
      </c>
    </row>
    <row r="178" spans="1:22" x14ac:dyDescent="0.25">
      <c r="A178" s="116" t="str">
        <f t="shared" si="3"/>
        <v/>
      </c>
      <c r="K178" s="130">
        <f>SUMIFS(ТГ_ИД!$E:$E,ТГ_ИД!$B:$B,ТГ!$G$3,ТГ_ИД!$D:$D,ТГ!$A179)</f>
        <v>0</v>
      </c>
      <c r="L178" s="130">
        <f>SUMIFS(ТГ_ИД!$E:$E,ТГ_ИД!$B:$B,ТГ!$G$4,ТГ_ИД!$D:$D,ТГ!$A179)</f>
        <v>0</v>
      </c>
      <c r="M178" s="130">
        <f>SUMIFS(ТГ_ИД!$E:$E,ТГ_ИД!$B:$B,ТГ!$G$5,ТГ_ИД!$D:$D,ТГ!$A179)</f>
        <v>0</v>
      </c>
      <c r="N178" s="130">
        <f>SUMIFS(ТГ_ИД!$E:$E,ТГ_ИД!$B:$B,ТГ!$G$6,ТГ_ИД!$D:$D,ТГ!$A179)</f>
        <v>0</v>
      </c>
      <c r="O178" s="130">
        <f>SUMIFS(ТГ_ИД!$E:$E,ТГ_ИД!$B:$B,ТГ!$G$7,ТГ_ИД!$D:$D,ТГ!$A179)</f>
        <v>0</v>
      </c>
      <c r="P178" s="130">
        <f>SUMIFS(ТГ_ИД!$E:$E,ТГ_ИД!$B:$B,ТГ!$G$8,ТГ_ИД!$D:$D,ТГ!$A179)</f>
        <v>0</v>
      </c>
      <c r="Q178" s="130">
        <f>SUMIFS(ТГ_ИД!$E:$E,ТГ_ИД!$B:$B,ТГ!$G$9,ТГ_ИД!$D:$D,ТГ!$A179)</f>
        <v>0</v>
      </c>
      <c r="R178" s="130">
        <f>SUMIFS(ТГ_ИД!$E:$E,ТГ_ИД!$B:$B,ТГ!$G$10,ТГ_ИД!$D:$D,ТГ!$A179)</f>
        <v>0</v>
      </c>
      <c r="S178" s="130">
        <f>SUMIFS(ТГ_ИД!$E:$E,ТГ_ИД!$B:$B,ТГ!$G$11,ТГ_ИД!$D:$D,ТГ!$A179)</f>
        <v>0</v>
      </c>
      <c r="T178" s="130">
        <f>SUMIFS(ТГ_ИД!$E:$E,ТГ_ИД!$B:$B,ТГ!$G$12,ТГ_ИД!$D:$D,ТГ!$A179)</f>
        <v>0</v>
      </c>
      <c r="U178" s="130">
        <f>SUMIFS(ТГ_ИД!$E:$E,ТГ_ИД!$B:$B,ТГ!$G$13,ТГ_ИД!$D:$D,ТГ!$A179)</f>
        <v>0</v>
      </c>
      <c r="V178" s="130">
        <f>SUMIFS(ТГ_ИД!$E:$E,ТГ_ИД!$B:$B,ТГ!$G$14,ТГ_ИД!$D:$D,ТГ!$A179)</f>
        <v>0</v>
      </c>
    </row>
    <row r="179" spans="1:22" x14ac:dyDescent="0.25">
      <c r="A179" s="116" t="str">
        <f t="shared" si="3"/>
        <v/>
      </c>
      <c r="K179" s="130">
        <f>SUMIFS(ТГ_ИД!$E:$E,ТГ_ИД!$B:$B,ТГ!$G$3,ТГ_ИД!$D:$D,ТГ!$A180)</f>
        <v>0</v>
      </c>
      <c r="L179" s="130">
        <f>SUMIFS(ТГ_ИД!$E:$E,ТГ_ИД!$B:$B,ТГ!$G$4,ТГ_ИД!$D:$D,ТГ!$A180)</f>
        <v>0</v>
      </c>
      <c r="M179" s="130">
        <f>SUMIFS(ТГ_ИД!$E:$E,ТГ_ИД!$B:$B,ТГ!$G$5,ТГ_ИД!$D:$D,ТГ!$A180)</f>
        <v>0</v>
      </c>
      <c r="N179" s="130">
        <f>SUMIFS(ТГ_ИД!$E:$E,ТГ_ИД!$B:$B,ТГ!$G$6,ТГ_ИД!$D:$D,ТГ!$A180)</f>
        <v>0</v>
      </c>
      <c r="O179" s="130">
        <f>SUMIFS(ТГ_ИД!$E:$E,ТГ_ИД!$B:$B,ТГ!$G$7,ТГ_ИД!$D:$D,ТГ!$A180)</f>
        <v>0</v>
      </c>
      <c r="P179" s="130">
        <f>SUMIFS(ТГ_ИД!$E:$E,ТГ_ИД!$B:$B,ТГ!$G$8,ТГ_ИД!$D:$D,ТГ!$A180)</f>
        <v>0</v>
      </c>
      <c r="Q179" s="130">
        <f>SUMIFS(ТГ_ИД!$E:$E,ТГ_ИД!$B:$B,ТГ!$G$9,ТГ_ИД!$D:$D,ТГ!$A180)</f>
        <v>0</v>
      </c>
      <c r="R179" s="130">
        <f>SUMIFS(ТГ_ИД!$E:$E,ТГ_ИД!$B:$B,ТГ!$G$10,ТГ_ИД!$D:$D,ТГ!$A180)</f>
        <v>0</v>
      </c>
      <c r="S179" s="130">
        <f>SUMIFS(ТГ_ИД!$E:$E,ТГ_ИД!$B:$B,ТГ!$G$11,ТГ_ИД!$D:$D,ТГ!$A180)</f>
        <v>0</v>
      </c>
      <c r="T179" s="130">
        <f>SUMIFS(ТГ_ИД!$E:$E,ТГ_ИД!$B:$B,ТГ!$G$12,ТГ_ИД!$D:$D,ТГ!$A180)</f>
        <v>0</v>
      </c>
      <c r="U179" s="130">
        <f>SUMIFS(ТГ_ИД!$E:$E,ТГ_ИД!$B:$B,ТГ!$G$13,ТГ_ИД!$D:$D,ТГ!$A180)</f>
        <v>0</v>
      </c>
      <c r="V179" s="130">
        <f>SUMIFS(ТГ_ИД!$E:$E,ТГ_ИД!$B:$B,ТГ!$G$14,ТГ_ИД!$D:$D,ТГ!$A180)</f>
        <v>0</v>
      </c>
    </row>
    <row r="180" spans="1:22" x14ac:dyDescent="0.25">
      <c r="A180" s="116" t="str">
        <f t="shared" si="3"/>
        <v/>
      </c>
      <c r="K180" s="130">
        <f>SUMIFS(ТГ_ИД!$E:$E,ТГ_ИД!$B:$B,ТГ!$G$3,ТГ_ИД!$D:$D,ТГ!$A181)</f>
        <v>0</v>
      </c>
      <c r="L180" s="130">
        <f>SUMIFS(ТГ_ИД!$E:$E,ТГ_ИД!$B:$B,ТГ!$G$4,ТГ_ИД!$D:$D,ТГ!$A181)</f>
        <v>0</v>
      </c>
      <c r="M180" s="130">
        <f>SUMIFS(ТГ_ИД!$E:$E,ТГ_ИД!$B:$B,ТГ!$G$5,ТГ_ИД!$D:$D,ТГ!$A181)</f>
        <v>0</v>
      </c>
      <c r="N180" s="130">
        <f>SUMIFS(ТГ_ИД!$E:$E,ТГ_ИД!$B:$B,ТГ!$G$6,ТГ_ИД!$D:$D,ТГ!$A181)</f>
        <v>0</v>
      </c>
      <c r="O180" s="130">
        <f>SUMIFS(ТГ_ИД!$E:$E,ТГ_ИД!$B:$B,ТГ!$G$7,ТГ_ИД!$D:$D,ТГ!$A181)</f>
        <v>0</v>
      </c>
      <c r="P180" s="130">
        <f>SUMIFS(ТГ_ИД!$E:$E,ТГ_ИД!$B:$B,ТГ!$G$8,ТГ_ИД!$D:$D,ТГ!$A181)</f>
        <v>0</v>
      </c>
      <c r="Q180" s="130">
        <f>SUMIFS(ТГ_ИД!$E:$E,ТГ_ИД!$B:$B,ТГ!$G$9,ТГ_ИД!$D:$D,ТГ!$A181)</f>
        <v>0</v>
      </c>
      <c r="R180" s="130">
        <f>SUMIFS(ТГ_ИД!$E:$E,ТГ_ИД!$B:$B,ТГ!$G$10,ТГ_ИД!$D:$D,ТГ!$A181)</f>
        <v>0</v>
      </c>
      <c r="S180" s="130">
        <f>SUMIFS(ТГ_ИД!$E:$E,ТГ_ИД!$B:$B,ТГ!$G$11,ТГ_ИД!$D:$D,ТГ!$A181)</f>
        <v>0</v>
      </c>
      <c r="T180" s="130">
        <f>SUMIFS(ТГ_ИД!$E:$E,ТГ_ИД!$B:$B,ТГ!$G$12,ТГ_ИД!$D:$D,ТГ!$A181)</f>
        <v>0</v>
      </c>
      <c r="U180" s="130">
        <f>SUMIFS(ТГ_ИД!$E:$E,ТГ_ИД!$B:$B,ТГ!$G$13,ТГ_ИД!$D:$D,ТГ!$A181)</f>
        <v>0</v>
      </c>
      <c r="V180" s="130">
        <f>SUMIFS(ТГ_ИД!$E:$E,ТГ_ИД!$B:$B,ТГ!$G$14,ТГ_ИД!$D:$D,ТГ!$A181)</f>
        <v>0</v>
      </c>
    </row>
    <row r="181" spans="1:22" x14ac:dyDescent="0.25">
      <c r="A181" s="116" t="str">
        <f t="shared" si="3"/>
        <v/>
      </c>
      <c r="K181" s="130">
        <f>SUMIFS(ТГ_ИД!$E:$E,ТГ_ИД!$B:$B,ТГ!$G$3,ТГ_ИД!$D:$D,ТГ!$A182)</f>
        <v>0</v>
      </c>
      <c r="L181" s="130">
        <f>SUMIFS(ТГ_ИД!$E:$E,ТГ_ИД!$B:$B,ТГ!$G$4,ТГ_ИД!$D:$D,ТГ!$A182)</f>
        <v>0</v>
      </c>
      <c r="M181" s="130">
        <f>SUMIFS(ТГ_ИД!$E:$E,ТГ_ИД!$B:$B,ТГ!$G$5,ТГ_ИД!$D:$D,ТГ!$A182)</f>
        <v>0</v>
      </c>
      <c r="N181" s="130">
        <f>SUMIFS(ТГ_ИД!$E:$E,ТГ_ИД!$B:$B,ТГ!$G$6,ТГ_ИД!$D:$D,ТГ!$A182)</f>
        <v>0</v>
      </c>
      <c r="O181" s="130">
        <f>SUMIFS(ТГ_ИД!$E:$E,ТГ_ИД!$B:$B,ТГ!$G$7,ТГ_ИД!$D:$D,ТГ!$A182)</f>
        <v>0</v>
      </c>
      <c r="P181" s="130">
        <f>SUMIFS(ТГ_ИД!$E:$E,ТГ_ИД!$B:$B,ТГ!$G$8,ТГ_ИД!$D:$D,ТГ!$A182)</f>
        <v>0</v>
      </c>
      <c r="Q181" s="130">
        <f>SUMIFS(ТГ_ИД!$E:$E,ТГ_ИД!$B:$B,ТГ!$G$9,ТГ_ИД!$D:$D,ТГ!$A182)</f>
        <v>0</v>
      </c>
      <c r="R181" s="130">
        <f>SUMIFS(ТГ_ИД!$E:$E,ТГ_ИД!$B:$B,ТГ!$G$10,ТГ_ИД!$D:$D,ТГ!$A182)</f>
        <v>0</v>
      </c>
      <c r="S181" s="130">
        <f>SUMIFS(ТГ_ИД!$E:$E,ТГ_ИД!$B:$B,ТГ!$G$11,ТГ_ИД!$D:$D,ТГ!$A182)</f>
        <v>0</v>
      </c>
      <c r="T181" s="130">
        <f>SUMIFS(ТГ_ИД!$E:$E,ТГ_ИД!$B:$B,ТГ!$G$12,ТГ_ИД!$D:$D,ТГ!$A182)</f>
        <v>0</v>
      </c>
      <c r="U181" s="130">
        <f>SUMIFS(ТГ_ИД!$E:$E,ТГ_ИД!$B:$B,ТГ!$G$13,ТГ_ИД!$D:$D,ТГ!$A182)</f>
        <v>0</v>
      </c>
      <c r="V181" s="130">
        <f>SUMIFS(ТГ_ИД!$E:$E,ТГ_ИД!$B:$B,ТГ!$G$14,ТГ_ИД!$D:$D,ТГ!$A182)</f>
        <v>0</v>
      </c>
    </row>
    <row r="182" spans="1:22" x14ac:dyDescent="0.25">
      <c r="A182" s="116" t="str">
        <f t="shared" si="3"/>
        <v/>
      </c>
      <c r="K182" s="130">
        <f>SUMIFS(ТГ_ИД!$E:$E,ТГ_ИД!$B:$B,ТГ!$G$3,ТГ_ИД!$D:$D,ТГ!$A183)</f>
        <v>0</v>
      </c>
      <c r="L182" s="130">
        <f>SUMIFS(ТГ_ИД!$E:$E,ТГ_ИД!$B:$B,ТГ!$G$4,ТГ_ИД!$D:$D,ТГ!$A183)</f>
        <v>0</v>
      </c>
      <c r="M182" s="130">
        <f>SUMIFS(ТГ_ИД!$E:$E,ТГ_ИД!$B:$B,ТГ!$G$5,ТГ_ИД!$D:$D,ТГ!$A183)</f>
        <v>0</v>
      </c>
      <c r="N182" s="130">
        <f>SUMIFS(ТГ_ИД!$E:$E,ТГ_ИД!$B:$B,ТГ!$G$6,ТГ_ИД!$D:$D,ТГ!$A183)</f>
        <v>0</v>
      </c>
      <c r="O182" s="130">
        <f>SUMIFS(ТГ_ИД!$E:$E,ТГ_ИД!$B:$B,ТГ!$G$7,ТГ_ИД!$D:$D,ТГ!$A183)</f>
        <v>0</v>
      </c>
      <c r="P182" s="130">
        <f>SUMIFS(ТГ_ИД!$E:$E,ТГ_ИД!$B:$B,ТГ!$G$8,ТГ_ИД!$D:$D,ТГ!$A183)</f>
        <v>0</v>
      </c>
      <c r="Q182" s="130">
        <f>SUMIFS(ТГ_ИД!$E:$E,ТГ_ИД!$B:$B,ТГ!$G$9,ТГ_ИД!$D:$D,ТГ!$A183)</f>
        <v>0</v>
      </c>
      <c r="R182" s="130">
        <f>SUMIFS(ТГ_ИД!$E:$E,ТГ_ИД!$B:$B,ТГ!$G$10,ТГ_ИД!$D:$D,ТГ!$A183)</f>
        <v>0</v>
      </c>
      <c r="S182" s="130">
        <f>SUMIFS(ТГ_ИД!$E:$E,ТГ_ИД!$B:$B,ТГ!$G$11,ТГ_ИД!$D:$D,ТГ!$A183)</f>
        <v>0</v>
      </c>
      <c r="T182" s="130">
        <f>SUMIFS(ТГ_ИД!$E:$E,ТГ_ИД!$B:$B,ТГ!$G$12,ТГ_ИД!$D:$D,ТГ!$A183)</f>
        <v>0</v>
      </c>
      <c r="U182" s="130">
        <f>SUMIFS(ТГ_ИД!$E:$E,ТГ_ИД!$B:$B,ТГ!$G$13,ТГ_ИД!$D:$D,ТГ!$A183)</f>
        <v>0</v>
      </c>
      <c r="V182" s="130">
        <f>SUMIFS(ТГ_ИД!$E:$E,ТГ_ИД!$B:$B,ТГ!$G$14,ТГ_ИД!$D:$D,ТГ!$A183)</f>
        <v>0</v>
      </c>
    </row>
    <row r="183" spans="1:22" x14ac:dyDescent="0.25">
      <c r="A183" s="116" t="str">
        <f t="shared" si="3"/>
        <v/>
      </c>
      <c r="K183" s="130">
        <f>SUMIFS(ТГ_ИД!$E:$E,ТГ_ИД!$B:$B,ТГ!$G$3,ТГ_ИД!$D:$D,ТГ!$A184)</f>
        <v>0</v>
      </c>
      <c r="L183" s="130">
        <f>SUMIFS(ТГ_ИД!$E:$E,ТГ_ИД!$B:$B,ТГ!$G$4,ТГ_ИД!$D:$D,ТГ!$A184)</f>
        <v>0</v>
      </c>
      <c r="M183" s="130">
        <f>SUMIFS(ТГ_ИД!$E:$E,ТГ_ИД!$B:$B,ТГ!$G$5,ТГ_ИД!$D:$D,ТГ!$A184)</f>
        <v>0</v>
      </c>
      <c r="N183" s="130">
        <f>SUMIFS(ТГ_ИД!$E:$E,ТГ_ИД!$B:$B,ТГ!$G$6,ТГ_ИД!$D:$D,ТГ!$A184)</f>
        <v>0</v>
      </c>
      <c r="O183" s="130">
        <f>SUMIFS(ТГ_ИД!$E:$E,ТГ_ИД!$B:$B,ТГ!$G$7,ТГ_ИД!$D:$D,ТГ!$A184)</f>
        <v>0</v>
      </c>
      <c r="P183" s="130">
        <f>SUMIFS(ТГ_ИД!$E:$E,ТГ_ИД!$B:$B,ТГ!$G$8,ТГ_ИД!$D:$D,ТГ!$A184)</f>
        <v>0</v>
      </c>
      <c r="Q183" s="130">
        <f>SUMIFS(ТГ_ИД!$E:$E,ТГ_ИД!$B:$B,ТГ!$G$9,ТГ_ИД!$D:$D,ТГ!$A184)</f>
        <v>0</v>
      </c>
      <c r="R183" s="130">
        <f>SUMIFS(ТГ_ИД!$E:$E,ТГ_ИД!$B:$B,ТГ!$G$10,ТГ_ИД!$D:$D,ТГ!$A184)</f>
        <v>0</v>
      </c>
      <c r="S183" s="130">
        <f>SUMIFS(ТГ_ИД!$E:$E,ТГ_ИД!$B:$B,ТГ!$G$11,ТГ_ИД!$D:$D,ТГ!$A184)</f>
        <v>0</v>
      </c>
      <c r="T183" s="130">
        <f>SUMIFS(ТГ_ИД!$E:$E,ТГ_ИД!$B:$B,ТГ!$G$12,ТГ_ИД!$D:$D,ТГ!$A184)</f>
        <v>0</v>
      </c>
      <c r="U183" s="130">
        <f>SUMIFS(ТГ_ИД!$E:$E,ТГ_ИД!$B:$B,ТГ!$G$13,ТГ_ИД!$D:$D,ТГ!$A184)</f>
        <v>0</v>
      </c>
      <c r="V183" s="130">
        <f>SUMIFS(ТГ_ИД!$E:$E,ТГ_ИД!$B:$B,ТГ!$G$14,ТГ_ИД!$D:$D,ТГ!$A184)</f>
        <v>0</v>
      </c>
    </row>
    <row r="184" spans="1:22" x14ac:dyDescent="0.25">
      <c r="A184" s="116" t="str">
        <f t="shared" si="3"/>
        <v/>
      </c>
      <c r="K184" s="130">
        <f>SUMIFS(ТГ_ИД!$E:$E,ТГ_ИД!$B:$B,ТГ!$G$3,ТГ_ИД!$D:$D,ТГ!$A185)</f>
        <v>0</v>
      </c>
      <c r="L184" s="130">
        <f>SUMIFS(ТГ_ИД!$E:$E,ТГ_ИД!$B:$B,ТГ!$G$4,ТГ_ИД!$D:$D,ТГ!$A185)</f>
        <v>0</v>
      </c>
      <c r="M184" s="130">
        <f>SUMIFS(ТГ_ИД!$E:$E,ТГ_ИД!$B:$B,ТГ!$G$5,ТГ_ИД!$D:$D,ТГ!$A185)</f>
        <v>0</v>
      </c>
      <c r="N184" s="130">
        <f>SUMIFS(ТГ_ИД!$E:$E,ТГ_ИД!$B:$B,ТГ!$G$6,ТГ_ИД!$D:$D,ТГ!$A185)</f>
        <v>0</v>
      </c>
      <c r="O184" s="130">
        <f>SUMIFS(ТГ_ИД!$E:$E,ТГ_ИД!$B:$B,ТГ!$G$7,ТГ_ИД!$D:$D,ТГ!$A185)</f>
        <v>0</v>
      </c>
      <c r="P184" s="130">
        <f>SUMIFS(ТГ_ИД!$E:$E,ТГ_ИД!$B:$B,ТГ!$G$8,ТГ_ИД!$D:$D,ТГ!$A185)</f>
        <v>0</v>
      </c>
      <c r="Q184" s="130">
        <f>SUMIFS(ТГ_ИД!$E:$E,ТГ_ИД!$B:$B,ТГ!$G$9,ТГ_ИД!$D:$D,ТГ!$A185)</f>
        <v>0</v>
      </c>
      <c r="R184" s="130">
        <f>SUMIFS(ТГ_ИД!$E:$E,ТГ_ИД!$B:$B,ТГ!$G$10,ТГ_ИД!$D:$D,ТГ!$A185)</f>
        <v>0</v>
      </c>
      <c r="S184" s="130">
        <f>SUMIFS(ТГ_ИД!$E:$E,ТГ_ИД!$B:$B,ТГ!$G$11,ТГ_ИД!$D:$D,ТГ!$A185)</f>
        <v>0</v>
      </c>
      <c r="T184" s="130">
        <f>SUMIFS(ТГ_ИД!$E:$E,ТГ_ИД!$B:$B,ТГ!$G$12,ТГ_ИД!$D:$D,ТГ!$A185)</f>
        <v>0</v>
      </c>
      <c r="U184" s="130">
        <f>SUMIFS(ТГ_ИД!$E:$E,ТГ_ИД!$B:$B,ТГ!$G$13,ТГ_ИД!$D:$D,ТГ!$A185)</f>
        <v>0</v>
      </c>
      <c r="V184" s="130">
        <f>SUMIFS(ТГ_ИД!$E:$E,ТГ_ИД!$B:$B,ТГ!$G$14,ТГ_ИД!$D:$D,ТГ!$A185)</f>
        <v>0</v>
      </c>
    </row>
    <row r="185" spans="1:22" x14ac:dyDescent="0.25">
      <c r="A185" s="116" t="str">
        <f t="shared" si="3"/>
        <v/>
      </c>
      <c r="K185" s="130">
        <f>SUMIFS(ТГ_ИД!$E:$E,ТГ_ИД!$B:$B,ТГ!$G$3,ТГ_ИД!$D:$D,ТГ!$A186)</f>
        <v>0</v>
      </c>
      <c r="L185" s="130">
        <f>SUMIFS(ТГ_ИД!$E:$E,ТГ_ИД!$B:$B,ТГ!$G$4,ТГ_ИД!$D:$D,ТГ!$A186)</f>
        <v>0</v>
      </c>
      <c r="M185" s="130">
        <f>SUMIFS(ТГ_ИД!$E:$E,ТГ_ИД!$B:$B,ТГ!$G$5,ТГ_ИД!$D:$D,ТГ!$A186)</f>
        <v>0</v>
      </c>
      <c r="N185" s="130">
        <f>SUMIFS(ТГ_ИД!$E:$E,ТГ_ИД!$B:$B,ТГ!$G$6,ТГ_ИД!$D:$D,ТГ!$A186)</f>
        <v>0</v>
      </c>
      <c r="O185" s="130">
        <f>SUMIFS(ТГ_ИД!$E:$E,ТГ_ИД!$B:$B,ТГ!$G$7,ТГ_ИД!$D:$D,ТГ!$A186)</f>
        <v>0</v>
      </c>
      <c r="P185" s="130">
        <f>SUMIFS(ТГ_ИД!$E:$E,ТГ_ИД!$B:$B,ТГ!$G$8,ТГ_ИД!$D:$D,ТГ!$A186)</f>
        <v>0</v>
      </c>
      <c r="Q185" s="130">
        <f>SUMIFS(ТГ_ИД!$E:$E,ТГ_ИД!$B:$B,ТГ!$G$9,ТГ_ИД!$D:$D,ТГ!$A186)</f>
        <v>0</v>
      </c>
      <c r="R185" s="130">
        <f>SUMIFS(ТГ_ИД!$E:$E,ТГ_ИД!$B:$B,ТГ!$G$10,ТГ_ИД!$D:$D,ТГ!$A186)</f>
        <v>0</v>
      </c>
      <c r="S185" s="130">
        <f>SUMIFS(ТГ_ИД!$E:$E,ТГ_ИД!$B:$B,ТГ!$G$11,ТГ_ИД!$D:$D,ТГ!$A186)</f>
        <v>0</v>
      </c>
      <c r="T185" s="130">
        <f>SUMIFS(ТГ_ИД!$E:$E,ТГ_ИД!$B:$B,ТГ!$G$12,ТГ_ИД!$D:$D,ТГ!$A186)</f>
        <v>0</v>
      </c>
      <c r="U185" s="130">
        <f>SUMIFS(ТГ_ИД!$E:$E,ТГ_ИД!$B:$B,ТГ!$G$13,ТГ_ИД!$D:$D,ТГ!$A186)</f>
        <v>0</v>
      </c>
      <c r="V185" s="130">
        <f>SUMIFS(ТГ_ИД!$E:$E,ТГ_ИД!$B:$B,ТГ!$G$14,ТГ_ИД!$D:$D,ТГ!$A186)</f>
        <v>0</v>
      </c>
    </row>
    <row r="186" spans="1:22" x14ac:dyDescent="0.25">
      <c r="A186" s="116" t="str">
        <f t="shared" si="3"/>
        <v/>
      </c>
      <c r="K186" s="130">
        <f>SUMIFS(ТГ_ИД!$E:$E,ТГ_ИД!$B:$B,ТГ!$G$3,ТГ_ИД!$D:$D,ТГ!$A187)</f>
        <v>0</v>
      </c>
      <c r="L186" s="130">
        <f>SUMIFS(ТГ_ИД!$E:$E,ТГ_ИД!$B:$B,ТГ!$G$4,ТГ_ИД!$D:$D,ТГ!$A187)</f>
        <v>0</v>
      </c>
      <c r="M186" s="130">
        <f>SUMIFS(ТГ_ИД!$E:$E,ТГ_ИД!$B:$B,ТГ!$G$5,ТГ_ИД!$D:$D,ТГ!$A187)</f>
        <v>0</v>
      </c>
      <c r="N186" s="130">
        <f>SUMIFS(ТГ_ИД!$E:$E,ТГ_ИД!$B:$B,ТГ!$G$6,ТГ_ИД!$D:$D,ТГ!$A187)</f>
        <v>0</v>
      </c>
      <c r="O186" s="130">
        <f>SUMIFS(ТГ_ИД!$E:$E,ТГ_ИД!$B:$B,ТГ!$G$7,ТГ_ИД!$D:$D,ТГ!$A187)</f>
        <v>0</v>
      </c>
      <c r="P186" s="130">
        <f>SUMIFS(ТГ_ИД!$E:$E,ТГ_ИД!$B:$B,ТГ!$G$8,ТГ_ИД!$D:$D,ТГ!$A187)</f>
        <v>0</v>
      </c>
      <c r="Q186" s="130">
        <f>SUMIFS(ТГ_ИД!$E:$E,ТГ_ИД!$B:$B,ТГ!$G$9,ТГ_ИД!$D:$D,ТГ!$A187)</f>
        <v>0</v>
      </c>
      <c r="R186" s="130">
        <f>SUMIFS(ТГ_ИД!$E:$E,ТГ_ИД!$B:$B,ТГ!$G$10,ТГ_ИД!$D:$D,ТГ!$A187)</f>
        <v>0</v>
      </c>
      <c r="S186" s="130">
        <f>SUMIFS(ТГ_ИД!$E:$E,ТГ_ИД!$B:$B,ТГ!$G$11,ТГ_ИД!$D:$D,ТГ!$A187)</f>
        <v>0</v>
      </c>
      <c r="T186" s="130">
        <f>SUMIFS(ТГ_ИД!$E:$E,ТГ_ИД!$B:$B,ТГ!$G$12,ТГ_ИД!$D:$D,ТГ!$A187)</f>
        <v>0</v>
      </c>
      <c r="U186" s="130">
        <f>SUMIFS(ТГ_ИД!$E:$E,ТГ_ИД!$B:$B,ТГ!$G$13,ТГ_ИД!$D:$D,ТГ!$A187)</f>
        <v>0</v>
      </c>
      <c r="V186" s="130">
        <f>SUMIFS(ТГ_ИД!$E:$E,ТГ_ИД!$B:$B,ТГ!$G$14,ТГ_ИД!$D:$D,ТГ!$A187)</f>
        <v>0</v>
      </c>
    </row>
    <row r="187" spans="1:22" x14ac:dyDescent="0.25">
      <c r="A187" s="116" t="str">
        <f t="shared" si="3"/>
        <v/>
      </c>
      <c r="K187" s="130">
        <f>SUMIFS(ТГ_ИД!$E:$E,ТГ_ИД!$B:$B,ТГ!$G$3,ТГ_ИД!$D:$D,ТГ!$A188)</f>
        <v>0</v>
      </c>
      <c r="L187" s="130">
        <f>SUMIFS(ТГ_ИД!$E:$E,ТГ_ИД!$B:$B,ТГ!$G$4,ТГ_ИД!$D:$D,ТГ!$A188)</f>
        <v>0</v>
      </c>
      <c r="M187" s="130">
        <f>SUMIFS(ТГ_ИД!$E:$E,ТГ_ИД!$B:$B,ТГ!$G$5,ТГ_ИД!$D:$D,ТГ!$A188)</f>
        <v>0</v>
      </c>
      <c r="N187" s="130">
        <f>SUMIFS(ТГ_ИД!$E:$E,ТГ_ИД!$B:$B,ТГ!$G$6,ТГ_ИД!$D:$D,ТГ!$A188)</f>
        <v>0</v>
      </c>
      <c r="O187" s="130">
        <f>SUMIFS(ТГ_ИД!$E:$E,ТГ_ИД!$B:$B,ТГ!$G$7,ТГ_ИД!$D:$D,ТГ!$A188)</f>
        <v>0</v>
      </c>
      <c r="P187" s="130">
        <f>SUMIFS(ТГ_ИД!$E:$E,ТГ_ИД!$B:$B,ТГ!$G$8,ТГ_ИД!$D:$D,ТГ!$A188)</f>
        <v>0</v>
      </c>
      <c r="Q187" s="130">
        <f>SUMIFS(ТГ_ИД!$E:$E,ТГ_ИД!$B:$B,ТГ!$G$9,ТГ_ИД!$D:$D,ТГ!$A188)</f>
        <v>0</v>
      </c>
      <c r="R187" s="130">
        <f>SUMIFS(ТГ_ИД!$E:$E,ТГ_ИД!$B:$B,ТГ!$G$10,ТГ_ИД!$D:$D,ТГ!$A188)</f>
        <v>0</v>
      </c>
      <c r="S187" s="130">
        <f>SUMIFS(ТГ_ИД!$E:$E,ТГ_ИД!$B:$B,ТГ!$G$11,ТГ_ИД!$D:$D,ТГ!$A188)</f>
        <v>0</v>
      </c>
      <c r="T187" s="130">
        <f>SUMIFS(ТГ_ИД!$E:$E,ТГ_ИД!$B:$B,ТГ!$G$12,ТГ_ИД!$D:$D,ТГ!$A188)</f>
        <v>0</v>
      </c>
      <c r="U187" s="130">
        <f>SUMIFS(ТГ_ИД!$E:$E,ТГ_ИД!$B:$B,ТГ!$G$13,ТГ_ИД!$D:$D,ТГ!$A188)</f>
        <v>0</v>
      </c>
      <c r="V187" s="130">
        <f>SUMIFS(ТГ_ИД!$E:$E,ТГ_ИД!$B:$B,ТГ!$G$14,ТГ_ИД!$D:$D,ТГ!$A188)</f>
        <v>0</v>
      </c>
    </row>
    <row r="188" spans="1:22" x14ac:dyDescent="0.25">
      <c r="A188" s="116" t="str">
        <f t="shared" si="3"/>
        <v/>
      </c>
      <c r="K188" s="130">
        <f>SUMIFS(ТГ_ИД!$E:$E,ТГ_ИД!$B:$B,ТГ!$G$3,ТГ_ИД!$D:$D,ТГ!$A189)</f>
        <v>0</v>
      </c>
      <c r="L188" s="130">
        <f>SUMIFS(ТГ_ИД!$E:$E,ТГ_ИД!$B:$B,ТГ!$G$4,ТГ_ИД!$D:$D,ТГ!$A189)</f>
        <v>0</v>
      </c>
      <c r="M188" s="130">
        <f>SUMIFS(ТГ_ИД!$E:$E,ТГ_ИД!$B:$B,ТГ!$G$5,ТГ_ИД!$D:$D,ТГ!$A189)</f>
        <v>0</v>
      </c>
      <c r="N188" s="130">
        <f>SUMIFS(ТГ_ИД!$E:$E,ТГ_ИД!$B:$B,ТГ!$G$6,ТГ_ИД!$D:$D,ТГ!$A189)</f>
        <v>0</v>
      </c>
      <c r="O188" s="130">
        <f>SUMIFS(ТГ_ИД!$E:$E,ТГ_ИД!$B:$B,ТГ!$G$7,ТГ_ИД!$D:$D,ТГ!$A189)</f>
        <v>0</v>
      </c>
      <c r="P188" s="130">
        <f>SUMIFS(ТГ_ИД!$E:$E,ТГ_ИД!$B:$B,ТГ!$G$8,ТГ_ИД!$D:$D,ТГ!$A189)</f>
        <v>0</v>
      </c>
      <c r="Q188" s="130">
        <f>SUMIFS(ТГ_ИД!$E:$E,ТГ_ИД!$B:$B,ТГ!$G$9,ТГ_ИД!$D:$D,ТГ!$A189)</f>
        <v>0</v>
      </c>
      <c r="R188" s="130">
        <f>SUMIFS(ТГ_ИД!$E:$E,ТГ_ИД!$B:$B,ТГ!$G$10,ТГ_ИД!$D:$D,ТГ!$A189)</f>
        <v>0</v>
      </c>
      <c r="S188" s="130">
        <f>SUMIFS(ТГ_ИД!$E:$E,ТГ_ИД!$B:$B,ТГ!$G$11,ТГ_ИД!$D:$D,ТГ!$A189)</f>
        <v>0</v>
      </c>
      <c r="T188" s="130">
        <f>SUMIFS(ТГ_ИД!$E:$E,ТГ_ИД!$B:$B,ТГ!$G$12,ТГ_ИД!$D:$D,ТГ!$A189)</f>
        <v>0</v>
      </c>
      <c r="U188" s="130">
        <f>SUMIFS(ТГ_ИД!$E:$E,ТГ_ИД!$B:$B,ТГ!$G$13,ТГ_ИД!$D:$D,ТГ!$A189)</f>
        <v>0</v>
      </c>
      <c r="V188" s="130">
        <f>SUMIFS(ТГ_ИД!$E:$E,ТГ_ИД!$B:$B,ТГ!$G$14,ТГ_ИД!$D:$D,ТГ!$A189)</f>
        <v>0</v>
      </c>
    </row>
    <row r="189" spans="1:22" x14ac:dyDescent="0.25">
      <c r="A189" s="116" t="str">
        <f t="shared" si="3"/>
        <v/>
      </c>
      <c r="K189" s="130">
        <f>SUMIFS(ТГ_ИД!$E:$E,ТГ_ИД!$B:$B,ТГ!$G$3,ТГ_ИД!$D:$D,ТГ!$A190)</f>
        <v>0</v>
      </c>
      <c r="L189" s="130">
        <f>SUMIFS(ТГ_ИД!$E:$E,ТГ_ИД!$B:$B,ТГ!$G$4,ТГ_ИД!$D:$D,ТГ!$A190)</f>
        <v>0</v>
      </c>
      <c r="M189" s="130">
        <f>SUMIFS(ТГ_ИД!$E:$E,ТГ_ИД!$B:$B,ТГ!$G$5,ТГ_ИД!$D:$D,ТГ!$A190)</f>
        <v>0</v>
      </c>
      <c r="N189" s="130">
        <f>SUMIFS(ТГ_ИД!$E:$E,ТГ_ИД!$B:$B,ТГ!$G$6,ТГ_ИД!$D:$D,ТГ!$A190)</f>
        <v>0</v>
      </c>
      <c r="O189" s="130">
        <f>SUMIFS(ТГ_ИД!$E:$E,ТГ_ИД!$B:$B,ТГ!$G$7,ТГ_ИД!$D:$D,ТГ!$A190)</f>
        <v>0</v>
      </c>
      <c r="P189" s="130">
        <f>SUMIFS(ТГ_ИД!$E:$E,ТГ_ИД!$B:$B,ТГ!$G$8,ТГ_ИД!$D:$D,ТГ!$A190)</f>
        <v>0</v>
      </c>
      <c r="Q189" s="130">
        <f>SUMIFS(ТГ_ИД!$E:$E,ТГ_ИД!$B:$B,ТГ!$G$9,ТГ_ИД!$D:$D,ТГ!$A190)</f>
        <v>0</v>
      </c>
      <c r="R189" s="130">
        <f>SUMIFS(ТГ_ИД!$E:$E,ТГ_ИД!$B:$B,ТГ!$G$10,ТГ_ИД!$D:$D,ТГ!$A190)</f>
        <v>0</v>
      </c>
      <c r="S189" s="130">
        <f>SUMIFS(ТГ_ИД!$E:$E,ТГ_ИД!$B:$B,ТГ!$G$11,ТГ_ИД!$D:$D,ТГ!$A190)</f>
        <v>0</v>
      </c>
      <c r="T189" s="130">
        <f>SUMIFS(ТГ_ИД!$E:$E,ТГ_ИД!$B:$B,ТГ!$G$12,ТГ_ИД!$D:$D,ТГ!$A190)</f>
        <v>0</v>
      </c>
      <c r="U189" s="130">
        <f>SUMIFS(ТГ_ИД!$E:$E,ТГ_ИД!$B:$B,ТГ!$G$13,ТГ_ИД!$D:$D,ТГ!$A190)</f>
        <v>0</v>
      </c>
      <c r="V189" s="130">
        <f>SUMIFS(ТГ_ИД!$E:$E,ТГ_ИД!$B:$B,ТГ!$G$14,ТГ_ИД!$D:$D,ТГ!$A190)</f>
        <v>0</v>
      </c>
    </row>
    <row r="190" spans="1:22" x14ac:dyDescent="0.25">
      <c r="A190" s="116" t="str">
        <f t="shared" si="3"/>
        <v/>
      </c>
      <c r="K190" s="130">
        <f>SUMIFS(ТГ_ИД!$E:$E,ТГ_ИД!$B:$B,ТГ!$G$3,ТГ_ИД!$D:$D,ТГ!$A191)</f>
        <v>0</v>
      </c>
      <c r="L190" s="130">
        <f>SUMIFS(ТГ_ИД!$E:$E,ТГ_ИД!$B:$B,ТГ!$G$4,ТГ_ИД!$D:$D,ТГ!$A191)</f>
        <v>0</v>
      </c>
      <c r="M190" s="130">
        <f>SUMIFS(ТГ_ИД!$E:$E,ТГ_ИД!$B:$B,ТГ!$G$5,ТГ_ИД!$D:$D,ТГ!$A191)</f>
        <v>0</v>
      </c>
      <c r="N190" s="130">
        <f>SUMIFS(ТГ_ИД!$E:$E,ТГ_ИД!$B:$B,ТГ!$G$6,ТГ_ИД!$D:$D,ТГ!$A191)</f>
        <v>0</v>
      </c>
      <c r="O190" s="130">
        <f>SUMIFS(ТГ_ИД!$E:$E,ТГ_ИД!$B:$B,ТГ!$G$7,ТГ_ИД!$D:$D,ТГ!$A191)</f>
        <v>0</v>
      </c>
      <c r="P190" s="130">
        <f>SUMIFS(ТГ_ИД!$E:$E,ТГ_ИД!$B:$B,ТГ!$G$8,ТГ_ИД!$D:$D,ТГ!$A191)</f>
        <v>0</v>
      </c>
      <c r="Q190" s="130">
        <f>SUMIFS(ТГ_ИД!$E:$E,ТГ_ИД!$B:$B,ТГ!$G$9,ТГ_ИД!$D:$D,ТГ!$A191)</f>
        <v>0</v>
      </c>
      <c r="R190" s="130">
        <f>SUMIFS(ТГ_ИД!$E:$E,ТГ_ИД!$B:$B,ТГ!$G$10,ТГ_ИД!$D:$D,ТГ!$A191)</f>
        <v>0</v>
      </c>
      <c r="S190" s="130">
        <f>SUMIFS(ТГ_ИД!$E:$E,ТГ_ИД!$B:$B,ТГ!$G$11,ТГ_ИД!$D:$D,ТГ!$A191)</f>
        <v>0</v>
      </c>
      <c r="T190" s="130">
        <f>SUMIFS(ТГ_ИД!$E:$E,ТГ_ИД!$B:$B,ТГ!$G$12,ТГ_ИД!$D:$D,ТГ!$A191)</f>
        <v>0</v>
      </c>
      <c r="U190" s="130">
        <f>SUMIFS(ТГ_ИД!$E:$E,ТГ_ИД!$B:$B,ТГ!$G$13,ТГ_ИД!$D:$D,ТГ!$A191)</f>
        <v>0</v>
      </c>
      <c r="V190" s="130">
        <f>SUMIFS(ТГ_ИД!$E:$E,ТГ_ИД!$B:$B,ТГ!$G$14,ТГ_ИД!$D:$D,ТГ!$A191)</f>
        <v>0</v>
      </c>
    </row>
    <row r="191" spans="1:22" x14ac:dyDescent="0.25">
      <c r="A191" s="116" t="str">
        <f t="shared" si="3"/>
        <v/>
      </c>
      <c r="K191" s="130">
        <f>SUMIFS(ТГ_ИД!$E:$E,ТГ_ИД!$B:$B,ТГ!$G$3,ТГ_ИД!$D:$D,ТГ!$A192)</f>
        <v>0</v>
      </c>
      <c r="L191" s="130">
        <f>SUMIFS(ТГ_ИД!$E:$E,ТГ_ИД!$B:$B,ТГ!$G$4,ТГ_ИД!$D:$D,ТГ!$A192)</f>
        <v>0</v>
      </c>
      <c r="M191" s="130">
        <f>SUMIFS(ТГ_ИД!$E:$E,ТГ_ИД!$B:$B,ТГ!$G$5,ТГ_ИД!$D:$D,ТГ!$A192)</f>
        <v>0</v>
      </c>
      <c r="N191" s="130">
        <f>SUMIFS(ТГ_ИД!$E:$E,ТГ_ИД!$B:$B,ТГ!$G$6,ТГ_ИД!$D:$D,ТГ!$A192)</f>
        <v>0</v>
      </c>
      <c r="O191" s="130">
        <f>SUMIFS(ТГ_ИД!$E:$E,ТГ_ИД!$B:$B,ТГ!$G$7,ТГ_ИД!$D:$D,ТГ!$A192)</f>
        <v>0</v>
      </c>
      <c r="P191" s="130">
        <f>SUMIFS(ТГ_ИД!$E:$E,ТГ_ИД!$B:$B,ТГ!$G$8,ТГ_ИД!$D:$D,ТГ!$A192)</f>
        <v>0</v>
      </c>
      <c r="Q191" s="130">
        <f>SUMIFS(ТГ_ИД!$E:$E,ТГ_ИД!$B:$B,ТГ!$G$9,ТГ_ИД!$D:$D,ТГ!$A192)</f>
        <v>0</v>
      </c>
      <c r="R191" s="130">
        <f>SUMIFS(ТГ_ИД!$E:$E,ТГ_ИД!$B:$B,ТГ!$G$10,ТГ_ИД!$D:$D,ТГ!$A192)</f>
        <v>0</v>
      </c>
      <c r="S191" s="130">
        <f>SUMIFS(ТГ_ИД!$E:$E,ТГ_ИД!$B:$B,ТГ!$G$11,ТГ_ИД!$D:$D,ТГ!$A192)</f>
        <v>0</v>
      </c>
      <c r="T191" s="130">
        <f>SUMIFS(ТГ_ИД!$E:$E,ТГ_ИД!$B:$B,ТГ!$G$12,ТГ_ИД!$D:$D,ТГ!$A192)</f>
        <v>0</v>
      </c>
      <c r="U191" s="130">
        <f>SUMIFS(ТГ_ИД!$E:$E,ТГ_ИД!$B:$B,ТГ!$G$13,ТГ_ИД!$D:$D,ТГ!$A192)</f>
        <v>0</v>
      </c>
      <c r="V191" s="130">
        <f>SUMIFS(ТГ_ИД!$E:$E,ТГ_ИД!$B:$B,ТГ!$G$14,ТГ_ИД!$D:$D,ТГ!$A192)</f>
        <v>0</v>
      </c>
    </row>
    <row r="192" spans="1:22" x14ac:dyDescent="0.25">
      <c r="A192" s="116" t="str">
        <f t="shared" si="3"/>
        <v/>
      </c>
      <c r="K192" s="130">
        <f>SUMIFS(ТГ_ИД!$E:$E,ТГ_ИД!$B:$B,ТГ!$G$3,ТГ_ИД!$D:$D,ТГ!$A193)</f>
        <v>0</v>
      </c>
      <c r="L192" s="130">
        <f>SUMIFS(ТГ_ИД!$E:$E,ТГ_ИД!$B:$B,ТГ!$G$4,ТГ_ИД!$D:$D,ТГ!$A193)</f>
        <v>0</v>
      </c>
      <c r="M192" s="130">
        <f>SUMIFS(ТГ_ИД!$E:$E,ТГ_ИД!$B:$B,ТГ!$G$5,ТГ_ИД!$D:$D,ТГ!$A193)</f>
        <v>0</v>
      </c>
      <c r="N192" s="130">
        <f>SUMIFS(ТГ_ИД!$E:$E,ТГ_ИД!$B:$B,ТГ!$G$6,ТГ_ИД!$D:$D,ТГ!$A193)</f>
        <v>0</v>
      </c>
      <c r="O192" s="130">
        <f>SUMIFS(ТГ_ИД!$E:$E,ТГ_ИД!$B:$B,ТГ!$G$7,ТГ_ИД!$D:$D,ТГ!$A193)</f>
        <v>0</v>
      </c>
      <c r="P192" s="130">
        <f>SUMIFS(ТГ_ИД!$E:$E,ТГ_ИД!$B:$B,ТГ!$G$8,ТГ_ИД!$D:$D,ТГ!$A193)</f>
        <v>0</v>
      </c>
      <c r="Q192" s="130">
        <f>SUMIFS(ТГ_ИД!$E:$E,ТГ_ИД!$B:$B,ТГ!$G$9,ТГ_ИД!$D:$D,ТГ!$A193)</f>
        <v>0</v>
      </c>
      <c r="R192" s="130">
        <f>SUMIFS(ТГ_ИД!$E:$E,ТГ_ИД!$B:$B,ТГ!$G$10,ТГ_ИД!$D:$D,ТГ!$A193)</f>
        <v>0</v>
      </c>
      <c r="S192" s="130">
        <f>SUMIFS(ТГ_ИД!$E:$E,ТГ_ИД!$B:$B,ТГ!$G$11,ТГ_ИД!$D:$D,ТГ!$A193)</f>
        <v>0</v>
      </c>
      <c r="T192" s="130">
        <f>SUMIFS(ТГ_ИД!$E:$E,ТГ_ИД!$B:$B,ТГ!$G$12,ТГ_ИД!$D:$D,ТГ!$A193)</f>
        <v>0</v>
      </c>
      <c r="U192" s="130">
        <f>SUMIFS(ТГ_ИД!$E:$E,ТГ_ИД!$B:$B,ТГ!$G$13,ТГ_ИД!$D:$D,ТГ!$A193)</f>
        <v>0</v>
      </c>
      <c r="V192" s="130">
        <f>SUMIFS(ТГ_ИД!$E:$E,ТГ_ИД!$B:$B,ТГ!$G$14,ТГ_ИД!$D:$D,ТГ!$A193)</f>
        <v>0</v>
      </c>
    </row>
    <row r="193" spans="1:22" x14ac:dyDescent="0.25">
      <c r="A193" s="116" t="str">
        <f t="shared" si="3"/>
        <v/>
      </c>
      <c r="K193" s="130">
        <f>SUMIFS(ТГ_ИД!$E:$E,ТГ_ИД!$B:$B,ТГ!$G$3,ТГ_ИД!$D:$D,ТГ!$A194)</f>
        <v>0</v>
      </c>
      <c r="L193" s="130">
        <f>SUMIFS(ТГ_ИД!$E:$E,ТГ_ИД!$B:$B,ТГ!$G$4,ТГ_ИД!$D:$D,ТГ!$A194)</f>
        <v>0</v>
      </c>
      <c r="M193" s="130">
        <f>SUMIFS(ТГ_ИД!$E:$E,ТГ_ИД!$B:$B,ТГ!$G$5,ТГ_ИД!$D:$D,ТГ!$A194)</f>
        <v>0</v>
      </c>
      <c r="N193" s="130">
        <f>SUMIFS(ТГ_ИД!$E:$E,ТГ_ИД!$B:$B,ТГ!$G$6,ТГ_ИД!$D:$D,ТГ!$A194)</f>
        <v>0</v>
      </c>
      <c r="O193" s="130">
        <f>SUMIFS(ТГ_ИД!$E:$E,ТГ_ИД!$B:$B,ТГ!$G$7,ТГ_ИД!$D:$D,ТГ!$A194)</f>
        <v>0</v>
      </c>
      <c r="P193" s="130">
        <f>SUMIFS(ТГ_ИД!$E:$E,ТГ_ИД!$B:$B,ТГ!$G$8,ТГ_ИД!$D:$D,ТГ!$A194)</f>
        <v>0</v>
      </c>
      <c r="Q193" s="130">
        <f>SUMIFS(ТГ_ИД!$E:$E,ТГ_ИД!$B:$B,ТГ!$G$9,ТГ_ИД!$D:$D,ТГ!$A194)</f>
        <v>0</v>
      </c>
      <c r="R193" s="130">
        <f>SUMIFS(ТГ_ИД!$E:$E,ТГ_ИД!$B:$B,ТГ!$G$10,ТГ_ИД!$D:$D,ТГ!$A194)</f>
        <v>0</v>
      </c>
      <c r="S193" s="130">
        <f>SUMIFS(ТГ_ИД!$E:$E,ТГ_ИД!$B:$B,ТГ!$G$11,ТГ_ИД!$D:$D,ТГ!$A194)</f>
        <v>0</v>
      </c>
      <c r="T193" s="130">
        <f>SUMIFS(ТГ_ИД!$E:$E,ТГ_ИД!$B:$B,ТГ!$G$12,ТГ_ИД!$D:$D,ТГ!$A194)</f>
        <v>0</v>
      </c>
      <c r="U193" s="130">
        <f>SUMIFS(ТГ_ИД!$E:$E,ТГ_ИД!$B:$B,ТГ!$G$13,ТГ_ИД!$D:$D,ТГ!$A194)</f>
        <v>0</v>
      </c>
      <c r="V193" s="130">
        <f>SUMIFS(ТГ_ИД!$E:$E,ТГ_ИД!$B:$B,ТГ!$G$14,ТГ_ИД!$D:$D,ТГ!$A194)</f>
        <v>0</v>
      </c>
    </row>
    <row r="194" spans="1:22" x14ac:dyDescent="0.25">
      <c r="A194" s="116" t="str">
        <f t="shared" si="3"/>
        <v/>
      </c>
      <c r="K194" s="130">
        <f>SUMIFS(ТГ_ИД!$E:$E,ТГ_ИД!$B:$B,ТГ!$G$3,ТГ_ИД!$D:$D,ТГ!$A195)</f>
        <v>0</v>
      </c>
      <c r="L194" s="130">
        <f>SUMIFS(ТГ_ИД!$E:$E,ТГ_ИД!$B:$B,ТГ!$G$4,ТГ_ИД!$D:$D,ТГ!$A195)</f>
        <v>0</v>
      </c>
      <c r="M194" s="130">
        <f>SUMIFS(ТГ_ИД!$E:$E,ТГ_ИД!$B:$B,ТГ!$G$5,ТГ_ИД!$D:$D,ТГ!$A195)</f>
        <v>0</v>
      </c>
      <c r="N194" s="130">
        <f>SUMIFS(ТГ_ИД!$E:$E,ТГ_ИД!$B:$B,ТГ!$G$6,ТГ_ИД!$D:$D,ТГ!$A195)</f>
        <v>0</v>
      </c>
      <c r="O194" s="130">
        <f>SUMIFS(ТГ_ИД!$E:$E,ТГ_ИД!$B:$B,ТГ!$G$7,ТГ_ИД!$D:$D,ТГ!$A195)</f>
        <v>0</v>
      </c>
      <c r="P194" s="130">
        <f>SUMIFS(ТГ_ИД!$E:$E,ТГ_ИД!$B:$B,ТГ!$G$8,ТГ_ИД!$D:$D,ТГ!$A195)</f>
        <v>0</v>
      </c>
      <c r="Q194" s="130">
        <f>SUMIFS(ТГ_ИД!$E:$E,ТГ_ИД!$B:$B,ТГ!$G$9,ТГ_ИД!$D:$D,ТГ!$A195)</f>
        <v>0</v>
      </c>
      <c r="R194" s="130">
        <f>SUMIFS(ТГ_ИД!$E:$E,ТГ_ИД!$B:$B,ТГ!$G$10,ТГ_ИД!$D:$D,ТГ!$A195)</f>
        <v>0</v>
      </c>
      <c r="S194" s="130">
        <f>SUMIFS(ТГ_ИД!$E:$E,ТГ_ИД!$B:$B,ТГ!$G$11,ТГ_ИД!$D:$D,ТГ!$A195)</f>
        <v>0</v>
      </c>
      <c r="T194" s="130">
        <f>SUMIFS(ТГ_ИД!$E:$E,ТГ_ИД!$B:$B,ТГ!$G$12,ТГ_ИД!$D:$D,ТГ!$A195)</f>
        <v>0</v>
      </c>
      <c r="U194" s="130">
        <f>SUMIFS(ТГ_ИД!$E:$E,ТГ_ИД!$B:$B,ТГ!$G$13,ТГ_ИД!$D:$D,ТГ!$A195)</f>
        <v>0</v>
      </c>
      <c r="V194" s="130">
        <f>SUMIFS(ТГ_ИД!$E:$E,ТГ_ИД!$B:$B,ТГ!$G$14,ТГ_ИД!$D:$D,ТГ!$A195)</f>
        <v>0</v>
      </c>
    </row>
    <row r="195" spans="1:22" x14ac:dyDescent="0.25">
      <c r="A195" s="116" t="str">
        <f t="shared" si="3"/>
        <v/>
      </c>
      <c r="K195" s="130">
        <f>SUMIFS(ТГ_ИД!$E:$E,ТГ_ИД!$B:$B,ТГ!$G$3,ТГ_ИД!$D:$D,ТГ!$A196)</f>
        <v>0</v>
      </c>
      <c r="L195" s="130">
        <f>SUMIFS(ТГ_ИД!$E:$E,ТГ_ИД!$B:$B,ТГ!$G$4,ТГ_ИД!$D:$D,ТГ!$A196)</f>
        <v>0</v>
      </c>
      <c r="M195" s="130">
        <f>SUMIFS(ТГ_ИД!$E:$E,ТГ_ИД!$B:$B,ТГ!$G$5,ТГ_ИД!$D:$D,ТГ!$A196)</f>
        <v>0</v>
      </c>
      <c r="N195" s="130">
        <f>SUMIFS(ТГ_ИД!$E:$E,ТГ_ИД!$B:$B,ТГ!$G$6,ТГ_ИД!$D:$D,ТГ!$A196)</f>
        <v>0</v>
      </c>
      <c r="O195" s="130">
        <f>SUMIFS(ТГ_ИД!$E:$E,ТГ_ИД!$B:$B,ТГ!$G$7,ТГ_ИД!$D:$D,ТГ!$A196)</f>
        <v>0</v>
      </c>
      <c r="P195" s="130">
        <f>SUMIFS(ТГ_ИД!$E:$E,ТГ_ИД!$B:$B,ТГ!$G$8,ТГ_ИД!$D:$D,ТГ!$A196)</f>
        <v>0</v>
      </c>
      <c r="Q195" s="130">
        <f>SUMIFS(ТГ_ИД!$E:$E,ТГ_ИД!$B:$B,ТГ!$G$9,ТГ_ИД!$D:$D,ТГ!$A196)</f>
        <v>0</v>
      </c>
      <c r="R195" s="130">
        <f>SUMIFS(ТГ_ИД!$E:$E,ТГ_ИД!$B:$B,ТГ!$G$10,ТГ_ИД!$D:$D,ТГ!$A196)</f>
        <v>0</v>
      </c>
      <c r="S195" s="130">
        <f>SUMIFS(ТГ_ИД!$E:$E,ТГ_ИД!$B:$B,ТГ!$G$11,ТГ_ИД!$D:$D,ТГ!$A196)</f>
        <v>0</v>
      </c>
      <c r="T195" s="130">
        <f>SUMIFS(ТГ_ИД!$E:$E,ТГ_ИД!$B:$B,ТГ!$G$12,ТГ_ИД!$D:$D,ТГ!$A196)</f>
        <v>0</v>
      </c>
      <c r="U195" s="130">
        <f>SUMIFS(ТГ_ИД!$E:$E,ТГ_ИД!$B:$B,ТГ!$G$13,ТГ_ИД!$D:$D,ТГ!$A196)</f>
        <v>0</v>
      </c>
      <c r="V195" s="130">
        <f>SUMIFS(ТГ_ИД!$E:$E,ТГ_ИД!$B:$B,ТГ!$G$14,ТГ_ИД!$D:$D,ТГ!$A196)</f>
        <v>0</v>
      </c>
    </row>
    <row r="196" spans="1:22" x14ac:dyDescent="0.25">
      <c r="A196" s="116" t="str">
        <f t="shared" si="3"/>
        <v/>
      </c>
      <c r="K196" s="130">
        <f>SUMIFS(ТГ_ИД!$E:$E,ТГ_ИД!$B:$B,ТГ!$G$3,ТГ_ИД!$D:$D,ТГ!$A197)</f>
        <v>0</v>
      </c>
      <c r="L196" s="130">
        <f>SUMIFS(ТГ_ИД!$E:$E,ТГ_ИД!$B:$B,ТГ!$G$4,ТГ_ИД!$D:$D,ТГ!$A197)</f>
        <v>0</v>
      </c>
      <c r="M196" s="130">
        <f>SUMIFS(ТГ_ИД!$E:$E,ТГ_ИД!$B:$B,ТГ!$G$5,ТГ_ИД!$D:$D,ТГ!$A197)</f>
        <v>0</v>
      </c>
      <c r="N196" s="130">
        <f>SUMIFS(ТГ_ИД!$E:$E,ТГ_ИД!$B:$B,ТГ!$G$6,ТГ_ИД!$D:$D,ТГ!$A197)</f>
        <v>0</v>
      </c>
      <c r="O196" s="130">
        <f>SUMIFS(ТГ_ИД!$E:$E,ТГ_ИД!$B:$B,ТГ!$G$7,ТГ_ИД!$D:$D,ТГ!$A197)</f>
        <v>0</v>
      </c>
      <c r="P196" s="130">
        <f>SUMIFS(ТГ_ИД!$E:$E,ТГ_ИД!$B:$B,ТГ!$G$8,ТГ_ИД!$D:$D,ТГ!$A197)</f>
        <v>0</v>
      </c>
      <c r="Q196" s="130">
        <f>SUMIFS(ТГ_ИД!$E:$E,ТГ_ИД!$B:$B,ТГ!$G$9,ТГ_ИД!$D:$D,ТГ!$A197)</f>
        <v>0</v>
      </c>
      <c r="R196" s="130">
        <f>SUMIFS(ТГ_ИД!$E:$E,ТГ_ИД!$B:$B,ТГ!$G$10,ТГ_ИД!$D:$D,ТГ!$A197)</f>
        <v>0</v>
      </c>
      <c r="S196" s="130">
        <f>SUMIFS(ТГ_ИД!$E:$E,ТГ_ИД!$B:$B,ТГ!$G$11,ТГ_ИД!$D:$D,ТГ!$A197)</f>
        <v>0</v>
      </c>
      <c r="T196" s="130">
        <f>SUMIFS(ТГ_ИД!$E:$E,ТГ_ИД!$B:$B,ТГ!$G$12,ТГ_ИД!$D:$D,ТГ!$A197)</f>
        <v>0</v>
      </c>
      <c r="U196" s="130">
        <f>SUMIFS(ТГ_ИД!$E:$E,ТГ_ИД!$B:$B,ТГ!$G$13,ТГ_ИД!$D:$D,ТГ!$A197)</f>
        <v>0</v>
      </c>
      <c r="V196" s="130">
        <f>SUMIFS(ТГ_ИД!$E:$E,ТГ_ИД!$B:$B,ТГ!$G$14,ТГ_ИД!$D:$D,ТГ!$A197)</f>
        <v>0</v>
      </c>
    </row>
    <row r="197" spans="1:22" x14ac:dyDescent="0.25">
      <c r="A197" s="116" t="str">
        <f t="shared" ref="A197:A260" si="4">IF(B197="","",TEXT(B197,"00000"))</f>
        <v/>
      </c>
      <c r="K197" s="130">
        <f>SUMIFS(ТГ_ИД!$E:$E,ТГ_ИД!$B:$B,ТГ!$G$3,ТГ_ИД!$D:$D,ТГ!$A198)</f>
        <v>0</v>
      </c>
      <c r="L197" s="130">
        <f>SUMIFS(ТГ_ИД!$E:$E,ТГ_ИД!$B:$B,ТГ!$G$4,ТГ_ИД!$D:$D,ТГ!$A198)</f>
        <v>0</v>
      </c>
      <c r="M197" s="130">
        <f>SUMIFS(ТГ_ИД!$E:$E,ТГ_ИД!$B:$B,ТГ!$G$5,ТГ_ИД!$D:$D,ТГ!$A198)</f>
        <v>0</v>
      </c>
      <c r="N197" s="130">
        <f>SUMIFS(ТГ_ИД!$E:$E,ТГ_ИД!$B:$B,ТГ!$G$6,ТГ_ИД!$D:$D,ТГ!$A198)</f>
        <v>0</v>
      </c>
      <c r="O197" s="130">
        <f>SUMIFS(ТГ_ИД!$E:$E,ТГ_ИД!$B:$B,ТГ!$G$7,ТГ_ИД!$D:$D,ТГ!$A198)</f>
        <v>0</v>
      </c>
      <c r="P197" s="130">
        <f>SUMIFS(ТГ_ИД!$E:$E,ТГ_ИД!$B:$B,ТГ!$G$8,ТГ_ИД!$D:$D,ТГ!$A198)</f>
        <v>0</v>
      </c>
      <c r="Q197" s="130">
        <f>SUMIFS(ТГ_ИД!$E:$E,ТГ_ИД!$B:$B,ТГ!$G$9,ТГ_ИД!$D:$D,ТГ!$A198)</f>
        <v>0</v>
      </c>
      <c r="R197" s="130">
        <f>SUMIFS(ТГ_ИД!$E:$E,ТГ_ИД!$B:$B,ТГ!$G$10,ТГ_ИД!$D:$D,ТГ!$A198)</f>
        <v>0</v>
      </c>
      <c r="S197" s="130">
        <f>SUMIFS(ТГ_ИД!$E:$E,ТГ_ИД!$B:$B,ТГ!$G$11,ТГ_ИД!$D:$D,ТГ!$A198)</f>
        <v>0</v>
      </c>
      <c r="T197" s="130">
        <f>SUMIFS(ТГ_ИД!$E:$E,ТГ_ИД!$B:$B,ТГ!$G$12,ТГ_ИД!$D:$D,ТГ!$A198)</f>
        <v>0</v>
      </c>
      <c r="U197" s="130">
        <f>SUMIFS(ТГ_ИД!$E:$E,ТГ_ИД!$B:$B,ТГ!$G$13,ТГ_ИД!$D:$D,ТГ!$A198)</f>
        <v>0</v>
      </c>
      <c r="V197" s="130">
        <f>SUMIFS(ТГ_ИД!$E:$E,ТГ_ИД!$B:$B,ТГ!$G$14,ТГ_ИД!$D:$D,ТГ!$A198)</f>
        <v>0</v>
      </c>
    </row>
    <row r="198" spans="1:22" x14ac:dyDescent="0.25">
      <c r="A198" s="116" t="str">
        <f t="shared" si="4"/>
        <v/>
      </c>
      <c r="K198" s="130">
        <f>SUMIFS(ТГ_ИД!$E:$E,ТГ_ИД!$B:$B,ТГ!$G$3,ТГ_ИД!$D:$D,ТГ!$A199)</f>
        <v>0</v>
      </c>
      <c r="L198" s="130">
        <f>SUMIFS(ТГ_ИД!$E:$E,ТГ_ИД!$B:$B,ТГ!$G$4,ТГ_ИД!$D:$D,ТГ!$A199)</f>
        <v>0</v>
      </c>
      <c r="M198" s="130">
        <f>SUMIFS(ТГ_ИД!$E:$E,ТГ_ИД!$B:$B,ТГ!$G$5,ТГ_ИД!$D:$D,ТГ!$A199)</f>
        <v>0</v>
      </c>
      <c r="N198" s="130">
        <f>SUMIFS(ТГ_ИД!$E:$E,ТГ_ИД!$B:$B,ТГ!$G$6,ТГ_ИД!$D:$D,ТГ!$A199)</f>
        <v>0</v>
      </c>
      <c r="O198" s="130">
        <f>SUMIFS(ТГ_ИД!$E:$E,ТГ_ИД!$B:$B,ТГ!$G$7,ТГ_ИД!$D:$D,ТГ!$A199)</f>
        <v>0</v>
      </c>
      <c r="P198" s="130">
        <f>SUMIFS(ТГ_ИД!$E:$E,ТГ_ИД!$B:$B,ТГ!$G$8,ТГ_ИД!$D:$D,ТГ!$A199)</f>
        <v>0</v>
      </c>
      <c r="Q198" s="130">
        <f>SUMIFS(ТГ_ИД!$E:$E,ТГ_ИД!$B:$B,ТГ!$G$9,ТГ_ИД!$D:$D,ТГ!$A199)</f>
        <v>0</v>
      </c>
      <c r="R198" s="130">
        <f>SUMIFS(ТГ_ИД!$E:$E,ТГ_ИД!$B:$B,ТГ!$G$10,ТГ_ИД!$D:$D,ТГ!$A199)</f>
        <v>0</v>
      </c>
      <c r="S198" s="130">
        <f>SUMIFS(ТГ_ИД!$E:$E,ТГ_ИД!$B:$B,ТГ!$G$11,ТГ_ИД!$D:$D,ТГ!$A199)</f>
        <v>0</v>
      </c>
      <c r="T198" s="130">
        <f>SUMIFS(ТГ_ИД!$E:$E,ТГ_ИД!$B:$B,ТГ!$G$12,ТГ_ИД!$D:$D,ТГ!$A199)</f>
        <v>0</v>
      </c>
      <c r="U198" s="130">
        <f>SUMIFS(ТГ_ИД!$E:$E,ТГ_ИД!$B:$B,ТГ!$G$13,ТГ_ИД!$D:$D,ТГ!$A199)</f>
        <v>0</v>
      </c>
      <c r="V198" s="130">
        <f>SUMIFS(ТГ_ИД!$E:$E,ТГ_ИД!$B:$B,ТГ!$G$14,ТГ_ИД!$D:$D,ТГ!$A199)</f>
        <v>0</v>
      </c>
    </row>
    <row r="199" spans="1:22" x14ac:dyDescent="0.25">
      <c r="A199" s="116" t="str">
        <f t="shared" si="4"/>
        <v/>
      </c>
      <c r="K199" s="130">
        <f>SUMIFS(ТГ_ИД!$E:$E,ТГ_ИД!$B:$B,ТГ!$G$3,ТГ_ИД!$D:$D,ТГ!$A200)</f>
        <v>0</v>
      </c>
      <c r="L199" s="130">
        <f>SUMIFS(ТГ_ИД!$E:$E,ТГ_ИД!$B:$B,ТГ!$G$4,ТГ_ИД!$D:$D,ТГ!$A200)</f>
        <v>0</v>
      </c>
      <c r="M199" s="130">
        <f>SUMIFS(ТГ_ИД!$E:$E,ТГ_ИД!$B:$B,ТГ!$G$5,ТГ_ИД!$D:$D,ТГ!$A200)</f>
        <v>0</v>
      </c>
      <c r="N199" s="130">
        <f>SUMIFS(ТГ_ИД!$E:$E,ТГ_ИД!$B:$B,ТГ!$G$6,ТГ_ИД!$D:$D,ТГ!$A200)</f>
        <v>0</v>
      </c>
      <c r="O199" s="130">
        <f>SUMIFS(ТГ_ИД!$E:$E,ТГ_ИД!$B:$B,ТГ!$G$7,ТГ_ИД!$D:$D,ТГ!$A200)</f>
        <v>0</v>
      </c>
      <c r="P199" s="130">
        <f>SUMIFS(ТГ_ИД!$E:$E,ТГ_ИД!$B:$B,ТГ!$G$8,ТГ_ИД!$D:$D,ТГ!$A200)</f>
        <v>0</v>
      </c>
      <c r="Q199" s="130">
        <f>SUMIFS(ТГ_ИД!$E:$E,ТГ_ИД!$B:$B,ТГ!$G$9,ТГ_ИД!$D:$D,ТГ!$A200)</f>
        <v>0</v>
      </c>
      <c r="R199" s="130">
        <f>SUMIFS(ТГ_ИД!$E:$E,ТГ_ИД!$B:$B,ТГ!$G$10,ТГ_ИД!$D:$D,ТГ!$A200)</f>
        <v>0</v>
      </c>
      <c r="S199" s="130">
        <f>SUMIFS(ТГ_ИД!$E:$E,ТГ_ИД!$B:$B,ТГ!$G$11,ТГ_ИД!$D:$D,ТГ!$A200)</f>
        <v>0</v>
      </c>
      <c r="T199" s="130">
        <f>SUMIFS(ТГ_ИД!$E:$E,ТГ_ИД!$B:$B,ТГ!$G$12,ТГ_ИД!$D:$D,ТГ!$A200)</f>
        <v>0</v>
      </c>
      <c r="U199" s="130">
        <f>SUMIFS(ТГ_ИД!$E:$E,ТГ_ИД!$B:$B,ТГ!$G$13,ТГ_ИД!$D:$D,ТГ!$A200)</f>
        <v>0</v>
      </c>
      <c r="V199" s="130">
        <f>SUMIFS(ТГ_ИД!$E:$E,ТГ_ИД!$B:$B,ТГ!$G$14,ТГ_ИД!$D:$D,ТГ!$A200)</f>
        <v>0</v>
      </c>
    </row>
    <row r="200" spans="1:22" x14ac:dyDescent="0.25">
      <c r="A200" s="116" t="str">
        <f t="shared" si="4"/>
        <v/>
      </c>
      <c r="K200" s="130">
        <f>SUMIFS(ТГ_ИД!$E:$E,ТГ_ИД!$B:$B,ТГ!$G$3,ТГ_ИД!$D:$D,ТГ!$A201)</f>
        <v>0</v>
      </c>
      <c r="L200" s="130">
        <f>SUMIFS(ТГ_ИД!$E:$E,ТГ_ИД!$B:$B,ТГ!$G$4,ТГ_ИД!$D:$D,ТГ!$A201)</f>
        <v>0</v>
      </c>
      <c r="M200" s="130">
        <f>SUMIFS(ТГ_ИД!$E:$E,ТГ_ИД!$B:$B,ТГ!$G$5,ТГ_ИД!$D:$D,ТГ!$A201)</f>
        <v>0</v>
      </c>
      <c r="N200" s="130">
        <f>SUMIFS(ТГ_ИД!$E:$E,ТГ_ИД!$B:$B,ТГ!$G$6,ТГ_ИД!$D:$D,ТГ!$A201)</f>
        <v>0</v>
      </c>
      <c r="O200" s="130">
        <f>SUMIFS(ТГ_ИД!$E:$E,ТГ_ИД!$B:$B,ТГ!$G$7,ТГ_ИД!$D:$D,ТГ!$A201)</f>
        <v>0</v>
      </c>
      <c r="P200" s="130">
        <f>SUMIFS(ТГ_ИД!$E:$E,ТГ_ИД!$B:$B,ТГ!$G$8,ТГ_ИД!$D:$D,ТГ!$A201)</f>
        <v>0</v>
      </c>
      <c r="Q200" s="130">
        <f>SUMIFS(ТГ_ИД!$E:$E,ТГ_ИД!$B:$B,ТГ!$G$9,ТГ_ИД!$D:$D,ТГ!$A201)</f>
        <v>0</v>
      </c>
      <c r="R200" s="130">
        <f>SUMIFS(ТГ_ИД!$E:$E,ТГ_ИД!$B:$B,ТГ!$G$10,ТГ_ИД!$D:$D,ТГ!$A201)</f>
        <v>0</v>
      </c>
      <c r="S200" s="130">
        <f>SUMIFS(ТГ_ИД!$E:$E,ТГ_ИД!$B:$B,ТГ!$G$11,ТГ_ИД!$D:$D,ТГ!$A201)</f>
        <v>0</v>
      </c>
      <c r="T200" s="130">
        <f>SUMIFS(ТГ_ИД!$E:$E,ТГ_ИД!$B:$B,ТГ!$G$12,ТГ_ИД!$D:$D,ТГ!$A201)</f>
        <v>0</v>
      </c>
      <c r="U200" s="130">
        <f>SUMIFS(ТГ_ИД!$E:$E,ТГ_ИД!$B:$B,ТГ!$G$13,ТГ_ИД!$D:$D,ТГ!$A201)</f>
        <v>0</v>
      </c>
      <c r="V200" s="130">
        <f>SUMIFS(ТГ_ИД!$E:$E,ТГ_ИД!$B:$B,ТГ!$G$14,ТГ_ИД!$D:$D,ТГ!$A201)</f>
        <v>0</v>
      </c>
    </row>
    <row r="201" spans="1:22" x14ac:dyDescent="0.25">
      <c r="A201" s="116" t="str">
        <f t="shared" si="4"/>
        <v/>
      </c>
      <c r="K201" s="130">
        <f>SUMIFS(ТГ_ИД!$E:$E,ТГ_ИД!$B:$B,ТГ!$G$3,ТГ_ИД!$D:$D,ТГ!$A202)</f>
        <v>0</v>
      </c>
      <c r="L201" s="130">
        <f>SUMIFS(ТГ_ИД!$E:$E,ТГ_ИД!$B:$B,ТГ!$G$4,ТГ_ИД!$D:$D,ТГ!$A202)</f>
        <v>0</v>
      </c>
      <c r="M201" s="130">
        <f>SUMIFS(ТГ_ИД!$E:$E,ТГ_ИД!$B:$B,ТГ!$G$5,ТГ_ИД!$D:$D,ТГ!$A202)</f>
        <v>0</v>
      </c>
      <c r="N201" s="130">
        <f>SUMIFS(ТГ_ИД!$E:$E,ТГ_ИД!$B:$B,ТГ!$G$6,ТГ_ИД!$D:$D,ТГ!$A202)</f>
        <v>0</v>
      </c>
      <c r="O201" s="130">
        <f>SUMIFS(ТГ_ИД!$E:$E,ТГ_ИД!$B:$B,ТГ!$G$7,ТГ_ИД!$D:$D,ТГ!$A202)</f>
        <v>0</v>
      </c>
      <c r="P201" s="130">
        <f>SUMIFS(ТГ_ИД!$E:$E,ТГ_ИД!$B:$B,ТГ!$G$8,ТГ_ИД!$D:$D,ТГ!$A202)</f>
        <v>0</v>
      </c>
      <c r="Q201" s="130">
        <f>SUMIFS(ТГ_ИД!$E:$E,ТГ_ИД!$B:$B,ТГ!$G$9,ТГ_ИД!$D:$D,ТГ!$A202)</f>
        <v>0</v>
      </c>
      <c r="R201" s="130">
        <f>SUMIFS(ТГ_ИД!$E:$E,ТГ_ИД!$B:$B,ТГ!$G$10,ТГ_ИД!$D:$D,ТГ!$A202)</f>
        <v>0</v>
      </c>
      <c r="S201" s="130">
        <f>SUMIFS(ТГ_ИД!$E:$E,ТГ_ИД!$B:$B,ТГ!$G$11,ТГ_ИД!$D:$D,ТГ!$A202)</f>
        <v>0</v>
      </c>
      <c r="T201" s="130">
        <f>SUMIFS(ТГ_ИД!$E:$E,ТГ_ИД!$B:$B,ТГ!$G$12,ТГ_ИД!$D:$D,ТГ!$A202)</f>
        <v>0</v>
      </c>
      <c r="U201" s="130">
        <f>SUMIFS(ТГ_ИД!$E:$E,ТГ_ИД!$B:$B,ТГ!$G$13,ТГ_ИД!$D:$D,ТГ!$A202)</f>
        <v>0</v>
      </c>
      <c r="V201" s="130">
        <f>SUMIFS(ТГ_ИД!$E:$E,ТГ_ИД!$B:$B,ТГ!$G$14,ТГ_ИД!$D:$D,ТГ!$A202)</f>
        <v>0</v>
      </c>
    </row>
    <row r="202" spans="1:22" x14ac:dyDescent="0.25">
      <c r="A202" s="116" t="str">
        <f t="shared" si="4"/>
        <v/>
      </c>
      <c r="K202" s="130">
        <f>SUMIFS(ТГ_ИД!$E:$E,ТГ_ИД!$B:$B,ТГ!$G$3,ТГ_ИД!$D:$D,ТГ!$A203)</f>
        <v>0</v>
      </c>
      <c r="L202" s="130">
        <f>SUMIFS(ТГ_ИД!$E:$E,ТГ_ИД!$B:$B,ТГ!$G$4,ТГ_ИД!$D:$D,ТГ!$A203)</f>
        <v>0</v>
      </c>
      <c r="M202" s="130">
        <f>SUMIFS(ТГ_ИД!$E:$E,ТГ_ИД!$B:$B,ТГ!$G$5,ТГ_ИД!$D:$D,ТГ!$A203)</f>
        <v>0</v>
      </c>
      <c r="N202" s="130">
        <f>SUMIFS(ТГ_ИД!$E:$E,ТГ_ИД!$B:$B,ТГ!$G$6,ТГ_ИД!$D:$D,ТГ!$A203)</f>
        <v>0</v>
      </c>
      <c r="O202" s="130">
        <f>SUMIFS(ТГ_ИД!$E:$E,ТГ_ИД!$B:$B,ТГ!$G$7,ТГ_ИД!$D:$D,ТГ!$A203)</f>
        <v>0</v>
      </c>
      <c r="P202" s="130">
        <f>SUMIFS(ТГ_ИД!$E:$E,ТГ_ИД!$B:$B,ТГ!$G$8,ТГ_ИД!$D:$D,ТГ!$A203)</f>
        <v>0</v>
      </c>
      <c r="Q202" s="130">
        <f>SUMIFS(ТГ_ИД!$E:$E,ТГ_ИД!$B:$B,ТГ!$G$9,ТГ_ИД!$D:$D,ТГ!$A203)</f>
        <v>0</v>
      </c>
      <c r="R202" s="130">
        <f>SUMIFS(ТГ_ИД!$E:$E,ТГ_ИД!$B:$B,ТГ!$G$10,ТГ_ИД!$D:$D,ТГ!$A203)</f>
        <v>0</v>
      </c>
      <c r="S202" s="130">
        <f>SUMIFS(ТГ_ИД!$E:$E,ТГ_ИД!$B:$B,ТГ!$G$11,ТГ_ИД!$D:$D,ТГ!$A203)</f>
        <v>0</v>
      </c>
      <c r="T202" s="130">
        <f>SUMIFS(ТГ_ИД!$E:$E,ТГ_ИД!$B:$B,ТГ!$G$12,ТГ_ИД!$D:$D,ТГ!$A203)</f>
        <v>0</v>
      </c>
      <c r="U202" s="130">
        <f>SUMIFS(ТГ_ИД!$E:$E,ТГ_ИД!$B:$B,ТГ!$G$13,ТГ_ИД!$D:$D,ТГ!$A203)</f>
        <v>0</v>
      </c>
      <c r="V202" s="130">
        <f>SUMIFS(ТГ_ИД!$E:$E,ТГ_ИД!$B:$B,ТГ!$G$14,ТГ_ИД!$D:$D,ТГ!$A203)</f>
        <v>0</v>
      </c>
    </row>
    <row r="203" spans="1:22" x14ac:dyDescent="0.25">
      <c r="A203" s="116" t="str">
        <f t="shared" si="4"/>
        <v/>
      </c>
      <c r="K203" s="130">
        <f>SUMIFS(ТГ_ИД!$E:$E,ТГ_ИД!$B:$B,ТГ!$G$3,ТГ_ИД!$D:$D,ТГ!$A204)</f>
        <v>0</v>
      </c>
      <c r="L203" s="130">
        <f>SUMIFS(ТГ_ИД!$E:$E,ТГ_ИД!$B:$B,ТГ!$G$4,ТГ_ИД!$D:$D,ТГ!$A204)</f>
        <v>0</v>
      </c>
      <c r="M203" s="130">
        <f>SUMIFS(ТГ_ИД!$E:$E,ТГ_ИД!$B:$B,ТГ!$G$5,ТГ_ИД!$D:$D,ТГ!$A204)</f>
        <v>0</v>
      </c>
      <c r="N203" s="130">
        <f>SUMIFS(ТГ_ИД!$E:$E,ТГ_ИД!$B:$B,ТГ!$G$6,ТГ_ИД!$D:$D,ТГ!$A204)</f>
        <v>0</v>
      </c>
      <c r="O203" s="130">
        <f>SUMIFS(ТГ_ИД!$E:$E,ТГ_ИД!$B:$B,ТГ!$G$7,ТГ_ИД!$D:$D,ТГ!$A204)</f>
        <v>0</v>
      </c>
      <c r="P203" s="130">
        <f>SUMIFS(ТГ_ИД!$E:$E,ТГ_ИД!$B:$B,ТГ!$G$8,ТГ_ИД!$D:$D,ТГ!$A204)</f>
        <v>0</v>
      </c>
      <c r="Q203" s="130">
        <f>SUMIFS(ТГ_ИД!$E:$E,ТГ_ИД!$B:$B,ТГ!$G$9,ТГ_ИД!$D:$D,ТГ!$A204)</f>
        <v>0</v>
      </c>
      <c r="R203" s="130">
        <f>SUMIFS(ТГ_ИД!$E:$E,ТГ_ИД!$B:$B,ТГ!$G$10,ТГ_ИД!$D:$D,ТГ!$A204)</f>
        <v>0</v>
      </c>
      <c r="S203" s="130">
        <f>SUMIFS(ТГ_ИД!$E:$E,ТГ_ИД!$B:$B,ТГ!$G$11,ТГ_ИД!$D:$D,ТГ!$A204)</f>
        <v>0</v>
      </c>
      <c r="T203" s="130">
        <f>SUMIFS(ТГ_ИД!$E:$E,ТГ_ИД!$B:$B,ТГ!$G$12,ТГ_ИД!$D:$D,ТГ!$A204)</f>
        <v>0</v>
      </c>
      <c r="U203" s="130">
        <f>SUMIFS(ТГ_ИД!$E:$E,ТГ_ИД!$B:$B,ТГ!$G$13,ТГ_ИД!$D:$D,ТГ!$A204)</f>
        <v>0</v>
      </c>
      <c r="V203" s="130">
        <f>SUMIFS(ТГ_ИД!$E:$E,ТГ_ИД!$B:$B,ТГ!$G$14,ТГ_ИД!$D:$D,ТГ!$A204)</f>
        <v>0</v>
      </c>
    </row>
    <row r="204" spans="1:22" x14ac:dyDescent="0.25">
      <c r="A204" s="116" t="str">
        <f t="shared" si="4"/>
        <v/>
      </c>
      <c r="K204" s="130">
        <f>SUMIFS(ТГ_ИД!$E:$E,ТГ_ИД!$B:$B,ТГ!$G$3,ТГ_ИД!$D:$D,ТГ!$A205)</f>
        <v>0</v>
      </c>
      <c r="L204" s="130">
        <f>SUMIFS(ТГ_ИД!$E:$E,ТГ_ИД!$B:$B,ТГ!$G$4,ТГ_ИД!$D:$D,ТГ!$A205)</f>
        <v>0</v>
      </c>
      <c r="M204" s="130">
        <f>SUMIFS(ТГ_ИД!$E:$E,ТГ_ИД!$B:$B,ТГ!$G$5,ТГ_ИД!$D:$D,ТГ!$A205)</f>
        <v>0</v>
      </c>
      <c r="N204" s="130">
        <f>SUMIFS(ТГ_ИД!$E:$E,ТГ_ИД!$B:$B,ТГ!$G$6,ТГ_ИД!$D:$D,ТГ!$A205)</f>
        <v>0</v>
      </c>
      <c r="O204" s="130">
        <f>SUMIFS(ТГ_ИД!$E:$E,ТГ_ИД!$B:$B,ТГ!$G$7,ТГ_ИД!$D:$D,ТГ!$A205)</f>
        <v>0</v>
      </c>
      <c r="P204" s="130">
        <f>SUMIFS(ТГ_ИД!$E:$E,ТГ_ИД!$B:$B,ТГ!$G$8,ТГ_ИД!$D:$D,ТГ!$A205)</f>
        <v>0</v>
      </c>
      <c r="Q204" s="130">
        <f>SUMIFS(ТГ_ИД!$E:$E,ТГ_ИД!$B:$B,ТГ!$G$9,ТГ_ИД!$D:$D,ТГ!$A205)</f>
        <v>0</v>
      </c>
      <c r="R204" s="130">
        <f>SUMIFS(ТГ_ИД!$E:$E,ТГ_ИД!$B:$B,ТГ!$G$10,ТГ_ИД!$D:$D,ТГ!$A205)</f>
        <v>0</v>
      </c>
      <c r="S204" s="130">
        <f>SUMIFS(ТГ_ИД!$E:$E,ТГ_ИД!$B:$B,ТГ!$G$11,ТГ_ИД!$D:$D,ТГ!$A205)</f>
        <v>0</v>
      </c>
      <c r="T204" s="130">
        <f>SUMIFS(ТГ_ИД!$E:$E,ТГ_ИД!$B:$B,ТГ!$G$12,ТГ_ИД!$D:$D,ТГ!$A205)</f>
        <v>0</v>
      </c>
      <c r="U204" s="130">
        <f>SUMIFS(ТГ_ИД!$E:$E,ТГ_ИД!$B:$B,ТГ!$G$13,ТГ_ИД!$D:$D,ТГ!$A205)</f>
        <v>0</v>
      </c>
      <c r="V204" s="130">
        <f>SUMIFS(ТГ_ИД!$E:$E,ТГ_ИД!$B:$B,ТГ!$G$14,ТГ_ИД!$D:$D,ТГ!$A205)</f>
        <v>0</v>
      </c>
    </row>
    <row r="205" spans="1:22" x14ac:dyDescent="0.25">
      <c r="A205" s="116" t="str">
        <f t="shared" si="4"/>
        <v/>
      </c>
      <c r="K205" s="130">
        <f>SUMIFS(ТГ_ИД!$E:$E,ТГ_ИД!$B:$B,ТГ!$G$3,ТГ_ИД!$D:$D,ТГ!$A206)</f>
        <v>0</v>
      </c>
      <c r="L205" s="130">
        <f>SUMIFS(ТГ_ИД!$E:$E,ТГ_ИД!$B:$B,ТГ!$G$4,ТГ_ИД!$D:$D,ТГ!$A206)</f>
        <v>0</v>
      </c>
      <c r="M205" s="130">
        <f>SUMIFS(ТГ_ИД!$E:$E,ТГ_ИД!$B:$B,ТГ!$G$5,ТГ_ИД!$D:$D,ТГ!$A206)</f>
        <v>0</v>
      </c>
      <c r="N205" s="130">
        <f>SUMIFS(ТГ_ИД!$E:$E,ТГ_ИД!$B:$B,ТГ!$G$6,ТГ_ИД!$D:$D,ТГ!$A206)</f>
        <v>0</v>
      </c>
      <c r="O205" s="130">
        <f>SUMIFS(ТГ_ИД!$E:$E,ТГ_ИД!$B:$B,ТГ!$G$7,ТГ_ИД!$D:$D,ТГ!$A206)</f>
        <v>0</v>
      </c>
      <c r="P205" s="130">
        <f>SUMIFS(ТГ_ИД!$E:$E,ТГ_ИД!$B:$B,ТГ!$G$8,ТГ_ИД!$D:$D,ТГ!$A206)</f>
        <v>0</v>
      </c>
      <c r="Q205" s="130">
        <f>SUMIFS(ТГ_ИД!$E:$E,ТГ_ИД!$B:$B,ТГ!$G$9,ТГ_ИД!$D:$D,ТГ!$A206)</f>
        <v>0</v>
      </c>
      <c r="R205" s="130">
        <f>SUMIFS(ТГ_ИД!$E:$E,ТГ_ИД!$B:$B,ТГ!$G$10,ТГ_ИД!$D:$D,ТГ!$A206)</f>
        <v>0</v>
      </c>
      <c r="S205" s="130">
        <f>SUMIFS(ТГ_ИД!$E:$E,ТГ_ИД!$B:$B,ТГ!$G$11,ТГ_ИД!$D:$D,ТГ!$A206)</f>
        <v>0</v>
      </c>
      <c r="T205" s="130">
        <f>SUMIFS(ТГ_ИД!$E:$E,ТГ_ИД!$B:$B,ТГ!$G$12,ТГ_ИД!$D:$D,ТГ!$A206)</f>
        <v>0</v>
      </c>
      <c r="U205" s="130">
        <f>SUMIFS(ТГ_ИД!$E:$E,ТГ_ИД!$B:$B,ТГ!$G$13,ТГ_ИД!$D:$D,ТГ!$A206)</f>
        <v>0</v>
      </c>
      <c r="V205" s="130">
        <f>SUMIFS(ТГ_ИД!$E:$E,ТГ_ИД!$B:$B,ТГ!$G$14,ТГ_ИД!$D:$D,ТГ!$A206)</f>
        <v>0</v>
      </c>
    </row>
    <row r="206" spans="1:22" x14ac:dyDescent="0.25">
      <c r="A206" s="116" t="str">
        <f t="shared" si="4"/>
        <v/>
      </c>
      <c r="K206" s="130">
        <f>SUMIFS(ТГ_ИД!$E:$E,ТГ_ИД!$B:$B,ТГ!$G$3,ТГ_ИД!$D:$D,ТГ!$A207)</f>
        <v>0</v>
      </c>
      <c r="L206" s="130">
        <f>SUMIFS(ТГ_ИД!$E:$E,ТГ_ИД!$B:$B,ТГ!$G$4,ТГ_ИД!$D:$D,ТГ!$A207)</f>
        <v>0</v>
      </c>
      <c r="M206" s="130">
        <f>SUMIFS(ТГ_ИД!$E:$E,ТГ_ИД!$B:$B,ТГ!$G$5,ТГ_ИД!$D:$D,ТГ!$A207)</f>
        <v>0</v>
      </c>
      <c r="N206" s="130">
        <f>SUMIFS(ТГ_ИД!$E:$E,ТГ_ИД!$B:$B,ТГ!$G$6,ТГ_ИД!$D:$D,ТГ!$A207)</f>
        <v>0</v>
      </c>
      <c r="O206" s="130">
        <f>SUMIFS(ТГ_ИД!$E:$E,ТГ_ИД!$B:$B,ТГ!$G$7,ТГ_ИД!$D:$D,ТГ!$A207)</f>
        <v>0</v>
      </c>
      <c r="P206" s="130">
        <f>SUMIFS(ТГ_ИД!$E:$E,ТГ_ИД!$B:$B,ТГ!$G$8,ТГ_ИД!$D:$D,ТГ!$A207)</f>
        <v>0</v>
      </c>
      <c r="Q206" s="130">
        <f>SUMIFS(ТГ_ИД!$E:$E,ТГ_ИД!$B:$B,ТГ!$G$9,ТГ_ИД!$D:$D,ТГ!$A207)</f>
        <v>0</v>
      </c>
      <c r="R206" s="130">
        <f>SUMIFS(ТГ_ИД!$E:$E,ТГ_ИД!$B:$B,ТГ!$G$10,ТГ_ИД!$D:$D,ТГ!$A207)</f>
        <v>0</v>
      </c>
      <c r="S206" s="130">
        <f>SUMIFS(ТГ_ИД!$E:$E,ТГ_ИД!$B:$B,ТГ!$G$11,ТГ_ИД!$D:$D,ТГ!$A207)</f>
        <v>0</v>
      </c>
      <c r="T206" s="130">
        <f>SUMIFS(ТГ_ИД!$E:$E,ТГ_ИД!$B:$B,ТГ!$G$12,ТГ_ИД!$D:$D,ТГ!$A207)</f>
        <v>0</v>
      </c>
      <c r="U206" s="130">
        <f>SUMIFS(ТГ_ИД!$E:$E,ТГ_ИД!$B:$B,ТГ!$G$13,ТГ_ИД!$D:$D,ТГ!$A207)</f>
        <v>0</v>
      </c>
      <c r="V206" s="130">
        <f>SUMIFS(ТГ_ИД!$E:$E,ТГ_ИД!$B:$B,ТГ!$G$14,ТГ_ИД!$D:$D,ТГ!$A207)</f>
        <v>0</v>
      </c>
    </row>
    <row r="207" spans="1:22" x14ac:dyDescent="0.25">
      <c r="A207" s="116" t="str">
        <f t="shared" si="4"/>
        <v/>
      </c>
      <c r="K207" s="130">
        <f>SUMIFS(ТГ_ИД!$E:$E,ТГ_ИД!$B:$B,ТГ!$G$3,ТГ_ИД!$D:$D,ТГ!$A208)</f>
        <v>0</v>
      </c>
      <c r="L207" s="130">
        <f>SUMIFS(ТГ_ИД!$E:$E,ТГ_ИД!$B:$B,ТГ!$G$4,ТГ_ИД!$D:$D,ТГ!$A208)</f>
        <v>0</v>
      </c>
      <c r="M207" s="130">
        <f>SUMIFS(ТГ_ИД!$E:$E,ТГ_ИД!$B:$B,ТГ!$G$5,ТГ_ИД!$D:$D,ТГ!$A208)</f>
        <v>0</v>
      </c>
      <c r="N207" s="130">
        <f>SUMIFS(ТГ_ИД!$E:$E,ТГ_ИД!$B:$B,ТГ!$G$6,ТГ_ИД!$D:$D,ТГ!$A208)</f>
        <v>0</v>
      </c>
      <c r="O207" s="130">
        <f>SUMIFS(ТГ_ИД!$E:$E,ТГ_ИД!$B:$B,ТГ!$G$7,ТГ_ИД!$D:$D,ТГ!$A208)</f>
        <v>0</v>
      </c>
      <c r="P207" s="130">
        <f>SUMIFS(ТГ_ИД!$E:$E,ТГ_ИД!$B:$B,ТГ!$G$8,ТГ_ИД!$D:$D,ТГ!$A208)</f>
        <v>0</v>
      </c>
      <c r="Q207" s="130">
        <f>SUMIFS(ТГ_ИД!$E:$E,ТГ_ИД!$B:$B,ТГ!$G$9,ТГ_ИД!$D:$D,ТГ!$A208)</f>
        <v>0</v>
      </c>
      <c r="R207" s="130">
        <f>SUMIFS(ТГ_ИД!$E:$E,ТГ_ИД!$B:$B,ТГ!$G$10,ТГ_ИД!$D:$D,ТГ!$A208)</f>
        <v>0</v>
      </c>
      <c r="S207" s="130">
        <f>SUMIFS(ТГ_ИД!$E:$E,ТГ_ИД!$B:$B,ТГ!$G$11,ТГ_ИД!$D:$D,ТГ!$A208)</f>
        <v>0</v>
      </c>
      <c r="T207" s="130">
        <f>SUMIFS(ТГ_ИД!$E:$E,ТГ_ИД!$B:$B,ТГ!$G$12,ТГ_ИД!$D:$D,ТГ!$A208)</f>
        <v>0</v>
      </c>
      <c r="U207" s="130">
        <f>SUMIFS(ТГ_ИД!$E:$E,ТГ_ИД!$B:$B,ТГ!$G$13,ТГ_ИД!$D:$D,ТГ!$A208)</f>
        <v>0</v>
      </c>
      <c r="V207" s="130">
        <f>SUMIFS(ТГ_ИД!$E:$E,ТГ_ИД!$B:$B,ТГ!$G$14,ТГ_ИД!$D:$D,ТГ!$A208)</f>
        <v>0</v>
      </c>
    </row>
    <row r="208" spans="1:22" x14ac:dyDescent="0.25">
      <c r="A208" s="116" t="str">
        <f t="shared" si="4"/>
        <v/>
      </c>
      <c r="K208" s="130">
        <f>SUMIFS(ТГ_ИД!$E:$E,ТГ_ИД!$B:$B,ТГ!$G$3,ТГ_ИД!$D:$D,ТГ!$A209)</f>
        <v>0</v>
      </c>
      <c r="L208" s="130">
        <f>SUMIFS(ТГ_ИД!$E:$E,ТГ_ИД!$B:$B,ТГ!$G$4,ТГ_ИД!$D:$D,ТГ!$A209)</f>
        <v>0</v>
      </c>
      <c r="M208" s="130">
        <f>SUMIFS(ТГ_ИД!$E:$E,ТГ_ИД!$B:$B,ТГ!$G$5,ТГ_ИД!$D:$D,ТГ!$A209)</f>
        <v>0</v>
      </c>
      <c r="N208" s="130">
        <f>SUMIFS(ТГ_ИД!$E:$E,ТГ_ИД!$B:$B,ТГ!$G$6,ТГ_ИД!$D:$D,ТГ!$A209)</f>
        <v>0</v>
      </c>
      <c r="O208" s="130">
        <f>SUMIFS(ТГ_ИД!$E:$E,ТГ_ИД!$B:$B,ТГ!$G$7,ТГ_ИД!$D:$D,ТГ!$A209)</f>
        <v>0</v>
      </c>
      <c r="P208" s="130">
        <f>SUMIFS(ТГ_ИД!$E:$E,ТГ_ИД!$B:$B,ТГ!$G$8,ТГ_ИД!$D:$D,ТГ!$A209)</f>
        <v>0</v>
      </c>
      <c r="Q208" s="130">
        <f>SUMIFS(ТГ_ИД!$E:$E,ТГ_ИД!$B:$B,ТГ!$G$9,ТГ_ИД!$D:$D,ТГ!$A209)</f>
        <v>0</v>
      </c>
      <c r="R208" s="130">
        <f>SUMIFS(ТГ_ИД!$E:$E,ТГ_ИД!$B:$B,ТГ!$G$10,ТГ_ИД!$D:$D,ТГ!$A209)</f>
        <v>0</v>
      </c>
      <c r="S208" s="130">
        <f>SUMIFS(ТГ_ИД!$E:$E,ТГ_ИД!$B:$B,ТГ!$G$11,ТГ_ИД!$D:$D,ТГ!$A209)</f>
        <v>0</v>
      </c>
      <c r="T208" s="130">
        <f>SUMIFS(ТГ_ИД!$E:$E,ТГ_ИД!$B:$B,ТГ!$G$12,ТГ_ИД!$D:$D,ТГ!$A209)</f>
        <v>0</v>
      </c>
      <c r="U208" s="130">
        <f>SUMIFS(ТГ_ИД!$E:$E,ТГ_ИД!$B:$B,ТГ!$G$13,ТГ_ИД!$D:$D,ТГ!$A209)</f>
        <v>0</v>
      </c>
      <c r="V208" s="130">
        <f>SUMIFS(ТГ_ИД!$E:$E,ТГ_ИД!$B:$B,ТГ!$G$14,ТГ_ИД!$D:$D,ТГ!$A209)</f>
        <v>0</v>
      </c>
    </row>
    <row r="209" spans="1:22" x14ac:dyDescent="0.25">
      <c r="A209" s="116" t="str">
        <f t="shared" si="4"/>
        <v/>
      </c>
      <c r="K209" s="130">
        <f>SUMIFS(ТГ_ИД!$E:$E,ТГ_ИД!$B:$B,ТГ!$G$3,ТГ_ИД!$D:$D,ТГ!$A210)</f>
        <v>0</v>
      </c>
      <c r="L209" s="130">
        <f>SUMIFS(ТГ_ИД!$E:$E,ТГ_ИД!$B:$B,ТГ!$G$4,ТГ_ИД!$D:$D,ТГ!$A210)</f>
        <v>0</v>
      </c>
      <c r="M209" s="130">
        <f>SUMIFS(ТГ_ИД!$E:$E,ТГ_ИД!$B:$B,ТГ!$G$5,ТГ_ИД!$D:$D,ТГ!$A210)</f>
        <v>0</v>
      </c>
      <c r="N209" s="130">
        <f>SUMIFS(ТГ_ИД!$E:$E,ТГ_ИД!$B:$B,ТГ!$G$6,ТГ_ИД!$D:$D,ТГ!$A210)</f>
        <v>0</v>
      </c>
      <c r="O209" s="130">
        <f>SUMIFS(ТГ_ИД!$E:$E,ТГ_ИД!$B:$B,ТГ!$G$7,ТГ_ИД!$D:$D,ТГ!$A210)</f>
        <v>0</v>
      </c>
      <c r="P209" s="130">
        <f>SUMIFS(ТГ_ИД!$E:$E,ТГ_ИД!$B:$B,ТГ!$G$8,ТГ_ИД!$D:$D,ТГ!$A210)</f>
        <v>0</v>
      </c>
      <c r="Q209" s="130">
        <f>SUMIFS(ТГ_ИД!$E:$E,ТГ_ИД!$B:$B,ТГ!$G$9,ТГ_ИД!$D:$D,ТГ!$A210)</f>
        <v>0</v>
      </c>
      <c r="R209" s="130">
        <f>SUMIFS(ТГ_ИД!$E:$E,ТГ_ИД!$B:$B,ТГ!$G$10,ТГ_ИД!$D:$D,ТГ!$A210)</f>
        <v>0</v>
      </c>
      <c r="S209" s="130">
        <f>SUMIFS(ТГ_ИД!$E:$E,ТГ_ИД!$B:$B,ТГ!$G$11,ТГ_ИД!$D:$D,ТГ!$A210)</f>
        <v>0</v>
      </c>
      <c r="T209" s="130">
        <f>SUMIFS(ТГ_ИД!$E:$E,ТГ_ИД!$B:$B,ТГ!$G$12,ТГ_ИД!$D:$D,ТГ!$A210)</f>
        <v>0</v>
      </c>
      <c r="U209" s="130">
        <f>SUMIFS(ТГ_ИД!$E:$E,ТГ_ИД!$B:$B,ТГ!$G$13,ТГ_ИД!$D:$D,ТГ!$A210)</f>
        <v>0</v>
      </c>
      <c r="V209" s="130">
        <f>SUMIFS(ТГ_ИД!$E:$E,ТГ_ИД!$B:$B,ТГ!$G$14,ТГ_ИД!$D:$D,ТГ!$A210)</f>
        <v>0</v>
      </c>
    </row>
    <row r="210" spans="1:22" x14ac:dyDescent="0.25">
      <c r="A210" s="116" t="str">
        <f t="shared" si="4"/>
        <v/>
      </c>
      <c r="K210" s="130">
        <f>SUMIFS(ТГ_ИД!$E:$E,ТГ_ИД!$B:$B,ТГ!$G$3,ТГ_ИД!$D:$D,ТГ!$A211)</f>
        <v>0</v>
      </c>
      <c r="L210" s="130">
        <f>SUMIFS(ТГ_ИД!$E:$E,ТГ_ИД!$B:$B,ТГ!$G$4,ТГ_ИД!$D:$D,ТГ!$A211)</f>
        <v>0</v>
      </c>
      <c r="M210" s="130">
        <f>SUMIFS(ТГ_ИД!$E:$E,ТГ_ИД!$B:$B,ТГ!$G$5,ТГ_ИД!$D:$D,ТГ!$A211)</f>
        <v>0</v>
      </c>
      <c r="N210" s="130">
        <f>SUMIFS(ТГ_ИД!$E:$E,ТГ_ИД!$B:$B,ТГ!$G$6,ТГ_ИД!$D:$D,ТГ!$A211)</f>
        <v>0</v>
      </c>
      <c r="O210" s="130">
        <f>SUMIFS(ТГ_ИД!$E:$E,ТГ_ИД!$B:$B,ТГ!$G$7,ТГ_ИД!$D:$D,ТГ!$A211)</f>
        <v>0</v>
      </c>
      <c r="P210" s="130">
        <f>SUMIFS(ТГ_ИД!$E:$E,ТГ_ИД!$B:$B,ТГ!$G$8,ТГ_ИД!$D:$D,ТГ!$A211)</f>
        <v>0</v>
      </c>
      <c r="Q210" s="130">
        <f>SUMIFS(ТГ_ИД!$E:$E,ТГ_ИД!$B:$B,ТГ!$G$9,ТГ_ИД!$D:$D,ТГ!$A211)</f>
        <v>0</v>
      </c>
      <c r="R210" s="130">
        <f>SUMIFS(ТГ_ИД!$E:$E,ТГ_ИД!$B:$B,ТГ!$G$10,ТГ_ИД!$D:$D,ТГ!$A211)</f>
        <v>0</v>
      </c>
      <c r="S210" s="130">
        <f>SUMIFS(ТГ_ИД!$E:$E,ТГ_ИД!$B:$B,ТГ!$G$11,ТГ_ИД!$D:$D,ТГ!$A211)</f>
        <v>0</v>
      </c>
      <c r="T210" s="130">
        <f>SUMIFS(ТГ_ИД!$E:$E,ТГ_ИД!$B:$B,ТГ!$G$12,ТГ_ИД!$D:$D,ТГ!$A211)</f>
        <v>0</v>
      </c>
      <c r="U210" s="130">
        <f>SUMIFS(ТГ_ИД!$E:$E,ТГ_ИД!$B:$B,ТГ!$G$13,ТГ_ИД!$D:$D,ТГ!$A211)</f>
        <v>0</v>
      </c>
      <c r="V210" s="130">
        <f>SUMIFS(ТГ_ИД!$E:$E,ТГ_ИД!$B:$B,ТГ!$G$14,ТГ_ИД!$D:$D,ТГ!$A211)</f>
        <v>0</v>
      </c>
    </row>
    <row r="211" spans="1:22" x14ac:dyDescent="0.25">
      <c r="A211" s="116" t="str">
        <f t="shared" si="4"/>
        <v/>
      </c>
      <c r="K211" s="130">
        <f>SUMIFS(ТГ_ИД!$E:$E,ТГ_ИД!$B:$B,ТГ!$G$3,ТГ_ИД!$D:$D,ТГ!$A212)</f>
        <v>0</v>
      </c>
      <c r="L211" s="130">
        <f>SUMIFS(ТГ_ИД!$E:$E,ТГ_ИД!$B:$B,ТГ!$G$4,ТГ_ИД!$D:$D,ТГ!$A212)</f>
        <v>0</v>
      </c>
      <c r="M211" s="130">
        <f>SUMIFS(ТГ_ИД!$E:$E,ТГ_ИД!$B:$B,ТГ!$G$5,ТГ_ИД!$D:$D,ТГ!$A212)</f>
        <v>0</v>
      </c>
      <c r="N211" s="130">
        <f>SUMIFS(ТГ_ИД!$E:$E,ТГ_ИД!$B:$B,ТГ!$G$6,ТГ_ИД!$D:$D,ТГ!$A212)</f>
        <v>0</v>
      </c>
      <c r="O211" s="130">
        <f>SUMIFS(ТГ_ИД!$E:$E,ТГ_ИД!$B:$B,ТГ!$G$7,ТГ_ИД!$D:$D,ТГ!$A212)</f>
        <v>0</v>
      </c>
      <c r="P211" s="130">
        <f>SUMIFS(ТГ_ИД!$E:$E,ТГ_ИД!$B:$B,ТГ!$G$8,ТГ_ИД!$D:$D,ТГ!$A212)</f>
        <v>0</v>
      </c>
      <c r="Q211" s="130">
        <f>SUMIFS(ТГ_ИД!$E:$E,ТГ_ИД!$B:$B,ТГ!$G$9,ТГ_ИД!$D:$D,ТГ!$A212)</f>
        <v>0</v>
      </c>
      <c r="R211" s="130">
        <f>SUMIFS(ТГ_ИД!$E:$E,ТГ_ИД!$B:$B,ТГ!$G$10,ТГ_ИД!$D:$D,ТГ!$A212)</f>
        <v>0</v>
      </c>
      <c r="S211" s="130">
        <f>SUMIFS(ТГ_ИД!$E:$E,ТГ_ИД!$B:$B,ТГ!$G$11,ТГ_ИД!$D:$D,ТГ!$A212)</f>
        <v>0</v>
      </c>
      <c r="T211" s="130">
        <f>SUMIFS(ТГ_ИД!$E:$E,ТГ_ИД!$B:$B,ТГ!$G$12,ТГ_ИД!$D:$D,ТГ!$A212)</f>
        <v>0</v>
      </c>
      <c r="U211" s="130">
        <f>SUMIFS(ТГ_ИД!$E:$E,ТГ_ИД!$B:$B,ТГ!$G$13,ТГ_ИД!$D:$D,ТГ!$A212)</f>
        <v>0</v>
      </c>
      <c r="V211" s="130">
        <f>SUMIFS(ТГ_ИД!$E:$E,ТГ_ИД!$B:$B,ТГ!$G$14,ТГ_ИД!$D:$D,ТГ!$A212)</f>
        <v>0</v>
      </c>
    </row>
    <row r="212" spans="1:22" x14ac:dyDescent="0.25">
      <c r="A212" s="116" t="str">
        <f t="shared" si="4"/>
        <v/>
      </c>
      <c r="K212" s="130">
        <f>SUMIFS(ТГ_ИД!$E:$E,ТГ_ИД!$B:$B,ТГ!$G$3,ТГ_ИД!$D:$D,ТГ!$A213)</f>
        <v>0</v>
      </c>
      <c r="L212" s="130">
        <f>SUMIFS(ТГ_ИД!$E:$E,ТГ_ИД!$B:$B,ТГ!$G$4,ТГ_ИД!$D:$D,ТГ!$A213)</f>
        <v>0</v>
      </c>
      <c r="M212" s="130">
        <f>SUMIFS(ТГ_ИД!$E:$E,ТГ_ИД!$B:$B,ТГ!$G$5,ТГ_ИД!$D:$D,ТГ!$A213)</f>
        <v>0</v>
      </c>
      <c r="N212" s="130">
        <f>SUMIFS(ТГ_ИД!$E:$E,ТГ_ИД!$B:$B,ТГ!$G$6,ТГ_ИД!$D:$D,ТГ!$A213)</f>
        <v>0</v>
      </c>
      <c r="O212" s="130">
        <f>SUMIFS(ТГ_ИД!$E:$E,ТГ_ИД!$B:$B,ТГ!$G$7,ТГ_ИД!$D:$D,ТГ!$A213)</f>
        <v>0</v>
      </c>
      <c r="P212" s="130">
        <f>SUMIFS(ТГ_ИД!$E:$E,ТГ_ИД!$B:$B,ТГ!$G$8,ТГ_ИД!$D:$D,ТГ!$A213)</f>
        <v>0</v>
      </c>
      <c r="Q212" s="130">
        <f>SUMIFS(ТГ_ИД!$E:$E,ТГ_ИД!$B:$B,ТГ!$G$9,ТГ_ИД!$D:$D,ТГ!$A213)</f>
        <v>0</v>
      </c>
      <c r="R212" s="130">
        <f>SUMIFS(ТГ_ИД!$E:$E,ТГ_ИД!$B:$B,ТГ!$G$10,ТГ_ИД!$D:$D,ТГ!$A213)</f>
        <v>0</v>
      </c>
      <c r="S212" s="130">
        <f>SUMIFS(ТГ_ИД!$E:$E,ТГ_ИД!$B:$B,ТГ!$G$11,ТГ_ИД!$D:$D,ТГ!$A213)</f>
        <v>0</v>
      </c>
      <c r="T212" s="130">
        <f>SUMIFS(ТГ_ИД!$E:$E,ТГ_ИД!$B:$B,ТГ!$G$12,ТГ_ИД!$D:$D,ТГ!$A213)</f>
        <v>0</v>
      </c>
      <c r="U212" s="130">
        <f>SUMIFS(ТГ_ИД!$E:$E,ТГ_ИД!$B:$B,ТГ!$G$13,ТГ_ИД!$D:$D,ТГ!$A213)</f>
        <v>0</v>
      </c>
      <c r="V212" s="130">
        <f>SUMIFS(ТГ_ИД!$E:$E,ТГ_ИД!$B:$B,ТГ!$G$14,ТГ_ИД!$D:$D,ТГ!$A213)</f>
        <v>0</v>
      </c>
    </row>
    <row r="213" spans="1:22" x14ac:dyDescent="0.25">
      <c r="A213" s="116" t="str">
        <f t="shared" si="4"/>
        <v/>
      </c>
      <c r="K213" s="130">
        <f>SUMIFS(ТГ_ИД!$E:$E,ТГ_ИД!$B:$B,ТГ!$G$3,ТГ_ИД!$D:$D,ТГ!$A214)</f>
        <v>0</v>
      </c>
      <c r="L213" s="130">
        <f>SUMIFS(ТГ_ИД!$E:$E,ТГ_ИД!$B:$B,ТГ!$G$4,ТГ_ИД!$D:$D,ТГ!$A214)</f>
        <v>0</v>
      </c>
      <c r="M213" s="130">
        <f>SUMIFS(ТГ_ИД!$E:$E,ТГ_ИД!$B:$B,ТГ!$G$5,ТГ_ИД!$D:$D,ТГ!$A214)</f>
        <v>0</v>
      </c>
      <c r="N213" s="130">
        <f>SUMIFS(ТГ_ИД!$E:$E,ТГ_ИД!$B:$B,ТГ!$G$6,ТГ_ИД!$D:$D,ТГ!$A214)</f>
        <v>0</v>
      </c>
      <c r="O213" s="130">
        <f>SUMIFS(ТГ_ИД!$E:$E,ТГ_ИД!$B:$B,ТГ!$G$7,ТГ_ИД!$D:$D,ТГ!$A214)</f>
        <v>0</v>
      </c>
      <c r="P213" s="130">
        <f>SUMIFS(ТГ_ИД!$E:$E,ТГ_ИД!$B:$B,ТГ!$G$8,ТГ_ИД!$D:$D,ТГ!$A214)</f>
        <v>0</v>
      </c>
      <c r="Q213" s="130">
        <f>SUMIFS(ТГ_ИД!$E:$E,ТГ_ИД!$B:$B,ТГ!$G$9,ТГ_ИД!$D:$D,ТГ!$A214)</f>
        <v>0</v>
      </c>
      <c r="R213" s="130">
        <f>SUMIFS(ТГ_ИД!$E:$E,ТГ_ИД!$B:$B,ТГ!$G$10,ТГ_ИД!$D:$D,ТГ!$A214)</f>
        <v>0</v>
      </c>
      <c r="S213" s="130">
        <f>SUMIFS(ТГ_ИД!$E:$E,ТГ_ИД!$B:$B,ТГ!$G$11,ТГ_ИД!$D:$D,ТГ!$A214)</f>
        <v>0</v>
      </c>
      <c r="T213" s="130">
        <f>SUMIFS(ТГ_ИД!$E:$E,ТГ_ИД!$B:$B,ТГ!$G$12,ТГ_ИД!$D:$D,ТГ!$A214)</f>
        <v>0</v>
      </c>
      <c r="U213" s="130">
        <f>SUMIFS(ТГ_ИД!$E:$E,ТГ_ИД!$B:$B,ТГ!$G$13,ТГ_ИД!$D:$D,ТГ!$A214)</f>
        <v>0</v>
      </c>
      <c r="V213" s="130">
        <f>SUMIFS(ТГ_ИД!$E:$E,ТГ_ИД!$B:$B,ТГ!$G$14,ТГ_ИД!$D:$D,ТГ!$A214)</f>
        <v>0</v>
      </c>
    </row>
    <row r="214" spans="1:22" x14ac:dyDescent="0.25">
      <c r="A214" s="116" t="str">
        <f t="shared" si="4"/>
        <v/>
      </c>
      <c r="K214" s="130">
        <f>SUMIFS(ТГ_ИД!$E:$E,ТГ_ИД!$B:$B,ТГ!$G$3,ТГ_ИД!$D:$D,ТГ!$A215)</f>
        <v>0</v>
      </c>
      <c r="L214" s="130">
        <f>SUMIFS(ТГ_ИД!$E:$E,ТГ_ИД!$B:$B,ТГ!$G$4,ТГ_ИД!$D:$D,ТГ!$A215)</f>
        <v>0</v>
      </c>
      <c r="M214" s="130">
        <f>SUMIFS(ТГ_ИД!$E:$E,ТГ_ИД!$B:$B,ТГ!$G$5,ТГ_ИД!$D:$D,ТГ!$A215)</f>
        <v>0</v>
      </c>
      <c r="N214" s="130">
        <f>SUMIFS(ТГ_ИД!$E:$E,ТГ_ИД!$B:$B,ТГ!$G$6,ТГ_ИД!$D:$D,ТГ!$A215)</f>
        <v>0</v>
      </c>
      <c r="O214" s="130">
        <f>SUMIFS(ТГ_ИД!$E:$E,ТГ_ИД!$B:$B,ТГ!$G$7,ТГ_ИД!$D:$D,ТГ!$A215)</f>
        <v>0</v>
      </c>
      <c r="P214" s="130">
        <f>SUMIFS(ТГ_ИД!$E:$E,ТГ_ИД!$B:$B,ТГ!$G$8,ТГ_ИД!$D:$D,ТГ!$A215)</f>
        <v>0</v>
      </c>
      <c r="Q214" s="130">
        <f>SUMIFS(ТГ_ИД!$E:$E,ТГ_ИД!$B:$B,ТГ!$G$9,ТГ_ИД!$D:$D,ТГ!$A215)</f>
        <v>0</v>
      </c>
      <c r="R214" s="130">
        <f>SUMIFS(ТГ_ИД!$E:$E,ТГ_ИД!$B:$B,ТГ!$G$10,ТГ_ИД!$D:$D,ТГ!$A215)</f>
        <v>0</v>
      </c>
      <c r="S214" s="130">
        <f>SUMIFS(ТГ_ИД!$E:$E,ТГ_ИД!$B:$B,ТГ!$G$11,ТГ_ИД!$D:$D,ТГ!$A215)</f>
        <v>0</v>
      </c>
      <c r="T214" s="130">
        <f>SUMIFS(ТГ_ИД!$E:$E,ТГ_ИД!$B:$B,ТГ!$G$12,ТГ_ИД!$D:$D,ТГ!$A215)</f>
        <v>0</v>
      </c>
      <c r="U214" s="130">
        <f>SUMIFS(ТГ_ИД!$E:$E,ТГ_ИД!$B:$B,ТГ!$G$13,ТГ_ИД!$D:$D,ТГ!$A215)</f>
        <v>0</v>
      </c>
      <c r="V214" s="130">
        <f>SUMIFS(ТГ_ИД!$E:$E,ТГ_ИД!$B:$B,ТГ!$G$14,ТГ_ИД!$D:$D,ТГ!$A215)</f>
        <v>0</v>
      </c>
    </row>
    <row r="215" spans="1:22" x14ac:dyDescent="0.25">
      <c r="A215" s="116" t="str">
        <f t="shared" si="4"/>
        <v/>
      </c>
      <c r="K215" s="130">
        <f>SUMIFS(ТГ_ИД!$E:$E,ТГ_ИД!$B:$B,ТГ!$G$3,ТГ_ИД!$D:$D,ТГ!$A216)</f>
        <v>0</v>
      </c>
      <c r="L215" s="130">
        <f>SUMIFS(ТГ_ИД!$E:$E,ТГ_ИД!$B:$B,ТГ!$G$4,ТГ_ИД!$D:$D,ТГ!$A216)</f>
        <v>0</v>
      </c>
      <c r="M215" s="130">
        <f>SUMIFS(ТГ_ИД!$E:$E,ТГ_ИД!$B:$B,ТГ!$G$5,ТГ_ИД!$D:$D,ТГ!$A216)</f>
        <v>0</v>
      </c>
      <c r="N215" s="130">
        <f>SUMIFS(ТГ_ИД!$E:$E,ТГ_ИД!$B:$B,ТГ!$G$6,ТГ_ИД!$D:$D,ТГ!$A216)</f>
        <v>0</v>
      </c>
      <c r="O215" s="130">
        <f>SUMIFS(ТГ_ИД!$E:$E,ТГ_ИД!$B:$B,ТГ!$G$7,ТГ_ИД!$D:$D,ТГ!$A216)</f>
        <v>0</v>
      </c>
      <c r="P215" s="130">
        <f>SUMIFS(ТГ_ИД!$E:$E,ТГ_ИД!$B:$B,ТГ!$G$8,ТГ_ИД!$D:$D,ТГ!$A216)</f>
        <v>0</v>
      </c>
      <c r="Q215" s="130">
        <f>SUMIFS(ТГ_ИД!$E:$E,ТГ_ИД!$B:$B,ТГ!$G$9,ТГ_ИД!$D:$D,ТГ!$A216)</f>
        <v>0</v>
      </c>
      <c r="R215" s="130">
        <f>SUMIFS(ТГ_ИД!$E:$E,ТГ_ИД!$B:$B,ТГ!$G$10,ТГ_ИД!$D:$D,ТГ!$A216)</f>
        <v>0</v>
      </c>
      <c r="S215" s="130">
        <f>SUMIFS(ТГ_ИД!$E:$E,ТГ_ИД!$B:$B,ТГ!$G$11,ТГ_ИД!$D:$D,ТГ!$A216)</f>
        <v>0</v>
      </c>
      <c r="T215" s="130">
        <f>SUMIFS(ТГ_ИД!$E:$E,ТГ_ИД!$B:$B,ТГ!$G$12,ТГ_ИД!$D:$D,ТГ!$A216)</f>
        <v>0</v>
      </c>
      <c r="U215" s="130">
        <f>SUMIFS(ТГ_ИД!$E:$E,ТГ_ИД!$B:$B,ТГ!$G$13,ТГ_ИД!$D:$D,ТГ!$A216)</f>
        <v>0</v>
      </c>
      <c r="V215" s="130">
        <f>SUMIFS(ТГ_ИД!$E:$E,ТГ_ИД!$B:$B,ТГ!$G$14,ТГ_ИД!$D:$D,ТГ!$A216)</f>
        <v>0</v>
      </c>
    </row>
    <row r="216" spans="1:22" x14ac:dyDescent="0.25">
      <c r="A216" s="116" t="str">
        <f t="shared" si="4"/>
        <v/>
      </c>
      <c r="K216" s="130">
        <f>SUMIFS(ТГ_ИД!$E:$E,ТГ_ИД!$B:$B,ТГ!$G$3,ТГ_ИД!$D:$D,ТГ!$A217)</f>
        <v>0</v>
      </c>
      <c r="L216" s="130">
        <f>SUMIFS(ТГ_ИД!$E:$E,ТГ_ИД!$B:$B,ТГ!$G$4,ТГ_ИД!$D:$D,ТГ!$A217)</f>
        <v>0</v>
      </c>
      <c r="M216" s="130">
        <f>SUMIFS(ТГ_ИД!$E:$E,ТГ_ИД!$B:$B,ТГ!$G$5,ТГ_ИД!$D:$D,ТГ!$A217)</f>
        <v>0</v>
      </c>
      <c r="N216" s="130">
        <f>SUMIFS(ТГ_ИД!$E:$E,ТГ_ИД!$B:$B,ТГ!$G$6,ТГ_ИД!$D:$D,ТГ!$A217)</f>
        <v>0</v>
      </c>
      <c r="O216" s="130">
        <f>SUMIFS(ТГ_ИД!$E:$E,ТГ_ИД!$B:$B,ТГ!$G$7,ТГ_ИД!$D:$D,ТГ!$A217)</f>
        <v>0</v>
      </c>
      <c r="P216" s="130">
        <f>SUMIFS(ТГ_ИД!$E:$E,ТГ_ИД!$B:$B,ТГ!$G$8,ТГ_ИД!$D:$D,ТГ!$A217)</f>
        <v>0</v>
      </c>
      <c r="Q216" s="130">
        <f>SUMIFS(ТГ_ИД!$E:$E,ТГ_ИД!$B:$B,ТГ!$G$9,ТГ_ИД!$D:$D,ТГ!$A217)</f>
        <v>0</v>
      </c>
      <c r="R216" s="130">
        <f>SUMIFS(ТГ_ИД!$E:$E,ТГ_ИД!$B:$B,ТГ!$G$10,ТГ_ИД!$D:$D,ТГ!$A217)</f>
        <v>0</v>
      </c>
      <c r="S216" s="130">
        <f>SUMIFS(ТГ_ИД!$E:$E,ТГ_ИД!$B:$B,ТГ!$G$11,ТГ_ИД!$D:$D,ТГ!$A217)</f>
        <v>0</v>
      </c>
      <c r="T216" s="130">
        <f>SUMIFS(ТГ_ИД!$E:$E,ТГ_ИД!$B:$B,ТГ!$G$12,ТГ_ИД!$D:$D,ТГ!$A217)</f>
        <v>0</v>
      </c>
      <c r="U216" s="130">
        <f>SUMIFS(ТГ_ИД!$E:$E,ТГ_ИД!$B:$B,ТГ!$G$13,ТГ_ИД!$D:$D,ТГ!$A217)</f>
        <v>0</v>
      </c>
      <c r="V216" s="130">
        <f>SUMIFS(ТГ_ИД!$E:$E,ТГ_ИД!$B:$B,ТГ!$G$14,ТГ_ИД!$D:$D,ТГ!$A217)</f>
        <v>0</v>
      </c>
    </row>
    <row r="217" spans="1:22" x14ac:dyDescent="0.25">
      <c r="A217" s="116" t="str">
        <f t="shared" si="4"/>
        <v/>
      </c>
      <c r="K217" s="130">
        <f>SUMIFS(ТГ_ИД!$E:$E,ТГ_ИД!$B:$B,ТГ!$G$3,ТГ_ИД!$D:$D,ТГ!$A218)</f>
        <v>0</v>
      </c>
      <c r="L217" s="130">
        <f>SUMIFS(ТГ_ИД!$E:$E,ТГ_ИД!$B:$B,ТГ!$G$4,ТГ_ИД!$D:$D,ТГ!$A218)</f>
        <v>0</v>
      </c>
      <c r="M217" s="130">
        <f>SUMIFS(ТГ_ИД!$E:$E,ТГ_ИД!$B:$B,ТГ!$G$5,ТГ_ИД!$D:$D,ТГ!$A218)</f>
        <v>0</v>
      </c>
      <c r="N217" s="130">
        <f>SUMIFS(ТГ_ИД!$E:$E,ТГ_ИД!$B:$B,ТГ!$G$6,ТГ_ИД!$D:$D,ТГ!$A218)</f>
        <v>0</v>
      </c>
      <c r="O217" s="130">
        <f>SUMIFS(ТГ_ИД!$E:$E,ТГ_ИД!$B:$B,ТГ!$G$7,ТГ_ИД!$D:$D,ТГ!$A218)</f>
        <v>0</v>
      </c>
      <c r="P217" s="130">
        <f>SUMIFS(ТГ_ИД!$E:$E,ТГ_ИД!$B:$B,ТГ!$G$8,ТГ_ИД!$D:$D,ТГ!$A218)</f>
        <v>0</v>
      </c>
      <c r="Q217" s="130">
        <f>SUMIFS(ТГ_ИД!$E:$E,ТГ_ИД!$B:$B,ТГ!$G$9,ТГ_ИД!$D:$D,ТГ!$A218)</f>
        <v>0</v>
      </c>
      <c r="R217" s="130">
        <f>SUMIFS(ТГ_ИД!$E:$E,ТГ_ИД!$B:$B,ТГ!$G$10,ТГ_ИД!$D:$D,ТГ!$A218)</f>
        <v>0</v>
      </c>
      <c r="S217" s="130">
        <f>SUMIFS(ТГ_ИД!$E:$E,ТГ_ИД!$B:$B,ТГ!$G$11,ТГ_ИД!$D:$D,ТГ!$A218)</f>
        <v>0</v>
      </c>
      <c r="T217" s="130">
        <f>SUMIFS(ТГ_ИД!$E:$E,ТГ_ИД!$B:$B,ТГ!$G$12,ТГ_ИД!$D:$D,ТГ!$A218)</f>
        <v>0</v>
      </c>
      <c r="U217" s="130">
        <f>SUMIFS(ТГ_ИД!$E:$E,ТГ_ИД!$B:$B,ТГ!$G$13,ТГ_ИД!$D:$D,ТГ!$A218)</f>
        <v>0</v>
      </c>
      <c r="V217" s="130">
        <f>SUMIFS(ТГ_ИД!$E:$E,ТГ_ИД!$B:$B,ТГ!$G$14,ТГ_ИД!$D:$D,ТГ!$A218)</f>
        <v>0</v>
      </c>
    </row>
    <row r="218" spans="1:22" x14ac:dyDescent="0.25">
      <c r="A218" s="116" t="str">
        <f t="shared" si="4"/>
        <v/>
      </c>
      <c r="K218" s="130">
        <f>SUMIFS(ТГ_ИД!$E:$E,ТГ_ИД!$B:$B,ТГ!$G$3,ТГ_ИД!$D:$D,ТГ!$A219)</f>
        <v>0</v>
      </c>
      <c r="L218" s="130">
        <f>SUMIFS(ТГ_ИД!$E:$E,ТГ_ИД!$B:$B,ТГ!$G$4,ТГ_ИД!$D:$D,ТГ!$A219)</f>
        <v>0</v>
      </c>
      <c r="M218" s="130">
        <f>SUMIFS(ТГ_ИД!$E:$E,ТГ_ИД!$B:$B,ТГ!$G$5,ТГ_ИД!$D:$D,ТГ!$A219)</f>
        <v>0</v>
      </c>
      <c r="N218" s="130">
        <f>SUMIFS(ТГ_ИД!$E:$E,ТГ_ИД!$B:$B,ТГ!$G$6,ТГ_ИД!$D:$D,ТГ!$A219)</f>
        <v>0</v>
      </c>
      <c r="O218" s="130">
        <f>SUMIFS(ТГ_ИД!$E:$E,ТГ_ИД!$B:$B,ТГ!$G$7,ТГ_ИД!$D:$D,ТГ!$A219)</f>
        <v>0</v>
      </c>
      <c r="P218" s="130">
        <f>SUMIFS(ТГ_ИД!$E:$E,ТГ_ИД!$B:$B,ТГ!$G$8,ТГ_ИД!$D:$D,ТГ!$A219)</f>
        <v>0</v>
      </c>
      <c r="Q218" s="130">
        <f>SUMIFS(ТГ_ИД!$E:$E,ТГ_ИД!$B:$B,ТГ!$G$9,ТГ_ИД!$D:$D,ТГ!$A219)</f>
        <v>0</v>
      </c>
      <c r="R218" s="130">
        <f>SUMIFS(ТГ_ИД!$E:$E,ТГ_ИД!$B:$B,ТГ!$G$10,ТГ_ИД!$D:$D,ТГ!$A219)</f>
        <v>0</v>
      </c>
      <c r="S218" s="130">
        <f>SUMIFS(ТГ_ИД!$E:$E,ТГ_ИД!$B:$B,ТГ!$G$11,ТГ_ИД!$D:$D,ТГ!$A219)</f>
        <v>0</v>
      </c>
      <c r="T218" s="130">
        <f>SUMIFS(ТГ_ИД!$E:$E,ТГ_ИД!$B:$B,ТГ!$G$12,ТГ_ИД!$D:$D,ТГ!$A219)</f>
        <v>0</v>
      </c>
      <c r="U218" s="130">
        <f>SUMIFS(ТГ_ИД!$E:$E,ТГ_ИД!$B:$B,ТГ!$G$13,ТГ_ИД!$D:$D,ТГ!$A219)</f>
        <v>0</v>
      </c>
      <c r="V218" s="130">
        <f>SUMIFS(ТГ_ИД!$E:$E,ТГ_ИД!$B:$B,ТГ!$G$14,ТГ_ИД!$D:$D,ТГ!$A219)</f>
        <v>0</v>
      </c>
    </row>
    <row r="219" spans="1:22" x14ac:dyDescent="0.25">
      <c r="A219" s="116" t="str">
        <f t="shared" si="4"/>
        <v/>
      </c>
      <c r="K219" s="130">
        <f>SUMIFS(ТГ_ИД!$E:$E,ТГ_ИД!$B:$B,ТГ!$G$3,ТГ_ИД!$D:$D,ТГ!$A220)</f>
        <v>0</v>
      </c>
      <c r="L219" s="130">
        <f>SUMIFS(ТГ_ИД!$E:$E,ТГ_ИД!$B:$B,ТГ!$G$4,ТГ_ИД!$D:$D,ТГ!$A220)</f>
        <v>0</v>
      </c>
      <c r="M219" s="130">
        <f>SUMIFS(ТГ_ИД!$E:$E,ТГ_ИД!$B:$B,ТГ!$G$5,ТГ_ИД!$D:$D,ТГ!$A220)</f>
        <v>0</v>
      </c>
      <c r="N219" s="130">
        <f>SUMIFS(ТГ_ИД!$E:$E,ТГ_ИД!$B:$B,ТГ!$G$6,ТГ_ИД!$D:$D,ТГ!$A220)</f>
        <v>0</v>
      </c>
      <c r="O219" s="130">
        <f>SUMIFS(ТГ_ИД!$E:$E,ТГ_ИД!$B:$B,ТГ!$G$7,ТГ_ИД!$D:$D,ТГ!$A220)</f>
        <v>0</v>
      </c>
      <c r="P219" s="130">
        <f>SUMIFS(ТГ_ИД!$E:$E,ТГ_ИД!$B:$B,ТГ!$G$8,ТГ_ИД!$D:$D,ТГ!$A220)</f>
        <v>0</v>
      </c>
      <c r="Q219" s="130">
        <f>SUMIFS(ТГ_ИД!$E:$E,ТГ_ИД!$B:$B,ТГ!$G$9,ТГ_ИД!$D:$D,ТГ!$A220)</f>
        <v>0</v>
      </c>
      <c r="R219" s="130">
        <f>SUMIFS(ТГ_ИД!$E:$E,ТГ_ИД!$B:$B,ТГ!$G$10,ТГ_ИД!$D:$D,ТГ!$A220)</f>
        <v>0</v>
      </c>
      <c r="S219" s="130">
        <f>SUMIFS(ТГ_ИД!$E:$E,ТГ_ИД!$B:$B,ТГ!$G$11,ТГ_ИД!$D:$D,ТГ!$A220)</f>
        <v>0</v>
      </c>
      <c r="T219" s="130">
        <f>SUMIFS(ТГ_ИД!$E:$E,ТГ_ИД!$B:$B,ТГ!$G$12,ТГ_ИД!$D:$D,ТГ!$A220)</f>
        <v>0</v>
      </c>
      <c r="U219" s="130">
        <f>SUMIFS(ТГ_ИД!$E:$E,ТГ_ИД!$B:$B,ТГ!$G$13,ТГ_ИД!$D:$D,ТГ!$A220)</f>
        <v>0</v>
      </c>
      <c r="V219" s="130">
        <f>SUMIFS(ТГ_ИД!$E:$E,ТГ_ИД!$B:$B,ТГ!$G$14,ТГ_ИД!$D:$D,ТГ!$A220)</f>
        <v>0</v>
      </c>
    </row>
    <row r="220" spans="1:22" x14ac:dyDescent="0.25">
      <c r="A220" s="116" t="str">
        <f t="shared" si="4"/>
        <v/>
      </c>
      <c r="K220" s="130">
        <f>SUMIFS(ТГ_ИД!$E:$E,ТГ_ИД!$B:$B,ТГ!$G$3,ТГ_ИД!$D:$D,ТГ!$A221)</f>
        <v>0</v>
      </c>
      <c r="L220" s="130">
        <f>SUMIFS(ТГ_ИД!$E:$E,ТГ_ИД!$B:$B,ТГ!$G$4,ТГ_ИД!$D:$D,ТГ!$A221)</f>
        <v>0</v>
      </c>
      <c r="M220" s="130">
        <f>SUMIFS(ТГ_ИД!$E:$E,ТГ_ИД!$B:$B,ТГ!$G$5,ТГ_ИД!$D:$D,ТГ!$A221)</f>
        <v>0</v>
      </c>
      <c r="N220" s="130">
        <f>SUMIFS(ТГ_ИД!$E:$E,ТГ_ИД!$B:$B,ТГ!$G$6,ТГ_ИД!$D:$D,ТГ!$A221)</f>
        <v>0</v>
      </c>
      <c r="O220" s="130">
        <f>SUMIFS(ТГ_ИД!$E:$E,ТГ_ИД!$B:$B,ТГ!$G$7,ТГ_ИД!$D:$D,ТГ!$A221)</f>
        <v>0</v>
      </c>
      <c r="P220" s="130">
        <f>SUMIFS(ТГ_ИД!$E:$E,ТГ_ИД!$B:$B,ТГ!$G$8,ТГ_ИД!$D:$D,ТГ!$A221)</f>
        <v>0</v>
      </c>
      <c r="Q220" s="130">
        <f>SUMIFS(ТГ_ИД!$E:$E,ТГ_ИД!$B:$B,ТГ!$G$9,ТГ_ИД!$D:$D,ТГ!$A221)</f>
        <v>0</v>
      </c>
      <c r="R220" s="130">
        <f>SUMIFS(ТГ_ИД!$E:$E,ТГ_ИД!$B:$B,ТГ!$G$10,ТГ_ИД!$D:$D,ТГ!$A221)</f>
        <v>0</v>
      </c>
      <c r="S220" s="130">
        <f>SUMIFS(ТГ_ИД!$E:$E,ТГ_ИД!$B:$B,ТГ!$G$11,ТГ_ИД!$D:$D,ТГ!$A221)</f>
        <v>0</v>
      </c>
      <c r="T220" s="130">
        <f>SUMIFS(ТГ_ИД!$E:$E,ТГ_ИД!$B:$B,ТГ!$G$12,ТГ_ИД!$D:$D,ТГ!$A221)</f>
        <v>0</v>
      </c>
      <c r="U220" s="130">
        <f>SUMIFS(ТГ_ИД!$E:$E,ТГ_ИД!$B:$B,ТГ!$G$13,ТГ_ИД!$D:$D,ТГ!$A221)</f>
        <v>0</v>
      </c>
      <c r="V220" s="130">
        <f>SUMIFS(ТГ_ИД!$E:$E,ТГ_ИД!$B:$B,ТГ!$G$14,ТГ_ИД!$D:$D,ТГ!$A221)</f>
        <v>0</v>
      </c>
    </row>
    <row r="221" spans="1:22" x14ac:dyDescent="0.25">
      <c r="A221" s="116" t="str">
        <f t="shared" si="4"/>
        <v/>
      </c>
      <c r="K221" s="130">
        <f>SUMIFS(ТГ_ИД!$E:$E,ТГ_ИД!$B:$B,ТГ!$G$3,ТГ_ИД!$D:$D,ТГ!$A222)</f>
        <v>0</v>
      </c>
      <c r="L221" s="130">
        <f>SUMIFS(ТГ_ИД!$E:$E,ТГ_ИД!$B:$B,ТГ!$G$4,ТГ_ИД!$D:$D,ТГ!$A222)</f>
        <v>0</v>
      </c>
      <c r="M221" s="130">
        <f>SUMIFS(ТГ_ИД!$E:$E,ТГ_ИД!$B:$B,ТГ!$G$5,ТГ_ИД!$D:$D,ТГ!$A222)</f>
        <v>0</v>
      </c>
      <c r="N221" s="130">
        <f>SUMIFS(ТГ_ИД!$E:$E,ТГ_ИД!$B:$B,ТГ!$G$6,ТГ_ИД!$D:$D,ТГ!$A222)</f>
        <v>0</v>
      </c>
      <c r="O221" s="130">
        <f>SUMIFS(ТГ_ИД!$E:$E,ТГ_ИД!$B:$B,ТГ!$G$7,ТГ_ИД!$D:$D,ТГ!$A222)</f>
        <v>0</v>
      </c>
      <c r="P221" s="130">
        <f>SUMIFS(ТГ_ИД!$E:$E,ТГ_ИД!$B:$B,ТГ!$G$8,ТГ_ИД!$D:$D,ТГ!$A222)</f>
        <v>0</v>
      </c>
      <c r="Q221" s="130">
        <f>SUMIFS(ТГ_ИД!$E:$E,ТГ_ИД!$B:$B,ТГ!$G$9,ТГ_ИД!$D:$D,ТГ!$A222)</f>
        <v>0</v>
      </c>
      <c r="R221" s="130">
        <f>SUMIFS(ТГ_ИД!$E:$E,ТГ_ИД!$B:$B,ТГ!$G$10,ТГ_ИД!$D:$D,ТГ!$A222)</f>
        <v>0</v>
      </c>
      <c r="S221" s="130">
        <f>SUMIFS(ТГ_ИД!$E:$E,ТГ_ИД!$B:$B,ТГ!$G$11,ТГ_ИД!$D:$D,ТГ!$A222)</f>
        <v>0</v>
      </c>
      <c r="T221" s="130">
        <f>SUMIFS(ТГ_ИД!$E:$E,ТГ_ИД!$B:$B,ТГ!$G$12,ТГ_ИД!$D:$D,ТГ!$A222)</f>
        <v>0</v>
      </c>
      <c r="U221" s="130">
        <f>SUMIFS(ТГ_ИД!$E:$E,ТГ_ИД!$B:$B,ТГ!$G$13,ТГ_ИД!$D:$D,ТГ!$A222)</f>
        <v>0</v>
      </c>
      <c r="V221" s="130">
        <f>SUMIFS(ТГ_ИД!$E:$E,ТГ_ИД!$B:$B,ТГ!$G$14,ТГ_ИД!$D:$D,ТГ!$A222)</f>
        <v>0</v>
      </c>
    </row>
    <row r="222" spans="1:22" x14ac:dyDescent="0.25">
      <c r="A222" s="116" t="str">
        <f t="shared" si="4"/>
        <v/>
      </c>
      <c r="K222" s="130">
        <f>SUMIFS(ТГ_ИД!$E:$E,ТГ_ИД!$B:$B,ТГ!$G$3,ТГ_ИД!$D:$D,ТГ!$A223)</f>
        <v>0</v>
      </c>
      <c r="L222" s="130">
        <f>SUMIFS(ТГ_ИД!$E:$E,ТГ_ИД!$B:$B,ТГ!$G$4,ТГ_ИД!$D:$D,ТГ!$A223)</f>
        <v>0</v>
      </c>
      <c r="M222" s="130">
        <f>SUMIFS(ТГ_ИД!$E:$E,ТГ_ИД!$B:$B,ТГ!$G$5,ТГ_ИД!$D:$D,ТГ!$A223)</f>
        <v>0</v>
      </c>
      <c r="N222" s="130">
        <f>SUMIFS(ТГ_ИД!$E:$E,ТГ_ИД!$B:$B,ТГ!$G$6,ТГ_ИД!$D:$D,ТГ!$A223)</f>
        <v>0</v>
      </c>
      <c r="O222" s="130">
        <f>SUMIFS(ТГ_ИД!$E:$E,ТГ_ИД!$B:$B,ТГ!$G$7,ТГ_ИД!$D:$D,ТГ!$A223)</f>
        <v>0</v>
      </c>
      <c r="P222" s="130">
        <f>SUMIFS(ТГ_ИД!$E:$E,ТГ_ИД!$B:$B,ТГ!$G$8,ТГ_ИД!$D:$D,ТГ!$A223)</f>
        <v>0</v>
      </c>
      <c r="Q222" s="130">
        <f>SUMIFS(ТГ_ИД!$E:$E,ТГ_ИД!$B:$B,ТГ!$G$9,ТГ_ИД!$D:$D,ТГ!$A223)</f>
        <v>0</v>
      </c>
      <c r="R222" s="130">
        <f>SUMIFS(ТГ_ИД!$E:$E,ТГ_ИД!$B:$B,ТГ!$G$10,ТГ_ИД!$D:$D,ТГ!$A223)</f>
        <v>0</v>
      </c>
      <c r="S222" s="130">
        <f>SUMIFS(ТГ_ИД!$E:$E,ТГ_ИД!$B:$B,ТГ!$G$11,ТГ_ИД!$D:$D,ТГ!$A223)</f>
        <v>0</v>
      </c>
      <c r="T222" s="130">
        <f>SUMIFS(ТГ_ИД!$E:$E,ТГ_ИД!$B:$B,ТГ!$G$12,ТГ_ИД!$D:$D,ТГ!$A223)</f>
        <v>0</v>
      </c>
      <c r="U222" s="130">
        <f>SUMIFS(ТГ_ИД!$E:$E,ТГ_ИД!$B:$B,ТГ!$G$13,ТГ_ИД!$D:$D,ТГ!$A223)</f>
        <v>0</v>
      </c>
      <c r="V222" s="130">
        <f>SUMIFS(ТГ_ИД!$E:$E,ТГ_ИД!$B:$B,ТГ!$G$14,ТГ_ИД!$D:$D,ТГ!$A223)</f>
        <v>0</v>
      </c>
    </row>
    <row r="223" spans="1:22" x14ac:dyDescent="0.25">
      <c r="A223" s="116" t="str">
        <f t="shared" si="4"/>
        <v/>
      </c>
      <c r="K223" s="130">
        <f>SUMIFS(ТГ_ИД!$E:$E,ТГ_ИД!$B:$B,ТГ!$G$3,ТГ_ИД!$D:$D,ТГ!$A224)</f>
        <v>0</v>
      </c>
      <c r="L223" s="130">
        <f>SUMIFS(ТГ_ИД!$E:$E,ТГ_ИД!$B:$B,ТГ!$G$4,ТГ_ИД!$D:$D,ТГ!$A224)</f>
        <v>0</v>
      </c>
      <c r="M223" s="130">
        <f>SUMIFS(ТГ_ИД!$E:$E,ТГ_ИД!$B:$B,ТГ!$G$5,ТГ_ИД!$D:$D,ТГ!$A224)</f>
        <v>0</v>
      </c>
      <c r="N223" s="130">
        <f>SUMIFS(ТГ_ИД!$E:$E,ТГ_ИД!$B:$B,ТГ!$G$6,ТГ_ИД!$D:$D,ТГ!$A224)</f>
        <v>0</v>
      </c>
      <c r="O223" s="130">
        <f>SUMIFS(ТГ_ИД!$E:$E,ТГ_ИД!$B:$B,ТГ!$G$7,ТГ_ИД!$D:$D,ТГ!$A224)</f>
        <v>0</v>
      </c>
      <c r="P223" s="130">
        <f>SUMIFS(ТГ_ИД!$E:$E,ТГ_ИД!$B:$B,ТГ!$G$8,ТГ_ИД!$D:$D,ТГ!$A224)</f>
        <v>0</v>
      </c>
      <c r="Q223" s="130">
        <f>SUMIFS(ТГ_ИД!$E:$E,ТГ_ИД!$B:$B,ТГ!$G$9,ТГ_ИД!$D:$D,ТГ!$A224)</f>
        <v>0</v>
      </c>
      <c r="R223" s="130">
        <f>SUMIFS(ТГ_ИД!$E:$E,ТГ_ИД!$B:$B,ТГ!$G$10,ТГ_ИД!$D:$D,ТГ!$A224)</f>
        <v>0</v>
      </c>
      <c r="S223" s="130">
        <f>SUMIFS(ТГ_ИД!$E:$E,ТГ_ИД!$B:$B,ТГ!$G$11,ТГ_ИД!$D:$D,ТГ!$A224)</f>
        <v>0</v>
      </c>
      <c r="T223" s="130">
        <f>SUMIFS(ТГ_ИД!$E:$E,ТГ_ИД!$B:$B,ТГ!$G$12,ТГ_ИД!$D:$D,ТГ!$A224)</f>
        <v>0</v>
      </c>
      <c r="U223" s="130">
        <f>SUMIFS(ТГ_ИД!$E:$E,ТГ_ИД!$B:$B,ТГ!$G$13,ТГ_ИД!$D:$D,ТГ!$A224)</f>
        <v>0</v>
      </c>
      <c r="V223" s="130">
        <f>SUMIFS(ТГ_ИД!$E:$E,ТГ_ИД!$B:$B,ТГ!$G$14,ТГ_ИД!$D:$D,ТГ!$A224)</f>
        <v>0</v>
      </c>
    </row>
    <row r="224" spans="1:22" x14ac:dyDescent="0.25">
      <c r="A224" s="116" t="str">
        <f t="shared" si="4"/>
        <v/>
      </c>
      <c r="K224" s="130">
        <f>SUMIFS(ТГ_ИД!$E:$E,ТГ_ИД!$B:$B,ТГ!$G$3,ТГ_ИД!$D:$D,ТГ!$A225)</f>
        <v>0</v>
      </c>
      <c r="L224" s="130">
        <f>SUMIFS(ТГ_ИД!$E:$E,ТГ_ИД!$B:$B,ТГ!$G$4,ТГ_ИД!$D:$D,ТГ!$A225)</f>
        <v>0</v>
      </c>
      <c r="M224" s="130">
        <f>SUMIFS(ТГ_ИД!$E:$E,ТГ_ИД!$B:$B,ТГ!$G$5,ТГ_ИД!$D:$D,ТГ!$A225)</f>
        <v>0</v>
      </c>
      <c r="N224" s="130">
        <f>SUMIFS(ТГ_ИД!$E:$E,ТГ_ИД!$B:$B,ТГ!$G$6,ТГ_ИД!$D:$D,ТГ!$A225)</f>
        <v>0</v>
      </c>
      <c r="O224" s="130">
        <f>SUMIFS(ТГ_ИД!$E:$E,ТГ_ИД!$B:$B,ТГ!$G$7,ТГ_ИД!$D:$D,ТГ!$A225)</f>
        <v>0</v>
      </c>
      <c r="P224" s="130">
        <f>SUMIFS(ТГ_ИД!$E:$E,ТГ_ИД!$B:$B,ТГ!$G$8,ТГ_ИД!$D:$D,ТГ!$A225)</f>
        <v>0</v>
      </c>
      <c r="Q224" s="130">
        <f>SUMIFS(ТГ_ИД!$E:$E,ТГ_ИД!$B:$B,ТГ!$G$9,ТГ_ИД!$D:$D,ТГ!$A225)</f>
        <v>0</v>
      </c>
      <c r="R224" s="130">
        <f>SUMIFS(ТГ_ИД!$E:$E,ТГ_ИД!$B:$B,ТГ!$G$10,ТГ_ИД!$D:$D,ТГ!$A225)</f>
        <v>0</v>
      </c>
      <c r="S224" s="130">
        <f>SUMIFS(ТГ_ИД!$E:$E,ТГ_ИД!$B:$B,ТГ!$G$11,ТГ_ИД!$D:$D,ТГ!$A225)</f>
        <v>0</v>
      </c>
      <c r="T224" s="130">
        <f>SUMIFS(ТГ_ИД!$E:$E,ТГ_ИД!$B:$B,ТГ!$G$12,ТГ_ИД!$D:$D,ТГ!$A225)</f>
        <v>0</v>
      </c>
      <c r="U224" s="130">
        <f>SUMIFS(ТГ_ИД!$E:$E,ТГ_ИД!$B:$B,ТГ!$G$13,ТГ_ИД!$D:$D,ТГ!$A225)</f>
        <v>0</v>
      </c>
      <c r="V224" s="130">
        <f>SUMIFS(ТГ_ИД!$E:$E,ТГ_ИД!$B:$B,ТГ!$G$14,ТГ_ИД!$D:$D,ТГ!$A225)</f>
        <v>0</v>
      </c>
    </row>
    <row r="225" spans="1:22" x14ac:dyDescent="0.25">
      <c r="A225" s="116" t="str">
        <f t="shared" si="4"/>
        <v/>
      </c>
      <c r="K225" s="130">
        <f>SUMIFS(ТГ_ИД!$E:$E,ТГ_ИД!$B:$B,ТГ!$G$3,ТГ_ИД!$D:$D,ТГ!$A226)</f>
        <v>0</v>
      </c>
      <c r="L225" s="130">
        <f>SUMIFS(ТГ_ИД!$E:$E,ТГ_ИД!$B:$B,ТГ!$G$4,ТГ_ИД!$D:$D,ТГ!$A226)</f>
        <v>0</v>
      </c>
      <c r="M225" s="130">
        <f>SUMIFS(ТГ_ИД!$E:$E,ТГ_ИД!$B:$B,ТГ!$G$5,ТГ_ИД!$D:$D,ТГ!$A226)</f>
        <v>0</v>
      </c>
      <c r="N225" s="130">
        <f>SUMIFS(ТГ_ИД!$E:$E,ТГ_ИД!$B:$B,ТГ!$G$6,ТГ_ИД!$D:$D,ТГ!$A226)</f>
        <v>0</v>
      </c>
      <c r="O225" s="130">
        <f>SUMIFS(ТГ_ИД!$E:$E,ТГ_ИД!$B:$B,ТГ!$G$7,ТГ_ИД!$D:$D,ТГ!$A226)</f>
        <v>0</v>
      </c>
      <c r="P225" s="130">
        <f>SUMIFS(ТГ_ИД!$E:$E,ТГ_ИД!$B:$B,ТГ!$G$8,ТГ_ИД!$D:$D,ТГ!$A226)</f>
        <v>0</v>
      </c>
      <c r="Q225" s="130">
        <f>SUMIFS(ТГ_ИД!$E:$E,ТГ_ИД!$B:$B,ТГ!$G$9,ТГ_ИД!$D:$D,ТГ!$A226)</f>
        <v>0</v>
      </c>
      <c r="R225" s="130">
        <f>SUMIFS(ТГ_ИД!$E:$E,ТГ_ИД!$B:$B,ТГ!$G$10,ТГ_ИД!$D:$D,ТГ!$A226)</f>
        <v>0</v>
      </c>
      <c r="S225" s="130">
        <f>SUMIFS(ТГ_ИД!$E:$E,ТГ_ИД!$B:$B,ТГ!$G$11,ТГ_ИД!$D:$D,ТГ!$A226)</f>
        <v>0</v>
      </c>
      <c r="T225" s="130">
        <f>SUMIFS(ТГ_ИД!$E:$E,ТГ_ИД!$B:$B,ТГ!$G$12,ТГ_ИД!$D:$D,ТГ!$A226)</f>
        <v>0</v>
      </c>
      <c r="U225" s="130">
        <f>SUMIFS(ТГ_ИД!$E:$E,ТГ_ИД!$B:$B,ТГ!$G$13,ТГ_ИД!$D:$D,ТГ!$A226)</f>
        <v>0</v>
      </c>
      <c r="V225" s="130">
        <f>SUMIFS(ТГ_ИД!$E:$E,ТГ_ИД!$B:$B,ТГ!$G$14,ТГ_ИД!$D:$D,ТГ!$A226)</f>
        <v>0</v>
      </c>
    </row>
    <row r="226" spans="1:22" x14ac:dyDescent="0.25">
      <c r="A226" s="116" t="str">
        <f t="shared" si="4"/>
        <v/>
      </c>
      <c r="K226" s="130">
        <f>SUMIFS(ТГ_ИД!$E:$E,ТГ_ИД!$B:$B,ТГ!$G$3,ТГ_ИД!$D:$D,ТГ!$A227)</f>
        <v>0</v>
      </c>
      <c r="L226" s="130">
        <f>SUMIFS(ТГ_ИД!$E:$E,ТГ_ИД!$B:$B,ТГ!$G$4,ТГ_ИД!$D:$D,ТГ!$A227)</f>
        <v>0</v>
      </c>
      <c r="M226" s="130">
        <f>SUMIFS(ТГ_ИД!$E:$E,ТГ_ИД!$B:$B,ТГ!$G$5,ТГ_ИД!$D:$D,ТГ!$A227)</f>
        <v>0</v>
      </c>
      <c r="N226" s="130">
        <f>SUMIFS(ТГ_ИД!$E:$E,ТГ_ИД!$B:$B,ТГ!$G$6,ТГ_ИД!$D:$D,ТГ!$A227)</f>
        <v>0</v>
      </c>
      <c r="O226" s="130">
        <f>SUMIFS(ТГ_ИД!$E:$E,ТГ_ИД!$B:$B,ТГ!$G$7,ТГ_ИД!$D:$D,ТГ!$A227)</f>
        <v>0</v>
      </c>
      <c r="P226" s="130">
        <f>SUMIFS(ТГ_ИД!$E:$E,ТГ_ИД!$B:$B,ТГ!$G$8,ТГ_ИД!$D:$D,ТГ!$A227)</f>
        <v>0</v>
      </c>
      <c r="Q226" s="130">
        <f>SUMIFS(ТГ_ИД!$E:$E,ТГ_ИД!$B:$B,ТГ!$G$9,ТГ_ИД!$D:$D,ТГ!$A227)</f>
        <v>0</v>
      </c>
      <c r="R226" s="130">
        <f>SUMIFS(ТГ_ИД!$E:$E,ТГ_ИД!$B:$B,ТГ!$G$10,ТГ_ИД!$D:$D,ТГ!$A227)</f>
        <v>0</v>
      </c>
      <c r="S226" s="130">
        <f>SUMIFS(ТГ_ИД!$E:$E,ТГ_ИД!$B:$B,ТГ!$G$11,ТГ_ИД!$D:$D,ТГ!$A227)</f>
        <v>0</v>
      </c>
      <c r="T226" s="130">
        <f>SUMIFS(ТГ_ИД!$E:$E,ТГ_ИД!$B:$B,ТГ!$G$12,ТГ_ИД!$D:$D,ТГ!$A227)</f>
        <v>0</v>
      </c>
      <c r="U226" s="130">
        <f>SUMIFS(ТГ_ИД!$E:$E,ТГ_ИД!$B:$B,ТГ!$G$13,ТГ_ИД!$D:$D,ТГ!$A227)</f>
        <v>0</v>
      </c>
      <c r="V226" s="130">
        <f>SUMIFS(ТГ_ИД!$E:$E,ТГ_ИД!$B:$B,ТГ!$G$14,ТГ_ИД!$D:$D,ТГ!$A227)</f>
        <v>0</v>
      </c>
    </row>
    <row r="227" spans="1:22" x14ac:dyDescent="0.25">
      <c r="A227" s="116" t="str">
        <f t="shared" si="4"/>
        <v/>
      </c>
      <c r="K227" s="130">
        <f>SUMIFS(ТГ_ИД!$E:$E,ТГ_ИД!$B:$B,ТГ!$G$3,ТГ_ИД!$D:$D,ТГ!$A228)</f>
        <v>0</v>
      </c>
      <c r="L227" s="130">
        <f>SUMIFS(ТГ_ИД!$E:$E,ТГ_ИД!$B:$B,ТГ!$G$4,ТГ_ИД!$D:$D,ТГ!$A228)</f>
        <v>0</v>
      </c>
      <c r="M227" s="130">
        <f>SUMIFS(ТГ_ИД!$E:$E,ТГ_ИД!$B:$B,ТГ!$G$5,ТГ_ИД!$D:$D,ТГ!$A228)</f>
        <v>0</v>
      </c>
      <c r="N227" s="130">
        <f>SUMIFS(ТГ_ИД!$E:$E,ТГ_ИД!$B:$B,ТГ!$G$6,ТГ_ИД!$D:$D,ТГ!$A228)</f>
        <v>0</v>
      </c>
      <c r="O227" s="130">
        <f>SUMIFS(ТГ_ИД!$E:$E,ТГ_ИД!$B:$B,ТГ!$G$7,ТГ_ИД!$D:$D,ТГ!$A228)</f>
        <v>0</v>
      </c>
      <c r="P227" s="130">
        <f>SUMIFS(ТГ_ИД!$E:$E,ТГ_ИД!$B:$B,ТГ!$G$8,ТГ_ИД!$D:$D,ТГ!$A228)</f>
        <v>0</v>
      </c>
      <c r="Q227" s="130">
        <f>SUMIFS(ТГ_ИД!$E:$E,ТГ_ИД!$B:$B,ТГ!$G$9,ТГ_ИД!$D:$D,ТГ!$A228)</f>
        <v>0</v>
      </c>
      <c r="R227" s="130">
        <f>SUMIFS(ТГ_ИД!$E:$E,ТГ_ИД!$B:$B,ТГ!$G$10,ТГ_ИД!$D:$D,ТГ!$A228)</f>
        <v>0</v>
      </c>
      <c r="S227" s="130">
        <f>SUMIFS(ТГ_ИД!$E:$E,ТГ_ИД!$B:$B,ТГ!$G$11,ТГ_ИД!$D:$D,ТГ!$A228)</f>
        <v>0</v>
      </c>
      <c r="T227" s="130">
        <f>SUMIFS(ТГ_ИД!$E:$E,ТГ_ИД!$B:$B,ТГ!$G$12,ТГ_ИД!$D:$D,ТГ!$A228)</f>
        <v>0</v>
      </c>
      <c r="U227" s="130">
        <f>SUMIFS(ТГ_ИД!$E:$E,ТГ_ИД!$B:$B,ТГ!$G$13,ТГ_ИД!$D:$D,ТГ!$A228)</f>
        <v>0</v>
      </c>
      <c r="V227" s="130">
        <f>SUMIFS(ТГ_ИД!$E:$E,ТГ_ИД!$B:$B,ТГ!$G$14,ТГ_ИД!$D:$D,ТГ!$A228)</f>
        <v>0</v>
      </c>
    </row>
    <row r="228" spans="1:22" x14ac:dyDescent="0.25">
      <c r="A228" s="116" t="str">
        <f t="shared" si="4"/>
        <v/>
      </c>
      <c r="K228" s="130">
        <f>SUMIFS(ТГ_ИД!$E:$E,ТГ_ИД!$B:$B,ТГ!$G$3,ТГ_ИД!$D:$D,ТГ!$A229)</f>
        <v>0</v>
      </c>
      <c r="L228" s="130">
        <f>SUMIFS(ТГ_ИД!$E:$E,ТГ_ИД!$B:$B,ТГ!$G$4,ТГ_ИД!$D:$D,ТГ!$A229)</f>
        <v>0</v>
      </c>
      <c r="M228" s="130">
        <f>SUMIFS(ТГ_ИД!$E:$E,ТГ_ИД!$B:$B,ТГ!$G$5,ТГ_ИД!$D:$D,ТГ!$A229)</f>
        <v>0</v>
      </c>
      <c r="N228" s="130">
        <f>SUMIFS(ТГ_ИД!$E:$E,ТГ_ИД!$B:$B,ТГ!$G$6,ТГ_ИД!$D:$D,ТГ!$A229)</f>
        <v>0</v>
      </c>
      <c r="O228" s="130">
        <f>SUMIFS(ТГ_ИД!$E:$E,ТГ_ИД!$B:$B,ТГ!$G$7,ТГ_ИД!$D:$D,ТГ!$A229)</f>
        <v>0</v>
      </c>
      <c r="P228" s="130">
        <f>SUMIFS(ТГ_ИД!$E:$E,ТГ_ИД!$B:$B,ТГ!$G$8,ТГ_ИД!$D:$D,ТГ!$A229)</f>
        <v>0</v>
      </c>
      <c r="Q228" s="130">
        <f>SUMIFS(ТГ_ИД!$E:$E,ТГ_ИД!$B:$B,ТГ!$G$9,ТГ_ИД!$D:$D,ТГ!$A229)</f>
        <v>0</v>
      </c>
      <c r="R228" s="130">
        <f>SUMIFS(ТГ_ИД!$E:$E,ТГ_ИД!$B:$B,ТГ!$G$10,ТГ_ИД!$D:$D,ТГ!$A229)</f>
        <v>0</v>
      </c>
      <c r="S228" s="130">
        <f>SUMIFS(ТГ_ИД!$E:$E,ТГ_ИД!$B:$B,ТГ!$G$11,ТГ_ИД!$D:$D,ТГ!$A229)</f>
        <v>0</v>
      </c>
      <c r="T228" s="130">
        <f>SUMIFS(ТГ_ИД!$E:$E,ТГ_ИД!$B:$B,ТГ!$G$12,ТГ_ИД!$D:$D,ТГ!$A229)</f>
        <v>0</v>
      </c>
      <c r="U228" s="130">
        <f>SUMIFS(ТГ_ИД!$E:$E,ТГ_ИД!$B:$B,ТГ!$G$13,ТГ_ИД!$D:$D,ТГ!$A229)</f>
        <v>0</v>
      </c>
      <c r="V228" s="130">
        <f>SUMIFS(ТГ_ИД!$E:$E,ТГ_ИД!$B:$B,ТГ!$G$14,ТГ_ИД!$D:$D,ТГ!$A229)</f>
        <v>0</v>
      </c>
    </row>
    <row r="229" spans="1:22" x14ac:dyDescent="0.25">
      <c r="A229" s="116" t="str">
        <f t="shared" si="4"/>
        <v/>
      </c>
      <c r="K229" s="130">
        <f>SUMIFS(ТГ_ИД!$E:$E,ТГ_ИД!$B:$B,ТГ!$G$3,ТГ_ИД!$D:$D,ТГ!$A230)</f>
        <v>0</v>
      </c>
      <c r="L229" s="130">
        <f>SUMIFS(ТГ_ИД!$E:$E,ТГ_ИД!$B:$B,ТГ!$G$4,ТГ_ИД!$D:$D,ТГ!$A230)</f>
        <v>0</v>
      </c>
      <c r="M229" s="130">
        <f>SUMIFS(ТГ_ИД!$E:$E,ТГ_ИД!$B:$B,ТГ!$G$5,ТГ_ИД!$D:$D,ТГ!$A230)</f>
        <v>0</v>
      </c>
      <c r="N229" s="130">
        <f>SUMIFS(ТГ_ИД!$E:$E,ТГ_ИД!$B:$B,ТГ!$G$6,ТГ_ИД!$D:$D,ТГ!$A230)</f>
        <v>0</v>
      </c>
      <c r="O229" s="130">
        <f>SUMIFS(ТГ_ИД!$E:$E,ТГ_ИД!$B:$B,ТГ!$G$7,ТГ_ИД!$D:$D,ТГ!$A230)</f>
        <v>0</v>
      </c>
      <c r="P229" s="130">
        <f>SUMIFS(ТГ_ИД!$E:$E,ТГ_ИД!$B:$B,ТГ!$G$8,ТГ_ИД!$D:$D,ТГ!$A230)</f>
        <v>0</v>
      </c>
      <c r="Q229" s="130">
        <f>SUMIFS(ТГ_ИД!$E:$E,ТГ_ИД!$B:$B,ТГ!$G$9,ТГ_ИД!$D:$D,ТГ!$A230)</f>
        <v>0</v>
      </c>
      <c r="R229" s="130">
        <f>SUMIFS(ТГ_ИД!$E:$E,ТГ_ИД!$B:$B,ТГ!$G$10,ТГ_ИД!$D:$D,ТГ!$A230)</f>
        <v>0</v>
      </c>
      <c r="S229" s="130">
        <f>SUMIFS(ТГ_ИД!$E:$E,ТГ_ИД!$B:$B,ТГ!$G$11,ТГ_ИД!$D:$D,ТГ!$A230)</f>
        <v>0</v>
      </c>
      <c r="T229" s="130">
        <f>SUMIFS(ТГ_ИД!$E:$E,ТГ_ИД!$B:$B,ТГ!$G$12,ТГ_ИД!$D:$D,ТГ!$A230)</f>
        <v>0</v>
      </c>
      <c r="U229" s="130">
        <f>SUMIFS(ТГ_ИД!$E:$E,ТГ_ИД!$B:$B,ТГ!$G$13,ТГ_ИД!$D:$D,ТГ!$A230)</f>
        <v>0</v>
      </c>
      <c r="V229" s="130">
        <f>SUMIFS(ТГ_ИД!$E:$E,ТГ_ИД!$B:$B,ТГ!$G$14,ТГ_ИД!$D:$D,ТГ!$A230)</f>
        <v>0</v>
      </c>
    </row>
    <row r="230" spans="1:22" x14ac:dyDescent="0.25">
      <c r="A230" s="116" t="str">
        <f t="shared" si="4"/>
        <v/>
      </c>
      <c r="K230" s="130">
        <f>SUMIFS(ТГ_ИД!$E:$E,ТГ_ИД!$B:$B,ТГ!$G$3,ТГ_ИД!$D:$D,ТГ!$A231)</f>
        <v>0</v>
      </c>
      <c r="L230" s="130">
        <f>SUMIFS(ТГ_ИД!$E:$E,ТГ_ИД!$B:$B,ТГ!$G$4,ТГ_ИД!$D:$D,ТГ!$A231)</f>
        <v>0</v>
      </c>
      <c r="M230" s="130">
        <f>SUMIFS(ТГ_ИД!$E:$E,ТГ_ИД!$B:$B,ТГ!$G$5,ТГ_ИД!$D:$D,ТГ!$A231)</f>
        <v>0</v>
      </c>
      <c r="N230" s="130">
        <f>SUMIFS(ТГ_ИД!$E:$E,ТГ_ИД!$B:$B,ТГ!$G$6,ТГ_ИД!$D:$D,ТГ!$A231)</f>
        <v>0</v>
      </c>
      <c r="O230" s="130">
        <f>SUMIFS(ТГ_ИД!$E:$E,ТГ_ИД!$B:$B,ТГ!$G$7,ТГ_ИД!$D:$D,ТГ!$A231)</f>
        <v>0</v>
      </c>
      <c r="P230" s="130">
        <f>SUMIFS(ТГ_ИД!$E:$E,ТГ_ИД!$B:$B,ТГ!$G$8,ТГ_ИД!$D:$D,ТГ!$A231)</f>
        <v>0</v>
      </c>
      <c r="Q230" s="130">
        <f>SUMIFS(ТГ_ИД!$E:$E,ТГ_ИД!$B:$B,ТГ!$G$9,ТГ_ИД!$D:$D,ТГ!$A231)</f>
        <v>0</v>
      </c>
      <c r="R230" s="130">
        <f>SUMIFS(ТГ_ИД!$E:$E,ТГ_ИД!$B:$B,ТГ!$G$10,ТГ_ИД!$D:$D,ТГ!$A231)</f>
        <v>0</v>
      </c>
      <c r="S230" s="130">
        <f>SUMIFS(ТГ_ИД!$E:$E,ТГ_ИД!$B:$B,ТГ!$G$11,ТГ_ИД!$D:$D,ТГ!$A231)</f>
        <v>0</v>
      </c>
      <c r="T230" s="130">
        <f>SUMIFS(ТГ_ИД!$E:$E,ТГ_ИД!$B:$B,ТГ!$G$12,ТГ_ИД!$D:$D,ТГ!$A231)</f>
        <v>0</v>
      </c>
      <c r="U230" s="130">
        <f>SUMIFS(ТГ_ИД!$E:$E,ТГ_ИД!$B:$B,ТГ!$G$13,ТГ_ИД!$D:$D,ТГ!$A231)</f>
        <v>0</v>
      </c>
      <c r="V230" s="130">
        <f>SUMIFS(ТГ_ИД!$E:$E,ТГ_ИД!$B:$B,ТГ!$G$14,ТГ_ИД!$D:$D,ТГ!$A231)</f>
        <v>0</v>
      </c>
    </row>
    <row r="231" spans="1:22" x14ac:dyDescent="0.25">
      <c r="A231" s="116" t="str">
        <f t="shared" si="4"/>
        <v/>
      </c>
      <c r="K231" s="130">
        <f>SUMIFS(ТГ_ИД!$E:$E,ТГ_ИД!$B:$B,ТГ!$G$3,ТГ_ИД!$D:$D,ТГ!$A232)</f>
        <v>0</v>
      </c>
      <c r="L231" s="130">
        <f>SUMIFS(ТГ_ИД!$E:$E,ТГ_ИД!$B:$B,ТГ!$G$4,ТГ_ИД!$D:$D,ТГ!$A232)</f>
        <v>0</v>
      </c>
      <c r="M231" s="130">
        <f>SUMIFS(ТГ_ИД!$E:$E,ТГ_ИД!$B:$B,ТГ!$G$5,ТГ_ИД!$D:$D,ТГ!$A232)</f>
        <v>0</v>
      </c>
      <c r="N231" s="130">
        <f>SUMIFS(ТГ_ИД!$E:$E,ТГ_ИД!$B:$B,ТГ!$G$6,ТГ_ИД!$D:$D,ТГ!$A232)</f>
        <v>0</v>
      </c>
      <c r="O231" s="130">
        <f>SUMIFS(ТГ_ИД!$E:$E,ТГ_ИД!$B:$B,ТГ!$G$7,ТГ_ИД!$D:$D,ТГ!$A232)</f>
        <v>0</v>
      </c>
      <c r="P231" s="130">
        <f>SUMIFS(ТГ_ИД!$E:$E,ТГ_ИД!$B:$B,ТГ!$G$8,ТГ_ИД!$D:$D,ТГ!$A232)</f>
        <v>0</v>
      </c>
      <c r="Q231" s="130">
        <f>SUMIFS(ТГ_ИД!$E:$E,ТГ_ИД!$B:$B,ТГ!$G$9,ТГ_ИД!$D:$D,ТГ!$A232)</f>
        <v>0</v>
      </c>
      <c r="R231" s="130">
        <f>SUMIFS(ТГ_ИД!$E:$E,ТГ_ИД!$B:$B,ТГ!$G$10,ТГ_ИД!$D:$D,ТГ!$A232)</f>
        <v>0</v>
      </c>
      <c r="S231" s="130">
        <f>SUMIFS(ТГ_ИД!$E:$E,ТГ_ИД!$B:$B,ТГ!$G$11,ТГ_ИД!$D:$D,ТГ!$A232)</f>
        <v>0</v>
      </c>
      <c r="T231" s="130">
        <f>SUMIFS(ТГ_ИД!$E:$E,ТГ_ИД!$B:$B,ТГ!$G$12,ТГ_ИД!$D:$D,ТГ!$A232)</f>
        <v>0</v>
      </c>
      <c r="U231" s="130">
        <f>SUMIFS(ТГ_ИД!$E:$E,ТГ_ИД!$B:$B,ТГ!$G$13,ТГ_ИД!$D:$D,ТГ!$A232)</f>
        <v>0</v>
      </c>
      <c r="V231" s="130">
        <f>SUMIFS(ТГ_ИД!$E:$E,ТГ_ИД!$B:$B,ТГ!$G$14,ТГ_ИД!$D:$D,ТГ!$A232)</f>
        <v>0</v>
      </c>
    </row>
    <row r="232" spans="1:22" x14ac:dyDescent="0.25">
      <c r="A232" s="116" t="str">
        <f t="shared" si="4"/>
        <v/>
      </c>
      <c r="K232" s="130">
        <f>SUMIFS(ТГ_ИД!$E:$E,ТГ_ИД!$B:$B,ТГ!$G$3,ТГ_ИД!$D:$D,ТГ!$A233)</f>
        <v>0</v>
      </c>
      <c r="L232" s="130">
        <f>SUMIFS(ТГ_ИД!$E:$E,ТГ_ИД!$B:$B,ТГ!$G$4,ТГ_ИД!$D:$D,ТГ!$A233)</f>
        <v>0</v>
      </c>
      <c r="M232" s="130">
        <f>SUMIFS(ТГ_ИД!$E:$E,ТГ_ИД!$B:$B,ТГ!$G$5,ТГ_ИД!$D:$D,ТГ!$A233)</f>
        <v>0</v>
      </c>
      <c r="N232" s="130">
        <f>SUMIFS(ТГ_ИД!$E:$E,ТГ_ИД!$B:$B,ТГ!$G$6,ТГ_ИД!$D:$D,ТГ!$A233)</f>
        <v>0</v>
      </c>
      <c r="O232" s="130">
        <f>SUMIFS(ТГ_ИД!$E:$E,ТГ_ИД!$B:$B,ТГ!$G$7,ТГ_ИД!$D:$D,ТГ!$A233)</f>
        <v>0</v>
      </c>
      <c r="P232" s="130">
        <f>SUMIFS(ТГ_ИД!$E:$E,ТГ_ИД!$B:$B,ТГ!$G$8,ТГ_ИД!$D:$D,ТГ!$A233)</f>
        <v>0</v>
      </c>
      <c r="Q232" s="130">
        <f>SUMIFS(ТГ_ИД!$E:$E,ТГ_ИД!$B:$B,ТГ!$G$9,ТГ_ИД!$D:$D,ТГ!$A233)</f>
        <v>0</v>
      </c>
      <c r="R232" s="130">
        <f>SUMIFS(ТГ_ИД!$E:$E,ТГ_ИД!$B:$B,ТГ!$G$10,ТГ_ИД!$D:$D,ТГ!$A233)</f>
        <v>0</v>
      </c>
      <c r="S232" s="130">
        <f>SUMIFS(ТГ_ИД!$E:$E,ТГ_ИД!$B:$B,ТГ!$G$11,ТГ_ИД!$D:$D,ТГ!$A233)</f>
        <v>0</v>
      </c>
      <c r="T232" s="130">
        <f>SUMIFS(ТГ_ИД!$E:$E,ТГ_ИД!$B:$B,ТГ!$G$12,ТГ_ИД!$D:$D,ТГ!$A233)</f>
        <v>0</v>
      </c>
      <c r="U232" s="130">
        <f>SUMIFS(ТГ_ИД!$E:$E,ТГ_ИД!$B:$B,ТГ!$G$13,ТГ_ИД!$D:$D,ТГ!$A233)</f>
        <v>0</v>
      </c>
      <c r="V232" s="130">
        <f>SUMIFS(ТГ_ИД!$E:$E,ТГ_ИД!$B:$B,ТГ!$G$14,ТГ_ИД!$D:$D,ТГ!$A233)</f>
        <v>0</v>
      </c>
    </row>
    <row r="233" spans="1:22" x14ac:dyDescent="0.25">
      <c r="A233" s="116" t="str">
        <f t="shared" si="4"/>
        <v/>
      </c>
      <c r="K233" s="130">
        <f>SUMIFS(ТГ_ИД!$E:$E,ТГ_ИД!$B:$B,ТГ!$G$3,ТГ_ИД!$D:$D,ТГ!$A234)</f>
        <v>0</v>
      </c>
      <c r="L233" s="130">
        <f>SUMIFS(ТГ_ИД!$E:$E,ТГ_ИД!$B:$B,ТГ!$G$4,ТГ_ИД!$D:$D,ТГ!$A234)</f>
        <v>0</v>
      </c>
      <c r="M233" s="130">
        <f>SUMIFS(ТГ_ИД!$E:$E,ТГ_ИД!$B:$B,ТГ!$G$5,ТГ_ИД!$D:$D,ТГ!$A234)</f>
        <v>0</v>
      </c>
      <c r="N233" s="130">
        <f>SUMIFS(ТГ_ИД!$E:$E,ТГ_ИД!$B:$B,ТГ!$G$6,ТГ_ИД!$D:$D,ТГ!$A234)</f>
        <v>0</v>
      </c>
      <c r="O233" s="130">
        <f>SUMIFS(ТГ_ИД!$E:$E,ТГ_ИД!$B:$B,ТГ!$G$7,ТГ_ИД!$D:$D,ТГ!$A234)</f>
        <v>0</v>
      </c>
      <c r="P233" s="130">
        <f>SUMIFS(ТГ_ИД!$E:$E,ТГ_ИД!$B:$B,ТГ!$G$8,ТГ_ИД!$D:$D,ТГ!$A234)</f>
        <v>0</v>
      </c>
      <c r="Q233" s="130">
        <f>SUMIFS(ТГ_ИД!$E:$E,ТГ_ИД!$B:$B,ТГ!$G$9,ТГ_ИД!$D:$D,ТГ!$A234)</f>
        <v>0</v>
      </c>
      <c r="R233" s="130">
        <f>SUMIFS(ТГ_ИД!$E:$E,ТГ_ИД!$B:$B,ТГ!$G$10,ТГ_ИД!$D:$D,ТГ!$A234)</f>
        <v>0</v>
      </c>
      <c r="S233" s="130">
        <f>SUMIFS(ТГ_ИД!$E:$E,ТГ_ИД!$B:$B,ТГ!$G$11,ТГ_ИД!$D:$D,ТГ!$A234)</f>
        <v>0</v>
      </c>
      <c r="T233" s="130">
        <f>SUMIFS(ТГ_ИД!$E:$E,ТГ_ИД!$B:$B,ТГ!$G$12,ТГ_ИД!$D:$D,ТГ!$A234)</f>
        <v>0</v>
      </c>
      <c r="U233" s="130">
        <f>SUMIFS(ТГ_ИД!$E:$E,ТГ_ИД!$B:$B,ТГ!$G$13,ТГ_ИД!$D:$D,ТГ!$A234)</f>
        <v>0</v>
      </c>
      <c r="V233" s="130">
        <f>SUMIFS(ТГ_ИД!$E:$E,ТГ_ИД!$B:$B,ТГ!$G$14,ТГ_ИД!$D:$D,ТГ!$A234)</f>
        <v>0</v>
      </c>
    </row>
    <row r="234" spans="1:22" x14ac:dyDescent="0.25">
      <c r="A234" s="116" t="str">
        <f t="shared" si="4"/>
        <v/>
      </c>
      <c r="K234" s="130">
        <f>SUMIFS(ТГ_ИД!$E:$E,ТГ_ИД!$B:$B,ТГ!$G$3,ТГ_ИД!$D:$D,ТГ!$A235)</f>
        <v>0</v>
      </c>
      <c r="L234" s="130">
        <f>SUMIFS(ТГ_ИД!$E:$E,ТГ_ИД!$B:$B,ТГ!$G$4,ТГ_ИД!$D:$D,ТГ!$A235)</f>
        <v>0</v>
      </c>
      <c r="M234" s="130">
        <f>SUMIFS(ТГ_ИД!$E:$E,ТГ_ИД!$B:$B,ТГ!$G$5,ТГ_ИД!$D:$D,ТГ!$A235)</f>
        <v>0</v>
      </c>
      <c r="N234" s="130">
        <f>SUMIFS(ТГ_ИД!$E:$E,ТГ_ИД!$B:$B,ТГ!$G$6,ТГ_ИД!$D:$D,ТГ!$A235)</f>
        <v>0</v>
      </c>
      <c r="O234" s="130">
        <f>SUMIFS(ТГ_ИД!$E:$E,ТГ_ИД!$B:$B,ТГ!$G$7,ТГ_ИД!$D:$D,ТГ!$A235)</f>
        <v>0</v>
      </c>
      <c r="P234" s="130">
        <f>SUMIFS(ТГ_ИД!$E:$E,ТГ_ИД!$B:$B,ТГ!$G$8,ТГ_ИД!$D:$D,ТГ!$A235)</f>
        <v>0</v>
      </c>
      <c r="Q234" s="130">
        <f>SUMIFS(ТГ_ИД!$E:$E,ТГ_ИД!$B:$B,ТГ!$G$9,ТГ_ИД!$D:$D,ТГ!$A235)</f>
        <v>0</v>
      </c>
      <c r="R234" s="130">
        <f>SUMIFS(ТГ_ИД!$E:$E,ТГ_ИД!$B:$B,ТГ!$G$10,ТГ_ИД!$D:$D,ТГ!$A235)</f>
        <v>0</v>
      </c>
      <c r="S234" s="130">
        <f>SUMIFS(ТГ_ИД!$E:$E,ТГ_ИД!$B:$B,ТГ!$G$11,ТГ_ИД!$D:$D,ТГ!$A235)</f>
        <v>0</v>
      </c>
      <c r="T234" s="130">
        <f>SUMIFS(ТГ_ИД!$E:$E,ТГ_ИД!$B:$B,ТГ!$G$12,ТГ_ИД!$D:$D,ТГ!$A235)</f>
        <v>0</v>
      </c>
      <c r="U234" s="130">
        <f>SUMIFS(ТГ_ИД!$E:$E,ТГ_ИД!$B:$B,ТГ!$G$13,ТГ_ИД!$D:$D,ТГ!$A235)</f>
        <v>0</v>
      </c>
      <c r="V234" s="130">
        <f>SUMIFS(ТГ_ИД!$E:$E,ТГ_ИД!$B:$B,ТГ!$G$14,ТГ_ИД!$D:$D,ТГ!$A235)</f>
        <v>0</v>
      </c>
    </row>
    <row r="235" spans="1:22" x14ac:dyDescent="0.25">
      <c r="A235" s="116" t="str">
        <f t="shared" si="4"/>
        <v/>
      </c>
      <c r="K235" s="130">
        <f>SUMIFS(ТГ_ИД!$E:$E,ТГ_ИД!$B:$B,ТГ!$G$3,ТГ_ИД!$D:$D,ТГ!$A236)</f>
        <v>0</v>
      </c>
      <c r="L235" s="130">
        <f>SUMIFS(ТГ_ИД!$E:$E,ТГ_ИД!$B:$B,ТГ!$G$4,ТГ_ИД!$D:$D,ТГ!$A236)</f>
        <v>0</v>
      </c>
      <c r="M235" s="130">
        <f>SUMIFS(ТГ_ИД!$E:$E,ТГ_ИД!$B:$B,ТГ!$G$5,ТГ_ИД!$D:$D,ТГ!$A236)</f>
        <v>0</v>
      </c>
      <c r="N235" s="130">
        <f>SUMIFS(ТГ_ИД!$E:$E,ТГ_ИД!$B:$B,ТГ!$G$6,ТГ_ИД!$D:$D,ТГ!$A236)</f>
        <v>0</v>
      </c>
      <c r="O235" s="130">
        <f>SUMIFS(ТГ_ИД!$E:$E,ТГ_ИД!$B:$B,ТГ!$G$7,ТГ_ИД!$D:$D,ТГ!$A236)</f>
        <v>0</v>
      </c>
      <c r="P235" s="130">
        <f>SUMIFS(ТГ_ИД!$E:$E,ТГ_ИД!$B:$B,ТГ!$G$8,ТГ_ИД!$D:$D,ТГ!$A236)</f>
        <v>0</v>
      </c>
      <c r="Q235" s="130">
        <f>SUMIFS(ТГ_ИД!$E:$E,ТГ_ИД!$B:$B,ТГ!$G$9,ТГ_ИД!$D:$D,ТГ!$A236)</f>
        <v>0</v>
      </c>
      <c r="R235" s="130">
        <f>SUMIFS(ТГ_ИД!$E:$E,ТГ_ИД!$B:$B,ТГ!$G$10,ТГ_ИД!$D:$D,ТГ!$A236)</f>
        <v>0</v>
      </c>
      <c r="S235" s="130">
        <f>SUMIFS(ТГ_ИД!$E:$E,ТГ_ИД!$B:$B,ТГ!$G$11,ТГ_ИД!$D:$D,ТГ!$A236)</f>
        <v>0</v>
      </c>
      <c r="T235" s="130">
        <f>SUMIFS(ТГ_ИД!$E:$E,ТГ_ИД!$B:$B,ТГ!$G$12,ТГ_ИД!$D:$D,ТГ!$A236)</f>
        <v>0</v>
      </c>
      <c r="U235" s="130">
        <f>SUMIFS(ТГ_ИД!$E:$E,ТГ_ИД!$B:$B,ТГ!$G$13,ТГ_ИД!$D:$D,ТГ!$A236)</f>
        <v>0</v>
      </c>
      <c r="V235" s="130">
        <f>SUMIFS(ТГ_ИД!$E:$E,ТГ_ИД!$B:$B,ТГ!$G$14,ТГ_ИД!$D:$D,ТГ!$A236)</f>
        <v>0</v>
      </c>
    </row>
    <row r="236" spans="1:22" x14ac:dyDescent="0.25">
      <c r="A236" s="116" t="str">
        <f t="shared" si="4"/>
        <v/>
      </c>
      <c r="K236" s="130">
        <f>SUMIFS(ТГ_ИД!$E:$E,ТГ_ИД!$B:$B,ТГ!$G$3,ТГ_ИД!$D:$D,ТГ!$A237)</f>
        <v>0</v>
      </c>
      <c r="L236" s="130">
        <f>SUMIFS(ТГ_ИД!$E:$E,ТГ_ИД!$B:$B,ТГ!$G$4,ТГ_ИД!$D:$D,ТГ!$A237)</f>
        <v>0</v>
      </c>
      <c r="M236" s="130">
        <f>SUMIFS(ТГ_ИД!$E:$E,ТГ_ИД!$B:$B,ТГ!$G$5,ТГ_ИД!$D:$D,ТГ!$A237)</f>
        <v>0</v>
      </c>
      <c r="N236" s="130">
        <f>SUMIFS(ТГ_ИД!$E:$E,ТГ_ИД!$B:$B,ТГ!$G$6,ТГ_ИД!$D:$D,ТГ!$A237)</f>
        <v>0</v>
      </c>
      <c r="O236" s="130">
        <f>SUMIFS(ТГ_ИД!$E:$E,ТГ_ИД!$B:$B,ТГ!$G$7,ТГ_ИД!$D:$D,ТГ!$A237)</f>
        <v>0</v>
      </c>
      <c r="P236" s="130">
        <f>SUMIFS(ТГ_ИД!$E:$E,ТГ_ИД!$B:$B,ТГ!$G$8,ТГ_ИД!$D:$D,ТГ!$A237)</f>
        <v>0</v>
      </c>
      <c r="Q236" s="130">
        <f>SUMIFS(ТГ_ИД!$E:$E,ТГ_ИД!$B:$B,ТГ!$G$9,ТГ_ИД!$D:$D,ТГ!$A237)</f>
        <v>0</v>
      </c>
      <c r="R236" s="130">
        <f>SUMIFS(ТГ_ИД!$E:$E,ТГ_ИД!$B:$B,ТГ!$G$10,ТГ_ИД!$D:$D,ТГ!$A237)</f>
        <v>0</v>
      </c>
      <c r="S236" s="130">
        <f>SUMIFS(ТГ_ИД!$E:$E,ТГ_ИД!$B:$B,ТГ!$G$11,ТГ_ИД!$D:$D,ТГ!$A237)</f>
        <v>0</v>
      </c>
      <c r="T236" s="130">
        <f>SUMIFS(ТГ_ИД!$E:$E,ТГ_ИД!$B:$B,ТГ!$G$12,ТГ_ИД!$D:$D,ТГ!$A237)</f>
        <v>0</v>
      </c>
      <c r="U236" s="130">
        <f>SUMIFS(ТГ_ИД!$E:$E,ТГ_ИД!$B:$B,ТГ!$G$13,ТГ_ИД!$D:$D,ТГ!$A237)</f>
        <v>0</v>
      </c>
      <c r="V236" s="130">
        <f>SUMIFS(ТГ_ИД!$E:$E,ТГ_ИД!$B:$B,ТГ!$G$14,ТГ_ИД!$D:$D,ТГ!$A237)</f>
        <v>0</v>
      </c>
    </row>
    <row r="237" spans="1:22" x14ac:dyDescent="0.25">
      <c r="A237" s="116" t="str">
        <f t="shared" si="4"/>
        <v/>
      </c>
      <c r="K237" s="130">
        <f>SUMIFS(ТГ_ИД!$E:$E,ТГ_ИД!$B:$B,ТГ!$G$3,ТГ_ИД!$D:$D,ТГ!$A238)</f>
        <v>0</v>
      </c>
      <c r="L237" s="130">
        <f>SUMIFS(ТГ_ИД!$E:$E,ТГ_ИД!$B:$B,ТГ!$G$4,ТГ_ИД!$D:$D,ТГ!$A238)</f>
        <v>0</v>
      </c>
      <c r="M237" s="130">
        <f>SUMIFS(ТГ_ИД!$E:$E,ТГ_ИД!$B:$B,ТГ!$G$5,ТГ_ИД!$D:$D,ТГ!$A238)</f>
        <v>0</v>
      </c>
      <c r="N237" s="130">
        <f>SUMIFS(ТГ_ИД!$E:$E,ТГ_ИД!$B:$B,ТГ!$G$6,ТГ_ИД!$D:$D,ТГ!$A238)</f>
        <v>0</v>
      </c>
      <c r="O237" s="130">
        <f>SUMIFS(ТГ_ИД!$E:$E,ТГ_ИД!$B:$B,ТГ!$G$7,ТГ_ИД!$D:$D,ТГ!$A238)</f>
        <v>0</v>
      </c>
      <c r="P237" s="130">
        <f>SUMIFS(ТГ_ИД!$E:$E,ТГ_ИД!$B:$B,ТГ!$G$8,ТГ_ИД!$D:$D,ТГ!$A238)</f>
        <v>0</v>
      </c>
      <c r="Q237" s="130">
        <f>SUMIFS(ТГ_ИД!$E:$E,ТГ_ИД!$B:$B,ТГ!$G$9,ТГ_ИД!$D:$D,ТГ!$A238)</f>
        <v>0</v>
      </c>
      <c r="R237" s="130">
        <f>SUMIFS(ТГ_ИД!$E:$E,ТГ_ИД!$B:$B,ТГ!$G$10,ТГ_ИД!$D:$D,ТГ!$A238)</f>
        <v>0</v>
      </c>
      <c r="S237" s="130">
        <f>SUMIFS(ТГ_ИД!$E:$E,ТГ_ИД!$B:$B,ТГ!$G$11,ТГ_ИД!$D:$D,ТГ!$A238)</f>
        <v>0</v>
      </c>
      <c r="T237" s="130">
        <f>SUMIFS(ТГ_ИД!$E:$E,ТГ_ИД!$B:$B,ТГ!$G$12,ТГ_ИД!$D:$D,ТГ!$A238)</f>
        <v>0</v>
      </c>
      <c r="U237" s="130">
        <f>SUMIFS(ТГ_ИД!$E:$E,ТГ_ИД!$B:$B,ТГ!$G$13,ТГ_ИД!$D:$D,ТГ!$A238)</f>
        <v>0</v>
      </c>
      <c r="V237" s="130">
        <f>SUMIFS(ТГ_ИД!$E:$E,ТГ_ИД!$B:$B,ТГ!$G$14,ТГ_ИД!$D:$D,ТГ!$A238)</f>
        <v>0</v>
      </c>
    </row>
    <row r="238" spans="1:22" x14ac:dyDescent="0.25">
      <c r="A238" s="116" t="str">
        <f t="shared" si="4"/>
        <v/>
      </c>
      <c r="K238" s="130">
        <f>SUMIFS(ТГ_ИД!$E:$E,ТГ_ИД!$B:$B,ТГ!$G$3,ТГ_ИД!$D:$D,ТГ!$A239)</f>
        <v>0</v>
      </c>
      <c r="L238" s="130">
        <f>SUMIFS(ТГ_ИД!$E:$E,ТГ_ИД!$B:$B,ТГ!$G$4,ТГ_ИД!$D:$D,ТГ!$A239)</f>
        <v>0</v>
      </c>
      <c r="M238" s="130">
        <f>SUMIFS(ТГ_ИД!$E:$E,ТГ_ИД!$B:$B,ТГ!$G$5,ТГ_ИД!$D:$D,ТГ!$A239)</f>
        <v>0</v>
      </c>
      <c r="N238" s="130">
        <f>SUMIFS(ТГ_ИД!$E:$E,ТГ_ИД!$B:$B,ТГ!$G$6,ТГ_ИД!$D:$D,ТГ!$A239)</f>
        <v>0</v>
      </c>
      <c r="O238" s="130">
        <f>SUMIFS(ТГ_ИД!$E:$E,ТГ_ИД!$B:$B,ТГ!$G$7,ТГ_ИД!$D:$D,ТГ!$A239)</f>
        <v>0</v>
      </c>
      <c r="P238" s="130">
        <f>SUMIFS(ТГ_ИД!$E:$E,ТГ_ИД!$B:$B,ТГ!$G$8,ТГ_ИД!$D:$D,ТГ!$A239)</f>
        <v>0</v>
      </c>
      <c r="Q238" s="130">
        <f>SUMIFS(ТГ_ИД!$E:$E,ТГ_ИД!$B:$B,ТГ!$G$9,ТГ_ИД!$D:$D,ТГ!$A239)</f>
        <v>0</v>
      </c>
      <c r="R238" s="130">
        <f>SUMIFS(ТГ_ИД!$E:$E,ТГ_ИД!$B:$B,ТГ!$G$10,ТГ_ИД!$D:$D,ТГ!$A239)</f>
        <v>0</v>
      </c>
      <c r="S238" s="130">
        <f>SUMIFS(ТГ_ИД!$E:$E,ТГ_ИД!$B:$B,ТГ!$G$11,ТГ_ИД!$D:$D,ТГ!$A239)</f>
        <v>0</v>
      </c>
      <c r="T238" s="130">
        <f>SUMIFS(ТГ_ИД!$E:$E,ТГ_ИД!$B:$B,ТГ!$G$12,ТГ_ИД!$D:$D,ТГ!$A239)</f>
        <v>0</v>
      </c>
      <c r="U238" s="130">
        <f>SUMIFS(ТГ_ИД!$E:$E,ТГ_ИД!$B:$B,ТГ!$G$13,ТГ_ИД!$D:$D,ТГ!$A239)</f>
        <v>0</v>
      </c>
      <c r="V238" s="130">
        <f>SUMIFS(ТГ_ИД!$E:$E,ТГ_ИД!$B:$B,ТГ!$G$14,ТГ_ИД!$D:$D,ТГ!$A239)</f>
        <v>0</v>
      </c>
    </row>
    <row r="239" spans="1:22" x14ac:dyDescent="0.25">
      <c r="A239" s="116" t="str">
        <f t="shared" si="4"/>
        <v/>
      </c>
      <c r="K239" s="130">
        <f>SUMIFS(ТГ_ИД!$E:$E,ТГ_ИД!$B:$B,ТГ!$G$3,ТГ_ИД!$D:$D,ТГ!$A240)</f>
        <v>0</v>
      </c>
      <c r="L239" s="130">
        <f>SUMIFS(ТГ_ИД!$E:$E,ТГ_ИД!$B:$B,ТГ!$G$4,ТГ_ИД!$D:$D,ТГ!$A240)</f>
        <v>0</v>
      </c>
      <c r="M239" s="130">
        <f>SUMIFS(ТГ_ИД!$E:$E,ТГ_ИД!$B:$B,ТГ!$G$5,ТГ_ИД!$D:$D,ТГ!$A240)</f>
        <v>0</v>
      </c>
      <c r="N239" s="130">
        <f>SUMIFS(ТГ_ИД!$E:$E,ТГ_ИД!$B:$B,ТГ!$G$6,ТГ_ИД!$D:$D,ТГ!$A240)</f>
        <v>0</v>
      </c>
      <c r="O239" s="130">
        <f>SUMIFS(ТГ_ИД!$E:$E,ТГ_ИД!$B:$B,ТГ!$G$7,ТГ_ИД!$D:$D,ТГ!$A240)</f>
        <v>0</v>
      </c>
      <c r="P239" s="130">
        <f>SUMIFS(ТГ_ИД!$E:$E,ТГ_ИД!$B:$B,ТГ!$G$8,ТГ_ИД!$D:$D,ТГ!$A240)</f>
        <v>0</v>
      </c>
      <c r="Q239" s="130">
        <f>SUMIFS(ТГ_ИД!$E:$E,ТГ_ИД!$B:$B,ТГ!$G$9,ТГ_ИД!$D:$D,ТГ!$A240)</f>
        <v>0</v>
      </c>
      <c r="R239" s="130">
        <f>SUMIFS(ТГ_ИД!$E:$E,ТГ_ИД!$B:$B,ТГ!$G$10,ТГ_ИД!$D:$D,ТГ!$A240)</f>
        <v>0</v>
      </c>
      <c r="S239" s="130">
        <f>SUMIFS(ТГ_ИД!$E:$E,ТГ_ИД!$B:$B,ТГ!$G$11,ТГ_ИД!$D:$D,ТГ!$A240)</f>
        <v>0</v>
      </c>
      <c r="T239" s="130">
        <f>SUMIFS(ТГ_ИД!$E:$E,ТГ_ИД!$B:$B,ТГ!$G$12,ТГ_ИД!$D:$D,ТГ!$A240)</f>
        <v>0</v>
      </c>
      <c r="U239" s="130">
        <f>SUMIFS(ТГ_ИД!$E:$E,ТГ_ИД!$B:$B,ТГ!$G$13,ТГ_ИД!$D:$D,ТГ!$A240)</f>
        <v>0</v>
      </c>
      <c r="V239" s="130">
        <f>SUMIFS(ТГ_ИД!$E:$E,ТГ_ИД!$B:$B,ТГ!$G$14,ТГ_ИД!$D:$D,ТГ!$A240)</f>
        <v>0</v>
      </c>
    </row>
    <row r="240" spans="1:22" x14ac:dyDescent="0.25">
      <c r="A240" s="116" t="str">
        <f t="shared" si="4"/>
        <v/>
      </c>
      <c r="K240" s="130">
        <f>SUMIFS(ТГ_ИД!$E:$E,ТГ_ИД!$B:$B,ТГ!$G$3,ТГ_ИД!$D:$D,ТГ!$A241)</f>
        <v>0</v>
      </c>
      <c r="L240" s="130">
        <f>SUMIFS(ТГ_ИД!$E:$E,ТГ_ИД!$B:$B,ТГ!$G$4,ТГ_ИД!$D:$D,ТГ!$A241)</f>
        <v>0</v>
      </c>
      <c r="M240" s="130">
        <f>SUMIFS(ТГ_ИД!$E:$E,ТГ_ИД!$B:$B,ТГ!$G$5,ТГ_ИД!$D:$D,ТГ!$A241)</f>
        <v>0</v>
      </c>
      <c r="N240" s="130">
        <f>SUMIFS(ТГ_ИД!$E:$E,ТГ_ИД!$B:$B,ТГ!$G$6,ТГ_ИД!$D:$D,ТГ!$A241)</f>
        <v>0</v>
      </c>
      <c r="O240" s="130">
        <f>SUMIFS(ТГ_ИД!$E:$E,ТГ_ИД!$B:$B,ТГ!$G$7,ТГ_ИД!$D:$D,ТГ!$A241)</f>
        <v>0</v>
      </c>
      <c r="P240" s="130">
        <f>SUMIFS(ТГ_ИД!$E:$E,ТГ_ИД!$B:$B,ТГ!$G$8,ТГ_ИД!$D:$D,ТГ!$A241)</f>
        <v>0</v>
      </c>
      <c r="Q240" s="130">
        <f>SUMIFS(ТГ_ИД!$E:$E,ТГ_ИД!$B:$B,ТГ!$G$9,ТГ_ИД!$D:$D,ТГ!$A241)</f>
        <v>0</v>
      </c>
      <c r="R240" s="130">
        <f>SUMIFS(ТГ_ИД!$E:$E,ТГ_ИД!$B:$B,ТГ!$G$10,ТГ_ИД!$D:$D,ТГ!$A241)</f>
        <v>0</v>
      </c>
      <c r="S240" s="130">
        <f>SUMIFS(ТГ_ИД!$E:$E,ТГ_ИД!$B:$B,ТГ!$G$11,ТГ_ИД!$D:$D,ТГ!$A241)</f>
        <v>0</v>
      </c>
      <c r="T240" s="130">
        <f>SUMIFS(ТГ_ИД!$E:$E,ТГ_ИД!$B:$B,ТГ!$G$12,ТГ_ИД!$D:$D,ТГ!$A241)</f>
        <v>0</v>
      </c>
      <c r="U240" s="130">
        <f>SUMIFS(ТГ_ИД!$E:$E,ТГ_ИД!$B:$B,ТГ!$G$13,ТГ_ИД!$D:$D,ТГ!$A241)</f>
        <v>0</v>
      </c>
      <c r="V240" s="130">
        <f>SUMIFS(ТГ_ИД!$E:$E,ТГ_ИД!$B:$B,ТГ!$G$14,ТГ_ИД!$D:$D,ТГ!$A241)</f>
        <v>0</v>
      </c>
    </row>
    <row r="241" spans="1:22" x14ac:dyDescent="0.25">
      <c r="A241" s="116" t="str">
        <f t="shared" si="4"/>
        <v/>
      </c>
      <c r="K241" s="130">
        <f>SUMIFS(ТГ_ИД!$E:$E,ТГ_ИД!$B:$B,ТГ!$G$3,ТГ_ИД!$D:$D,ТГ!$A242)</f>
        <v>0</v>
      </c>
      <c r="L241" s="130">
        <f>SUMIFS(ТГ_ИД!$E:$E,ТГ_ИД!$B:$B,ТГ!$G$4,ТГ_ИД!$D:$D,ТГ!$A242)</f>
        <v>0</v>
      </c>
      <c r="M241" s="130">
        <f>SUMIFS(ТГ_ИД!$E:$E,ТГ_ИД!$B:$B,ТГ!$G$5,ТГ_ИД!$D:$D,ТГ!$A242)</f>
        <v>0</v>
      </c>
      <c r="N241" s="130">
        <f>SUMIFS(ТГ_ИД!$E:$E,ТГ_ИД!$B:$B,ТГ!$G$6,ТГ_ИД!$D:$D,ТГ!$A242)</f>
        <v>0</v>
      </c>
      <c r="O241" s="130">
        <f>SUMIFS(ТГ_ИД!$E:$E,ТГ_ИД!$B:$B,ТГ!$G$7,ТГ_ИД!$D:$D,ТГ!$A242)</f>
        <v>0</v>
      </c>
      <c r="P241" s="130">
        <f>SUMIFS(ТГ_ИД!$E:$E,ТГ_ИД!$B:$B,ТГ!$G$8,ТГ_ИД!$D:$D,ТГ!$A242)</f>
        <v>0</v>
      </c>
      <c r="Q241" s="130">
        <f>SUMIFS(ТГ_ИД!$E:$E,ТГ_ИД!$B:$B,ТГ!$G$9,ТГ_ИД!$D:$D,ТГ!$A242)</f>
        <v>0</v>
      </c>
      <c r="R241" s="130">
        <f>SUMIFS(ТГ_ИД!$E:$E,ТГ_ИД!$B:$B,ТГ!$G$10,ТГ_ИД!$D:$D,ТГ!$A242)</f>
        <v>0</v>
      </c>
      <c r="S241" s="130">
        <f>SUMIFS(ТГ_ИД!$E:$E,ТГ_ИД!$B:$B,ТГ!$G$11,ТГ_ИД!$D:$D,ТГ!$A242)</f>
        <v>0</v>
      </c>
      <c r="T241" s="130">
        <f>SUMIFS(ТГ_ИД!$E:$E,ТГ_ИД!$B:$B,ТГ!$G$12,ТГ_ИД!$D:$D,ТГ!$A242)</f>
        <v>0</v>
      </c>
      <c r="U241" s="130">
        <f>SUMIFS(ТГ_ИД!$E:$E,ТГ_ИД!$B:$B,ТГ!$G$13,ТГ_ИД!$D:$D,ТГ!$A242)</f>
        <v>0</v>
      </c>
      <c r="V241" s="130">
        <f>SUMIFS(ТГ_ИД!$E:$E,ТГ_ИД!$B:$B,ТГ!$G$14,ТГ_ИД!$D:$D,ТГ!$A242)</f>
        <v>0</v>
      </c>
    </row>
    <row r="242" spans="1:22" x14ac:dyDescent="0.25">
      <c r="A242" s="116" t="str">
        <f t="shared" si="4"/>
        <v/>
      </c>
      <c r="K242" s="130">
        <f>SUMIFS(ТГ_ИД!$E:$E,ТГ_ИД!$B:$B,ТГ!$G$3,ТГ_ИД!$D:$D,ТГ!$A243)</f>
        <v>0</v>
      </c>
      <c r="L242" s="130">
        <f>SUMIFS(ТГ_ИД!$E:$E,ТГ_ИД!$B:$B,ТГ!$G$4,ТГ_ИД!$D:$D,ТГ!$A243)</f>
        <v>0</v>
      </c>
      <c r="M242" s="130">
        <f>SUMIFS(ТГ_ИД!$E:$E,ТГ_ИД!$B:$B,ТГ!$G$5,ТГ_ИД!$D:$D,ТГ!$A243)</f>
        <v>0</v>
      </c>
      <c r="N242" s="130">
        <f>SUMIFS(ТГ_ИД!$E:$E,ТГ_ИД!$B:$B,ТГ!$G$6,ТГ_ИД!$D:$D,ТГ!$A243)</f>
        <v>0</v>
      </c>
      <c r="O242" s="130">
        <f>SUMIFS(ТГ_ИД!$E:$E,ТГ_ИД!$B:$B,ТГ!$G$7,ТГ_ИД!$D:$D,ТГ!$A243)</f>
        <v>0</v>
      </c>
      <c r="P242" s="130">
        <f>SUMIFS(ТГ_ИД!$E:$E,ТГ_ИД!$B:$B,ТГ!$G$8,ТГ_ИД!$D:$D,ТГ!$A243)</f>
        <v>0</v>
      </c>
      <c r="Q242" s="130">
        <f>SUMIFS(ТГ_ИД!$E:$E,ТГ_ИД!$B:$B,ТГ!$G$9,ТГ_ИД!$D:$D,ТГ!$A243)</f>
        <v>0</v>
      </c>
      <c r="R242" s="130">
        <f>SUMIFS(ТГ_ИД!$E:$E,ТГ_ИД!$B:$B,ТГ!$G$10,ТГ_ИД!$D:$D,ТГ!$A243)</f>
        <v>0</v>
      </c>
      <c r="S242" s="130">
        <f>SUMIFS(ТГ_ИД!$E:$E,ТГ_ИД!$B:$B,ТГ!$G$11,ТГ_ИД!$D:$D,ТГ!$A243)</f>
        <v>0</v>
      </c>
      <c r="T242" s="130">
        <f>SUMIFS(ТГ_ИД!$E:$E,ТГ_ИД!$B:$B,ТГ!$G$12,ТГ_ИД!$D:$D,ТГ!$A243)</f>
        <v>0</v>
      </c>
      <c r="U242" s="130">
        <f>SUMIFS(ТГ_ИД!$E:$E,ТГ_ИД!$B:$B,ТГ!$G$13,ТГ_ИД!$D:$D,ТГ!$A243)</f>
        <v>0</v>
      </c>
      <c r="V242" s="130">
        <f>SUMIFS(ТГ_ИД!$E:$E,ТГ_ИД!$B:$B,ТГ!$G$14,ТГ_ИД!$D:$D,ТГ!$A243)</f>
        <v>0</v>
      </c>
    </row>
    <row r="243" spans="1:22" x14ac:dyDescent="0.25">
      <c r="A243" s="116" t="str">
        <f t="shared" si="4"/>
        <v/>
      </c>
      <c r="K243" s="130">
        <f>SUMIFS(ТГ_ИД!$E:$E,ТГ_ИД!$B:$B,ТГ!$G$3,ТГ_ИД!$D:$D,ТГ!$A244)</f>
        <v>0</v>
      </c>
      <c r="L243" s="130">
        <f>SUMIFS(ТГ_ИД!$E:$E,ТГ_ИД!$B:$B,ТГ!$G$4,ТГ_ИД!$D:$D,ТГ!$A244)</f>
        <v>0</v>
      </c>
      <c r="M243" s="130">
        <f>SUMIFS(ТГ_ИД!$E:$E,ТГ_ИД!$B:$B,ТГ!$G$5,ТГ_ИД!$D:$D,ТГ!$A244)</f>
        <v>0</v>
      </c>
      <c r="N243" s="130">
        <f>SUMIFS(ТГ_ИД!$E:$E,ТГ_ИД!$B:$B,ТГ!$G$6,ТГ_ИД!$D:$D,ТГ!$A244)</f>
        <v>0</v>
      </c>
      <c r="O243" s="130">
        <f>SUMIFS(ТГ_ИД!$E:$E,ТГ_ИД!$B:$B,ТГ!$G$7,ТГ_ИД!$D:$D,ТГ!$A244)</f>
        <v>0</v>
      </c>
      <c r="P243" s="130">
        <f>SUMIFS(ТГ_ИД!$E:$E,ТГ_ИД!$B:$B,ТГ!$G$8,ТГ_ИД!$D:$D,ТГ!$A244)</f>
        <v>0</v>
      </c>
      <c r="Q243" s="130">
        <f>SUMIFS(ТГ_ИД!$E:$E,ТГ_ИД!$B:$B,ТГ!$G$9,ТГ_ИД!$D:$D,ТГ!$A244)</f>
        <v>0</v>
      </c>
      <c r="R243" s="130">
        <f>SUMIFS(ТГ_ИД!$E:$E,ТГ_ИД!$B:$B,ТГ!$G$10,ТГ_ИД!$D:$D,ТГ!$A244)</f>
        <v>0</v>
      </c>
      <c r="S243" s="130">
        <f>SUMIFS(ТГ_ИД!$E:$E,ТГ_ИД!$B:$B,ТГ!$G$11,ТГ_ИД!$D:$D,ТГ!$A244)</f>
        <v>0</v>
      </c>
      <c r="T243" s="130">
        <f>SUMIFS(ТГ_ИД!$E:$E,ТГ_ИД!$B:$B,ТГ!$G$12,ТГ_ИД!$D:$D,ТГ!$A244)</f>
        <v>0</v>
      </c>
      <c r="U243" s="130">
        <f>SUMIFS(ТГ_ИД!$E:$E,ТГ_ИД!$B:$B,ТГ!$G$13,ТГ_ИД!$D:$D,ТГ!$A244)</f>
        <v>0</v>
      </c>
      <c r="V243" s="130">
        <f>SUMIFS(ТГ_ИД!$E:$E,ТГ_ИД!$B:$B,ТГ!$G$14,ТГ_ИД!$D:$D,ТГ!$A244)</f>
        <v>0</v>
      </c>
    </row>
    <row r="244" spans="1:22" x14ac:dyDescent="0.25">
      <c r="A244" s="116" t="str">
        <f t="shared" si="4"/>
        <v/>
      </c>
      <c r="K244" s="130">
        <f>SUMIFS(ТГ_ИД!$E:$E,ТГ_ИД!$B:$B,ТГ!$G$3,ТГ_ИД!$D:$D,ТГ!$A245)</f>
        <v>0</v>
      </c>
      <c r="L244" s="130">
        <f>SUMIFS(ТГ_ИД!$E:$E,ТГ_ИД!$B:$B,ТГ!$G$4,ТГ_ИД!$D:$D,ТГ!$A245)</f>
        <v>0</v>
      </c>
      <c r="M244" s="130">
        <f>SUMIFS(ТГ_ИД!$E:$E,ТГ_ИД!$B:$B,ТГ!$G$5,ТГ_ИД!$D:$D,ТГ!$A245)</f>
        <v>0</v>
      </c>
      <c r="N244" s="130">
        <f>SUMIFS(ТГ_ИД!$E:$E,ТГ_ИД!$B:$B,ТГ!$G$6,ТГ_ИД!$D:$D,ТГ!$A245)</f>
        <v>0</v>
      </c>
      <c r="O244" s="130">
        <f>SUMIFS(ТГ_ИД!$E:$E,ТГ_ИД!$B:$B,ТГ!$G$7,ТГ_ИД!$D:$D,ТГ!$A245)</f>
        <v>0</v>
      </c>
      <c r="P244" s="130">
        <f>SUMIFS(ТГ_ИД!$E:$E,ТГ_ИД!$B:$B,ТГ!$G$8,ТГ_ИД!$D:$D,ТГ!$A245)</f>
        <v>0</v>
      </c>
      <c r="Q244" s="130">
        <f>SUMIFS(ТГ_ИД!$E:$E,ТГ_ИД!$B:$B,ТГ!$G$9,ТГ_ИД!$D:$D,ТГ!$A245)</f>
        <v>0</v>
      </c>
      <c r="R244" s="130">
        <f>SUMIFS(ТГ_ИД!$E:$E,ТГ_ИД!$B:$B,ТГ!$G$10,ТГ_ИД!$D:$D,ТГ!$A245)</f>
        <v>0</v>
      </c>
      <c r="S244" s="130">
        <f>SUMIFS(ТГ_ИД!$E:$E,ТГ_ИД!$B:$B,ТГ!$G$11,ТГ_ИД!$D:$D,ТГ!$A245)</f>
        <v>0</v>
      </c>
      <c r="T244" s="130">
        <f>SUMIFS(ТГ_ИД!$E:$E,ТГ_ИД!$B:$B,ТГ!$G$12,ТГ_ИД!$D:$D,ТГ!$A245)</f>
        <v>0</v>
      </c>
      <c r="U244" s="130">
        <f>SUMIFS(ТГ_ИД!$E:$E,ТГ_ИД!$B:$B,ТГ!$G$13,ТГ_ИД!$D:$D,ТГ!$A245)</f>
        <v>0</v>
      </c>
      <c r="V244" s="130">
        <f>SUMIFS(ТГ_ИД!$E:$E,ТГ_ИД!$B:$B,ТГ!$G$14,ТГ_ИД!$D:$D,ТГ!$A245)</f>
        <v>0</v>
      </c>
    </row>
    <row r="245" spans="1:22" x14ac:dyDescent="0.25">
      <c r="A245" s="116" t="str">
        <f t="shared" si="4"/>
        <v/>
      </c>
      <c r="K245" s="130">
        <f>SUMIFS(ТГ_ИД!$E:$E,ТГ_ИД!$B:$B,ТГ!$G$3,ТГ_ИД!$D:$D,ТГ!$A246)</f>
        <v>0</v>
      </c>
      <c r="L245" s="130">
        <f>SUMIFS(ТГ_ИД!$E:$E,ТГ_ИД!$B:$B,ТГ!$G$4,ТГ_ИД!$D:$D,ТГ!$A246)</f>
        <v>0</v>
      </c>
      <c r="M245" s="130">
        <f>SUMIFS(ТГ_ИД!$E:$E,ТГ_ИД!$B:$B,ТГ!$G$5,ТГ_ИД!$D:$D,ТГ!$A246)</f>
        <v>0</v>
      </c>
      <c r="N245" s="130">
        <f>SUMIFS(ТГ_ИД!$E:$E,ТГ_ИД!$B:$B,ТГ!$G$6,ТГ_ИД!$D:$D,ТГ!$A246)</f>
        <v>0</v>
      </c>
      <c r="O245" s="130">
        <f>SUMIFS(ТГ_ИД!$E:$E,ТГ_ИД!$B:$B,ТГ!$G$7,ТГ_ИД!$D:$D,ТГ!$A246)</f>
        <v>0</v>
      </c>
      <c r="P245" s="130">
        <f>SUMIFS(ТГ_ИД!$E:$E,ТГ_ИД!$B:$B,ТГ!$G$8,ТГ_ИД!$D:$D,ТГ!$A246)</f>
        <v>0</v>
      </c>
      <c r="Q245" s="130">
        <f>SUMIFS(ТГ_ИД!$E:$E,ТГ_ИД!$B:$B,ТГ!$G$9,ТГ_ИД!$D:$D,ТГ!$A246)</f>
        <v>0</v>
      </c>
      <c r="R245" s="130">
        <f>SUMIFS(ТГ_ИД!$E:$E,ТГ_ИД!$B:$B,ТГ!$G$10,ТГ_ИД!$D:$D,ТГ!$A246)</f>
        <v>0</v>
      </c>
      <c r="S245" s="130">
        <f>SUMIFS(ТГ_ИД!$E:$E,ТГ_ИД!$B:$B,ТГ!$G$11,ТГ_ИД!$D:$D,ТГ!$A246)</f>
        <v>0</v>
      </c>
      <c r="T245" s="130">
        <f>SUMIFS(ТГ_ИД!$E:$E,ТГ_ИД!$B:$B,ТГ!$G$12,ТГ_ИД!$D:$D,ТГ!$A246)</f>
        <v>0</v>
      </c>
      <c r="U245" s="130">
        <f>SUMIFS(ТГ_ИД!$E:$E,ТГ_ИД!$B:$B,ТГ!$G$13,ТГ_ИД!$D:$D,ТГ!$A246)</f>
        <v>0</v>
      </c>
      <c r="V245" s="130">
        <f>SUMIFS(ТГ_ИД!$E:$E,ТГ_ИД!$B:$B,ТГ!$G$14,ТГ_ИД!$D:$D,ТГ!$A246)</f>
        <v>0</v>
      </c>
    </row>
    <row r="246" spans="1:22" x14ac:dyDescent="0.25">
      <c r="A246" s="116" t="str">
        <f t="shared" si="4"/>
        <v/>
      </c>
      <c r="K246" s="130">
        <f>SUMIFS(ТГ_ИД!$E:$E,ТГ_ИД!$B:$B,ТГ!$G$3,ТГ_ИД!$D:$D,ТГ!$A247)</f>
        <v>0</v>
      </c>
      <c r="L246" s="130">
        <f>SUMIFS(ТГ_ИД!$E:$E,ТГ_ИД!$B:$B,ТГ!$G$4,ТГ_ИД!$D:$D,ТГ!$A247)</f>
        <v>0</v>
      </c>
      <c r="M246" s="130">
        <f>SUMIFS(ТГ_ИД!$E:$E,ТГ_ИД!$B:$B,ТГ!$G$5,ТГ_ИД!$D:$D,ТГ!$A247)</f>
        <v>0</v>
      </c>
      <c r="N246" s="130">
        <f>SUMIFS(ТГ_ИД!$E:$E,ТГ_ИД!$B:$B,ТГ!$G$6,ТГ_ИД!$D:$D,ТГ!$A247)</f>
        <v>0</v>
      </c>
      <c r="O246" s="130">
        <f>SUMIFS(ТГ_ИД!$E:$E,ТГ_ИД!$B:$B,ТГ!$G$7,ТГ_ИД!$D:$D,ТГ!$A247)</f>
        <v>0</v>
      </c>
      <c r="P246" s="130">
        <f>SUMIFS(ТГ_ИД!$E:$E,ТГ_ИД!$B:$B,ТГ!$G$8,ТГ_ИД!$D:$D,ТГ!$A247)</f>
        <v>0</v>
      </c>
      <c r="Q246" s="130">
        <f>SUMIFS(ТГ_ИД!$E:$E,ТГ_ИД!$B:$B,ТГ!$G$9,ТГ_ИД!$D:$D,ТГ!$A247)</f>
        <v>0</v>
      </c>
      <c r="R246" s="130">
        <f>SUMIFS(ТГ_ИД!$E:$E,ТГ_ИД!$B:$B,ТГ!$G$10,ТГ_ИД!$D:$D,ТГ!$A247)</f>
        <v>0</v>
      </c>
      <c r="S246" s="130">
        <f>SUMIFS(ТГ_ИД!$E:$E,ТГ_ИД!$B:$B,ТГ!$G$11,ТГ_ИД!$D:$D,ТГ!$A247)</f>
        <v>0</v>
      </c>
      <c r="T246" s="130">
        <f>SUMIFS(ТГ_ИД!$E:$E,ТГ_ИД!$B:$B,ТГ!$G$12,ТГ_ИД!$D:$D,ТГ!$A247)</f>
        <v>0</v>
      </c>
      <c r="U246" s="130">
        <f>SUMIFS(ТГ_ИД!$E:$E,ТГ_ИД!$B:$B,ТГ!$G$13,ТГ_ИД!$D:$D,ТГ!$A247)</f>
        <v>0</v>
      </c>
      <c r="V246" s="130">
        <f>SUMIFS(ТГ_ИД!$E:$E,ТГ_ИД!$B:$B,ТГ!$G$14,ТГ_ИД!$D:$D,ТГ!$A247)</f>
        <v>0</v>
      </c>
    </row>
    <row r="247" spans="1:22" x14ac:dyDescent="0.25">
      <c r="A247" s="116" t="str">
        <f t="shared" si="4"/>
        <v/>
      </c>
      <c r="K247" s="130">
        <f>SUMIFS(ТГ_ИД!$E:$E,ТГ_ИД!$B:$B,ТГ!$G$3,ТГ_ИД!$D:$D,ТГ!$A248)</f>
        <v>0</v>
      </c>
      <c r="L247" s="130">
        <f>SUMIFS(ТГ_ИД!$E:$E,ТГ_ИД!$B:$B,ТГ!$G$4,ТГ_ИД!$D:$D,ТГ!$A248)</f>
        <v>0</v>
      </c>
      <c r="M247" s="130">
        <f>SUMIFS(ТГ_ИД!$E:$E,ТГ_ИД!$B:$B,ТГ!$G$5,ТГ_ИД!$D:$D,ТГ!$A248)</f>
        <v>0</v>
      </c>
      <c r="N247" s="130">
        <f>SUMIFS(ТГ_ИД!$E:$E,ТГ_ИД!$B:$B,ТГ!$G$6,ТГ_ИД!$D:$D,ТГ!$A248)</f>
        <v>0</v>
      </c>
      <c r="O247" s="130">
        <f>SUMIFS(ТГ_ИД!$E:$E,ТГ_ИД!$B:$B,ТГ!$G$7,ТГ_ИД!$D:$D,ТГ!$A248)</f>
        <v>0</v>
      </c>
      <c r="P247" s="130">
        <f>SUMIFS(ТГ_ИД!$E:$E,ТГ_ИД!$B:$B,ТГ!$G$8,ТГ_ИД!$D:$D,ТГ!$A248)</f>
        <v>0</v>
      </c>
      <c r="Q247" s="130">
        <f>SUMIFS(ТГ_ИД!$E:$E,ТГ_ИД!$B:$B,ТГ!$G$9,ТГ_ИД!$D:$D,ТГ!$A248)</f>
        <v>0</v>
      </c>
      <c r="R247" s="130">
        <f>SUMIFS(ТГ_ИД!$E:$E,ТГ_ИД!$B:$B,ТГ!$G$10,ТГ_ИД!$D:$D,ТГ!$A248)</f>
        <v>0</v>
      </c>
      <c r="S247" s="130">
        <f>SUMIFS(ТГ_ИД!$E:$E,ТГ_ИД!$B:$B,ТГ!$G$11,ТГ_ИД!$D:$D,ТГ!$A248)</f>
        <v>0</v>
      </c>
      <c r="T247" s="130">
        <f>SUMIFS(ТГ_ИД!$E:$E,ТГ_ИД!$B:$B,ТГ!$G$12,ТГ_ИД!$D:$D,ТГ!$A248)</f>
        <v>0</v>
      </c>
      <c r="U247" s="130">
        <f>SUMIFS(ТГ_ИД!$E:$E,ТГ_ИД!$B:$B,ТГ!$G$13,ТГ_ИД!$D:$D,ТГ!$A248)</f>
        <v>0</v>
      </c>
      <c r="V247" s="130">
        <f>SUMIFS(ТГ_ИД!$E:$E,ТГ_ИД!$B:$B,ТГ!$G$14,ТГ_ИД!$D:$D,ТГ!$A248)</f>
        <v>0</v>
      </c>
    </row>
    <row r="248" spans="1:22" x14ac:dyDescent="0.25">
      <c r="A248" s="116" t="str">
        <f t="shared" si="4"/>
        <v/>
      </c>
      <c r="K248" s="130">
        <f>SUMIFS(ТГ_ИД!$E:$E,ТГ_ИД!$B:$B,ТГ!$G$3,ТГ_ИД!$D:$D,ТГ!$A249)</f>
        <v>0</v>
      </c>
      <c r="L248" s="130">
        <f>SUMIFS(ТГ_ИД!$E:$E,ТГ_ИД!$B:$B,ТГ!$G$4,ТГ_ИД!$D:$D,ТГ!$A249)</f>
        <v>0</v>
      </c>
      <c r="M248" s="130">
        <f>SUMIFS(ТГ_ИД!$E:$E,ТГ_ИД!$B:$B,ТГ!$G$5,ТГ_ИД!$D:$D,ТГ!$A249)</f>
        <v>0</v>
      </c>
      <c r="N248" s="130">
        <f>SUMIFS(ТГ_ИД!$E:$E,ТГ_ИД!$B:$B,ТГ!$G$6,ТГ_ИД!$D:$D,ТГ!$A249)</f>
        <v>0</v>
      </c>
      <c r="O248" s="130">
        <f>SUMIFS(ТГ_ИД!$E:$E,ТГ_ИД!$B:$B,ТГ!$G$7,ТГ_ИД!$D:$D,ТГ!$A249)</f>
        <v>0</v>
      </c>
      <c r="P248" s="130">
        <f>SUMIFS(ТГ_ИД!$E:$E,ТГ_ИД!$B:$B,ТГ!$G$8,ТГ_ИД!$D:$D,ТГ!$A249)</f>
        <v>0</v>
      </c>
      <c r="Q248" s="130">
        <f>SUMIFS(ТГ_ИД!$E:$E,ТГ_ИД!$B:$B,ТГ!$G$9,ТГ_ИД!$D:$D,ТГ!$A249)</f>
        <v>0</v>
      </c>
      <c r="R248" s="130">
        <f>SUMIFS(ТГ_ИД!$E:$E,ТГ_ИД!$B:$B,ТГ!$G$10,ТГ_ИД!$D:$D,ТГ!$A249)</f>
        <v>0</v>
      </c>
      <c r="S248" s="130">
        <f>SUMIFS(ТГ_ИД!$E:$E,ТГ_ИД!$B:$B,ТГ!$G$11,ТГ_ИД!$D:$D,ТГ!$A249)</f>
        <v>0</v>
      </c>
      <c r="T248" s="130">
        <f>SUMIFS(ТГ_ИД!$E:$E,ТГ_ИД!$B:$B,ТГ!$G$12,ТГ_ИД!$D:$D,ТГ!$A249)</f>
        <v>0</v>
      </c>
      <c r="U248" s="130">
        <f>SUMIFS(ТГ_ИД!$E:$E,ТГ_ИД!$B:$B,ТГ!$G$13,ТГ_ИД!$D:$D,ТГ!$A249)</f>
        <v>0</v>
      </c>
      <c r="V248" s="130">
        <f>SUMIFS(ТГ_ИД!$E:$E,ТГ_ИД!$B:$B,ТГ!$G$14,ТГ_ИД!$D:$D,ТГ!$A249)</f>
        <v>0</v>
      </c>
    </row>
    <row r="249" spans="1:22" x14ac:dyDescent="0.25">
      <c r="A249" s="116" t="str">
        <f t="shared" si="4"/>
        <v/>
      </c>
      <c r="K249" s="130">
        <f>SUMIFS(ТГ_ИД!$E:$E,ТГ_ИД!$B:$B,ТГ!$G$3,ТГ_ИД!$D:$D,ТГ!$A250)</f>
        <v>0</v>
      </c>
      <c r="L249" s="130">
        <f>SUMIFS(ТГ_ИД!$E:$E,ТГ_ИД!$B:$B,ТГ!$G$4,ТГ_ИД!$D:$D,ТГ!$A250)</f>
        <v>0</v>
      </c>
      <c r="M249" s="130">
        <f>SUMIFS(ТГ_ИД!$E:$E,ТГ_ИД!$B:$B,ТГ!$G$5,ТГ_ИД!$D:$D,ТГ!$A250)</f>
        <v>0</v>
      </c>
      <c r="N249" s="130">
        <f>SUMIFS(ТГ_ИД!$E:$E,ТГ_ИД!$B:$B,ТГ!$G$6,ТГ_ИД!$D:$D,ТГ!$A250)</f>
        <v>0</v>
      </c>
      <c r="O249" s="130">
        <f>SUMIFS(ТГ_ИД!$E:$E,ТГ_ИД!$B:$B,ТГ!$G$7,ТГ_ИД!$D:$D,ТГ!$A250)</f>
        <v>0</v>
      </c>
      <c r="P249" s="130">
        <f>SUMIFS(ТГ_ИД!$E:$E,ТГ_ИД!$B:$B,ТГ!$G$8,ТГ_ИД!$D:$D,ТГ!$A250)</f>
        <v>0</v>
      </c>
      <c r="Q249" s="130">
        <f>SUMIFS(ТГ_ИД!$E:$E,ТГ_ИД!$B:$B,ТГ!$G$9,ТГ_ИД!$D:$D,ТГ!$A250)</f>
        <v>0</v>
      </c>
      <c r="R249" s="130">
        <f>SUMIFS(ТГ_ИД!$E:$E,ТГ_ИД!$B:$B,ТГ!$G$10,ТГ_ИД!$D:$D,ТГ!$A250)</f>
        <v>0</v>
      </c>
      <c r="S249" s="130">
        <f>SUMIFS(ТГ_ИД!$E:$E,ТГ_ИД!$B:$B,ТГ!$G$11,ТГ_ИД!$D:$D,ТГ!$A250)</f>
        <v>0</v>
      </c>
      <c r="T249" s="130">
        <f>SUMIFS(ТГ_ИД!$E:$E,ТГ_ИД!$B:$B,ТГ!$G$12,ТГ_ИД!$D:$D,ТГ!$A250)</f>
        <v>0</v>
      </c>
      <c r="U249" s="130">
        <f>SUMIFS(ТГ_ИД!$E:$E,ТГ_ИД!$B:$B,ТГ!$G$13,ТГ_ИД!$D:$D,ТГ!$A250)</f>
        <v>0</v>
      </c>
      <c r="V249" s="130">
        <f>SUMIFS(ТГ_ИД!$E:$E,ТГ_ИД!$B:$B,ТГ!$G$14,ТГ_ИД!$D:$D,ТГ!$A250)</f>
        <v>0</v>
      </c>
    </row>
    <row r="250" spans="1:22" x14ac:dyDescent="0.25">
      <c r="A250" s="116" t="str">
        <f t="shared" si="4"/>
        <v/>
      </c>
      <c r="K250" s="130">
        <f>SUMIFS(ТГ_ИД!$E:$E,ТГ_ИД!$B:$B,ТГ!$G$3,ТГ_ИД!$D:$D,ТГ!$A251)</f>
        <v>0</v>
      </c>
      <c r="L250" s="130">
        <f>SUMIFS(ТГ_ИД!$E:$E,ТГ_ИД!$B:$B,ТГ!$G$4,ТГ_ИД!$D:$D,ТГ!$A251)</f>
        <v>0</v>
      </c>
      <c r="M250" s="130">
        <f>SUMIFS(ТГ_ИД!$E:$E,ТГ_ИД!$B:$B,ТГ!$G$5,ТГ_ИД!$D:$D,ТГ!$A251)</f>
        <v>0</v>
      </c>
      <c r="N250" s="130">
        <f>SUMIFS(ТГ_ИД!$E:$E,ТГ_ИД!$B:$B,ТГ!$G$6,ТГ_ИД!$D:$D,ТГ!$A251)</f>
        <v>0</v>
      </c>
      <c r="O250" s="130">
        <f>SUMIFS(ТГ_ИД!$E:$E,ТГ_ИД!$B:$B,ТГ!$G$7,ТГ_ИД!$D:$D,ТГ!$A251)</f>
        <v>0</v>
      </c>
      <c r="P250" s="130">
        <f>SUMIFS(ТГ_ИД!$E:$E,ТГ_ИД!$B:$B,ТГ!$G$8,ТГ_ИД!$D:$D,ТГ!$A251)</f>
        <v>0</v>
      </c>
      <c r="Q250" s="130">
        <f>SUMIFS(ТГ_ИД!$E:$E,ТГ_ИД!$B:$B,ТГ!$G$9,ТГ_ИД!$D:$D,ТГ!$A251)</f>
        <v>0</v>
      </c>
      <c r="R250" s="130">
        <f>SUMIFS(ТГ_ИД!$E:$E,ТГ_ИД!$B:$B,ТГ!$G$10,ТГ_ИД!$D:$D,ТГ!$A251)</f>
        <v>0</v>
      </c>
      <c r="S250" s="130">
        <f>SUMIFS(ТГ_ИД!$E:$E,ТГ_ИД!$B:$B,ТГ!$G$11,ТГ_ИД!$D:$D,ТГ!$A251)</f>
        <v>0</v>
      </c>
      <c r="T250" s="130">
        <f>SUMIFS(ТГ_ИД!$E:$E,ТГ_ИД!$B:$B,ТГ!$G$12,ТГ_ИД!$D:$D,ТГ!$A251)</f>
        <v>0</v>
      </c>
      <c r="U250" s="130">
        <f>SUMIFS(ТГ_ИД!$E:$E,ТГ_ИД!$B:$B,ТГ!$G$13,ТГ_ИД!$D:$D,ТГ!$A251)</f>
        <v>0</v>
      </c>
      <c r="V250" s="130">
        <f>SUMIFS(ТГ_ИД!$E:$E,ТГ_ИД!$B:$B,ТГ!$G$14,ТГ_ИД!$D:$D,ТГ!$A251)</f>
        <v>0</v>
      </c>
    </row>
    <row r="251" spans="1:22" x14ac:dyDescent="0.25">
      <c r="A251" s="116" t="str">
        <f t="shared" si="4"/>
        <v/>
      </c>
      <c r="K251" s="130">
        <f>SUMIFS(ТГ_ИД!$E:$E,ТГ_ИД!$B:$B,ТГ!$G$3,ТГ_ИД!$D:$D,ТГ!$A252)</f>
        <v>0</v>
      </c>
      <c r="L251" s="130">
        <f>SUMIFS(ТГ_ИД!$E:$E,ТГ_ИД!$B:$B,ТГ!$G$4,ТГ_ИД!$D:$D,ТГ!$A252)</f>
        <v>0</v>
      </c>
      <c r="M251" s="130">
        <f>SUMIFS(ТГ_ИД!$E:$E,ТГ_ИД!$B:$B,ТГ!$G$5,ТГ_ИД!$D:$D,ТГ!$A252)</f>
        <v>0</v>
      </c>
      <c r="N251" s="130">
        <f>SUMIFS(ТГ_ИД!$E:$E,ТГ_ИД!$B:$B,ТГ!$G$6,ТГ_ИД!$D:$D,ТГ!$A252)</f>
        <v>0</v>
      </c>
      <c r="O251" s="130">
        <f>SUMIFS(ТГ_ИД!$E:$E,ТГ_ИД!$B:$B,ТГ!$G$7,ТГ_ИД!$D:$D,ТГ!$A252)</f>
        <v>0</v>
      </c>
      <c r="P251" s="130">
        <f>SUMIFS(ТГ_ИД!$E:$E,ТГ_ИД!$B:$B,ТГ!$G$8,ТГ_ИД!$D:$D,ТГ!$A252)</f>
        <v>0</v>
      </c>
      <c r="Q251" s="130">
        <f>SUMIFS(ТГ_ИД!$E:$E,ТГ_ИД!$B:$B,ТГ!$G$9,ТГ_ИД!$D:$D,ТГ!$A252)</f>
        <v>0</v>
      </c>
      <c r="R251" s="130">
        <f>SUMIFS(ТГ_ИД!$E:$E,ТГ_ИД!$B:$B,ТГ!$G$10,ТГ_ИД!$D:$D,ТГ!$A252)</f>
        <v>0</v>
      </c>
      <c r="S251" s="130">
        <f>SUMIFS(ТГ_ИД!$E:$E,ТГ_ИД!$B:$B,ТГ!$G$11,ТГ_ИД!$D:$D,ТГ!$A252)</f>
        <v>0</v>
      </c>
      <c r="T251" s="130">
        <f>SUMIFS(ТГ_ИД!$E:$E,ТГ_ИД!$B:$B,ТГ!$G$12,ТГ_ИД!$D:$D,ТГ!$A252)</f>
        <v>0</v>
      </c>
      <c r="U251" s="130">
        <f>SUMIFS(ТГ_ИД!$E:$E,ТГ_ИД!$B:$B,ТГ!$G$13,ТГ_ИД!$D:$D,ТГ!$A252)</f>
        <v>0</v>
      </c>
      <c r="V251" s="130">
        <f>SUMIFS(ТГ_ИД!$E:$E,ТГ_ИД!$B:$B,ТГ!$G$14,ТГ_ИД!$D:$D,ТГ!$A252)</f>
        <v>0</v>
      </c>
    </row>
    <row r="252" spans="1:22" x14ac:dyDescent="0.25">
      <c r="A252" s="116" t="str">
        <f t="shared" si="4"/>
        <v/>
      </c>
      <c r="K252" s="130">
        <f>SUMIFS(ТГ_ИД!$E:$E,ТГ_ИД!$B:$B,ТГ!$G$3,ТГ_ИД!$D:$D,ТГ!$A253)</f>
        <v>0</v>
      </c>
      <c r="L252" s="130">
        <f>SUMIFS(ТГ_ИД!$E:$E,ТГ_ИД!$B:$B,ТГ!$G$4,ТГ_ИД!$D:$D,ТГ!$A253)</f>
        <v>0</v>
      </c>
      <c r="M252" s="130">
        <f>SUMIFS(ТГ_ИД!$E:$E,ТГ_ИД!$B:$B,ТГ!$G$5,ТГ_ИД!$D:$D,ТГ!$A253)</f>
        <v>0</v>
      </c>
      <c r="N252" s="130">
        <f>SUMIFS(ТГ_ИД!$E:$E,ТГ_ИД!$B:$B,ТГ!$G$6,ТГ_ИД!$D:$D,ТГ!$A253)</f>
        <v>0</v>
      </c>
      <c r="O252" s="130">
        <f>SUMIFS(ТГ_ИД!$E:$E,ТГ_ИД!$B:$B,ТГ!$G$7,ТГ_ИД!$D:$D,ТГ!$A253)</f>
        <v>0</v>
      </c>
      <c r="P252" s="130">
        <f>SUMIFS(ТГ_ИД!$E:$E,ТГ_ИД!$B:$B,ТГ!$G$8,ТГ_ИД!$D:$D,ТГ!$A253)</f>
        <v>0</v>
      </c>
      <c r="Q252" s="130">
        <f>SUMIFS(ТГ_ИД!$E:$E,ТГ_ИД!$B:$B,ТГ!$G$9,ТГ_ИД!$D:$D,ТГ!$A253)</f>
        <v>0</v>
      </c>
      <c r="R252" s="130">
        <f>SUMIFS(ТГ_ИД!$E:$E,ТГ_ИД!$B:$B,ТГ!$G$10,ТГ_ИД!$D:$D,ТГ!$A253)</f>
        <v>0</v>
      </c>
      <c r="S252" s="130">
        <f>SUMIFS(ТГ_ИД!$E:$E,ТГ_ИД!$B:$B,ТГ!$G$11,ТГ_ИД!$D:$D,ТГ!$A253)</f>
        <v>0</v>
      </c>
      <c r="T252" s="130">
        <f>SUMIFS(ТГ_ИД!$E:$E,ТГ_ИД!$B:$B,ТГ!$G$12,ТГ_ИД!$D:$D,ТГ!$A253)</f>
        <v>0</v>
      </c>
      <c r="U252" s="130">
        <f>SUMIFS(ТГ_ИД!$E:$E,ТГ_ИД!$B:$B,ТГ!$G$13,ТГ_ИД!$D:$D,ТГ!$A253)</f>
        <v>0</v>
      </c>
      <c r="V252" s="130">
        <f>SUMIFS(ТГ_ИД!$E:$E,ТГ_ИД!$B:$B,ТГ!$G$14,ТГ_ИД!$D:$D,ТГ!$A253)</f>
        <v>0</v>
      </c>
    </row>
    <row r="253" spans="1:22" x14ac:dyDescent="0.25">
      <c r="A253" s="116" t="str">
        <f t="shared" si="4"/>
        <v/>
      </c>
      <c r="K253" s="130">
        <f>SUMIFS(ТГ_ИД!$E:$E,ТГ_ИД!$B:$B,ТГ!$G$3,ТГ_ИД!$D:$D,ТГ!$A254)</f>
        <v>0</v>
      </c>
      <c r="L253" s="130">
        <f>SUMIFS(ТГ_ИД!$E:$E,ТГ_ИД!$B:$B,ТГ!$G$4,ТГ_ИД!$D:$D,ТГ!$A254)</f>
        <v>0</v>
      </c>
      <c r="M253" s="130">
        <f>SUMIFS(ТГ_ИД!$E:$E,ТГ_ИД!$B:$B,ТГ!$G$5,ТГ_ИД!$D:$D,ТГ!$A254)</f>
        <v>0</v>
      </c>
      <c r="N253" s="130">
        <f>SUMIFS(ТГ_ИД!$E:$E,ТГ_ИД!$B:$B,ТГ!$G$6,ТГ_ИД!$D:$D,ТГ!$A254)</f>
        <v>0</v>
      </c>
      <c r="O253" s="130">
        <f>SUMIFS(ТГ_ИД!$E:$E,ТГ_ИД!$B:$B,ТГ!$G$7,ТГ_ИД!$D:$D,ТГ!$A254)</f>
        <v>0</v>
      </c>
      <c r="P253" s="130">
        <f>SUMIFS(ТГ_ИД!$E:$E,ТГ_ИД!$B:$B,ТГ!$G$8,ТГ_ИД!$D:$D,ТГ!$A254)</f>
        <v>0</v>
      </c>
      <c r="Q253" s="130">
        <f>SUMIFS(ТГ_ИД!$E:$E,ТГ_ИД!$B:$B,ТГ!$G$9,ТГ_ИД!$D:$D,ТГ!$A254)</f>
        <v>0</v>
      </c>
      <c r="R253" s="130">
        <f>SUMIFS(ТГ_ИД!$E:$E,ТГ_ИД!$B:$B,ТГ!$G$10,ТГ_ИД!$D:$D,ТГ!$A254)</f>
        <v>0</v>
      </c>
      <c r="S253" s="130">
        <f>SUMIFS(ТГ_ИД!$E:$E,ТГ_ИД!$B:$B,ТГ!$G$11,ТГ_ИД!$D:$D,ТГ!$A254)</f>
        <v>0</v>
      </c>
      <c r="T253" s="130">
        <f>SUMIFS(ТГ_ИД!$E:$E,ТГ_ИД!$B:$B,ТГ!$G$12,ТГ_ИД!$D:$D,ТГ!$A254)</f>
        <v>0</v>
      </c>
      <c r="U253" s="130">
        <f>SUMIFS(ТГ_ИД!$E:$E,ТГ_ИД!$B:$B,ТГ!$G$13,ТГ_ИД!$D:$D,ТГ!$A254)</f>
        <v>0</v>
      </c>
      <c r="V253" s="130">
        <f>SUMIFS(ТГ_ИД!$E:$E,ТГ_ИД!$B:$B,ТГ!$G$14,ТГ_ИД!$D:$D,ТГ!$A254)</f>
        <v>0</v>
      </c>
    </row>
    <row r="254" spans="1:22" x14ac:dyDescent="0.25">
      <c r="A254" s="116" t="str">
        <f t="shared" si="4"/>
        <v/>
      </c>
      <c r="K254" s="130">
        <f>SUMIFS(ТГ_ИД!$E:$E,ТГ_ИД!$B:$B,ТГ!$G$3,ТГ_ИД!$D:$D,ТГ!$A255)</f>
        <v>0</v>
      </c>
      <c r="L254" s="130">
        <f>SUMIFS(ТГ_ИД!$E:$E,ТГ_ИД!$B:$B,ТГ!$G$4,ТГ_ИД!$D:$D,ТГ!$A255)</f>
        <v>0</v>
      </c>
      <c r="M254" s="130">
        <f>SUMIFS(ТГ_ИД!$E:$E,ТГ_ИД!$B:$B,ТГ!$G$5,ТГ_ИД!$D:$D,ТГ!$A255)</f>
        <v>0</v>
      </c>
      <c r="N254" s="130">
        <f>SUMIFS(ТГ_ИД!$E:$E,ТГ_ИД!$B:$B,ТГ!$G$6,ТГ_ИД!$D:$D,ТГ!$A255)</f>
        <v>0</v>
      </c>
      <c r="O254" s="130">
        <f>SUMIFS(ТГ_ИД!$E:$E,ТГ_ИД!$B:$B,ТГ!$G$7,ТГ_ИД!$D:$D,ТГ!$A255)</f>
        <v>0</v>
      </c>
      <c r="P254" s="130">
        <f>SUMIFS(ТГ_ИД!$E:$E,ТГ_ИД!$B:$B,ТГ!$G$8,ТГ_ИД!$D:$D,ТГ!$A255)</f>
        <v>0</v>
      </c>
      <c r="Q254" s="130">
        <f>SUMIFS(ТГ_ИД!$E:$E,ТГ_ИД!$B:$B,ТГ!$G$9,ТГ_ИД!$D:$D,ТГ!$A255)</f>
        <v>0</v>
      </c>
      <c r="R254" s="130">
        <f>SUMIFS(ТГ_ИД!$E:$E,ТГ_ИД!$B:$B,ТГ!$G$10,ТГ_ИД!$D:$D,ТГ!$A255)</f>
        <v>0</v>
      </c>
      <c r="S254" s="130">
        <f>SUMIFS(ТГ_ИД!$E:$E,ТГ_ИД!$B:$B,ТГ!$G$11,ТГ_ИД!$D:$D,ТГ!$A255)</f>
        <v>0</v>
      </c>
      <c r="T254" s="130">
        <f>SUMIFS(ТГ_ИД!$E:$E,ТГ_ИД!$B:$B,ТГ!$G$12,ТГ_ИД!$D:$D,ТГ!$A255)</f>
        <v>0</v>
      </c>
      <c r="U254" s="130">
        <f>SUMIFS(ТГ_ИД!$E:$E,ТГ_ИД!$B:$B,ТГ!$G$13,ТГ_ИД!$D:$D,ТГ!$A255)</f>
        <v>0</v>
      </c>
      <c r="V254" s="130">
        <f>SUMIFS(ТГ_ИД!$E:$E,ТГ_ИД!$B:$B,ТГ!$G$14,ТГ_ИД!$D:$D,ТГ!$A255)</f>
        <v>0</v>
      </c>
    </row>
    <row r="255" spans="1:22" x14ac:dyDescent="0.25">
      <c r="A255" s="116" t="str">
        <f t="shared" si="4"/>
        <v/>
      </c>
      <c r="K255" s="130">
        <f>SUMIFS(ТГ_ИД!$E:$E,ТГ_ИД!$B:$B,ТГ!$G$3,ТГ_ИД!$D:$D,ТГ!$A256)</f>
        <v>0</v>
      </c>
      <c r="L255" s="130">
        <f>SUMIFS(ТГ_ИД!$E:$E,ТГ_ИД!$B:$B,ТГ!$G$4,ТГ_ИД!$D:$D,ТГ!$A256)</f>
        <v>0</v>
      </c>
      <c r="M255" s="130">
        <f>SUMIFS(ТГ_ИД!$E:$E,ТГ_ИД!$B:$B,ТГ!$G$5,ТГ_ИД!$D:$D,ТГ!$A256)</f>
        <v>0</v>
      </c>
      <c r="N255" s="130">
        <f>SUMIFS(ТГ_ИД!$E:$E,ТГ_ИД!$B:$B,ТГ!$G$6,ТГ_ИД!$D:$D,ТГ!$A256)</f>
        <v>0</v>
      </c>
      <c r="O255" s="130">
        <f>SUMIFS(ТГ_ИД!$E:$E,ТГ_ИД!$B:$B,ТГ!$G$7,ТГ_ИД!$D:$D,ТГ!$A256)</f>
        <v>0</v>
      </c>
      <c r="P255" s="130">
        <f>SUMIFS(ТГ_ИД!$E:$E,ТГ_ИД!$B:$B,ТГ!$G$8,ТГ_ИД!$D:$D,ТГ!$A256)</f>
        <v>0</v>
      </c>
      <c r="Q255" s="130">
        <f>SUMIFS(ТГ_ИД!$E:$E,ТГ_ИД!$B:$B,ТГ!$G$9,ТГ_ИД!$D:$D,ТГ!$A256)</f>
        <v>0</v>
      </c>
      <c r="R255" s="130">
        <f>SUMIFS(ТГ_ИД!$E:$E,ТГ_ИД!$B:$B,ТГ!$G$10,ТГ_ИД!$D:$D,ТГ!$A256)</f>
        <v>0</v>
      </c>
      <c r="S255" s="130">
        <f>SUMIFS(ТГ_ИД!$E:$E,ТГ_ИД!$B:$B,ТГ!$G$11,ТГ_ИД!$D:$D,ТГ!$A256)</f>
        <v>0</v>
      </c>
      <c r="T255" s="130">
        <f>SUMIFS(ТГ_ИД!$E:$E,ТГ_ИД!$B:$B,ТГ!$G$12,ТГ_ИД!$D:$D,ТГ!$A256)</f>
        <v>0</v>
      </c>
      <c r="U255" s="130">
        <f>SUMIFS(ТГ_ИД!$E:$E,ТГ_ИД!$B:$B,ТГ!$G$13,ТГ_ИД!$D:$D,ТГ!$A256)</f>
        <v>0</v>
      </c>
      <c r="V255" s="130">
        <f>SUMIFS(ТГ_ИД!$E:$E,ТГ_ИД!$B:$B,ТГ!$G$14,ТГ_ИД!$D:$D,ТГ!$A256)</f>
        <v>0</v>
      </c>
    </row>
    <row r="256" spans="1:22" x14ac:dyDescent="0.25">
      <c r="A256" s="116" t="str">
        <f t="shared" si="4"/>
        <v/>
      </c>
      <c r="K256" s="130">
        <f>SUMIFS(ТГ_ИД!$E:$E,ТГ_ИД!$B:$B,ТГ!$G$3,ТГ_ИД!$D:$D,ТГ!$A257)</f>
        <v>0</v>
      </c>
      <c r="L256" s="130">
        <f>SUMIFS(ТГ_ИД!$E:$E,ТГ_ИД!$B:$B,ТГ!$G$4,ТГ_ИД!$D:$D,ТГ!$A257)</f>
        <v>0</v>
      </c>
      <c r="M256" s="130">
        <f>SUMIFS(ТГ_ИД!$E:$E,ТГ_ИД!$B:$B,ТГ!$G$5,ТГ_ИД!$D:$D,ТГ!$A257)</f>
        <v>0</v>
      </c>
      <c r="N256" s="130">
        <f>SUMIFS(ТГ_ИД!$E:$E,ТГ_ИД!$B:$B,ТГ!$G$6,ТГ_ИД!$D:$D,ТГ!$A257)</f>
        <v>0</v>
      </c>
      <c r="O256" s="130">
        <f>SUMIFS(ТГ_ИД!$E:$E,ТГ_ИД!$B:$B,ТГ!$G$7,ТГ_ИД!$D:$D,ТГ!$A257)</f>
        <v>0</v>
      </c>
      <c r="P256" s="130">
        <f>SUMIFS(ТГ_ИД!$E:$E,ТГ_ИД!$B:$B,ТГ!$G$8,ТГ_ИД!$D:$D,ТГ!$A257)</f>
        <v>0</v>
      </c>
      <c r="Q256" s="130">
        <f>SUMIFS(ТГ_ИД!$E:$E,ТГ_ИД!$B:$B,ТГ!$G$9,ТГ_ИД!$D:$D,ТГ!$A257)</f>
        <v>0</v>
      </c>
      <c r="R256" s="130">
        <f>SUMIFS(ТГ_ИД!$E:$E,ТГ_ИД!$B:$B,ТГ!$G$10,ТГ_ИД!$D:$D,ТГ!$A257)</f>
        <v>0</v>
      </c>
      <c r="S256" s="130">
        <f>SUMIFS(ТГ_ИД!$E:$E,ТГ_ИД!$B:$B,ТГ!$G$11,ТГ_ИД!$D:$D,ТГ!$A257)</f>
        <v>0</v>
      </c>
      <c r="T256" s="130">
        <f>SUMIFS(ТГ_ИД!$E:$E,ТГ_ИД!$B:$B,ТГ!$G$12,ТГ_ИД!$D:$D,ТГ!$A257)</f>
        <v>0</v>
      </c>
      <c r="U256" s="130">
        <f>SUMIFS(ТГ_ИД!$E:$E,ТГ_ИД!$B:$B,ТГ!$G$13,ТГ_ИД!$D:$D,ТГ!$A257)</f>
        <v>0</v>
      </c>
      <c r="V256" s="130">
        <f>SUMIFS(ТГ_ИД!$E:$E,ТГ_ИД!$B:$B,ТГ!$G$14,ТГ_ИД!$D:$D,ТГ!$A257)</f>
        <v>0</v>
      </c>
    </row>
    <row r="257" spans="1:22" x14ac:dyDescent="0.25">
      <c r="A257" s="116" t="str">
        <f t="shared" si="4"/>
        <v/>
      </c>
      <c r="K257" s="130">
        <f>SUMIFS(ТГ_ИД!$E:$E,ТГ_ИД!$B:$B,ТГ!$G$3,ТГ_ИД!$D:$D,ТГ!$A258)</f>
        <v>0</v>
      </c>
      <c r="L257" s="130">
        <f>SUMIFS(ТГ_ИД!$E:$E,ТГ_ИД!$B:$B,ТГ!$G$4,ТГ_ИД!$D:$D,ТГ!$A258)</f>
        <v>0</v>
      </c>
      <c r="M257" s="130">
        <f>SUMIFS(ТГ_ИД!$E:$E,ТГ_ИД!$B:$B,ТГ!$G$5,ТГ_ИД!$D:$D,ТГ!$A258)</f>
        <v>0</v>
      </c>
      <c r="N257" s="130">
        <f>SUMIFS(ТГ_ИД!$E:$E,ТГ_ИД!$B:$B,ТГ!$G$6,ТГ_ИД!$D:$D,ТГ!$A258)</f>
        <v>0</v>
      </c>
      <c r="O257" s="130">
        <f>SUMIFS(ТГ_ИД!$E:$E,ТГ_ИД!$B:$B,ТГ!$G$7,ТГ_ИД!$D:$D,ТГ!$A258)</f>
        <v>0</v>
      </c>
      <c r="P257" s="130">
        <f>SUMIFS(ТГ_ИД!$E:$E,ТГ_ИД!$B:$B,ТГ!$G$8,ТГ_ИД!$D:$D,ТГ!$A258)</f>
        <v>0</v>
      </c>
      <c r="Q257" s="130">
        <f>SUMIFS(ТГ_ИД!$E:$E,ТГ_ИД!$B:$B,ТГ!$G$9,ТГ_ИД!$D:$D,ТГ!$A258)</f>
        <v>0</v>
      </c>
      <c r="R257" s="130">
        <f>SUMIFS(ТГ_ИД!$E:$E,ТГ_ИД!$B:$B,ТГ!$G$10,ТГ_ИД!$D:$D,ТГ!$A258)</f>
        <v>0</v>
      </c>
      <c r="S257" s="130">
        <f>SUMIFS(ТГ_ИД!$E:$E,ТГ_ИД!$B:$B,ТГ!$G$11,ТГ_ИД!$D:$D,ТГ!$A258)</f>
        <v>0</v>
      </c>
      <c r="T257" s="130">
        <f>SUMIFS(ТГ_ИД!$E:$E,ТГ_ИД!$B:$B,ТГ!$G$12,ТГ_ИД!$D:$D,ТГ!$A258)</f>
        <v>0</v>
      </c>
      <c r="U257" s="130">
        <f>SUMIFS(ТГ_ИД!$E:$E,ТГ_ИД!$B:$B,ТГ!$G$13,ТГ_ИД!$D:$D,ТГ!$A258)</f>
        <v>0</v>
      </c>
      <c r="V257" s="130">
        <f>SUMIFS(ТГ_ИД!$E:$E,ТГ_ИД!$B:$B,ТГ!$G$14,ТГ_ИД!$D:$D,ТГ!$A258)</f>
        <v>0</v>
      </c>
    </row>
    <row r="258" spans="1:22" x14ac:dyDescent="0.25">
      <c r="A258" s="116" t="str">
        <f t="shared" si="4"/>
        <v/>
      </c>
      <c r="K258" s="130">
        <f>SUMIFS(ТГ_ИД!$E:$E,ТГ_ИД!$B:$B,ТГ!$G$3,ТГ_ИД!$D:$D,ТГ!$A259)</f>
        <v>0</v>
      </c>
      <c r="L258" s="130">
        <f>SUMIFS(ТГ_ИД!$E:$E,ТГ_ИД!$B:$B,ТГ!$G$4,ТГ_ИД!$D:$D,ТГ!$A259)</f>
        <v>0</v>
      </c>
      <c r="M258" s="130">
        <f>SUMIFS(ТГ_ИД!$E:$E,ТГ_ИД!$B:$B,ТГ!$G$5,ТГ_ИД!$D:$D,ТГ!$A259)</f>
        <v>0</v>
      </c>
      <c r="N258" s="130">
        <f>SUMIFS(ТГ_ИД!$E:$E,ТГ_ИД!$B:$B,ТГ!$G$6,ТГ_ИД!$D:$D,ТГ!$A259)</f>
        <v>0</v>
      </c>
      <c r="O258" s="130">
        <f>SUMIFS(ТГ_ИД!$E:$E,ТГ_ИД!$B:$B,ТГ!$G$7,ТГ_ИД!$D:$D,ТГ!$A259)</f>
        <v>0</v>
      </c>
      <c r="P258" s="130">
        <f>SUMIFS(ТГ_ИД!$E:$E,ТГ_ИД!$B:$B,ТГ!$G$8,ТГ_ИД!$D:$D,ТГ!$A259)</f>
        <v>0</v>
      </c>
      <c r="Q258" s="130">
        <f>SUMIFS(ТГ_ИД!$E:$E,ТГ_ИД!$B:$B,ТГ!$G$9,ТГ_ИД!$D:$D,ТГ!$A259)</f>
        <v>0</v>
      </c>
      <c r="R258" s="130">
        <f>SUMIFS(ТГ_ИД!$E:$E,ТГ_ИД!$B:$B,ТГ!$G$10,ТГ_ИД!$D:$D,ТГ!$A259)</f>
        <v>0</v>
      </c>
      <c r="S258" s="130">
        <f>SUMIFS(ТГ_ИД!$E:$E,ТГ_ИД!$B:$B,ТГ!$G$11,ТГ_ИД!$D:$D,ТГ!$A259)</f>
        <v>0</v>
      </c>
      <c r="T258" s="130">
        <f>SUMIFS(ТГ_ИД!$E:$E,ТГ_ИД!$B:$B,ТГ!$G$12,ТГ_ИД!$D:$D,ТГ!$A259)</f>
        <v>0</v>
      </c>
      <c r="U258" s="130">
        <f>SUMIFS(ТГ_ИД!$E:$E,ТГ_ИД!$B:$B,ТГ!$G$13,ТГ_ИД!$D:$D,ТГ!$A259)</f>
        <v>0</v>
      </c>
      <c r="V258" s="130">
        <f>SUMIFS(ТГ_ИД!$E:$E,ТГ_ИД!$B:$B,ТГ!$G$14,ТГ_ИД!$D:$D,ТГ!$A259)</f>
        <v>0</v>
      </c>
    </row>
    <row r="259" spans="1:22" x14ac:dyDescent="0.25">
      <c r="A259" s="116" t="str">
        <f t="shared" si="4"/>
        <v/>
      </c>
      <c r="K259" s="130">
        <f>SUMIFS(ТГ_ИД!$E:$E,ТГ_ИД!$B:$B,ТГ!$G$3,ТГ_ИД!$D:$D,ТГ!$A260)</f>
        <v>0</v>
      </c>
      <c r="L259" s="130">
        <f>SUMIFS(ТГ_ИД!$E:$E,ТГ_ИД!$B:$B,ТГ!$G$4,ТГ_ИД!$D:$D,ТГ!$A260)</f>
        <v>0</v>
      </c>
      <c r="M259" s="130">
        <f>SUMIFS(ТГ_ИД!$E:$E,ТГ_ИД!$B:$B,ТГ!$G$5,ТГ_ИД!$D:$D,ТГ!$A260)</f>
        <v>0</v>
      </c>
      <c r="N259" s="130">
        <f>SUMIFS(ТГ_ИД!$E:$E,ТГ_ИД!$B:$B,ТГ!$G$6,ТГ_ИД!$D:$D,ТГ!$A260)</f>
        <v>0</v>
      </c>
      <c r="O259" s="130">
        <f>SUMIFS(ТГ_ИД!$E:$E,ТГ_ИД!$B:$B,ТГ!$G$7,ТГ_ИД!$D:$D,ТГ!$A260)</f>
        <v>0</v>
      </c>
      <c r="P259" s="130">
        <f>SUMIFS(ТГ_ИД!$E:$E,ТГ_ИД!$B:$B,ТГ!$G$8,ТГ_ИД!$D:$D,ТГ!$A260)</f>
        <v>0</v>
      </c>
      <c r="Q259" s="130">
        <f>SUMIFS(ТГ_ИД!$E:$E,ТГ_ИД!$B:$B,ТГ!$G$9,ТГ_ИД!$D:$D,ТГ!$A260)</f>
        <v>0</v>
      </c>
      <c r="R259" s="130">
        <f>SUMIFS(ТГ_ИД!$E:$E,ТГ_ИД!$B:$B,ТГ!$G$10,ТГ_ИД!$D:$D,ТГ!$A260)</f>
        <v>0</v>
      </c>
      <c r="S259" s="130">
        <f>SUMIFS(ТГ_ИД!$E:$E,ТГ_ИД!$B:$B,ТГ!$G$11,ТГ_ИД!$D:$D,ТГ!$A260)</f>
        <v>0</v>
      </c>
      <c r="T259" s="130">
        <f>SUMIFS(ТГ_ИД!$E:$E,ТГ_ИД!$B:$B,ТГ!$G$12,ТГ_ИД!$D:$D,ТГ!$A260)</f>
        <v>0</v>
      </c>
      <c r="U259" s="130">
        <f>SUMIFS(ТГ_ИД!$E:$E,ТГ_ИД!$B:$B,ТГ!$G$13,ТГ_ИД!$D:$D,ТГ!$A260)</f>
        <v>0</v>
      </c>
      <c r="V259" s="130">
        <f>SUMIFS(ТГ_ИД!$E:$E,ТГ_ИД!$B:$B,ТГ!$G$14,ТГ_ИД!$D:$D,ТГ!$A260)</f>
        <v>0</v>
      </c>
    </row>
    <row r="260" spans="1:22" x14ac:dyDescent="0.25">
      <c r="A260" s="116" t="str">
        <f t="shared" si="4"/>
        <v/>
      </c>
      <c r="K260" s="130">
        <f>SUMIFS(ТГ_ИД!$E:$E,ТГ_ИД!$B:$B,ТГ!$G$3,ТГ_ИД!$D:$D,ТГ!$A261)</f>
        <v>0</v>
      </c>
      <c r="L260" s="130">
        <f>SUMIFS(ТГ_ИД!$E:$E,ТГ_ИД!$B:$B,ТГ!$G$4,ТГ_ИД!$D:$D,ТГ!$A261)</f>
        <v>0</v>
      </c>
      <c r="M260" s="130">
        <f>SUMIFS(ТГ_ИД!$E:$E,ТГ_ИД!$B:$B,ТГ!$G$5,ТГ_ИД!$D:$D,ТГ!$A261)</f>
        <v>0</v>
      </c>
      <c r="N260" s="130">
        <f>SUMIFS(ТГ_ИД!$E:$E,ТГ_ИД!$B:$B,ТГ!$G$6,ТГ_ИД!$D:$D,ТГ!$A261)</f>
        <v>0</v>
      </c>
      <c r="O260" s="130">
        <f>SUMIFS(ТГ_ИД!$E:$E,ТГ_ИД!$B:$B,ТГ!$G$7,ТГ_ИД!$D:$D,ТГ!$A261)</f>
        <v>0</v>
      </c>
      <c r="P260" s="130">
        <f>SUMIFS(ТГ_ИД!$E:$E,ТГ_ИД!$B:$B,ТГ!$G$8,ТГ_ИД!$D:$D,ТГ!$A261)</f>
        <v>0</v>
      </c>
      <c r="Q260" s="130">
        <f>SUMIFS(ТГ_ИД!$E:$E,ТГ_ИД!$B:$B,ТГ!$G$9,ТГ_ИД!$D:$D,ТГ!$A261)</f>
        <v>0</v>
      </c>
      <c r="R260" s="130">
        <f>SUMIFS(ТГ_ИД!$E:$E,ТГ_ИД!$B:$B,ТГ!$G$10,ТГ_ИД!$D:$D,ТГ!$A261)</f>
        <v>0</v>
      </c>
      <c r="S260" s="130">
        <f>SUMIFS(ТГ_ИД!$E:$E,ТГ_ИД!$B:$B,ТГ!$G$11,ТГ_ИД!$D:$D,ТГ!$A261)</f>
        <v>0</v>
      </c>
      <c r="T260" s="130">
        <f>SUMIFS(ТГ_ИД!$E:$E,ТГ_ИД!$B:$B,ТГ!$G$12,ТГ_ИД!$D:$D,ТГ!$A261)</f>
        <v>0</v>
      </c>
      <c r="U260" s="130">
        <f>SUMIFS(ТГ_ИД!$E:$E,ТГ_ИД!$B:$B,ТГ!$G$13,ТГ_ИД!$D:$D,ТГ!$A261)</f>
        <v>0</v>
      </c>
      <c r="V260" s="130">
        <f>SUMIFS(ТГ_ИД!$E:$E,ТГ_ИД!$B:$B,ТГ!$G$14,ТГ_ИД!$D:$D,ТГ!$A261)</f>
        <v>0</v>
      </c>
    </row>
    <row r="261" spans="1:22" x14ac:dyDescent="0.25">
      <c r="A261" s="116" t="str">
        <f t="shared" ref="A261:A324" si="5">IF(B261="","",TEXT(B261,"00000"))</f>
        <v/>
      </c>
      <c r="K261" s="130">
        <f>SUMIFS(ТГ_ИД!$E:$E,ТГ_ИД!$B:$B,ТГ!$G$3,ТГ_ИД!$D:$D,ТГ!$A262)</f>
        <v>0</v>
      </c>
      <c r="L261" s="130">
        <f>SUMIFS(ТГ_ИД!$E:$E,ТГ_ИД!$B:$B,ТГ!$G$4,ТГ_ИД!$D:$D,ТГ!$A262)</f>
        <v>0</v>
      </c>
      <c r="M261" s="130">
        <f>SUMIFS(ТГ_ИД!$E:$E,ТГ_ИД!$B:$B,ТГ!$G$5,ТГ_ИД!$D:$D,ТГ!$A262)</f>
        <v>0</v>
      </c>
      <c r="N261" s="130">
        <f>SUMIFS(ТГ_ИД!$E:$E,ТГ_ИД!$B:$B,ТГ!$G$6,ТГ_ИД!$D:$D,ТГ!$A262)</f>
        <v>0</v>
      </c>
      <c r="O261" s="130">
        <f>SUMIFS(ТГ_ИД!$E:$E,ТГ_ИД!$B:$B,ТГ!$G$7,ТГ_ИД!$D:$D,ТГ!$A262)</f>
        <v>0</v>
      </c>
      <c r="P261" s="130">
        <f>SUMIFS(ТГ_ИД!$E:$E,ТГ_ИД!$B:$B,ТГ!$G$8,ТГ_ИД!$D:$D,ТГ!$A262)</f>
        <v>0</v>
      </c>
      <c r="Q261" s="130">
        <f>SUMIFS(ТГ_ИД!$E:$E,ТГ_ИД!$B:$B,ТГ!$G$9,ТГ_ИД!$D:$D,ТГ!$A262)</f>
        <v>0</v>
      </c>
      <c r="R261" s="130">
        <f>SUMIFS(ТГ_ИД!$E:$E,ТГ_ИД!$B:$B,ТГ!$G$10,ТГ_ИД!$D:$D,ТГ!$A262)</f>
        <v>0</v>
      </c>
      <c r="S261" s="130">
        <f>SUMIFS(ТГ_ИД!$E:$E,ТГ_ИД!$B:$B,ТГ!$G$11,ТГ_ИД!$D:$D,ТГ!$A262)</f>
        <v>0</v>
      </c>
      <c r="T261" s="130">
        <f>SUMIFS(ТГ_ИД!$E:$E,ТГ_ИД!$B:$B,ТГ!$G$12,ТГ_ИД!$D:$D,ТГ!$A262)</f>
        <v>0</v>
      </c>
      <c r="U261" s="130">
        <f>SUMIFS(ТГ_ИД!$E:$E,ТГ_ИД!$B:$B,ТГ!$G$13,ТГ_ИД!$D:$D,ТГ!$A262)</f>
        <v>0</v>
      </c>
      <c r="V261" s="130">
        <f>SUMIFS(ТГ_ИД!$E:$E,ТГ_ИД!$B:$B,ТГ!$G$14,ТГ_ИД!$D:$D,ТГ!$A262)</f>
        <v>0</v>
      </c>
    </row>
    <row r="262" spans="1:22" x14ac:dyDescent="0.25">
      <c r="A262" s="116" t="str">
        <f t="shared" si="5"/>
        <v/>
      </c>
      <c r="K262" s="130">
        <f>SUMIFS(ТГ_ИД!$E:$E,ТГ_ИД!$B:$B,ТГ!$G$3,ТГ_ИД!$D:$D,ТГ!$A263)</f>
        <v>0</v>
      </c>
      <c r="L262" s="130">
        <f>SUMIFS(ТГ_ИД!$E:$E,ТГ_ИД!$B:$B,ТГ!$G$4,ТГ_ИД!$D:$D,ТГ!$A263)</f>
        <v>0</v>
      </c>
      <c r="M262" s="130">
        <f>SUMIFS(ТГ_ИД!$E:$E,ТГ_ИД!$B:$B,ТГ!$G$5,ТГ_ИД!$D:$D,ТГ!$A263)</f>
        <v>0</v>
      </c>
      <c r="N262" s="130">
        <f>SUMIFS(ТГ_ИД!$E:$E,ТГ_ИД!$B:$B,ТГ!$G$6,ТГ_ИД!$D:$D,ТГ!$A263)</f>
        <v>0</v>
      </c>
      <c r="O262" s="130">
        <f>SUMIFS(ТГ_ИД!$E:$E,ТГ_ИД!$B:$B,ТГ!$G$7,ТГ_ИД!$D:$D,ТГ!$A263)</f>
        <v>0</v>
      </c>
      <c r="P262" s="130">
        <f>SUMIFS(ТГ_ИД!$E:$E,ТГ_ИД!$B:$B,ТГ!$G$8,ТГ_ИД!$D:$D,ТГ!$A263)</f>
        <v>0</v>
      </c>
      <c r="Q262" s="130">
        <f>SUMIFS(ТГ_ИД!$E:$E,ТГ_ИД!$B:$B,ТГ!$G$9,ТГ_ИД!$D:$D,ТГ!$A263)</f>
        <v>0</v>
      </c>
      <c r="R262" s="130">
        <f>SUMIFS(ТГ_ИД!$E:$E,ТГ_ИД!$B:$B,ТГ!$G$10,ТГ_ИД!$D:$D,ТГ!$A263)</f>
        <v>0</v>
      </c>
      <c r="S262" s="130">
        <f>SUMIFS(ТГ_ИД!$E:$E,ТГ_ИД!$B:$B,ТГ!$G$11,ТГ_ИД!$D:$D,ТГ!$A263)</f>
        <v>0</v>
      </c>
      <c r="T262" s="130">
        <f>SUMIFS(ТГ_ИД!$E:$E,ТГ_ИД!$B:$B,ТГ!$G$12,ТГ_ИД!$D:$D,ТГ!$A263)</f>
        <v>0</v>
      </c>
      <c r="U262" s="130">
        <f>SUMIFS(ТГ_ИД!$E:$E,ТГ_ИД!$B:$B,ТГ!$G$13,ТГ_ИД!$D:$D,ТГ!$A263)</f>
        <v>0</v>
      </c>
      <c r="V262" s="130">
        <f>SUMIFS(ТГ_ИД!$E:$E,ТГ_ИД!$B:$B,ТГ!$G$14,ТГ_ИД!$D:$D,ТГ!$A263)</f>
        <v>0</v>
      </c>
    </row>
    <row r="263" spans="1:22" x14ac:dyDescent="0.25">
      <c r="A263" s="116" t="str">
        <f t="shared" si="5"/>
        <v/>
      </c>
      <c r="K263" s="130">
        <f>SUMIFS(ТГ_ИД!$E:$E,ТГ_ИД!$B:$B,ТГ!$G$3,ТГ_ИД!$D:$D,ТГ!$A264)</f>
        <v>0</v>
      </c>
      <c r="L263" s="130">
        <f>SUMIFS(ТГ_ИД!$E:$E,ТГ_ИД!$B:$B,ТГ!$G$4,ТГ_ИД!$D:$D,ТГ!$A264)</f>
        <v>0</v>
      </c>
      <c r="M263" s="130">
        <f>SUMIFS(ТГ_ИД!$E:$E,ТГ_ИД!$B:$B,ТГ!$G$5,ТГ_ИД!$D:$D,ТГ!$A264)</f>
        <v>0</v>
      </c>
      <c r="N263" s="130">
        <f>SUMIFS(ТГ_ИД!$E:$E,ТГ_ИД!$B:$B,ТГ!$G$6,ТГ_ИД!$D:$D,ТГ!$A264)</f>
        <v>0</v>
      </c>
      <c r="O263" s="130">
        <f>SUMIFS(ТГ_ИД!$E:$E,ТГ_ИД!$B:$B,ТГ!$G$7,ТГ_ИД!$D:$D,ТГ!$A264)</f>
        <v>0</v>
      </c>
      <c r="P263" s="130">
        <f>SUMIFS(ТГ_ИД!$E:$E,ТГ_ИД!$B:$B,ТГ!$G$8,ТГ_ИД!$D:$D,ТГ!$A264)</f>
        <v>0</v>
      </c>
      <c r="Q263" s="130">
        <f>SUMIFS(ТГ_ИД!$E:$E,ТГ_ИД!$B:$B,ТГ!$G$9,ТГ_ИД!$D:$D,ТГ!$A264)</f>
        <v>0</v>
      </c>
      <c r="R263" s="130">
        <f>SUMIFS(ТГ_ИД!$E:$E,ТГ_ИД!$B:$B,ТГ!$G$10,ТГ_ИД!$D:$D,ТГ!$A264)</f>
        <v>0</v>
      </c>
      <c r="S263" s="130">
        <f>SUMIFS(ТГ_ИД!$E:$E,ТГ_ИД!$B:$B,ТГ!$G$11,ТГ_ИД!$D:$D,ТГ!$A264)</f>
        <v>0</v>
      </c>
      <c r="T263" s="130">
        <f>SUMIFS(ТГ_ИД!$E:$E,ТГ_ИД!$B:$B,ТГ!$G$12,ТГ_ИД!$D:$D,ТГ!$A264)</f>
        <v>0</v>
      </c>
      <c r="U263" s="130">
        <f>SUMIFS(ТГ_ИД!$E:$E,ТГ_ИД!$B:$B,ТГ!$G$13,ТГ_ИД!$D:$D,ТГ!$A264)</f>
        <v>0</v>
      </c>
      <c r="V263" s="130">
        <f>SUMIFS(ТГ_ИД!$E:$E,ТГ_ИД!$B:$B,ТГ!$G$14,ТГ_ИД!$D:$D,ТГ!$A264)</f>
        <v>0</v>
      </c>
    </row>
    <row r="264" spans="1:22" x14ac:dyDescent="0.25">
      <c r="A264" s="116" t="str">
        <f t="shared" si="5"/>
        <v/>
      </c>
      <c r="K264" s="130">
        <f>SUMIFS(ТГ_ИД!$E:$E,ТГ_ИД!$B:$B,ТГ!$G$3,ТГ_ИД!$D:$D,ТГ!$A265)</f>
        <v>0</v>
      </c>
      <c r="L264" s="130">
        <f>SUMIFS(ТГ_ИД!$E:$E,ТГ_ИД!$B:$B,ТГ!$G$4,ТГ_ИД!$D:$D,ТГ!$A265)</f>
        <v>0</v>
      </c>
      <c r="M264" s="130">
        <f>SUMIFS(ТГ_ИД!$E:$E,ТГ_ИД!$B:$B,ТГ!$G$5,ТГ_ИД!$D:$D,ТГ!$A265)</f>
        <v>0</v>
      </c>
      <c r="N264" s="130">
        <f>SUMIFS(ТГ_ИД!$E:$E,ТГ_ИД!$B:$B,ТГ!$G$6,ТГ_ИД!$D:$D,ТГ!$A265)</f>
        <v>0</v>
      </c>
      <c r="O264" s="130">
        <f>SUMIFS(ТГ_ИД!$E:$E,ТГ_ИД!$B:$B,ТГ!$G$7,ТГ_ИД!$D:$D,ТГ!$A265)</f>
        <v>0</v>
      </c>
      <c r="P264" s="130">
        <f>SUMIFS(ТГ_ИД!$E:$E,ТГ_ИД!$B:$B,ТГ!$G$8,ТГ_ИД!$D:$D,ТГ!$A265)</f>
        <v>0</v>
      </c>
      <c r="Q264" s="130">
        <f>SUMIFS(ТГ_ИД!$E:$E,ТГ_ИД!$B:$B,ТГ!$G$9,ТГ_ИД!$D:$D,ТГ!$A265)</f>
        <v>0</v>
      </c>
      <c r="R264" s="130">
        <f>SUMIFS(ТГ_ИД!$E:$E,ТГ_ИД!$B:$B,ТГ!$G$10,ТГ_ИД!$D:$D,ТГ!$A265)</f>
        <v>0</v>
      </c>
      <c r="S264" s="130">
        <f>SUMIFS(ТГ_ИД!$E:$E,ТГ_ИД!$B:$B,ТГ!$G$11,ТГ_ИД!$D:$D,ТГ!$A265)</f>
        <v>0</v>
      </c>
      <c r="T264" s="130">
        <f>SUMIFS(ТГ_ИД!$E:$E,ТГ_ИД!$B:$B,ТГ!$G$12,ТГ_ИД!$D:$D,ТГ!$A265)</f>
        <v>0</v>
      </c>
      <c r="U264" s="130">
        <f>SUMIFS(ТГ_ИД!$E:$E,ТГ_ИД!$B:$B,ТГ!$G$13,ТГ_ИД!$D:$D,ТГ!$A265)</f>
        <v>0</v>
      </c>
      <c r="V264" s="130">
        <f>SUMIFS(ТГ_ИД!$E:$E,ТГ_ИД!$B:$B,ТГ!$G$14,ТГ_ИД!$D:$D,ТГ!$A265)</f>
        <v>0</v>
      </c>
    </row>
    <row r="265" spans="1:22" x14ac:dyDescent="0.25">
      <c r="A265" s="116" t="str">
        <f t="shared" si="5"/>
        <v/>
      </c>
      <c r="K265" s="130">
        <f>SUMIFS(ТГ_ИД!$E:$E,ТГ_ИД!$B:$B,ТГ!$G$3,ТГ_ИД!$D:$D,ТГ!$A266)</f>
        <v>0</v>
      </c>
      <c r="L265" s="130">
        <f>SUMIFS(ТГ_ИД!$E:$E,ТГ_ИД!$B:$B,ТГ!$G$4,ТГ_ИД!$D:$D,ТГ!$A266)</f>
        <v>0</v>
      </c>
      <c r="M265" s="130">
        <f>SUMIFS(ТГ_ИД!$E:$E,ТГ_ИД!$B:$B,ТГ!$G$5,ТГ_ИД!$D:$D,ТГ!$A266)</f>
        <v>0</v>
      </c>
      <c r="N265" s="130">
        <f>SUMIFS(ТГ_ИД!$E:$E,ТГ_ИД!$B:$B,ТГ!$G$6,ТГ_ИД!$D:$D,ТГ!$A266)</f>
        <v>0</v>
      </c>
      <c r="O265" s="130">
        <f>SUMIFS(ТГ_ИД!$E:$E,ТГ_ИД!$B:$B,ТГ!$G$7,ТГ_ИД!$D:$D,ТГ!$A266)</f>
        <v>0</v>
      </c>
      <c r="P265" s="130">
        <f>SUMIFS(ТГ_ИД!$E:$E,ТГ_ИД!$B:$B,ТГ!$G$8,ТГ_ИД!$D:$D,ТГ!$A266)</f>
        <v>0</v>
      </c>
      <c r="Q265" s="130">
        <f>SUMIFS(ТГ_ИД!$E:$E,ТГ_ИД!$B:$B,ТГ!$G$9,ТГ_ИД!$D:$D,ТГ!$A266)</f>
        <v>0</v>
      </c>
      <c r="R265" s="130">
        <f>SUMIFS(ТГ_ИД!$E:$E,ТГ_ИД!$B:$B,ТГ!$G$10,ТГ_ИД!$D:$D,ТГ!$A266)</f>
        <v>0</v>
      </c>
      <c r="S265" s="130">
        <f>SUMIFS(ТГ_ИД!$E:$E,ТГ_ИД!$B:$B,ТГ!$G$11,ТГ_ИД!$D:$D,ТГ!$A266)</f>
        <v>0</v>
      </c>
      <c r="T265" s="130">
        <f>SUMIFS(ТГ_ИД!$E:$E,ТГ_ИД!$B:$B,ТГ!$G$12,ТГ_ИД!$D:$D,ТГ!$A266)</f>
        <v>0</v>
      </c>
      <c r="U265" s="130">
        <f>SUMIFS(ТГ_ИД!$E:$E,ТГ_ИД!$B:$B,ТГ!$G$13,ТГ_ИД!$D:$D,ТГ!$A266)</f>
        <v>0</v>
      </c>
      <c r="V265" s="130">
        <f>SUMIFS(ТГ_ИД!$E:$E,ТГ_ИД!$B:$B,ТГ!$G$14,ТГ_ИД!$D:$D,ТГ!$A266)</f>
        <v>0</v>
      </c>
    </row>
    <row r="266" spans="1:22" x14ac:dyDescent="0.25">
      <c r="A266" s="116" t="str">
        <f t="shared" si="5"/>
        <v/>
      </c>
      <c r="K266" s="130">
        <f>SUMIFS(ТГ_ИД!$E:$E,ТГ_ИД!$B:$B,ТГ!$G$3,ТГ_ИД!$D:$D,ТГ!$A267)</f>
        <v>0</v>
      </c>
      <c r="L266" s="130">
        <f>SUMIFS(ТГ_ИД!$E:$E,ТГ_ИД!$B:$B,ТГ!$G$4,ТГ_ИД!$D:$D,ТГ!$A267)</f>
        <v>0</v>
      </c>
      <c r="M266" s="130">
        <f>SUMIFS(ТГ_ИД!$E:$E,ТГ_ИД!$B:$B,ТГ!$G$5,ТГ_ИД!$D:$D,ТГ!$A267)</f>
        <v>0</v>
      </c>
      <c r="N266" s="130">
        <f>SUMIFS(ТГ_ИД!$E:$E,ТГ_ИД!$B:$B,ТГ!$G$6,ТГ_ИД!$D:$D,ТГ!$A267)</f>
        <v>0</v>
      </c>
      <c r="O266" s="130">
        <f>SUMIFS(ТГ_ИД!$E:$E,ТГ_ИД!$B:$B,ТГ!$G$7,ТГ_ИД!$D:$D,ТГ!$A267)</f>
        <v>0</v>
      </c>
      <c r="P266" s="130">
        <f>SUMIFS(ТГ_ИД!$E:$E,ТГ_ИД!$B:$B,ТГ!$G$8,ТГ_ИД!$D:$D,ТГ!$A267)</f>
        <v>0</v>
      </c>
      <c r="Q266" s="130">
        <f>SUMIFS(ТГ_ИД!$E:$E,ТГ_ИД!$B:$B,ТГ!$G$9,ТГ_ИД!$D:$D,ТГ!$A267)</f>
        <v>0</v>
      </c>
      <c r="R266" s="130">
        <f>SUMIFS(ТГ_ИД!$E:$E,ТГ_ИД!$B:$B,ТГ!$G$10,ТГ_ИД!$D:$D,ТГ!$A267)</f>
        <v>0</v>
      </c>
      <c r="S266" s="130">
        <f>SUMIFS(ТГ_ИД!$E:$E,ТГ_ИД!$B:$B,ТГ!$G$11,ТГ_ИД!$D:$D,ТГ!$A267)</f>
        <v>0</v>
      </c>
      <c r="T266" s="130">
        <f>SUMIFS(ТГ_ИД!$E:$E,ТГ_ИД!$B:$B,ТГ!$G$12,ТГ_ИД!$D:$D,ТГ!$A267)</f>
        <v>0</v>
      </c>
      <c r="U266" s="130">
        <f>SUMIFS(ТГ_ИД!$E:$E,ТГ_ИД!$B:$B,ТГ!$G$13,ТГ_ИД!$D:$D,ТГ!$A267)</f>
        <v>0</v>
      </c>
      <c r="V266" s="130">
        <f>SUMIFS(ТГ_ИД!$E:$E,ТГ_ИД!$B:$B,ТГ!$G$14,ТГ_ИД!$D:$D,ТГ!$A267)</f>
        <v>0</v>
      </c>
    </row>
    <row r="267" spans="1:22" x14ac:dyDescent="0.25">
      <c r="A267" s="116" t="str">
        <f t="shared" si="5"/>
        <v/>
      </c>
      <c r="K267" s="130">
        <f>SUMIFS(ТГ_ИД!$E:$E,ТГ_ИД!$B:$B,ТГ!$G$3,ТГ_ИД!$D:$D,ТГ!$A268)</f>
        <v>0</v>
      </c>
      <c r="L267" s="130">
        <f>SUMIFS(ТГ_ИД!$E:$E,ТГ_ИД!$B:$B,ТГ!$G$4,ТГ_ИД!$D:$D,ТГ!$A268)</f>
        <v>0</v>
      </c>
      <c r="M267" s="130">
        <f>SUMIFS(ТГ_ИД!$E:$E,ТГ_ИД!$B:$B,ТГ!$G$5,ТГ_ИД!$D:$D,ТГ!$A268)</f>
        <v>0</v>
      </c>
      <c r="N267" s="130">
        <f>SUMIFS(ТГ_ИД!$E:$E,ТГ_ИД!$B:$B,ТГ!$G$6,ТГ_ИД!$D:$D,ТГ!$A268)</f>
        <v>0</v>
      </c>
      <c r="O267" s="130">
        <f>SUMIFS(ТГ_ИД!$E:$E,ТГ_ИД!$B:$B,ТГ!$G$7,ТГ_ИД!$D:$D,ТГ!$A268)</f>
        <v>0</v>
      </c>
      <c r="P267" s="130">
        <f>SUMIFS(ТГ_ИД!$E:$E,ТГ_ИД!$B:$B,ТГ!$G$8,ТГ_ИД!$D:$D,ТГ!$A268)</f>
        <v>0</v>
      </c>
      <c r="Q267" s="130">
        <f>SUMIFS(ТГ_ИД!$E:$E,ТГ_ИД!$B:$B,ТГ!$G$9,ТГ_ИД!$D:$D,ТГ!$A268)</f>
        <v>0</v>
      </c>
      <c r="R267" s="130">
        <f>SUMIFS(ТГ_ИД!$E:$E,ТГ_ИД!$B:$B,ТГ!$G$10,ТГ_ИД!$D:$D,ТГ!$A268)</f>
        <v>0</v>
      </c>
      <c r="S267" s="130">
        <f>SUMIFS(ТГ_ИД!$E:$E,ТГ_ИД!$B:$B,ТГ!$G$11,ТГ_ИД!$D:$D,ТГ!$A268)</f>
        <v>0</v>
      </c>
      <c r="T267" s="130">
        <f>SUMIFS(ТГ_ИД!$E:$E,ТГ_ИД!$B:$B,ТГ!$G$12,ТГ_ИД!$D:$D,ТГ!$A268)</f>
        <v>0</v>
      </c>
      <c r="U267" s="130">
        <f>SUMIFS(ТГ_ИД!$E:$E,ТГ_ИД!$B:$B,ТГ!$G$13,ТГ_ИД!$D:$D,ТГ!$A268)</f>
        <v>0</v>
      </c>
      <c r="V267" s="130">
        <f>SUMIFS(ТГ_ИД!$E:$E,ТГ_ИД!$B:$B,ТГ!$G$14,ТГ_ИД!$D:$D,ТГ!$A268)</f>
        <v>0</v>
      </c>
    </row>
    <row r="268" spans="1:22" x14ac:dyDescent="0.25">
      <c r="A268" s="116" t="str">
        <f t="shared" si="5"/>
        <v/>
      </c>
      <c r="K268" s="130">
        <f>SUMIFS(ТГ_ИД!$E:$E,ТГ_ИД!$B:$B,ТГ!$G$3,ТГ_ИД!$D:$D,ТГ!$A269)</f>
        <v>0</v>
      </c>
      <c r="L268" s="130">
        <f>SUMIFS(ТГ_ИД!$E:$E,ТГ_ИД!$B:$B,ТГ!$G$4,ТГ_ИД!$D:$D,ТГ!$A269)</f>
        <v>0</v>
      </c>
      <c r="M268" s="130">
        <f>SUMIFS(ТГ_ИД!$E:$E,ТГ_ИД!$B:$B,ТГ!$G$5,ТГ_ИД!$D:$D,ТГ!$A269)</f>
        <v>0</v>
      </c>
      <c r="N268" s="130">
        <f>SUMIFS(ТГ_ИД!$E:$E,ТГ_ИД!$B:$B,ТГ!$G$6,ТГ_ИД!$D:$D,ТГ!$A269)</f>
        <v>0</v>
      </c>
      <c r="O268" s="130">
        <f>SUMIFS(ТГ_ИД!$E:$E,ТГ_ИД!$B:$B,ТГ!$G$7,ТГ_ИД!$D:$D,ТГ!$A269)</f>
        <v>0</v>
      </c>
      <c r="P268" s="130">
        <f>SUMIFS(ТГ_ИД!$E:$E,ТГ_ИД!$B:$B,ТГ!$G$8,ТГ_ИД!$D:$D,ТГ!$A269)</f>
        <v>0</v>
      </c>
      <c r="Q268" s="130">
        <f>SUMIFS(ТГ_ИД!$E:$E,ТГ_ИД!$B:$B,ТГ!$G$9,ТГ_ИД!$D:$D,ТГ!$A269)</f>
        <v>0</v>
      </c>
      <c r="R268" s="130">
        <f>SUMIFS(ТГ_ИД!$E:$E,ТГ_ИД!$B:$B,ТГ!$G$10,ТГ_ИД!$D:$D,ТГ!$A269)</f>
        <v>0</v>
      </c>
      <c r="S268" s="130">
        <f>SUMIFS(ТГ_ИД!$E:$E,ТГ_ИД!$B:$B,ТГ!$G$11,ТГ_ИД!$D:$D,ТГ!$A269)</f>
        <v>0</v>
      </c>
      <c r="T268" s="130">
        <f>SUMIFS(ТГ_ИД!$E:$E,ТГ_ИД!$B:$B,ТГ!$G$12,ТГ_ИД!$D:$D,ТГ!$A269)</f>
        <v>0</v>
      </c>
      <c r="U268" s="130">
        <f>SUMIFS(ТГ_ИД!$E:$E,ТГ_ИД!$B:$B,ТГ!$G$13,ТГ_ИД!$D:$D,ТГ!$A269)</f>
        <v>0</v>
      </c>
      <c r="V268" s="130">
        <f>SUMIFS(ТГ_ИД!$E:$E,ТГ_ИД!$B:$B,ТГ!$G$14,ТГ_ИД!$D:$D,ТГ!$A269)</f>
        <v>0</v>
      </c>
    </row>
    <row r="269" spans="1:22" x14ac:dyDescent="0.25">
      <c r="A269" s="116" t="str">
        <f t="shared" si="5"/>
        <v/>
      </c>
      <c r="K269" s="130">
        <f>SUMIFS(ТГ_ИД!$E:$E,ТГ_ИД!$B:$B,ТГ!$G$3,ТГ_ИД!$D:$D,ТГ!$A270)</f>
        <v>0</v>
      </c>
      <c r="L269" s="130">
        <f>SUMIFS(ТГ_ИД!$E:$E,ТГ_ИД!$B:$B,ТГ!$G$4,ТГ_ИД!$D:$D,ТГ!$A270)</f>
        <v>0</v>
      </c>
      <c r="M269" s="130">
        <f>SUMIFS(ТГ_ИД!$E:$E,ТГ_ИД!$B:$B,ТГ!$G$5,ТГ_ИД!$D:$D,ТГ!$A270)</f>
        <v>0</v>
      </c>
      <c r="N269" s="130">
        <f>SUMIFS(ТГ_ИД!$E:$E,ТГ_ИД!$B:$B,ТГ!$G$6,ТГ_ИД!$D:$D,ТГ!$A270)</f>
        <v>0</v>
      </c>
      <c r="O269" s="130">
        <f>SUMIFS(ТГ_ИД!$E:$E,ТГ_ИД!$B:$B,ТГ!$G$7,ТГ_ИД!$D:$D,ТГ!$A270)</f>
        <v>0</v>
      </c>
      <c r="P269" s="130">
        <f>SUMIFS(ТГ_ИД!$E:$E,ТГ_ИД!$B:$B,ТГ!$G$8,ТГ_ИД!$D:$D,ТГ!$A270)</f>
        <v>0</v>
      </c>
      <c r="Q269" s="130">
        <f>SUMIFS(ТГ_ИД!$E:$E,ТГ_ИД!$B:$B,ТГ!$G$9,ТГ_ИД!$D:$D,ТГ!$A270)</f>
        <v>0</v>
      </c>
      <c r="R269" s="130">
        <f>SUMIFS(ТГ_ИД!$E:$E,ТГ_ИД!$B:$B,ТГ!$G$10,ТГ_ИД!$D:$D,ТГ!$A270)</f>
        <v>0</v>
      </c>
      <c r="S269" s="130">
        <f>SUMIFS(ТГ_ИД!$E:$E,ТГ_ИД!$B:$B,ТГ!$G$11,ТГ_ИД!$D:$D,ТГ!$A270)</f>
        <v>0</v>
      </c>
      <c r="T269" s="130">
        <f>SUMIFS(ТГ_ИД!$E:$E,ТГ_ИД!$B:$B,ТГ!$G$12,ТГ_ИД!$D:$D,ТГ!$A270)</f>
        <v>0</v>
      </c>
      <c r="U269" s="130">
        <f>SUMIFS(ТГ_ИД!$E:$E,ТГ_ИД!$B:$B,ТГ!$G$13,ТГ_ИД!$D:$D,ТГ!$A270)</f>
        <v>0</v>
      </c>
      <c r="V269" s="130">
        <f>SUMIFS(ТГ_ИД!$E:$E,ТГ_ИД!$B:$B,ТГ!$G$14,ТГ_ИД!$D:$D,ТГ!$A270)</f>
        <v>0</v>
      </c>
    </row>
    <row r="270" spans="1:22" x14ac:dyDescent="0.25">
      <c r="A270" s="116" t="str">
        <f t="shared" si="5"/>
        <v/>
      </c>
      <c r="K270" s="130">
        <f>SUMIFS(ТГ_ИД!$E:$E,ТГ_ИД!$B:$B,ТГ!$G$3,ТГ_ИД!$D:$D,ТГ!$A271)</f>
        <v>0</v>
      </c>
      <c r="L270" s="130">
        <f>SUMIFS(ТГ_ИД!$E:$E,ТГ_ИД!$B:$B,ТГ!$G$4,ТГ_ИД!$D:$D,ТГ!$A271)</f>
        <v>0</v>
      </c>
      <c r="M270" s="130">
        <f>SUMIFS(ТГ_ИД!$E:$E,ТГ_ИД!$B:$B,ТГ!$G$5,ТГ_ИД!$D:$D,ТГ!$A271)</f>
        <v>0</v>
      </c>
      <c r="N270" s="130">
        <f>SUMIFS(ТГ_ИД!$E:$E,ТГ_ИД!$B:$B,ТГ!$G$6,ТГ_ИД!$D:$D,ТГ!$A271)</f>
        <v>0</v>
      </c>
      <c r="O270" s="130">
        <f>SUMIFS(ТГ_ИД!$E:$E,ТГ_ИД!$B:$B,ТГ!$G$7,ТГ_ИД!$D:$D,ТГ!$A271)</f>
        <v>0</v>
      </c>
      <c r="P270" s="130">
        <f>SUMIFS(ТГ_ИД!$E:$E,ТГ_ИД!$B:$B,ТГ!$G$8,ТГ_ИД!$D:$D,ТГ!$A271)</f>
        <v>0</v>
      </c>
      <c r="Q270" s="130">
        <f>SUMIFS(ТГ_ИД!$E:$E,ТГ_ИД!$B:$B,ТГ!$G$9,ТГ_ИД!$D:$D,ТГ!$A271)</f>
        <v>0</v>
      </c>
      <c r="R270" s="130">
        <f>SUMIFS(ТГ_ИД!$E:$E,ТГ_ИД!$B:$B,ТГ!$G$10,ТГ_ИД!$D:$D,ТГ!$A271)</f>
        <v>0</v>
      </c>
      <c r="S270" s="130">
        <f>SUMIFS(ТГ_ИД!$E:$E,ТГ_ИД!$B:$B,ТГ!$G$11,ТГ_ИД!$D:$D,ТГ!$A271)</f>
        <v>0</v>
      </c>
      <c r="T270" s="130">
        <f>SUMIFS(ТГ_ИД!$E:$E,ТГ_ИД!$B:$B,ТГ!$G$12,ТГ_ИД!$D:$D,ТГ!$A271)</f>
        <v>0</v>
      </c>
      <c r="U270" s="130">
        <f>SUMIFS(ТГ_ИД!$E:$E,ТГ_ИД!$B:$B,ТГ!$G$13,ТГ_ИД!$D:$D,ТГ!$A271)</f>
        <v>0</v>
      </c>
      <c r="V270" s="130">
        <f>SUMIFS(ТГ_ИД!$E:$E,ТГ_ИД!$B:$B,ТГ!$G$14,ТГ_ИД!$D:$D,ТГ!$A271)</f>
        <v>0</v>
      </c>
    </row>
    <row r="271" spans="1:22" x14ac:dyDescent="0.25">
      <c r="A271" s="116" t="str">
        <f t="shared" si="5"/>
        <v/>
      </c>
      <c r="K271" s="130">
        <f>SUMIFS(ТГ_ИД!$E:$E,ТГ_ИД!$B:$B,ТГ!$G$3,ТГ_ИД!$D:$D,ТГ!$A272)</f>
        <v>0</v>
      </c>
      <c r="L271" s="130">
        <f>SUMIFS(ТГ_ИД!$E:$E,ТГ_ИД!$B:$B,ТГ!$G$4,ТГ_ИД!$D:$D,ТГ!$A272)</f>
        <v>0</v>
      </c>
      <c r="M271" s="130">
        <f>SUMIFS(ТГ_ИД!$E:$E,ТГ_ИД!$B:$B,ТГ!$G$5,ТГ_ИД!$D:$D,ТГ!$A272)</f>
        <v>0</v>
      </c>
      <c r="N271" s="130">
        <f>SUMIFS(ТГ_ИД!$E:$E,ТГ_ИД!$B:$B,ТГ!$G$6,ТГ_ИД!$D:$D,ТГ!$A272)</f>
        <v>0</v>
      </c>
      <c r="O271" s="130">
        <f>SUMIFS(ТГ_ИД!$E:$E,ТГ_ИД!$B:$B,ТГ!$G$7,ТГ_ИД!$D:$D,ТГ!$A272)</f>
        <v>0</v>
      </c>
      <c r="P271" s="130">
        <f>SUMIFS(ТГ_ИД!$E:$E,ТГ_ИД!$B:$B,ТГ!$G$8,ТГ_ИД!$D:$D,ТГ!$A272)</f>
        <v>0</v>
      </c>
      <c r="Q271" s="130">
        <f>SUMIFS(ТГ_ИД!$E:$E,ТГ_ИД!$B:$B,ТГ!$G$9,ТГ_ИД!$D:$D,ТГ!$A272)</f>
        <v>0</v>
      </c>
      <c r="R271" s="130">
        <f>SUMIFS(ТГ_ИД!$E:$E,ТГ_ИД!$B:$B,ТГ!$G$10,ТГ_ИД!$D:$D,ТГ!$A272)</f>
        <v>0</v>
      </c>
      <c r="S271" s="130">
        <f>SUMIFS(ТГ_ИД!$E:$E,ТГ_ИД!$B:$B,ТГ!$G$11,ТГ_ИД!$D:$D,ТГ!$A272)</f>
        <v>0</v>
      </c>
      <c r="T271" s="130">
        <f>SUMIFS(ТГ_ИД!$E:$E,ТГ_ИД!$B:$B,ТГ!$G$12,ТГ_ИД!$D:$D,ТГ!$A272)</f>
        <v>0</v>
      </c>
      <c r="U271" s="130">
        <f>SUMIFS(ТГ_ИД!$E:$E,ТГ_ИД!$B:$B,ТГ!$G$13,ТГ_ИД!$D:$D,ТГ!$A272)</f>
        <v>0</v>
      </c>
      <c r="V271" s="130">
        <f>SUMIFS(ТГ_ИД!$E:$E,ТГ_ИД!$B:$B,ТГ!$G$14,ТГ_ИД!$D:$D,ТГ!$A272)</f>
        <v>0</v>
      </c>
    </row>
    <row r="272" spans="1:22" x14ac:dyDescent="0.25">
      <c r="A272" s="116" t="str">
        <f t="shared" si="5"/>
        <v/>
      </c>
      <c r="K272" s="130">
        <f>SUMIFS(ТГ_ИД!$E:$E,ТГ_ИД!$B:$B,ТГ!$G$3,ТГ_ИД!$D:$D,ТГ!$A273)</f>
        <v>0</v>
      </c>
      <c r="L272" s="130">
        <f>SUMIFS(ТГ_ИД!$E:$E,ТГ_ИД!$B:$B,ТГ!$G$4,ТГ_ИД!$D:$D,ТГ!$A273)</f>
        <v>0</v>
      </c>
      <c r="M272" s="130">
        <f>SUMIFS(ТГ_ИД!$E:$E,ТГ_ИД!$B:$B,ТГ!$G$5,ТГ_ИД!$D:$D,ТГ!$A273)</f>
        <v>0</v>
      </c>
      <c r="N272" s="130">
        <f>SUMIFS(ТГ_ИД!$E:$E,ТГ_ИД!$B:$B,ТГ!$G$6,ТГ_ИД!$D:$D,ТГ!$A273)</f>
        <v>0</v>
      </c>
      <c r="O272" s="130">
        <f>SUMIFS(ТГ_ИД!$E:$E,ТГ_ИД!$B:$B,ТГ!$G$7,ТГ_ИД!$D:$D,ТГ!$A273)</f>
        <v>0</v>
      </c>
      <c r="P272" s="130">
        <f>SUMIFS(ТГ_ИД!$E:$E,ТГ_ИД!$B:$B,ТГ!$G$8,ТГ_ИД!$D:$D,ТГ!$A273)</f>
        <v>0</v>
      </c>
      <c r="Q272" s="130">
        <f>SUMIFS(ТГ_ИД!$E:$E,ТГ_ИД!$B:$B,ТГ!$G$9,ТГ_ИД!$D:$D,ТГ!$A273)</f>
        <v>0</v>
      </c>
      <c r="R272" s="130">
        <f>SUMIFS(ТГ_ИД!$E:$E,ТГ_ИД!$B:$B,ТГ!$G$10,ТГ_ИД!$D:$D,ТГ!$A273)</f>
        <v>0</v>
      </c>
      <c r="S272" s="130">
        <f>SUMIFS(ТГ_ИД!$E:$E,ТГ_ИД!$B:$B,ТГ!$G$11,ТГ_ИД!$D:$D,ТГ!$A273)</f>
        <v>0</v>
      </c>
      <c r="T272" s="130">
        <f>SUMIFS(ТГ_ИД!$E:$E,ТГ_ИД!$B:$B,ТГ!$G$12,ТГ_ИД!$D:$D,ТГ!$A273)</f>
        <v>0</v>
      </c>
      <c r="U272" s="130">
        <f>SUMIFS(ТГ_ИД!$E:$E,ТГ_ИД!$B:$B,ТГ!$G$13,ТГ_ИД!$D:$D,ТГ!$A273)</f>
        <v>0</v>
      </c>
      <c r="V272" s="130">
        <f>SUMIFS(ТГ_ИД!$E:$E,ТГ_ИД!$B:$B,ТГ!$G$14,ТГ_ИД!$D:$D,ТГ!$A273)</f>
        <v>0</v>
      </c>
    </row>
    <row r="273" spans="1:22" x14ac:dyDescent="0.25">
      <c r="A273" s="116" t="str">
        <f t="shared" si="5"/>
        <v/>
      </c>
      <c r="K273" s="130">
        <f>SUMIFS(ТГ_ИД!$E:$E,ТГ_ИД!$B:$B,ТГ!$G$3,ТГ_ИД!$D:$D,ТГ!$A274)</f>
        <v>0</v>
      </c>
      <c r="L273" s="130">
        <f>SUMIFS(ТГ_ИД!$E:$E,ТГ_ИД!$B:$B,ТГ!$G$4,ТГ_ИД!$D:$D,ТГ!$A274)</f>
        <v>0</v>
      </c>
      <c r="M273" s="130">
        <f>SUMIFS(ТГ_ИД!$E:$E,ТГ_ИД!$B:$B,ТГ!$G$5,ТГ_ИД!$D:$D,ТГ!$A274)</f>
        <v>0</v>
      </c>
      <c r="N273" s="130">
        <f>SUMIFS(ТГ_ИД!$E:$E,ТГ_ИД!$B:$B,ТГ!$G$6,ТГ_ИД!$D:$D,ТГ!$A274)</f>
        <v>0</v>
      </c>
      <c r="O273" s="130">
        <f>SUMIFS(ТГ_ИД!$E:$E,ТГ_ИД!$B:$B,ТГ!$G$7,ТГ_ИД!$D:$D,ТГ!$A274)</f>
        <v>0</v>
      </c>
      <c r="P273" s="130">
        <f>SUMIFS(ТГ_ИД!$E:$E,ТГ_ИД!$B:$B,ТГ!$G$8,ТГ_ИД!$D:$D,ТГ!$A274)</f>
        <v>0</v>
      </c>
      <c r="Q273" s="130">
        <f>SUMIFS(ТГ_ИД!$E:$E,ТГ_ИД!$B:$B,ТГ!$G$9,ТГ_ИД!$D:$D,ТГ!$A274)</f>
        <v>0</v>
      </c>
      <c r="R273" s="130">
        <f>SUMIFS(ТГ_ИД!$E:$E,ТГ_ИД!$B:$B,ТГ!$G$10,ТГ_ИД!$D:$D,ТГ!$A274)</f>
        <v>0</v>
      </c>
      <c r="S273" s="130">
        <f>SUMIFS(ТГ_ИД!$E:$E,ТГ_ИД!$B:$B,ТГ!$G$11,ТГ_ИД!$D:$D,ТГ!$A274)</f>
        <v>0</v>
      </c>
      <c r="T273" s="130">
        <f>SUMIFS(ТГ_ИД!$E:$E,ТГ_ИД!$B:$B,ТГ!$G$12,ТГ_ИД!$D:$D,ТГ!$A274)</f>
        <v>0</v>
      </c>
      <c r="U273" s="130">
        <f>SUMIFS(ТГ_ИД!$E:$E,ТГ_ИД!$B:$B,ТГ!$G$13,ТГ_ИД!$D:$D,ТГ!$A274)</f>
        <v>0</v>
      </c>
      <c r="V273" s="130">
        <f>SUMIFS(ТГ_ИД!$E:$E,ТГ_ИД!$B:$B,ТГ!$G$14,ТГ_ИД!$D:$D,ТГ!$A274)</f>
        <v>0</v>
      </c>
    </row>
    <row r="274" spans="1:22" x14ac:dyDescent="0.25">
      <c r="A274" s="116" t="str">
        <f t="shared" si="5"/>
        <v/>
      </c>
      <c r="K274" s="130">
        <f>SUMIFS(ТГ_ИД!$E:$E,ТГ_ИД!$B:$B,ТГ!$G$3,ТГ_ИД!$D:$D,ТГ!$A275)</f>
        <v>0</v>
      </c>
      <c r="L274" s="130">
        <f>SUMIFS(ТГ_ИД!$E:$E,ТГ_ИД!$B:$B,ТГ!$G$4,ТГ_ИД!$D:$D,ТГ!$A275)</f>
        <v>0</v>
      </c>
      <c r="M274" s="130">
        <f>SUMIFS(ТГ_ИД!$E:$E,ТГ_ИД!$B:$B,ТГ!$G$5,ТГ_ИД!$D:$D,ТГ!$A275)</f>
        <v>0</v>
      </c>
      <c r="N274" s="130">
        <f>SUMIFS(ТГ_ИД!$E:$E,ТГ_ИД!$B:$B,ТГ!$G$6,ТГ_ИД!$D:$D,ТГ!$A275)</f>
        <v>0</v>
      </c>
      <c r="O274" s="130">
        <f>SUMIFS(ТГ_ИД!$E:$E,ТГ_ИД!$B:$B,ТГ!$G$7,ТГ_ИД!$D:$D,ТГ!$A275)</f>
        <v>0</v>
      </c>
      <c r="P274" s="130">
        <f>SUMIFS(ТГ_ИД!$E:$E,ТГ_ИД!$B:$B,ТГ!$G$8,ТГ_ИД!$D:$D,ТГ!$A275)</f>
        <v>0</v>
      </c>
      <c r="Q274" s="130">
        <f>SUMIFS(ТГ_ИД!$E:$E,ТГ_ИД!$B:$B,ТГ!$G$9,ТГ_ИД!$D:$D,ТГ!$A275)</f>
        <v>0</v>
      </c>
      <c r="R274" s="130">
        <f>SUMIFS(ТГ_ИД!$E:$E,ТГ_ИД!$B:$B,ТГ!$G$10,ТГ_ИД!$D:$D,ТГ!$A275)</f>
        <v>0</v>
      </c>
      <c r="S274" s="130">
        <f>SUMIFS(ТГ_ИД!$E:$E,ТГ_ИД!$B:$B,ТГ!$G$11,ТГ_ИД!$D:$D,ТГ!$A275)</f>
        <v>0</v>
      </c>
      <c r="T274" s="130">
        <f>SUMIFS(ТГ_ИД!$E:$E,ТГ_ИД!$B:$B,ТГ!$G$12,ТГ_ИД!$D:$D,ТГ!$A275)</f>
        <v>0</v>
      </c>
      <c r="U274" s="130">
        <f>SUMIFS(ТГ_ИД!$E:$E,ТГ_ИД!$B:$B,ТГ!$G$13,ТГ_ИД!$D:$D,ТГ!$A275)</f>
        <v>0</v>
      </c>
      <c r="V274" s="130">
        <f>SUMIFS(ТГ_ИД!$E:$E,ТГ_ИД!$B:$B,ТГ!$G$14,ТГ_ИД!$D:$D,ТГ!$A275)</f>
        <v>0</v>
      </c>
    </row>
    <row r="275" spans="1:22" x14ac:dyDescent="0.25">
      <c r="A275" s="116" t="str">
        <f t="shared" si="5"/>
        <v/>
      </c>
      <c r="K275" s="130">
        <f>SUMIFS(ТГ_ИД!$E:$E,ТГ_ИД!$B:$B,ТГ!$G$3,ТГ_ИД!$D:$D,ТГ!$A276)</f>
        <v>0</v>
      </c>
      <c r="L275" s="130">
        <f>SUMIFS(ТГ_ИД!$E:$E,ТГ_ИД!$B:$B,ТГ!$G$4,ТГ_ИД!$D:$D,ТГ!$A276)</f>
        <v>0</v>
      </c>
      <c r="M275" s="130">
        <f>SUMIFS(ТГ_ИД!$E:$E,ТГ_ИД!$B:$B,ТГ!$G$5,ТГ_ИД!$D:$D,ТГ!$A276)</f>
        <v>0</v>
      </c>
      <c r="N275" s="130">
        <f>SUMIFS(ТГ_ИД!$E:$E,ТГ_ИД!$B:$B,ТГ!$G$6,ТГ_ИД!$D:$D,ТГ!$A276)</f>
        <v>0</v>
      </c>
      <c r="O275" s="130">
        <f>SUMIFS(ТГ_ИД!$E:$E,ТГ_ИД!$B:$B,ТГ!$G$7,ТГ_ИД!$D:$D,ТГ!$A276)</f>
        <v>0</v>
      </c>
      <c r="P275" s="130">
        <f>SUMIFS(ТГ_ИД!$E:$E,ТГ_ИД!$B:$B,ТГ!$G$8,ТГ_ИД!$D:$D,ТГ!$A276)</f>
        <v>0</v>
      </c>
      <c r="Q275" s="130">
        <f>SUMIFS(ТГ_ИД!$E:$E,ТГ_ИД!$B:$B,ТГ!$G$9,ТГ_ИД!$D:$D,ТГ!$A276)</f>
        <v>0</v>
      </c>
      <c r="R275" s="130">
        <f>SUMIFS(ТГ_ИД!$E:$E,ТГ_ИД!$B:$B,ТГ!$G$10,ТГ_ИД!$D:$D,ТГ!$A276)</f>
        <v>0</v>
      </c>
      <c r="S275" s="130">
        <f>SUMIFS(ТГ_ИД!$E:$E,ТГ_ИД!$B:$B,ТГ!$G$11,ТГ_ИД!$D:$D,ТГ!$A276)</f>
        <v>0</v>
      </c>
      <c r="T275" s="130">
        <f>SUMIFS(ТГ_ИД!$E:$E,ТГ_ИД!$B:$B,ТГ!$G$12,ТГ_ИД!$D:$D,ТГ!$A276)</f>
        <v>0</v>
      </c>
      <c r="U275" s="130">
        <f>SUMIFS(ТГ_ИД!$E:$E,ТГ_ИД!$B:$B,ТГ!$G$13,ТГ_ИД!$D:$D,ТГ!$A276)</f>
        <v>0</v>
      </c>
      <c r="V275" s="130">
        <f>SUMIFS(ТГ_ИД!$E:$E,ТГ_ИД!$B:$B,ТГ!$G$14,ТГ_ИД!$D:$D,ТГ!$A276)</f>
        <v>0</v>
      </c>
    </row>
    <row r="276" spans="1:22" x14ac:dyDescent="0.25">
      <c r="A276" s="116" t="str">
        <f t="shared" si="5"/>
        <v/>
      </c>
      <c r="K276" s="130">
        <f>SUMIFS(ТГ_ИД!$E:$E,ТГ_ИД!$B:$B,ТГ!$G$3,ТГ_ИД!$D:$D,ТГ!$A277)</f>
        <v>0</v>
      </c>
      <c r="L276" s="130">
        <f>SUMIFS(ТГ_ИД!$E:$E,ТГ_ИД!$B:$B,ТГ!$G$4,ТГ_ИД!$D:$D,ТГ!$A277)</f>
        <v>0</v>
      </c>
      <c r="M276" s="130">
        <f>SUMIFS(ТГ_ИД!$E:$E,ТГ_ИД!$B:$B,ТГ!$G$5,ТГ_ИД!$D:$D,ТГ!$A277)</f>
        <v>0</v>
      </c>
      <c r="N276" s="130">
        <f>SUMIFS(ТГ_ИД!$E:$E,ТГ_ИД!$B:$B,ТГ!$G$6,ТГ_ИД!$D:$D,ТГ!$A277)</f>
        <v>0</v>
      </c>
      <c r="O276" s="130">
        <f>SUMIFS(ТГ_ИД!$E:$E,ТГ_ИД!$B:$B,ТГ!$G$7,ТГ_ИД!$D:$D,ТГ!$A277)</f>
        <v>0</v>
      </c>
      <c r="P276" s="130">
        <f>SUMIFS(ТГ_ИД!$E:$E,ТГ_ИД!$B:$B,ТГ!$G$8,ТГ_ИД!$D:$D,ТГ!$A277)</f>
        <v>0</v>
      </c>
      <c r="Q276" s="130">
        <f>SUMIFS(ТГ_ИД!$E:$E,ТГ_ИД!$B:$B,ТГ!$G$9,ТГ_ИД!$D:$D,ТГ!$A277)</f>
        <v>0</v>
      </c>
      <c r="R276" s="130">
        <f>SUMIFS(ТГ_ИД!$E:$E,ТГ_ИД!$B:$B,ТГ!$G$10,ТГ_ИД!$D:$D,ТГ!$A277)</f>
        <v>0</v>
      </c>
      <c r="S276" s="130">
        <f>SUMIFS(ТГ_ИД!$E:$E,ТГ_ИД!$B:$B,ТГ!$G$11,ТГ_ИД!$D:$D,ТГ!$A277)</f>
        <v>0</v>
      </c>
      <c r="T276" s="130">
        <f>SUMIFS(ТГ_ИД!$E:$E,ТГ_ИД!$B:$B,ТГ!$G$12,ТГ_ИД!$D:$D,ТГ!$A277)</f>
        <v>0</v>
      </c>
      <c r="U276" s="130">
        <f>SUMIFS(ТГ_ИД!$E:$E,ТГ_ИД!$B:$B,ТГ!$G$13,ТГ_ИД!$D:$D,ТГ!$A277)</f>
        <v>0</v>
      </c>
      <c r="V276" s="130">
        <f>SUMIFS(ТГ_ИД!$E:$E,ТГ_ИД!$B:$B,ТГ!$G$14,ТГ_ИД!$D:$D,ТГ!$A277)</f>
        <v>0</v>
      </c>
    </row>
    <row r="277" spans="1:22" x14ac:dyDescent="0.25">
      <c r="A277" s="116" t="str">
        <f t="shared" si="5"/>
        <v/>
      </c>
      <c r="K277" s="130">
        <f>SUMIFS(ТГ_ИД!$E:$E,ТГ_ИД!$B:$B,ТГ!$G$3,ТГ_ИД!$D:$D,ТГ!$A278)</f>
        <v>0</v>
      </c>
      <c r="L277" s="130">
        <f>SUMIFS(ТГ_ИД!$E:$E,ТГ_ИД!$B:$B,ТГ!$G$4,ТГ_ИД!$D:$D,ТГ!$A278)</f>
        <v>0</v>
      </c>
      <c r="M277" s="130">
        <f>SUMIFS(ТГ_ИД!$E:$E,ТГ_ИД!$B:$B,ТГ!$G$5,ТГ_ИД!$D:$D,ТГ!$A278)</f>
        <v>0</v>
      </c>
      <c r="N277" s="130">
        <f>SUMIFS(ТГ_ИД!$E:$E,ТГ_ИД!$B:$B,ТГ!$G$6,ТГ_ИД!$D:$D,ТГ!$A278)</f>
        <v>0</v>
      </c>
      <c r="O277" s="130">
        <f>SUMIFS(ТГ_ИД!$E:$E,ТГ_ИД!$B:$B,ТГ!$G$7,ТГ_ИД!$D:$D,ТГ!$A278)</f>
        <v>0</v>
      </c>
      <c r="P277" s="130">
        <f>SUMIFS(ТГ_ИД!$E:$E,ТГ_ИД!$B:$B,ТГ!$G$8,ТГ_ИД!$D:$D,ТГ!$A278)</f>
        <v>0</v>
      </c>
      <c r="Q277" s="130">
        <f>SUMIFS(ТГ_ИД!$E:$E,ТГ_ИД!$B:$B,ТГ!$G$9,ТГ_ИД!$D:$D,ТГ!$A278)</f>
        <v>0</v>
      </c>
      <c r="R277" s="130">
        <f>SUMIFS(ТГ_ИД!$E:$E,ТГ_ИД!$B:$B,ТГ!$G$10,ТГ_ИД!$D:$D,ТГ!$A278)</f>
        <v>0</v>
      </c>
      <c r="S277" s="130">
        <f>SUMIFS(ТГ_ИД!$E:$E,ТГ_ИД!$B:$B,ТГ!$G$11,ТГ_ИД!$D:$D,ТГ!$A278)</f>
        <v>0</v>
      </c>
      <c r="T277" s="130">
        <f>SUMIFS(ТГ_ИД!$E:$E,ТГ_ИД!$B:$B,ТГ!$G$12,ТГ_ИД!$D:$D,ТГ!$A278)</f>
        <v>0</v>
      </c>
      <c r="U277" s="130">
        <f>SUMIFS(ТГ_ИД!$E:$E,ТГ_ИД!$B:$B,ТГ!$G$13,ТГ_ИД!$D:$D,ТГ!$A278)</f>
        <v>0</v>
      </c>
      <c r="V277" s="130">
        <f>SUMIFS(ТГ_ИД!$E:$E,ТГ_ИД!$B:$B,ТГ!$G$14,ТГ_ИД!$D:$D,ТГ!$A278)</f>
        <v>0</v>
      </c>
    </row>
    <row r="278" spans="1:22" x14ac:dyDescent="0.25">
      <c r="A278" s="116" t="str">
        <f t="shared" si="5"/>
        <v/>
      </c>
      <c r="K278" s="130">
        <f>SUMIFS(ТГ_ИД!$E:$E,ТГ_ИД!$B:$B,ТГ!$G$3,ТГ_ИД!$D:$D,ТГ!$A279)</f>
        <v>0</v>
      </c>
      <c r="L278" s="130">
        <f>SUMIFS(ТГ_ИД!$E:$E,ТГ_ИД!$B:$B,ТГ!$G$4,ТГ_ИД!$D:$D,ТГ!$A279)</f>
        <v>0</v>
      </c>
      <c r="M278" s="130">
        <f>SUMIFS(ТГ_ИД!$E:$E,ТГ_ИД!$B:$B,ТГ!$G$5,ТГ_ИД!$D:$D,ТГ!$A279)</f>
        <v>0</v>
      </c>
      <c r="N278" s="130">
        <f>SUMIFS(ТГ_ИД!$E:$E,ТГ_ИД!$B:$B,ТГ!$G$6,ТГ_ИД!$D:$D,ТГ!$A279)</f>
        <v>0</v>
      </c>
      <c r="O278" s="130">
        <f>SUMIFS(ТГ_ИД!$E:$E,ТГ_ИД!$B:$B,ТГ!$G$7,ТГ_ИД!$D:$D,ТГ!$A279)</f>
        <v>0</v>
      </c>
      <c r="P278" s="130">
        <f>SUMIFS(ТГ_ИД!$E:$E,ТГ_ИД!$B:$B,ТГ!$G$8,ТГ_ИД!$D:$D,ТГ!$A279)</f>
        <v>0</v>
      </c>
      <c r="Q278" s="130">
        <f>SUMIFS(ТГ_ИД!$E:$E,ТГ_ИД!$B:$B,ТГ!$G$9,ТГ_ИД!$D:$D,ТГ!$A279)</f>
        <v>0</v>
      </c>
      <c r="R278" s="130">
        <f>SUMIFS(ТГ_ИД!$E:$E,ТГ_ИД!$B:$B,ТГ!$G$10,ТГ_ИД!$D:$D,ТГ!$A279)</f>
        <v>0</v>
      </c>
      <c r="S278" s="130">
        <f>SUMIFS(ТГ_ИД!$E:$E,ТГ_ИД!$B:$B,ТГ!$G$11,ТГ_ИД!$D:$D,ТГ!$A279)</f>
        <v>0</v>
      </c>
      <c r="T278" s="130">
        <f>SUMIFS(ТГ_ИД!$E:$E,ТГ_ИД!$B:$B,ТГ!$G$12,ТГ_ИД!$D:$D,ТГ!$A279)</f>
        <v>0</v>
      </c>
      <c r="U278" s="130">
        <f>SUMIFS(ТГ_ИД!$E:$E,ТГ_ИД!$B:$B,ТГ!$G$13,ТГ_ИД!$D:$D,ТГ!$A279)</f>
        <v>0</v>
      </c>
      <c r="V278" s="130">
        <f>SUMIFS(ТГ_ИД!$E:$E,ТГ_ИД!$B:$B,ТГ!$G$14,ТГ_ИД!$D:$D,ТГ!$A279)</f>
        <v>0</v>
      </c>
    </row>
    <row r="279" spans="1:22" x14ac:dyDescent="0.25">
      <c r="A279" s="116" t="str">
        <f t="shared" si="5"/>
        <v/>
      </c>
      <c r="K279" s="130">
        <f>SUMIFS(ТГ_ИД!$E:$E,ТГ_ИД!$B:$B,ТГ!$G$3,ТГ_ИД!$D:$D,ТГ!$A280)</f>
        <v>0</v>
      </c>
      <c r="L279" s="130">
        <f>SUMIFS(ТГ_ИД!$E:$E,ТГ_ИД!$B:$B,ТГ!$G$4,ТГ_ИД!$D:$D,ТГ!$A280)</f>
        <v>0</v>
      </c>
      <c r="M279" s="130">
        <f>SUMIFS(ТГ_ИД!$E:$E,ТГ_ИД!$B:$B,ТГ!$G$5,ТГ_ИД!$D:$D,ТГ!$A280)</f>
        <v>0</v>
      </c>
      <c r="N279" s="130">
        <f>SUMIFS(ТГ_ИД!$E:$E,ТГ_ИД!$B:$B,ТГ!$G$6,ТГ_ИД!$D:$D,ТГ!$A280)</f>
        <v>0</v>
      </c>
      <c r="O279" s="130">
        <f>SUMIFS(ТГ_ИД!$E:$E,ТГ_ИД!$B:$B,ТГ!$G$7,ТГ_ИД!$D:$D,ТГ!$A280)</f>
        <v>0</v>
      </c>
      <c r="P279" s="130">
        <f>SUMIFS(ТГ_ИД!$E:$E,ТГ_ИД!$B:$B,ТГ!$G$8,ТГ_ИД!$D:$D,ТГ!$A280)</f>
        <v>0</v>
      </c>
      <c r="Q279" s="130">
        <f>SUMIFS(ТГ_ИД!$E:$E,ТГ_ИД!$B:$B,ТГ!$G$9,ТГ_ИД!$D:$D,ТГ!$A280)</f>
        <v>0</v>
      </c>
      <c r="R279" s="130">
        <f>SUMIFS(ТГ_ИД!$E:$E,ТГ_ИД!$B:$B,ТГ!$G$10,ТГ_ИД!$D:$D,ТГ!$A280)</f>
        <v>0</v>
      </c>
      <c r="S279" s="130">
        <f>SUMIFS(ТГ_ИД!$E:$E,ТГ_ИД!$B:$B,ТГ!$G$11,ТГ_ИД!$D:$D,ТГ!$A280)</f>
        <v>0</v>
      </c>
      <c r="T279" s="130">
        <f>SUMIFS(ТГ_ИД!$E:$E,ТГ_ИД!$B:$B,ТГ!$G$12,ТГ_ИД!$D:$D,ТГ!$A280)</f>
        <v>0</v>
      </c>
      <c r="U279" s="130">
        <f>SUMIFS(ТГ_ИД!$E:$E,ТГ_ИД!$B:$B,ТГ!$G$13,ТГ_ИД!$D:$D,ТГ!$A280)</f>
        <v>0</v>
      </c>
      <c r="V279" s="130">
        <f>SUMIFS(ТГ_ИД!$E:$E,ТГ_ИД!$B:$B,ТГ!$G$14,ТГ_ИД!$D:$D,ТГ!$A280)</f>
        <v>0</v>
      </c>
    </row>
    <row r="280" spans="1:22" x14ac:dyDescent="0.25">
      <c r="A280" s="116" t="str">
        <f t="shared" si="5"/>
        <v/>
      </c>
      <c r="K280" s="130">
        <f>SUMIFS(ТГ_ИД!$E:$E,ТГ_ИД!$B:$B,ТГ!$G$3,ТГ_ИД!$D:$D,ТГ!$A281)</f>
        <v>0</v>
      </c>
      <c r="L280" s="130">
        <f>SUMIFS(ТГ_ИД!$E:$E,ТГ_ИД!$B:$B,ТГ!$G$4,ТГ_ИД!$D:$D,ТГ!$A281)</f>
        <v>0</v>
      </c>
      <c r="M280" s="130">
        <f>SUMIFS(ТГ_ИД!$E:$E,ТГ_ИД!$B:$B,ТГ!$G$5,ТГ_ИД!$D:$D,ТГ!$A281)</f>
        <v>0</v>
      </c>
      <c r="N280" s="130">
        <f>SUMIFS(ТГ_ИД!$E:$E,ТГ_ИД!$B:$B,ТГ!$G$6,ТГ_ИД!$D:$D,ТГ!$A281)</f>
        <v>0</v>
      </c>
      <c r="O280" s="130">
        <f>SUMIFS(ТГ_ИД!$E:$E,ТГ_ИД!$B:$B,ТГ!$G$7,ТГ_ИД!$D:$D,ТГ!$A281)</f>
        <v>0</v>
      </c>
      <c r="P280" s="130">
        <f>SUMIFS(ТГ_ИД!$E:$E,ТГ_ИД!$B:$B,ТГ!$G$8,ТГ_ИД!$D:$D,ТГ!$A281)</f>
        <v>0</v>
      </c>
      <c r="Q280" s="130">
        <f>SUMIFS(ТГ_ИД!$E:$E,ТГ_ИД!$B:$B,ТГ!$G$9,ТГ_ИД!$D:$D,ТГ!$A281)</f>
        <v>0</v>
      </c>
      <c r="R280" s="130">
        <f>SUMIFS(ТГ_ИД!$E:$E,ТГ_ИД!$B:$B,ТГ!$G$10,ТГ_ИД!$D:$D,ТГ!$A281)</f>
        <v>0</v>
      </c>
      <c r="S280" s="130">
        <f>SUMIFS(ТГ_ИД!$E:$E,ТГ_ИД!$B:$B,ТГ!$G$11,ТГ_ИД!$D:$D,ТГ!$A281)</f>
        <v>0</v>
      </c>
      <c r="T280" s="130">
        <f>SUMIFS(ТГ_ИД!$E:$E,ТГ_ИД!$B:$B,ТГ!$G$12,ТГ_ИД!$D:$D,ТГ!$A281)</f>
        <v>0</v>
      </c>
      <c r="U280" s="130">
        <f>SUMIFS(ТГ_ИД!$E:$E,ТГ_ИД!$B:$B,ТГ!$G$13,ТГ_ИД!$D:$D,ТГ!$A281)</f>
        <v>0</v>
      </c>
      <c r="V280" s="130">
        <f>SUMIFS(ТГ_ИД!$E:$E,ТГ_ИД!$B:$B,ТГ!$G$14,ТГ_ИД!$D:$D,ТГ!$A281)</f>
        <v>0</v>
      </c>
    </row>
    <row r="281" spans="1:22" x14ac:dyDescent="0.25">
      <c r="A281" s="116" t="str">
        <f t="shared" si="5"/>
        <v/>
      </c>
      <c r="K281" s="130">
        <f>SUMIFS(ТГ_ИД!$E:$E,ТГ_ИД!$B:$B,ТГ!$G$3,ТГ_ИД!$D:$D,ТГ!$A282)</f>
        <v>0</v>
      </c>
      <c r="L281" s="130">
        <f>SUMIFS(ТГ_ИД!$E:$E,ТГ_ИД!$B:$B,ТГ!$G$4,ТГ_ИД!$D:$D,ТГ!$A282)</f>
        <v>0</v>
      </c>
      <c r="M281" s="130">
        <f>SUMIFS(ТГ_ИД!$E:$E,ТГ_ИД!$B:$B,ТГ!$G$5,ТГ_ИД!$D:$D,ТГ!$A282)</f>
        <v>0</v>
      </c>
      <c r="N281" s="130">
        <f>SUMIFS(ТГ_ИД!$E:$E,ТГ_ИД!$B:$B,ТГ!$G$6,ТГ_ИД!$D:$D,ТГ!$A282)</f>
        <v>0</v>
      </c>
      <c r="O281" s="130">
        <f>SUMIFS(ТГ_ИД!$E:$E,ТГ_ИД!$B:$B,ТГ!$G$7,ТГ_ИД!$D:$D,ТГ!$A282)</f>
        <v>0</v>
      </c>
      <c r="P281" s="130">
        <f>SUMIFS(ТГ_ИД!$E:$E,ТГ_ИД!$B:$B,ТГ!$G$8,ТГ_ИД!$D:$D,ТГ!$A282)</f>
        <v>0</v>
      </c>
      <c r="Q281" s="130">
        <f>SUMIFS(ТГ_ИД!$E:$E,ТГ_ИД!$B:$B,ТГ!$G$9,ТГ_ИД!$D:$D,ТГ!$A282)</f>
        <v>0</v>
      </c>
      <c r="R281" s="130">
        <f>SUMIFS(ТГ_ИД!$E:$E,ТГ_ИД!$B:$B,ТГ!$G$10,ТГ_ИД!$D:$D,ТГ!$A282)</f>
        <v>0</v>
      </c>
      <c r="S281" s="130">
        <f>SUMIFS(ТГ_ИД!$E:$E,ТГ_ИД!$B:$B,ТГ!$G$11,ТГ_ИД!$D:$D,ТГ!$A282)</f>
        <v>0</v>
      </c>
      <c r="T281" s="130">
        <f>SUMIFS(ТГ_ИД!$E:$E,ТГ_ИД!$B:$B,ТГ!$G$12,ТГ_ИД!$D:$D,ТГ!$A282)</f>
        <v>0</v>
      </c>
      <c r="U281" s="130">
        <f>SUMIFS(ТГ_ИД!$E:$E,ТГ_ИД!$B:$B,ТГ!$G$13,ТГ_ИД!$D:$D,ТГ!$A282)</f>
        <v>0</v>
      </c>
      <c r="V281" s="130">
        <f>SUMIFS(ТГ_ИД!$E:$E,ТГ_ИД!$B:$B,ТГ!$G$14,ТГ_ИД!$D:$D,ТГ!$A282)</f>
        <v>0</v>
      </c>
    </row>
    <row r="282" spans="1:22" x14ac:dyDescent="0.25">
      <c r="A282" s="116" t="str">
        <f t="shared" si="5"/>
        <v/>
      </c>
      <c r="K282" s="130">
        <f>SUMIFS(ТГ_ИД!$E:$E,ТГ_ИД!$B:$B,ТГ!$G$3,ТГ_ИД!$D:$D,ТГ!$A283)</f>
        <v>0</v>
      </c>
      <c r="L282" s="130">
        <f>SUMIFS(ТГ_ИД!$E:$E,ТГ_ИД!$B:$B,ТГ!$G$4,ТГ_ИД!$D:$D,ТГ!$A283)</f>
        <v>0</v>
      </c>
      <c r="M282" s="130">
        <f>SUMIFS(ТГ_ИД!$E:$E,ТГ_ИД!$B:$B,ТГ!$G$5,ТГ_ИД!$D:$D,ТГ!$A283)</f>
        <v>0</v>
      </c>
      <c r="N282" s="130">
        <f>SUMIFS(ТГ_ИД!$E:$E,ТГ_ИД!$B:$B,ТГ!$G$6,ТГ_ИД!$D:$D,ТГ!$A283)</f>
        <v>0</v>
      </c>
      <c r="O282" s="130">
        <f>SUMIFS(ТГ_ИД!$E:$E,ТГ_ИД!$B:$B,ТГ!$G$7,ТГ_ИД!$D:$D,ТГ!$A283)</f>
        <v>0</v>
      </c>
      <c r="P282" s="130">
        <f>SUMIFS(ТГ_ИД!$E:$E,ТГ_ИД!$B:$B,ТГ!$G$8,ТГ_ИД!$D:$D,ТГ!$A283)</f>
        <v>0</v>
      </c>
      <c r="Q282" s="130">
        <f>SUMIFS(ТГ_ИД!$E:$E,ТГ_ИД!$B:$B,ТГ!$G$9,ТГ_ИД!$D:$D,ТГ!$A283)</f>
        <v>0</v>
      </c>
      <c r="R282" s="130">
        <f>SUMIFS(ТГ_ИД!$E:$E,ТГ_ИД!$B:$B,ТГ!$G$10,ТГ_ИД!$D:$D,ТГ!$A283)</f>
        <v>0</v>
      </c>
      <c r="S282" s="130">
        <f>SUMIFS(ТГ_ИД!$E:$E,ТГ_ИД!$B:$B,ТГ!$G$11,ТГ_ИД!$D:$D,ТГ!$A283)</f>
        <v>0</v>
      </c>
      <c r="T282" s="130">
        <f>SUMIFS(ТГ_ИД!$E:$E,ТГ_ИД!$B:$B,ТГ!$G$12,ТГ_ИД!$D:$D,ТГ!$A283)</f>
        <v>0</v>
      </c>
      <c r="U282" s="130">
        <f>SUMIFS(ТГ_ИД!$E:$E,ТГ_ИД!$B:$B,ТГ!$G$13,ТГ_ИД!$D:$D,ТГ!$A283)</f>
        <v>0</v>
      </c>
      <c r="V282" s="130">
        <f>SUMIFS(ТГ_ИД!$E:$E,ТГ_ИД!$B:$B,ТГ!$G$14,ТГ_ИД!$D:$D,ТГ!$A283)</f>
        <v>0</v>
      </c>
    </row>
    <row r="283" spans="1:22" x14ac:dyDescent="0.25">
      <c r="A283" s="116" t="str">
        <f t="shared" si="5"/>
        <v/>
      </c>
      <c r="K283" s="130">
        <f>SUMIFS(ТГ_ИД!$E:$E,ТГ_ИД!$B:$B,ТГ!$G$3,ТГ_ИД!$D:$D,ТГ!$A284)</f>
        <v>0</v>
      </c>
      <c r="L283" s="130">
        <f>SUMIFS(ТГ_ИД!$E:$E,ТГ_ИД!$B:$B,ТГ!$G$4,ТГ_ИД!$D:$D,ТГ!$A284)</f>
        <v>0</v>
      </c>
      <c r="M283" s="130">
        <f>SUMIFS(ТГ_ИД!$E:$E,ТГ_ИД!$B:$B,ТГ!$G$5,ТГ_ИД!$D:$D,ТГ!$A284)</f>
        <v>0</v>
      </c>
      <c r="N283" s="130">
        <f>SUMIFS(ТГ_ИД!$E:$E,ТГ_ИД!$B:$B,ТГ!$G$6,ТГ_ИД!$D:$D,ТГ!$A284)</f>
        <v>0</v>
      </c>
      <c r="O283" s="130">
        <f>SUMIFS(ТГ_ИД!$E:$E,ТГ_ИД!$B:$B,ТГ!$G$7,ТГ_ИД!$D:$D,ТГ!$A284)</f>
        <v>0</v>
      </c>
      <c r="P283" s="130">
        <f>SUMIFS(ТГ_ИД!$E:$E,ТГ_ИД!$B:$B,ТГ!$G$8,ТГ_ИД!$D:$D,ТГ!$A284)</f>
        <v>0</v>
      </c>
      <c r="Q283" s="130">
        <f>SUMIFS(ТГ_ИД!$E:$E,ТГ_ИД!$B:$B,ТГ!$G$9,ТГ_ИД!$D:$D,ТГ!$A284)</f>
        <v>0</v>
      </c>
      <c r="R283" s="130">
        <f>SUMIFS(ТГ_ИД!$E:$E,ТГ_ИД!$B:$B,ТГ!$G$10,ТГ_ИД!$D:$D,ТГ!$A284)</f>
        <v>0</v>
      </c>
      <c r="S283" s="130">
        <f>SUMIFS(ТГ_ИД!$E:$E,ТГ_ИД!$B:$B,ТГ!$G$11,ТГ_ИД!$D:$D,ТГ!$A284)</f>
        <v>0</v>
      </c>
      <c r="T283" s="130">
        <f>SUMIFS(ТГ_ИД!$E:$E,ТГ_ИД!$B:$B,ТГ!$G$12,ТГ_ИД!$D:$D,ТГ!$A284)</f>
        <v>0</v>
      </c>
      <c r="U283" s="130">
        <f>SUMIFS(ТГ_ИД!$E:$E,ТГ_ИД!$B:$B,ТГ!$G$13,ТГ_ИД!$D:$D,ТГ!$A284)</f>
        <v>0</v>
      </c>
      <c r="V283" s="130">
        <f>SUMIFS(ТГ_ИД!$E:$E,ТГ_ИД!$B:$B,ТГ!$G$14,ТГ_ИД!$D:$D,ТГ!$A284)</f>
        <v>0</v>
      </c>
    </row>
    <row r="284" spans="1:22" x14ac:dyDescent="0.25">
      <c r="A284" s="116" t="str">
        <f t="shared" si="5"/>
        <v/>
      </c>
      <c r="K284" s="130">
        <f>SUMIFS(ТГ_ИД!$E:$E,ТГ_ИД!$B:$B,ТГ!$G$3,ТГ_ИД!$D:$D,ТГ!$A285)</f>
        <v>0</v>
      </c>
      <c r="L284" s="130">
        <f>SUMIFS(ТГ_ИД!$E:$E,ТГ_ИД!$B:$B,ТГ!$G$4,ТГ_ИД!$D:$D,ТГ!$A285)</f>
        <v>0</v>
      </c>
      <c r="M284" s="130">
        <f>SUMIFS(ТГ_ИД!$E:$E,ТГ_ИД!$B:$B,ТГ!$G$5,ТГ_ИД!$D:$D,ТГ!$A285)</f>
        <v>0</v>
      </c>
      <c r="N284" s="130">
        <f>SUMIFS(ТГ_ИД!$E:$E,ТГ_ИД!$B:$B,ТГ!$G$6,ТГ_ИД!$D:$D,ТГ!$A285)</f>
        <v>0</v>
      </c>
      <c r="O284" s="130">
        <f>SUMIFS(ТГ_ИД!$E:$E,ТГ_ИД!$B:$B,ТГ!$G$7,ТГ_ИД!$D:$D,ТГ!$A285)</f>
        <v>0</v>
      </c>
      <c r="P284" s="130">
        <f>SUMIFS(ТГ_ИД!$E:$E,ТГ_ИД!$B:$B,ТГ!$G$8,ТГ_ИД!$D:$D,ТГ!$A285)</f>
        <v>0</v>
      </c>
      <c r="Q284" s="130">
        <f>SUMIFS(ТГ_ИД!$E:$E,ТГ_ИД!$B:$B,ТГ!$G$9,ТГ_ИД!$D:$D,ТГ!$A285)</f>
        <v>0</v>
      </c>
      <c r="R284" s="130">
        <f>SUMIFS(ТГ_ИД!$E:$E,ТГ_ИД!$B:$B,ТГ!$G$10,ТГ_ИД!$D:$D,ТГ!$A285)</f>
        <v>0</v>
      </c>
      <c r="S284" s="130">
        <f>SUMIFS(ТГ_ИД!$E:$E,ТГ_ИД!$B:$B,ТГ!$G$11,ТГ_ИД!$D:$D,ТГ!$A285)</f>
        <v>0</v>
      </c>
      <c r="T284" s="130">
        <f>SUMIFS(ТГ_ИД!$E:$E,ТГ_ИД!$B:$B,ТГ!$G$12,ТГ_ИД!$D:$D,ТГ!$A285)</f>
        <v>0</v>
      </c>
      <c r="U284" s="130">
        <f>SUMIFS(ТГ_ИД!$E:$E,ТГ_ИД!$B:$B,ТГ!$G$13,ТГ_ИД!$D:$D,ТГ!$A285)</f>
        <v>0</v>
      </c>
      <c r="V284" s="130">
        <f>SUMIFS(ТГ_ИД!$E:$E,ТГ_ИД!$B:$B,ТГ!$G$14,ТГ_ИД!$D:$D,ТГ!$A285)</f>
        <v>0</v>
      </c>
    </row>
    <row r="285" spans="1:22" x14ac:dyDescent="0.25">
      <c r="A285" s="116" t="str">
        <f t="shared" si="5"/>
        <v/>
      </c>
      <c r="K285" s="130">
        <f>SUMIFS(ТГ_ИД!$E:$E,ТГ_ИД!$B:$B,ТГ!$G$3,ТГ_ИД!$D:$D,ТГ!$A286)</f>
        <v>0</v>
      </c>
      <c r="L285" s="130">
        <f>SUMIFS(ТГ_ИД!$E:$E,ТГ_ИД!$B:$B,ТГ!$G$4,ТГ_ИД!$D:$D,ТГ!$A286)</f>
        <v>0</v>
      </c>
      <c r="M285" s="130">
        <f>SUMIFS(ТГ_ИД!$E:$E,ТГ_ИД!$B:$B,ТГ!$G$5,ТГ_ИД!$D:$D,ТГ!$A286)</f>
        <v>0</v>
      </c>
      <c r="N285" s="130">
        <f>SUMIFS(ТГ_ИД!$E:$E,ТГ_ИД!$B:$B,ТГ!$G$6,ТГ_ИД!$D:$D,ТГ!$A286)</f>
        <v>0</v>
      </c>
      <c r="O285" s="130">
        <f>SUMIFS(ТГ_ИД!$E:$E,ТГ_ИД!$B:$B,ТГ!$G$7,ТГ_ИД!$D:$D,ТГ!$A286)</f>
        <v>0</v>
      </c>
      <c r="P285" s="130">
        <f>SUMIFS(ТГ_ИД!$E:$E,ТГ_ИД!$B:$B,ТГ!$G$8,ТГ_ИД!$D:$D,ТГ!$A286)</f>
        <v>0</v>
      </c>
      <c r="Q285" s="130">
        <f>SUMIFS(ТГ_ИД!$E:$E,ТГ_ИД!$B:$B,ТГ!$G$9,ТГ_ИД!$D:$D,ТГ!$A286)</f>
        <v>0</v>
      </c>
      <c r="R285" s="130">
        <f>SUMIFS(ТГ_ИД!$E:$E,ТГ_ИД!$B:$B,ТГ!$G$10,ТГ_ИД!$D:$D,ТГ!$A286)</f>
        <v>0</v>
      </c>
      <c r="S285" s="130">
        <f>SUMIFS(ТГ_ИД!$E:$E,ТГ_ИД!$B:$B,ТГ!$G$11,ТГ_ИД!$D:$D,ТГ!$A286)</f>
        <v>0</v>
      </c>
      <c r="T285" s="130">
        <f>SUMIFS(ТГ_ИД!$E:$E,ТГ_ИД!$B:$B,ТГ!$G$12,ТГ_ИД!$D:$D,ТГ!$A286)</f>
        <v>0</v>
      </c>
      <c r="U285" s="130">
        <f>SUMIFS(ТГ_ИД!$E:$E,ТГ_ИД!$B:$B,ТГ!$G$13,ТГ_ИД!$D:$D,ТГ!$A286)</f>
        <v>0</v>
      </c>
      <c r="V285" s="130">
        <f>SUMIFS(ТГ_ИД!$E:$E,ТГ_ИД!$B:$B,ТГ!$G$14,ТГ_ИД!$D:$D,ТГ!$A286)</f>
        <v>0</v>
      </c>
    </row>
    <row r="286" spans="1:22" x14ac:dyDescent="0.25">
      <c r="A286" s="116" t="str">
        <f t="shared" si="5"/>
        <v/>
      </c>
      <c r="K286" s="130">
        <f>SUMIFS(ТГ_ИД!$E:$E,ТГ_ИД!$B:$B,ТГ!$G$3,ТГ_ИД!$D:$D,ТГ!$A287)</f>
        <v>0</v>
      </c>
      <c r="L286" s="130">
        <f>SUMIFS(ТГ_ИД!$E:$E,ТГ_ИД!$B:$B,ТГ!$G$4,ТГ_ИД!$D:$D,ТГ!$A287)</f>
        <v>0</v>
      </c>
      <c r="M286" s="130">
        <f>SUMIFS(ТГ_ИД!$E:$E,ТГ_ИД!$B:$B,ТГ!$G$5,ТГ_ИД!$D:$D,ТГ!$A287)</f>
        <v>0</v>
      </c>
      <c r="N286" s="130">
        <f>SUMIFS(ТГ_ИД!$E:$E,ТГ_ИД!$B:$B,ТГ!$G$6,ТГ_ИД!$D:$D,ТГ!$A287)</f>
        <v>0</v>
      </c>
      <c r="O286" s="130">
        <f>SUMIFS(ТГ_ИД!$E:$E,ТГ_ИД!$B:$B,ТГ!$G$7,ТГ_ИД!$D:$D,ТГ!$A287)</f>
        <v>0</v>
      </c>
      <c r="P286" s="130">
        <f>SUMIFS(ТГ_ИД!$E:$E,ТГ_ИД!$B:$B,ТГ!$G$8,ТГ_ИД!$D:$D,ТГ!$A287)</f>
        <v>0</v>
      </c>
      <c r="Q286" s="130">
        <f>SUMIFS(ТГ_ИД!$E:$E,ТГ_ИД!$B:$B,ТГ!$G$9,ТГ_ИД!$D:$D,ТГ!$A287)</f>
        <v>0</v>
      </c>
      <c r="R286" s="130">
        <f>SUMIFS(ТГ_ИД!$E:$E,ТГ_ИД!$B:$B,ТГ!$G$10,ТГ_ИД!$D:$D,ТГ!$A287)</f>
        <v>0</v>
      </c>
      <c r="S286" s="130">
        <f>SUMIFS(ТГ_ИД!$E:$E,ТГ_ИД!$B:$B,ТГ!$G$11,ТГ_ИД!$D:$D,ТГ!$A287)</f>
        <v>0</v>
      </c>
      <c r="T286" s="130">
        <f>SUMIFS(ТГ_ИД!$E:$E,ТГ_ИД!$B:$B,ТГ!$G$12,ТГ_ИД!$D:$D,ТГ!$A287)</f>
        <v>0</v>
      </c>
      <c r="U286" s="130">
        <f>SUMIFS(ТГ_ИД!$E:$E,ТГ_ИД!$B:$B,ТГ!$G$13,ТГ_ИД!$D:$D,ТГ!$A287)</f>
        <v>0</v>
      </c>
      <c r="V286" s="130">
        <f>SUMIFS(ТГ_ИД!$E:$E,ТГ_ИД!$B:$B,ТГ!$G$14,ТГ_ИД!$D:$D,ТГ!$A287)</f>
        <v>0</v>
      </c>
    </row>
    <row r="287" spans="1:22" x14ac:dyDescent="0.25">
      <c r="A287" s="116" t="str">
        <f t="shared" si="5"/>
        <v/>
      </c>
      <c r="K287" s="130">
        <f>SUMIFS(ТГ_ИД!$E:$E,ТГ_ИД!$B:$B,ТГ!$G$3,ТГ_ИД!$D:$D,ТГ!$A288)</f>
        <v>0</v>
      </c>
      <c r="L287" s="130">
        <f>SUMIFS(ТГ_ИД!$E:$E,ТГ_ИД!$B:$B,ТГ!$G$4,ТГ_ИД!$D:$D,ТГ!$A288)</f>
        <v>0</v>
      </c>
      <c r="M287" s="130">
        <f>SUMIFS(ТГ_ИД!$E:$E,ТГ_ИД!$B:$B,ТГ!$G$5,ТГ_ИД!$D:$D,ТГ!$A288)</f>
        <v>0</v>
      </c>
      <c r="N287" s="130">
        <f>SUMIFS(ТГ_ИД!$E:$E,ТГ_ИД!$B:$B,ТГ!$G$6,ТГ_ИД!$D:$D,ТГ!$A288)</f>
        <v>0</v>
      </c>
      <c r="O287" s="130">
        <f>SUMIFS(ТГ_ИД!$E:$E,ТГ_ИД!$B:$B,ТГ!$G$7,ТГ_ИД!$D:$D,ТГ!$A288)</f>
        <v>0</v>
      </c>
      <c r="P287" s="130">
        <f>SUMIFS(ТГ_ИД!$E:$E,ТГ_ИД!$B:$B,ТГ!$G$8,ТГ_ИД!$D:$D,ТГ!$A288)</f>
        <v>0</v>
      </c>
      <c r="Q287" s="130">
        <f>SUMIFS(ТГ_ИД!$E:$E,ТГ_ИД!$B:$B,ТГ!$G$9,ТГ_ИД!$D:$D,ТГ!$A288)</f>
        <v>0</v>
      </c>
      <c r="R287" s="130">
        <f>SUMIFS(ТГ_ИД!$E:$E,ТГ_ИД!$B:$B,ТГ!$G$10,ТГ_ИД!$D:$D,ТГ!$A288)</f>
        <v>0</v>
      </c>
      <c r="S287" s="130">
        <f>SUMIFS(ТГ_ИД!$E:$E,ТГ_ИД!$B:$B,ТГ!$G$11,ТГ_ИД!$D:$D,ТГ!$A288)</f>
        <v>0</v>
      </c>
      <c r="T287" s="130">
        <f>SUMIFS(ТГ_ИД!$E:$E,ТГ_ИД!$B:$B,ТГ!$G$12,ТГ_ИД!$D:$D,ТГ!$A288)</f>
        <v>0</v>
      </c>
      <c r="U287" s="130">
        <f>SUMIFS(ТГ_ИД!$E:$E,ТГ_ИД!$B:$B,ТГ!$G$13,ТГ_ИД!$D:$D,ТГ!$A288)</f>
        <v>0</v>
      </c>
      <c r="V287" s="130">
        <f>SUMIFS(ТГ_ИД!$E:$E,ТГ_ИД!$B:$B,ТГ!$G$14,ТГ_ИД!$D:$D,ТГ!$A288)</f>
        <v>0</v>
      </c>
    </row>
    <row r="288" spans="1:22" x14ac:dyDescent="0.25">
      <c r="A288" s="116" t="str">
        <f t="shared" si="5"/>
        <v/>
      </c>
      <c r="K288" s="130">
        <f>SUMIFS(ТГ_ИД!$E:$E,ТГ_ИД!$B:$B,ТГ!$G$3,ТГ_ИД!$D:$D,ТГ!$A289)</f>
        <v>0</v>
      </c>
      <c r="L288" s="130">
        <f>SUMIFS(ТГ_ИД!$E:$E,ТГ_ИД!$B:$B,ТГ!$G$4,ТГ_ИД!$D:$D,ТГ!$A289)</f>
        <v>0</v>
      </c>
      <c r="M288" s="130">
        <f>SUMIFS(ТГ_ИД!$E:$E,ТГ_ИД!$B:$B,ТГ!$G$5,ТГ_ИД!$D:$D,ТГ!$A289)</f>
        <v>0</v>
      </c>
      <c r="N288" s="130">
        <f>SUMIFS(ТГ_ИД!$E:$E,ТГ_ИД!$B:$B,ТГ!$G$6,ТГ_ИД!$D:$D,ТГ!$A289)</f>
        <v>0</v>
      </c>
      <c r="O288" s="130">
        <f>SUMIFS(ТГ_ИД!$E:$E,ТГ_ИД!$B:$B,ТГ!$G$7,ТГ_ИД!$D:$D,ТГ!$A289)</f>
        <v>0</v>
      </c>
      <c r="P288" s="130">
        <f>SUMIFS(ТГ_ИД!$E:$E,ТГ_ИД!$B:$B,ТГ!$G$8,ТГ_ИД!$D:$D,ТГ!$A289)</f>
        <v>0</v>
      </c>
      <c r="Q288" s="130">
        <f>SUMIFS(ТГ_ИД!$E:$E,ТГ_ИД!$B:$B,ТГ!$G$9,ТГ_ИД!$D:$D,ТГ!$A289)</f>
        <v>0</v>
      </c>
      <c r="R288" s="130">
        <f>SUMIFS(ТГ_ИД!$E:$E,ТГ_ИД!$B:$B,ТГ!$G$10,ТГ_ИД!$D:$D,ТГ!$A289)</f>
        <v>0</v>
      </c>
      <c r="S288" s="130">
        <f>SUMIFS(ТГ_ИД!$E:$E,ТГ_ИД!$B:$B,ТГ!$G$11,ТГ_ИД!$D:$D,ТГ!$A289)</f>
        <v>0</v>
      </c>
      <c r="T288" s="130">
        <f>SUMIFS(ТГ_ИД!$E:$E,ТГ_ИД!$B:$B,ТГ!$G$12,ТГ_ИД!$D:$D,ТГ!$A289)</f>
        <v>0</v>
      </c>
      <c r="U288" s="130">
        <f>SUMIFS(ТГ_ИД!$E:$E,ТГ_ИД!$B:$B,ТГ!$G$13,ТГ_ИД!$D:$D,ТГ!$A289)</f>
        <v>0</v>
      </c>
      <c r="V288" s="130">
        <f>SUMIFS(ТГ_ИД!$E:$E,ТГ_ИД!$B:$B,ТГ!$G$14,ТГ_ИД!$D:$D,ТГ!$A289)</f>
        <v>0</v>
      </c>
    </row>
    <row r="289" spans="1:22" x14ac:dyDescent="0.25">
      <c r="A289" s="116" t="str">
        <f t="shared" si="5"/>
        <v/>
      </c>
      <c r="K289" s="130">
        <f>SUMIFS(ТГ_ИД!$E:$E,ТГ_ИД!$B:$B,ТГ!$G$3,ТГ_ИД!$D:$D,ТГ!$A290)</f>
        <v>0</v>
      </c>
      <c r="L289" s="130">
        <f>SUMIFS(ТГ_ИД!$E:$E,ТГ_ИД!$B:$B,ТГ!$G$4,ТГ_ИД!$D:$D,ТГ!$A290)</f>
        <v>0</v>
      </c>
      <c r="M289" s="130">
        <f>SUMIFS(ТГ_ИД!$E:$E,ТГ_ИД!$B:$B,ТГ!$G$5,ТГ_ИД!$D:$D,ТГ!$A290)</f>
        <v>0</v>
      </c>
      <c r="N289" s="130">
        <f>SUMIFS(ТГ_ИД!$E:$E,ТГ_ИД!$B:$B,ТГ!$G$6,ТГ_ИД!$D:$D,ТГ!$A290)</f>
        <v>0</v>
      </c>
      <c r="O289" s="130">
        <f>SUMIFS(ТГ_ИД!$E:$E,ТГ_ИД!$B:$B,ТГ!$G$7,ТГ_ИД!$D:$D,ТГ!$A290)</f>
        <v>0</v>
      </c>
      <c r="P289" s="130">
        <f>SUMIFS(ТГ_ИД!$E:$E,ТГ_ИД!$B:$B,ТГ!$G$8,ТГ_ИД!$D:$D,ТГ!$A290)</f>
        <v>0</v>
      </c>
      <c r="Q289" s="130">
        <f>SUMIFS(ТГ_ИД!$E:$E,ТГ_ИД!$B:$B,ТГ!$G$9,ТГ_ИД!$D:$D,ТГ!$A290)</f>
        <v>0</v>
      </c>
      <c r="R289" s="130">
        <f>SUMIFS(ТГ_ИД!$E:$E,ТГ_ИД!$B:$B,ТГ!$G$10,ТГ_ИД!$D:$D,ТГ!$A290)</f>
        <v>0</v>
      </c>
      <c r="S289" s="130">
        <f>SUMIFS(ТГ_ИД!$E:$E,ТГ_ИД!$B:$B,ТГ!$G$11,ТГ_ИД!$D:$D,ТГ!$A290)</f>
        <v>0</v>
      </c>
      <c r="T289" s="130">
        <f>SUMIFS(ТГ_ИД!$E:$E,ТГ_ИД!$B:$B,ТГ!$G$12,ТГ_ИД!$D:$D,ТГ!$A290)</f>
        <v>0</v>
      </c>
      <c r="U289" s="130">
        <f>SUMIFS(ТГ_ИД!$E:$E,ТГ_ИД!$B:$B,ТГ!$G$13,ТГ_ИД!$D:$D,ТГ!$A290)</f>
        <v>0</v>
      </c>
      <c r="V289" s="130">
        <f>SUMIFS(ТГ_ИД!$E:$E,ТГ_ИД!$B:$B,ТГ!$G$14,ТГ_ИД!$D:$D,ТГ!$A290)</f>
        <v>0</v>
      </c>
    </row>
    <row r="290" spans="1:22" x14ac:dyDescent="0.25">
      <c r="A290" s="116" t="str">
        <f t="shared" si="5"/>
        <v/>
      </c>
      <c r="K290" s="130">
        <f>SUMIFS(ТГ_ИД!$E:$E,ТГ_ИД!$B:$B,ТГ!$G$3,ТГ_ИД!$D:$D,ТГ!$A291)</f>
        <v>0</v>
      </c>
      <c r="L290" s="130">
        <f>SUMIFS(ТГ_ИД!$E:$E,ТГ_ИД!$B:$B,ТГ!$G$4,ТГ_ИД!$D:$D,ТГ!$A291)</f>
        <v>0</v>
      </c>
      <c r="M290" s="130">
        <f>SUMIFS(ТГ_ИД!$E:$E,ТГ_ИД!$B:$B,ТГ!$G$5,ТГ_ИД!$D:$D,ТГ!$A291)</f>
        <v>0</v>
      </c>
      <c r="N290" s="130">
        <f>SUMIFS(ТГ_ИД!$E:$E,ТГ_ИД!$B:$B,ТГ!$G$6,ТГ_ИД!$D:$D,ТГ!$A291)</f>
        <v>0</v>
      </c>
      <c r="O290" s="130">
        <f>SUMIFS(ТГ_ИД!$E:$E,ТГ_ИД!$B:$B,ТГ!$G$7,ТГ_ИД!$D:$D,ТГ!$A291)</f>
        <v>0</v>
      </c>
      <c r="P290" s="130">
        <f>SUMIFS(ТГ_ИД!$E:$E,ТГ_ИД!$B:$B,ТГ!$G$8,ТГ_ИД!$D:$D,ТГ!$A291)</f>
        <v>0</v>
      </c>
      <c r="Q290" s="130">
        <f>SUMIFS(ТГ_ИД!$E:$E,ТГ_ИД!$B:$B,ТГ!$G$9,ТГ_ИД!$D:$D,ТГ!$A291)</f>
        <v>0</v>
      </c>
      <c r="R290" s="130">
        <f>SUMIFS(ТГ_ИД!$E:$E,ТГ_ИД!$B:$B,ТГ!$G$10,ТГ_ИД!$D:$D,ТГ!$A291)</f>
        <v>0</v>
      </c>
      <c r="S290" s="130">
        <f>SUMIFS(ТГ_ИД!$E:$E,ТГ_ИД!$B:$B,ТГ!$G$11,ТГ_ИД!$D:$D,ТГ!$A291)</f>
        <v>0</v>
      </c>
      <c r="T290" s="130">
        <f>SUMIFS(ТГ_ИД!$E:$E,ТГ_ИД!$B:$B,ТГ!$G$12,ТГ_ИД!$D:$D,ТГ!$A291)</f>
        <v>0</v>
      </c>
      <c r="U290" s="130">
        <f>SUMIFS(ТГ_ИД!$E:$E,ТГ_ИД!$B:$B,ТГ!$G$13,ТГ_ИД!$D:$D,ТГ!$A291)</f>
        <v>0</v>
      </c>
      <c r="V290" s="130">
        <f>SUMIFS(ТГ_ИД!$E:$E,ТГ_ИД!$B:$B,ТГ!$G$14,ТГ_ИД!$D:$D,ТГ!$A291)</f>
        <v>0</v>
      </c>
    </row>
    <row r="291" spans="1:22" x14ac:dyDescent="0.25">
      <c r="A291" s="116" t="str">
        <f t="shared" si="5"/>
        <v/>
      </c>
      <c r="K291" s="130">
        <f>SUMIFS(ТГ_ИД!$E:$E,ТГ_ИД!$B:$B,ТГ!$G$3,ТГ_ИД!$D:$D,ТГ!$A292)</f>
        <v>0</v>
      </c>
      <c r="L291" s="130">
        <f>SUMIFS(ТГ_ИД!$E:$E,ТГ_ИД!$B:$B,ТГ!$G$4,ТГ_ИД!$D:$D,ТГ!$A292)</f>
        <v>0</v>
      </c>
      <c r="M291" s="130">
        <f>SUMIFS(ТГ_ИД!$E:$E,ТГ_ИД!$B:$B,ТГ!$G$5,ТГ_ИД!$D:$D,ТГ!$A292)</f>
        <v>0</v>
      </c>
      <c r="N291" s="130">
        <f>SUMIFS(ТГ_ИД!$E:$E,ТГ_ИД!$B:$B,ТГ!$G$6,ТГ_ИД!$D:$D,ТГ!$A292)</f>
        <v>0</v>
      </c>
      <c r="O291" s="130">
        <f>SUMIFS(ТГ_ИД!$E:$E,ТГ_ИД!$B:$B,ТГ!$G$7,ТГ_ИД!$D:$D,ТГ!$A292)</f>
        <v>0</v>
      </c>
      <c r="P291" s="130">
        <f>SUMIFS(ТГ_ИД!$E:$E,ТГ_ИД!$B:$B,ТГ!$G$8,ТГ_ИД!$D:$D,ТГ!$A292)</f>
        <v>0</v>
      </c>
      <c r="Q291" s="130">
        <f>SUMIFS(ТГ_ИД!$E:$E,ТГ_ИД!$B:$B,ТГ!$G$9,ТГ_ИД!$D:$D,ТГ!$A292)</f>
        <v>0</v>
      </c>
      <c r="R291" s="130">
        <f>SUMIFS(ТГ_ИД!$E:$E,ТГ_ИД!$B:$B,ТГ!$G$10,ТГ_ИД!$D:$D,ТГ!$A292)</f>
        <v>0</v>
      </c>
      <c r="S291" s="130">
        <f>SUMIFS(ТГ_ИД!$E:$E,ТГ_ИД!$B:$B,ТГ!$G$11,ТГ_ИД!$D:$D,ТГ!$A292)</f>
        <v>0</v>
      </c>
      <c r="T291" s="130">
        <f>SUMIFS(ТГ_ИД!$E:$E,ТГ_ИД!$B:$B,ТГ!$G$12,ТГ_ИД!$D:$D,ТГ!$A292)</f>
        <v>0</v>
      </c>
      <c r="U291" s="130">
        <f>SUMIFS(ТГ_ИД!$E:$E,ТГ_ИД!$B:$B,ТГ!$G$13,ТГ_ИД!$D:$D,ТГ!$A292)</f>
        <v>0</v>
      </c>
      <c r="V291" s="130">
        <f>SUMIFS(ТГ_ИД!$E:$E,ТГ_ИД!$B:$B,ТГ!$G$14,ТГ_ИД!$D:$D,ТГ!$A292)</f>
        <v>0</v>
      </c>
    </row>
    <row r="292" spans="1:22" x14ac:dyDescent="0.25">
      <c r="A292" s="116" t="str">
        <f t="shared" si="5"/>
        <v/>
      </c>
      <c r="K292" s="130">
        <f>SUMIFS(ТГ_ИД!$E:$E,ТГ_ИД!$B:$B,ТГ!$G$3,ТГ_ИД!$D:$D,ТГ!$A293)</f>
        <v>0</v>
      </c>
      <c r="L292" s="130">
        <f>SUMIFS(ТГ_ИД!$E:$E,ТГ_ИД!$B:$B,ТГ!$G$4,ТГ_ИД!$D:$D,ТГ!$A293)</f>
        <v>0</v>
      </c>
      <c r="M292" s="130">
        <f>SUMIFS(ТГ_ИД!$E:$E,ТГ_ИД!$B:$B,ТГ!$G$5,ТГ_ИД!$D:$D,ТГ!$A293)</f>
        <v>0</v>
      </c>
      <c r="N292" s="130">
        <f>SUMIFS(ТГ_ИД!$E:$E,ТГ_ИД!$B:$B,ТГ!$G$6,ТГ_ИД!$D:$D,ТГ!$A293)</f>
        <v>0</v>
      </c>
      <c r="O292" s="130">
        <f>SUMIFS(ТГ_ИД!$E:$E,ТГ_ИД!$B:$B,ТГ!$G$7,ТГ_ИД!$D:$D,ТГ!$A293)</f>
        <v>0</v>
      </c>
      <c r="P292" s="130">
        <f>SUMIFS(ТГ_ИД!$E:$E,ТГ_ИД!$B:$B,ТГ!$G$8,ТГ_ИД!$D:$D,ТГ!$A293)</f>
        <v>0</v>
      </c>
      <c r="Q292" s="130">
        <f>SUMIFS(ТГ_ИД!$E:$E,ТГ_ИД!$B:$B,ТГ!$G$9,ТГ_ИД!$D:$D,ТГ!$A293)</f>
        <v>0</v>
      </c>
      <c r="R292" s="130">
        <f>SUMIFS(ТГ_ИД!$E:$E,ТГ_ИД!$B:$B,ТГ!$G$10,ТГ_ИД!$D:$D,ТГ!$A293)</f>
        <v>0</v>
      </c>
      <c r="S292" s="130">
        <f>SUMIFS(ТГ_ИД!$E:$E,ТГ_ИД!$B:$B,ТГ!$G$11,ТГ_ИД!$D:$D,ТГ!$A293)</f>
        <v>0</v>
      </c>
      <c r="T292" s="130">
        <f>SUMIFS(ТГ_ИД!$E:$E,ТГ_ИД!$B:$B,ТГ!$G$12,ТГ_ИД!$D:$D,ТГ!$A293)</f>
        <v>0</v>
      </c>
      <c r="U292" s="130">
        <f>SUMIFS(ТГ_ИД!$E:$E,ТГ_ИД!$B:$B,ТГ!$G$13,ТГ_ИД!$D:$D,ТГ!$A293)</f>
        <v>0</v>
      </c>
      <c r="V292" s="130">
        <f>SUMIFS(ТГ_ИД!$E:$E,ТГ_ИД!$B:$B,ТГ!$G$14,ТГ_ИД!$D:$D,ТГ!$A293)</f>
        <v>0</v>
      </c>
    </row>
    <row r="293" spans="1:22" x14ac:dyDescent="0.25">
      <c r="A293" s="116" t="str">
        <f t="shared" si="5"/>
        <v/>
      </c>
      <c r="K293" s="130">
        <f>SUMIFS(ТГ_ИД!$E:$E,ТГ_ИД!$B:$B,ТГ!$G$3,ТГ_ИД!$D:$D,ТГ!$A294)</f>
        <v>0</v>
      </c>
      <c r="L293" s="130">
        <f>SUMIFS(ТГ_ИД!$E:$E,ТГ_ИД!$B:$B,ТГ!$G$4,ТГ_ИД!$D:$D,ТГ!$A294)</f>
        <v>0</v>
      </c>
      <c r="M293" s="130">
        <f>SUMIFS(ТГ_ИД!$E:$E,ТГ_ИД!$B:$B,ТГ!$G$5,ТГ_ИД!$D:$D,ТГ!$A294)</f>
        <v>0</v>
      </c>
      <c r="N293" s="130">
        <f>SUMIFS(ТГ_ИД!$E:$E,ТГ_ИД!$B:$B,ТГ!$G$6,ТГ_ИД!$D:$D,ТГ!$A294)</f>
        <v>0</v>
      </c>
      <c r="O293" s="130">
        <f>SUMIFS(ТГ_ИД!$E:$E,ТГ_ИД!$B:$B,ТГ!$G$7,ТГ_ИД!$D:$D,ТГ!$A294)</f>
        <v>0</v>
      </c>
      <c r="P293" s="130">
        <f>SUMIFS(ТГ_ИД!$E:$E,ТГ_ИД!$B:$B,ТГ!$G$8,ТГ_ИД!$D:$D,ТГ!$A294)</f>
        <v>0</v>
      </c>
      <c r="Q293" s="130">
        <f>SUMIFS(ТГ_ИД!$E:$E,ТГ_ИД!$B:$B,ТГ!$G$9,ТГ_ИД!$D:$D,ТГ!$A294)</f>
        <v>0</v>
      </c>
      <c r="R293" s="130">
        <f>SUMIFS(ТГ_ИД!$E:$E,ТГ_ИД!$B:$B,ТГ!$G$10,ТГ_ИД!$D:$D,ТГ!$A294)</f>
        <v>0</v>
      </c>
      <c r="S293" s="130">
        <f>SUMIFS(ТГ_ИД!$E:$E,ТГ_ИД!$B:$B,ТГ!$G$11,ТГ_ИД!$D:$D,ТГ!$A294)</f>
        <v>0</v>
      </c>
      <c r="T293" s="130">
        <f>SUMIFS(ТГ_ИД!$E:$E,ТГ_ИД!$B:$B,ТГ!$G$12,ТГ_ИД!$D:$D,ТГ!$A294)</f>
        <v>0</v>
      </c>
      <c r="U293" s="130">
        <f>SUMIFS(ТГ_ИД!$E:$E,ТГ_ИД!$B:$B,ТГ!$G$13,ТГ_ИД!$D:$D,ТГ!$A294)</f>
        <v>0</v>
      </c>
      <c r="V293" s="130">
        <f>SUMIFS(ТГ_ИД!$E:$E,ТГ_ИД!$B:$B,ТГ!$G$14,ТГ_ИД!$D:$D,ТГ!$A294)</f>
        <v>0</v>
      </c>
    </row>
    <row r="294" spans="1:22" x14ac:dyDescent="0.25">
      <c r="A294" s="116" t="str">
        <f t="shared" si="5"/>
        <v/>
      </c>
      <c r="K294" s="130">
        <f>SUMIFS(ТГ_ИД!$E:$E,ТГ_ИД!$B:$B,ТГ!$G$3,ТГ_ИД!$D:$D,ТГ!$A295)</f>
        <v>0</v>
      </c>
      <c r="L294" s="130">
        <f>SUMIFS(ТГ_ИД!$E:$E,ТГ_ИД!$B:$B,ТГ!$G$4,ТГ_ИД!$D:$D,ТГ!$A295)</f>
        <v>0</v>
      </c>
      <c r="M294" s="130">
        <f>SUMIFS(ТГ_ИД!$E:$E,ТГ_ИД!$B:$B,ТГ!$G$5,ТГ_ИД!$D:$D,ТГ!$A295)</f>
        <v>0</v>
      </c>
      <c r="N294" s="130">
        <f>SUMIFS(ТГ_ИД!$E:$E,ТГ_ИД!$B:$B,ТГ!$G$6,ТГ_ИД!$D:$D,ТГ!$A295)</f>
        <v>0</v>
      </c>
      <c r="O294" s="130">
        <f>SUMIFS(ТГ_ИД!$E:$E,ТГ_ИД!$B:$B,ТГ!$G$7,ТГ_ИД!$D:$D,ТГ!$A295)</f>
        <v>0</v>
      </c>
      <c r="P294" s="130">
        <f>SUMIFS(ТГ_ИД!$E:$E,ТГ_ИД!$B:$B,ТГ!$G$8,ТГ_ИД!$D:$D,ТГ!$A295)</f>
        <v>0</v>
      </c>
      <c r="Q294" s="130">
        <f>SUMIFS(ТГ_ИД!$E:$E,ТГ_ИД!$B:$B,ТГ!$G$9,ТГ_ИД!$D:$D,ТГ!$A295)</f>
        <v>0</v>
      </c>
      <c r="R294" s="130">
        <f>SUMIFS(ТГ_ИД!$E:$E,ТГ_ИД!$B:$B,ТГ!$G$10,ТГ_ИД!$D:$D,ТГ!$A295)</f>
        <v>0</v>
      </c>
      <c r="S294" s="130">
        <f>SUMIFS(ТГ_ИД!$E:$E,ТГ_ИД!$B:$B,ТГ!$G$11,ТГ_ИД!$D:$D,ТГ!$A295)</f>
        <v>0</v>
      </c>
      <c r="T294" s="130">
        <f>SUMIFS(ТГ_ИД!$E:$E,ТГ_ИД!$B:$B,ТГ!$G$12,ТГ_ИД!$D:$D,ТГ!$A295)</f>
        <v>0</v>
      </c>
      <c r="U294" s="130">
        <f>SUMIFS(ТГ_ИД!$E:$E,ТГ_ИД!$B:$B,ТГ!$G$13,ТГ_ИД!$D:$D,ТГ!$A295)</f>
        <v>0</v>
      </c>
      <c r="V294" s="130">
        <f>SUMIFS(ТГ_ИД!$E:$E,ТГ_ИД!$B:$B,ТГ!$G$14,ТГ_ИД!$D:$D,ТГ!$A295)</f>
        <v>0</v>
      </c>
    </row>
    <row r="295" spans="1:22" x14ac:dyDescent="0.25">
      <c r="A295" s="116" t="str">
        <f t="shared" si="5"/>
        <v/>
      </c>
      <c r="K295" s="130">
        <f>SUMIFS(ТГ_ИД!$E:$E,ТГ_ИД!$B:$B,ТГ!$G$3,ТГ_ИД!$D:$D,ТГ!$A296)</f>
        <v>0</v>
      </c>
      <c r="L295" s="130">
        <f>SUMIFS(ТГ_ИД!$E:$E,ТГ_ИД!$B:$B,ТГ!$G$4,ТГ_ИД!$D:$D,ТГ!$A296)</f>
        <v>0</v>
      </c>
      <c r="M295" s="130">
        <f>SUMIFS(ТГ_ИД!$E:$E,ТГ_ИД!$B:$B,ТГ!$G$5,ТГ_ИД!$D:$D,ТГ!$A296)</f>
        <v>0</v>
      </c>
      <c r="N295" s="130">
        <f>SUMIFS(ТГ_ИД!$E:$E,ТГ_ИД!$B:$B,ТГ!$G$6,ТГ_ИД!$D:$D,ТГ!$A296)</f>
        <v>0</v>
      </c>
      <c r="O295" s="130">
        <f>SUMIFS(ТГ_ИД!$E:$E,ТГ_ИД!$B:$B,ТГ!$G$7,ТГ_ИД!$D:$D,ТГ!$A296)</f>
        <v>0</v>
      </c>
      <c r="P295" s="130">
        <f>SUMIFS(ТГ_ИД!$E:$E,ТГ_ИД!$B:$B,ТГ!$G$8,ТГ_ИД!$D:$D,ТГ!$A296)</f>
        <v>0</v>
      </c>
      <c r="Q295" s="130">
        <f>SUMIFS(ТГ_ИД!$E:$E,ТГ_ИД!$B:$B,ТГ!$G$9,ТГ_ИД!$D:$D,ТГ!$A296)</f>
        <v>0</v>
      </c>
      <c r="R295" s="130">
        <f>SUMIFS(ТГ_ИД!$E:$E,ТГ_ИД!$B:$B,ТГ!$G$10,ТГ_ИД!$D:$D,ТГ!$A296)</f>
        <v>0</v>
      </c>
      <c r="S295" s="130">
        <f>SUMIFS(ТГ_ИД!$E:$E,ТГ_ИД!$B:$B,ТГ!$G$11,ТГ_ИД!$D:$D,ТГ!$A296)</f>
        <v>0</v>
      </c>
      <c r="T295" s="130">
        <f>SUMIFS(ТГ_ИД!$E:$E,ТГ_ИД!$B:$B,ТГ!$G$12,ТГ_ИД!$D:$D,ТГ!$A296)</f>
        <v>0</v>
      </c>
      <c r="U295" s="130">
        <f>SUMIFS(ТГ_ИД!$E:$E,ТГ_ИД!$B:$B,ТГ!$G$13,ТГ_ИД!$D:$D,ТГ!$A296)</f>
        <v>0</v>
      </c>
      <c r="V295" s="130">
        <f>SUMIFS(ТГ_ИД!$E:$E,ТГ_ИД!$B:$B,ТГ!$G$14,ТГ_ИД!$D:$D,ТГ!$A296)</f>
        <v>0</v>
      </c>
    </row>
    <row r="296" spans="1:22" x14ac:dyDescent="0.25">
      <c r="A296" s="116" t="str">
        <f t="shared" si="5"/>
        <v/>
      </c>
      <c r="K296" s="130">
        <f>SUMIFS(ТГ_ИД!$E:$E,ТГ_ИД!$B:$B,ТГ!$G$3,ТГ_ИД!$D:$D,ТГ!$A297)</f>
        <v>0</v>
      </c>
      <c r="L296" s="130">
        <f>SUMIFS(ТГ_ИД!$E:$E,ТГ_ИД!$B:$B,ТГ!$G$4,ТГ_ИД!$D:$D,ТГ!$A297)</f>
        <v>0</v>
      </c>
      <c r="M296" s="130">
        <f>SUMIFS(ТГ_ИД!$E:$E,ТГ_ИД!$B:$B,ТГ!$G$5,ТГ_ИД!$D:$D,ТГ!$A297)</f>
        <v>0</v>
      </c>
      <c r="N296" s="130">
        <f>SUMIFS(ТГ_ИД!$E:$E,ТГ_ИД!$B:$B,ТГ!$G$6,ТГ_ИД!$D:$D,ТГ!$A297)</f>
        <v>0</v>
      </c>
      <c r="O296" s="130">
        <f>SUMIFS(ТГ_ИД!$E:$E,ТГ_ИД!$B:$B,ТГ!$G$7,ТГ_ИД!$D:$D,ТГ!$A297)</f>
        <v>0</v>
      </c>
      <c r="P296" s="130">
        <f>SUMIFS(ТГ_ИД!$E:$E,ТГ_ИД!$B:$B,ТГ!$G$8,ТГ_ИД!$D:$D,ТГ!$A297)</f>
        <v>0</v>
      </c>
      <c r="Q296" s="130">
        <f>SUMIFS(ТГ_ИД!$E:$E,ТГ_ИД!$B:$B,ТГ!$G$9,ТГ_ИД!$D:$D,ТГ!$A297)</f>
        <v>0</v>
      </c>
      <c r="R296" s="130">
        <f>SUMIFS(ТГ_ИД!$E:$E,ТГ_ИД!$B:$B,ТГ!$G$10,ТГ_ИД!$D:$D,ТГ!$A297)</f>
        <v>0</v>
      </c>
      <c r="S296" s="130">
        <f>SUMIFS(ТГ_ИД!$E:$E,ТГ_ИД!$B:$B,ТГ!$G$11,ТГ_ИД!$D:$D,ТГ!$A297)</f>
        <v>0</v>
      </c>
      <c r="T296" s="130">
        <f>SUMIFS(ТГ_ИД!$E:$E,ТГ_ИД!$B:$B,ТГ!$G$12,ТГ_ИД!$D:$D,ТГ!$A297)</f>
        <v>0</v>
      </c>
      <c r="U296" s="130">
        <f>SUMIFS(ТГ_ИД!$E:$E,ТГ_ИД!$B:$B,ТГ!$G$13,ТГ_ИД!$D:$D,ТГ!$A297)</f>
        <v>0</v>
      </c>
      <c r="V296" s="130">
        <f>SUMIFS(ТГ_ИД!$E:$E,ТГ_ИД!$B:$B,ТГ!$G$14,ТГ_ИД!$D:$D,ТГ!$A297)</f>
        <v>0</v>
      </c>
    </row>
    <row r="297" spans="1:22" x14ac:dyDescent="0.25">
      <c r="A297" s="116" t="str">
        <f t="shared" si="5"/>
        <v/>
      </c>
      <c r="K297" s="130">
        <f>SUMIFS(ТГ_ИД!$E:$E,ТГ_ИД!$B:$B,ТГ!$G$3,ТГ_ИД!$D:$D,ТГ!$A298)</f>
        <v>0</v>
      </c>
      <c r="L297" s="130">
        <f>SUMIFS(ТГ_ИД!$E:$E,ТГ_ИД!$B:$B,ТГ!$G$4,ТГ_ИД!$D:$D,ТГ!$A298)</f>
        <v>0</v>
      </c>
      <c r="M297" s="130">
        <f>SUMIFS(ТГ_ИД!$E:$E,ТГ_ИД!$B:$B,ТГ!$G$5,ТГ_ИД!$D:$D,ТГ!$A298)</f>
        <v>0</v>
      </c>
      <c r="N297" s="130">
        <f>SUMIFS(ТГ_ИД!$E:$E,ТГ_ИД!$B:$B,ТГ!$G$6,ТГ_ИД!$D:$D,ТГ!$A298)</f>
        <v>0</v>
      </c>
      <c r="O297" s="130">
        <f>SUMIFS(ТГ_ИД!$E:$E,ТГ_ИД!$B:$B,ТГ!$G$7,ТГ_ИД!$D:$D,ТГ!$A298)</f>
        <v>0</v>
      </c>
      <c r="P297" s="130">
        <f>SUMIFS(ТГ_ИД!$E:$E,ТГ_ИД!$B:$B,ТГ!$G$8,ТГ_ИД!$D:$D,ТГ!$A298)</f>
        <v>0</v>
      </c>
      <c r="Q297" s="130">
        <f>SUMIFS(ТГ_ИД!$E:$E,ТГ_ИД!$B:$B,ТГ!$G$9,ТГ_ИД!$D:$D,ТГ!$A298)</f>
        <v>0</v>
      </c>
      <c r="R297" s="130">
        <f>SUMIFS(ТГ_ИД!$E:$E,ТГ_ИД!$B:$B,ТГ!$G$10,ТГ_ИД!$D:$D,ТГ!$A298)</f>
        <v>0</v>
      </c>
      <c r="S297" s="130">
        <f>SUMIFS(ТГ_ИД!$E:$E,ТГ_ИД!$B:$B,ТГ!$G$11,ТГ_ИД!$D:$D,ТГ!$A298)</f>
        <v>0</v>
      </c>
      <c r="T297" s="130">
        <f>SUMIFS(ТГ_ИД!$E:$E,ТГ_ИД!$B:$B,ТГ!$G$12,ТГ_ИД!$D:$D,ТГ!$A298)</f>
        <v>0</v>
      </c>
      <c r="U297" s="130">
        <f>SUMIFS(ТГ_ИД!$E:$E,ТГ_ИД!$B:$B,ТГ!$G$13,ТГ_ИД!$D:$D,ТГ!$A298)</f>
        <v>0</v>
      </c>
      <c r="V297" s="130">
        <f>SUMIFS(ТГ_ИД!$E:$E,ТГ_ИД!$B:$B,ТГ!$G$14,ТГ_ИД!$D:$D,ТГ!$A298)</f>
        <v>0</v>
      </c>
    </row>
    <row r="298" spans="1:22" x14ac:dyDescent="0.25">
      <c r="A298" s="116" t="str">
        <f t="shared" si="5"/>
        <v/>
      </c>
      <c r="K298" s="130">
        <f>SUMIFS(ТГ_ИД!$E:$E,ТГ_ИД!$B:$B,ТГ!$G$3,ТГ_ИД!$D:$D,ТГ!$A299)</f>
        <v>0</v>
      </c>
      <c r="L298" s="130">
        <f>SUMIFS(ТГ_ИД!$E:$E,ТГ_ИД!$B:$B,ТГ!$G$4,ТГ_ИД!$D:$D,ТГ!$A299)</f>
        <v>0</v>
      </c>
      <c r="M298" s="130">
        <f>SUMIFS(ТГ_ИД!$E:$E,ТГ_ИД!$B:$B,ТГ!$G$5,ТГ_ИД!$D:$D,ТГ!$A299)</f>
        <v>0</v>
      </c>
      <c r="N298" s="130">
        <f>SUMIFS(ТГ_ИД!$E:$E,ТГ_ИД!$B:$B,ТГ!$G$6,ТГ_ИД!$D:$D,ТГ!$A299)</f>
        <v>0</v>
      </c>
      <c r="O298" s="130">
        <f>SUMIFS(ТГ_ИД!$E:$E,ТГ_ИД!$B:$B,ТГ!$G$7,ТГ_ИД!$D:$D,ТГ!$A299)</f>
        <v>0</v>
      </c>
      <c r="P298" s="130">
        <f>SUMIFS(ТГ_ИД!$E:$E,ТГ_ИД!$B:$B,ТГ!$G$8,ТГ_ИД!$D:$D,ТГ!$A299)</f>
        <v>0</v>
      </c>
      <c r="Q298" s="130">
        <f>SUMIFS(ТГ_ИД!$E:$E,ТГ_ИД!$B:$B,ТГ!$G$9,ТГ_ИД!$D:$D,ТГ!$A299)</f>
        <v>0</v>
      </c>
      <c r="R298" s="130">
        <f>SUMIFS(ТГ_ИД!$E:$E,ТГ_ИД!$B:$B,ТГ!$G$10,ТГ_ИД!$D:$D,ТГ!$A299)</f>
        <v>0</v>
      </c>
      <c r="S298" s="130">
        <f>SUMIFS(ТГ_ИД!$E:$E,ТГ_ИД!$B:$B,ТГ!$G$11,ТГ_ИД!$D:$D,ТГ!$A299)</f>
        <v>0</v>
      </c>
      <c r="T298" s="130">
        <f>SUMIFS(ТГ_ИД!$E:$E,ТГ_ИД!$B:$B,ТГ!$G$12,ТГ_ИД!$D:$D,ТГ!$A299)</f>
        <v>0</v>
      </c>
      <c r="U298" s="130">
        <f>SUMIFS(ТГ_ИД!$E:$E,ТГ_ИД!$B:$B,ТГ!$G$13,ТГ_ИД!$D:$D,ТГ!$A299)</f>
        <v>0</v>
      </c>
      <c r="V298" s="130">
        <f>SUMIFS(ТГ_ИД!$E:$E,ТГ_ИД!$B:$B,ТГ!$G$14,ТГ_ИД!$D:$D,ТГ!$A299)</f>
        <v>0</v>
      </c>
    </row>
    <row r="299" spans="1:22" x14ac:dyDescent="0.25">
      <c r="A299" s="116" t="str">
        <f t="shared" si="5"/>
        <v/>
      </c>
      <c r="K299" s="130">
        <f>SUMIFS(ТГ_ИД!$E:$E,ТГ_ИД!$B:$B,ТГ!$G$3,ТГ_ИД!$D:$D,ТГ!$A300)</f>
        <v>0</v>
      </c>
      <c r="L299" s="130">
        <f>SUMIFS(ТГ_ИД!$E:$E,ТГ_ИД!$B:$B,ТГ!$G$4,ТГ_ИД!$D:$D,ТГ!$A300)</f>
        <v>0</v>
      </c>
      <c r="M299" s="130">
        <f>SUMIFS(ТГ_ИД!$E:$E,ТГ_ИД!$B:$B,ТГ!$G$5,ТГ_ИД!$D:$D,ТГ!$A300)</f>
        <v>0</v>
      </c>
      <c r="N299" s="130">
        <f>SUMIFS(ТГ_ИД!$E:$E,ТГ_ИД!$B:$B,ТГ!$G$6,ТГ_ИД!$D:$D,ТГ!$A300)</f>
        <v>0</v>
      </c>
      <c r="O299" s="130">
        <f>SUMIFS(ТГ_ИД!$E:$E,ТГ_ИД!$B:$B,ТГ!$G$7,ТГ_ИД!$D:$D,ТГ!$A300)</f>
        <v>0</v>
      </c>
      <c r="P299" s="130">
        <f>SUMIFS(ТГ_ИД!$E:$E,ТГ_ИД!$B:$B,ТГ!$G$8,ТГ_ИД!$D:$D,ТГ!$A300)</f>
        <v>0</v>
      </c>
      <c r="Q299" s="130">
        <f>SUMIFS(ТГ_ИД!$E:$E,ТГ_ИД!$B:$B,ТГ!$G$9,ТГ_ИД!$D:$D,ТГ!$A300)</f>
        <v>0</v>
      </c>
      <c r="R299" s="130">
        <f>SUMIFS(ТГ_ИД!$E:$E,ТГ_ИД!$B:$B,ТГ!$G$10,ТГ_ИД!$D:$D,ТГ!$A300)</f>
        <v>0</v>
      </c>
      <c r="S299" s="130">
        <f>SUMIFS(ТГ_ИД!$E:$E,ТГ_ИД!$B:$B,ТГ!$G$11,ТГ_ИД!$D:$D,ТГ!$A300)</f>
        <v>0</v>
      </c>
      <c r="T299" s="130">
        <f>SUMIFS(ТГ_ИД!$E:$E,ТГ_ИД!$B:$B,ТГ!$G$12,ТГ_ИД!$D:$D,ТГ!$A300)</f>
        <v>0</v>
      </c>
      <c r="U299" s="130">
        <f>SUMIFS(ТГ_ИД!$E:$E,ТГ_ИД!$B:$B,ТГ!$G$13,ТГ_ИД!$D:$D,ТГ!$A300)</f>
        <v>0</v>
      </c>
      <c r="V299" s="130">
        <f>SUMIFS(ТГ_ИД!$E:$E,ТГ_ИД!$B:$B,ТГ!$G$14,ТГ_ИД!$D:$D,ТГ!$A300)</f>
        <v>0</v>
      </c>
    </row>
    <row r="300" spans="1:22" x14ac:dyDescent="0.25">
      <c r="A300" s="116" t="str">
        <f t="shared" si="5"/>
        <v/>
      </c>
      <c r="K300" s="130">
        <f>SUMIFS(ТГ_ИД!$E:$E,ТГ_ИД!$B:$B,ТГ!$G$3,ТГ_ИД!$D:$D,ТГ!$A301)</f>
        <v>0</v>
      </c>
      <c r="L300" s="130">
        <f>SUMIFS(ТГ_ИД!$E:$E,ТГ_ИД!$B:$B,ТГ!$G$4,ТГ_ИД!$D:$D,ТГ!$A301)</f>
        <v>0</v>
      </c>
      <c r="M300" s="130">
        <f>SUMIFS(ТГ_ИД!$E:$E,ТГ_ИД!$B:$B,ТГ!$G$5,ТГ_ИД!$D:$D,ТГ!$A301)</f>
        <v>0</v>
      </c>
      <c r="N300" s="130">
        <f>SUMIFS(ТГ_ИД!$E:$E,ТГ_ИД!$B:$B,ТГ!$G$6,ТГ_ИД!$D:$D,ТГ!$A301)</f>
        <v>0</v>
      </c>
      <c r="O300" s="130">
        <f>SUMIFS(ТГ_ИД!$E:$E,ТГ_ИД!$B:$B,ТГ!$G$7,ТГ_ИД!$D:$D,ТГ!$A301)</f>
        <v>0</v>
      </c>
      <c r="P300" s="130">
        <f>SUMIFS(ТГ_ИД!$E:$E,ТГ_ИД!$B:$B,ТГ!$G$8,ТГ_ИД!$D:$D,ТГ!$A301)</f>
        <v>0</v>
      </c>
      <c r="Q300" s="130">
        <f>SUMIFS(ТГ_ИД!$E:$E,ТГ_ИД!$B:$B,ТГ!$G$9,ТГ_ИД!$D:$D,ТГ!$A301)</f>
        <v>0</v>
      </c>
      <c r="R300" s="130">
        <f>SUMIFS(ТГ_ИД!$E:$E,ТГ_ИД!$B:$B,ТГ!$G$10,ТГ_ИД!$D:$D,ТГ!$A301)</f>
        <v>0</v>
      </c>
      <c r="S300" s="130">
        <f>SUMIFS(ТГ_ИД!$E:$E,ТГ_ИД!$B:$B,ТГ!$G$11,ТГ_ИД!$D:$D,ТГ!$A301)</f>
        <v>0</v>
      </c>
      <c r="T300" s="130">
        <f>SUMIFS(ТГ_ИД!$E:$E,ТГ_ИД!$B:$B,ТГ!$G$12,ТГ_ИД!$D:$D,ТГ!$A301)</f>
        <v>0</v>
      </c>
      <c r="U300" s="130">
        <f>SUMIFS(ТГ_ИД!$E:$E,ТГ_ИД!$B:$B,ТГ!$G$13,ТГ_ИД!$D:$D,ТГ!$A301)</f>
        <v>0</v>
      </c>
      <c r="V300" s="130">
        <f>SUMIFS(ТГ_ИД!$E:$E,ТГ_ИД!$B:$B,ТГ!$G$14,ТГ_ИД!$D:$D,ТГ!$A301)</f>
        <v>0</v>
      </c>
    </row>
    <row r="301" spans="1:22" x14ac:dyDescent="0.25">
      <c r="A301" s="116" t="str">
        <f t="shared" si="5"/>
        <v/>
      </c>
      <c r="K301" s="130">
        <f>SUMIFS(ТГ_ИД!$E:$E,ТГ_ИД!$B:$B,ТГ!$G$3,ТГ_ИД!$D:$D,ТГ!$A302)</f>
        <v>0</v>
      </c>
      <c r="L301" s="130">
        <f>SUMIFS(ТГ_ИД!$E:$E,ТГ_ИД!$B:$B,ТГ!$G$4,ТГ_ИД!$D:$D,ТГ!$A302)</f>
        <v>0</v>
      </c>
      <c r="M301" s="130">
        <f>SUMIFS(ТГ_ИД!$E:$E,ТГ_ИД!$B:$B,ТГ!$G$5,ТГ_ИД!$D:$D,ТГ!$A302)</f>
        <v>0</v>
      </c>
      <c r="N301" s="130">
        <f>SUMIFS(ТГ_ИД!$E:$E,ТГ_ИД!$B:$B,ТГ!$G$6,ТГ_ИД!$D:$D,ТГ!$A302)</f>
        <v>0</v>
      </c>
      <c r="O301" s="130">
        <f>SUMIFS(ТГ_ИД!$E:$E,ТГ_ИД!$B:$B,ТГ!$G$7,ТГ_ИД!$D:$D,ТГ!$A302)</f>
        <v>0</v>
      </c>
      <c r="P301" s="130">
        <f>SUMIFS(ТГ_ИД!$E:$E,ТГ_ИД!$B:$B,ТГ!$G$8,ТГ_ИД!$D:$D,ТГ!$A302)</f>
        <v>0</v>
      </c>
      <c r="Q301" s="130">
        <f>SUMIFS(ТГ_ИД!$E:$E,ТГ_ИД!$B:$B,ТГ!$G$9,ТГ_ИД!$D:$D,ТГ!$A302)</f>
        <v>0</v>
      </c>
      <c r="R301" s="130">
        <f>SUMIFS(ТГ_ИД!$E:$E,ТГ_ИД!$B:$B,ТГ!$G$10,ТГ_ИД!$D:$D,ТГ!$A302)</f>
        <v>0</v>
      </c>
      <c r="S301" s="130">
        <f>SUMIFS(ТГ_ИД!$E:$E,ТГ_ИД!$B:$B,ТГ!$G$11,ТГ_ИД!$D:$D,ТГ!$A302)</f>
        <v>0</v>
      </c>
      <c r="T301" s="130">
        <f>SUMIFS(ТГ_ИД!$E:$E,ТГ_ИД!$B:$B,ТГ!$G$12,ТГ_ИД!$D:$D,ТГ!$A302)</f>
        <v>0</v>
      </c>
      <c r="U301" s="130">
        <f>SUMIFS(ТГ_ИД!$E:$E,ТГ_ИД!$B:$B,ТГ!$G$13,ТГ_ИД!$D:$D,ТГ!$A302)</f>
        <v>0</v>
      </c>
      <c r="V301" s="130">
        <f>SUMIFS(ТГ_ИД!$E:$E,ТГ_ИД!$B:$B,ТГ!$G$14,ТГ_ИД!$D:$D,ТГ!$A302)</f>
        <v>0</v>
      </c>
    </row>
    <row r="302" spans="1:22" x14ac:dyDescent="0.25">
      <c r="A302" s="116" t="str">
        <f t="shared" si="5"/>
        <v/>
      </c>
      <c r="K302" s="130">
        <f>SUMIFS(ТГ_ИД!$E:$E,ТГ_ИД!$B:$B,ТГ!$G$3,ТГ_ИД!$D:$D,ТГ!$A303)</f>
        <v>0</v>
      </c>
      <c r="L302" s="130">
        <f>SUMIFS(ТГ_ИД!$E:$E,ТГ_ИД!$B:$B,ТГ!$G$4,ТГ_ИД!$D:$D,ТГ!$A303)</f>
        <v>0</v>
      </c>
      <c r="M302" s="130">
        <f>SUMIFS(ТГ_ИД!$E:$E,ТГ_ИД!$B:$B,ТГ!$G$5,ТГ_ИД!$D:$D,ТГ!$A303)</f>
        <v>0</v>
      </c>
      <c r="N302" s="130">
        <f>SUMIFS(ТГ_ИД!$E:$E,ТГ_ИД!$B:$B,ТГ!$G$6,ТГ_ИД!$D:$D,ТГ!$A303)</f>
        <v>0</v>
      </c>
      <c r="O302" s="130">
        <f>SUMIFS(ТГ_ИД!$E:$E,ТГ_ИД!$B:$B,ТГ!$G$7,ТГ_ИД!$D:$D,ТГ!$A303)</f>
        <v>0</v>
      </c>
      <c r="P302" s="130">
        <f>SUMIFS(ТГ_ИД!$E:$E,ТГ_ИД!$B:$B,ТГ!$G$8,ТГ_ИД!$D:$D,ТГ!$A303)</f>
        <v>0</v>
      </c>
      <c r="Q302" s="130">
        <f>SUMIFS(ТГ_ИД!$E:$E,ТГ_ИД!$B:$B,ТГ!$G$9,ТГ_ИД!$D:$D,ТГ!$A303)</f>
        <v>0</v>
      </c>
      <c r="R302" s="130">
        <f>SUMIFS(ТГ_ИД!$E:$E,ТГ_ИД!$B:$B,ТГ!$G$10,ТГ_ИД!$D:$D,ТГ!$A303)</f>
        <v>0</v>
      </c>
      <c r="S302" s="130">
        <f>SUMIFS(ТГ_ИД!$E:$E,ТГ_ИД!$B:$B,ТГ!$G$11,ТГ_ИД!$D:$D,ТГ!$A303)</f>
        <v>0</v>
      </c>
      <c r="T302" s="130">
        <f>SUMIFS(ТГ_ИД!$E:$E,ТГ_ИД!$B:$B,ТГ!$G$12,ТГ_ИД!$D:$D,ТГ!$A303)</f>
        <v>0</v>
      </c>
      <c r="U302" s="130">
        <f>SUMIFS(ТГ_ИД!$E:$E,ТГ_ИД!$B:$B,ТГ!$G$13,ТГ_ИД!$D:$D,ТГ!$A303)</f>
        <v>0</v>
      </c>
      <c r="V302" s="130">
        <f>SUMIFS(ТГ_ИД!$E:$E,ТГ_ИД!$B:$B,ТГ!$G$14,ТГ_ИД!$D:$D,ТГ!$A303)</f>
        <v>0</v>
      </c>
    </row>
    <row r="303" spans="1:22" x14ac:dyDescent="0.25">
      <c r="A303" s="116" t="str">
        <f t="shared" si="5"/>
        <v/>
      </c>
      <c r="K303" s="130">
        <f>SUMIFS(ТГ_ИД!$E:$E,ТГ_ИД!$B:$B,ТГ!$G$3,ТГ_ИД!$D:$D,ТГ!$A304)</f>
        <v>0</v>
      </c>
      <c r="L303" s="130">
        <f>SUMIFS(ТГ_ИД!$E:$E,ТГ_ИД!$B:$B,ТГ!$G$4,ТГ_ИД!$D:$D,ТГ!$A304)</f>
        <v>0</v>
      </c>
      <c r="M303" s="130">
        <f>SUMIFS(ТГ_ИД!$E:$E,ТГ_ИД!$B:$B,ТГ!$G$5,ТГ_ИД!$D:$D,ТГ!$A304)</f>
        <v>0</v>
      </c>
      <c r="N303" s="130">
        <f>SUMIFS(ТГ_ИД!$E:$E,ТГ_ИД!$B:$B,ТГ!$G$6,ТГ_ИД!$D:$D,ТГ!$A304)</f>
        <v>0</v>
      </c>
      <c r="O303" s="130">
        <f>SUMIFS(ТГ_ИД!$E:$E,ТГ_ИД!$B:$B,ТГ!$G$7,ТГ_ИД!$D:$D,ТГ!$A304)</f>
        <v>0</v>
      </c>
      <c r="P303" s="130">
        <f>SUMIFS(ТГ_ИД!$E:$E,ТГ_ИД!$B:$B,ТГ!$G$8,ТГ_ИД!$D:$D,ТГ!$A304)</f>
        <v>0</v>
      </c>
      <c r="Q303" s="130">
        <f>SUMIFS(ТГ_ИД!$E:$E,ТГ_ИД!$B:$B,ТГ!$G$9,ТГ_ИД!$D:$D,ТГ!$A304)</f>
        <v>0</v>
      </c>
      <c r="R303" s="130">
        <f>SUMIFS(ТГ_ИД!$E:$E,ТГ_ИД!$B:$B,ТГ!$G$10,ТГ_ИД!$D:$D,ТГ!$A304)</f>
        <v>0</v>
      </c>
      <c r="S303" s="130">
        <f>SUMIFS(ТГ_ИД!$E:$E,ТГ_ИД!$B:$B,ТГ!$G$11,ТГ_ИД!$D:$D,ТГ!$A304)</f>
        <v>0</v>
      </c>
      <c r="T303" s="130">
        <f>SUMIFS(ТГ_ИД!$E:$E,ТГ_ИД!$B:$B,ТГ!$G$12,ТГ_ИД!$D:$D,ТГ!$A304)</f>
        <v>0</v>
      </c>
      <c r="U303" s="130">
        <f>SUMIFS(ТГ_ИД!$E:$E,ТГ_ИД!$B:$B,ТГ!$G$13,ТГ_ИД!$D:$D,ТГ!$A304)</f>
        <v>0</v>
      </c>
      <c r="V303" s="130">
        <f>SUMIFS(ТГ_ИД!$E:$E,ТГ_ИД!$B:$B,ТГ!$G$14,ТГ_ИД!$D:$D,ТГ!$A304)</f>
        <v>0</v>
      </c>
    </row>
    <row r="304" spans="1:22" x14ac:dyDescent="0.25">
      <c r="A304" s="116" t="str">
        <f t="shared" si="5"/>
        <v/>
      </c>
      <c r="K304" s="130">
        <f>SUMIFS(ТГ_ИД!$E:$E,ТГ_ИД!$B:$B,ТГ!$G$3,ТГ_ИД!$D:$D,ТГ!$A305)</f>
        <v>0</v>
      </c>
      <c r="L304" s="130">
        <f>SUMIFS(ТГ_ИД!$E:$E,ТГ_ИД!$B:$B,ТГ!$G$4,ТГ_ИД!$D:$D,ТГ!$A305)</f>
        <v>0</v>
      </c>
      <c r="M304" s="130">
        <f>SUMIFS(ТГ_ИД!$E:$E,ТГ_ИД!$B:$B,ТГ!$G$5,ТГ_ИД!$D:$D,ТГ!$A305)</f>
        <v>0</v>
      </c>
      <c r="N304" s="130">
        <f>SUMIFS(ТГ_ИД!$E:$E,ТГ_ИД!$B:$B,ТГ!$G$6,ТГ_ИД!$D:$D,ТГ!$A305)</f>
        <v>0</v>
      </c>
      <c r="O304" s="130">
        <f>SUMIFS(ТГ_ИД!$E:$E,ТГ_ИД!$B:$B,ТГ!$G$7,ТГ_ИД!$D:$D,ТГ!$A305)</f>
        <v>0</v>
      </c>
      <c r="P304" s="130">
        <f>SUMIFS(ТГ_ИД!$E:$E,ТГ_ИД!$B:$B,ТГ!$G$8,ТГ_ИД!$D:$D,ТГ!$A305)</f>
        <v>0</v>
      </c>
      <c r="Q304" s="130">
        <f>SUMIFS(ТГ_ИД!$E:$E,ТГ_ИД!$B:$B,ТГ!$G$9,ТГ_ИД!$D:$D,ТГ!$A305)</f>
        <v>0</v>
      </c>
      <c r="R304" s="130">
        <f>SUMIFS(ТГ_ИД!$E:$E,ТГ_ИД!$B:$B,ТГ!$G$10,ТГ_ИД!$D:$D,ТГ!$A305)</f>
        <v>0</v>
      </c>
      <c r="S304" s="130">
        <f>SUMIFS(ТГ_ИД!$E:$E,ТГ_ИД!$B:$B,ТГ!$G$11,ТГ_ИД!$D:$D,ТГ!$A305)</f>
        <v>0</v>
      </c>
      <c r="T304" s="130">
        <f>SUMIFS(ТГ_ИД!$E:$E,ТГ_ИД!$B:$B,ТГ!$G$12,ТГ_ИД!$D:$D,ТГ!$A305)</f>
        <v>0</v>
      </c>
      <c r="U304" s="130">
        <f>SUMIFS(ТГ_ИД!$E:$E,ТГ_ИД!$B:$B,ТГ!$G$13,ТГ_ИД!$D:$D,ТГ!$A305)</f>
        <v>0</v>
      </c>
      <c r="V304" s="130">
        <f>SUMIFS(ТГ_ИД!$E:$E,ТГ_ИД!$B:$B,ТГ!$G$14,ТГ_ИД!$D:$D,ТГ!$A305)</f>
        <v>0</v>
      </c>
    </row>
    <row r="305" spans="1:22" x14ac:dyDescent="0.25">
      <c r="A305" s="116" t="str">
        <f t="shared" si="5"/>
        <v/>
      </c>
      <c r="K305" s="130">
        <f>SUMIFS(ТГ_ИД!$E:$E,ТГ_ИД!$B:$B,ТГ!$G$3,ТГ_ИД!$D:$D,ТГ!$A306)</f>
        <v>0</v>
      </c>
      <c r="L305" s="130">
        <f>SUMIFS(ТГ_ИД!$E:$E,ТГ_ИД!$B:$B,ТГ!$G$4,ТГ_ИД!$D:$D,ТГ!$A306)</f>
        <v>0</v>
      </c>
      <c r="M305" s="130">
        <f>SUMIFS(ТГ_ИД!$E:$E,ТГ_ИД!$B:$B,ТГ!$G$5,ТГ_ИД!$D:$D,ТГ!$A306)</f>
        <v>0</v>
      </c>
      <c r="N305" s="130">
        <f>SUMIFS(ТГ_ИД!$E:$E,ТГ_ИД!$B:$B,ТГ!$G$6,ТГ_ИД!$D:$D,ТГ!$A306)</f>
        <v>0</v>
      </c>
      <c r="O305" s="130">
        <f>SUMIFS(ТГ_ИД!$E:$E,ТГ_ИД!$B:$B,ТГ!$G$7,ТГ_ИД!$D:$D,ТГ!$A306)</f>
        <v>0</v>
      </c>
      <c r="P305" s="130">
        <f>SUMIFS(ТГ_ИД!$E:$E,ТГ_ИД!$B:$B,ТГ!$G$8,ТГ_ИД!$D:$D,ТГ!$A306)</f>
        <v>0</v>
      </c>
      <c r="Q305" s="130">
        <f>SUMIFS(ТГ_ИД!$E:$E,ТГ_ИД!$B:$B,ТГ!$G$9,ТГ_ИД!$D:$D,ТГ!$A306)</f>
        <v>0</v>
      </c>
      <c r="R305" s="130">
        <f>SUMIFS(ТГ_ИД!$E:$E,ТГ_ИД!$B:$B,ТГ!$G$10,ТГ_ИД!$D:$D,ТГ!$A306)</f>
        <v>0</v>
      </c>
      <c r="S305" s="130">
        <f>SUMIFS(ТГ_ИД!$E:$E,ТГ_ИД!$B:$B,ТГ!$G$11,ТГ_ИД!$D:$D,ТГ!$A306)</f>
        <v>0</v>
      </c>
      <c r="T305" s="130">
        <f>SUMIFS(ТГ_ИД!$E:$E,ТГ_ИД!$B:$B,ТГ!$G$12,ТГ_ИД!$D:$D,ТГ!$A306)</f>
        <v>0</v>
      </c>
      <c r="U305" s="130">
        <f>SUMIFS(ТГ_ИД!$E:$E,ТГ_ИД!$B:$B,ТГ!$G$13,ТГ_ИД!$D:$D,ТГ!$A306)</f>
        <v>0</v>
      </c>
      <c r="V305" s="130">
        <f>SUMIFS(ТГ_ИД!$E:$E,ТГ_ИД!$B:$B,ТГ!$G$14,ТГ_ИД!$D:$D,ТГ!$A306)</f>
        <v>0</v>
      </c>
    </row>
    <row r="306" spans="1:22" x14ac:dyDescent="0.25">
      <c r="A306" s="116" t="str">
        <f t="shared" si="5"/>
        <v/>
      </c>
      <c r="K306" s="130">
        <f>SUMIFS(ТГ_ИД!$E:$E,ТГ_ИД!$B:$B,ТГ!$G$3,ТГ_ИД!$D:$D,ТГ!$A307)</f>
        <v>0</v>
      </c>
      <c r="L306" s="130">
        <f>SUMIFS(ТГ_ИД!$E:$E,ТГ_ИД!$B:$B,ТГ!$G$4,ТГ_ИД!$D:$D,ТГ!$A307)</f>
        <v>0</v>
      </c>
      <c r="M306" s="130">
        <f>SUMIFS(ТГ_ИД!$E:$E,ТГ_ИД!$B:$B,ТГ!$G$5,ТГ_ИД!$D:$D,ТГ!$A307)</f>
        <v>0</v>
      </c>
      <c r="N306" s="130">
        <f>SUMIFS(ТГ_ИД!$E:$E,ТГ_ИД!$B:$B,ТГ!$G$6,ТГ_ИД!$D:$D,ТГ!$A307)</f>
        <v>0</v>
      </c>
      <c r="O306" s="130">
        <f>SUMIFS(ТГ_ИД!$E:$E,ТГ_ИД!$B:$B,ТГ!$G$7,ТГ_ИД!$D:$D,ТГ!$A307)</f>
        <v>0</v>
      </c>
      <c r="P306" s="130">
        <f>SUMIFS(ТГ_ИД!$E:$E,ТГ_ИД!$B:$B,ТГ!$G$8,ТГ_ИД!$D:$D,ТГ!$A307)</f>
        <v>0</v>
      </c>
      <c r="Q306" s="130">
        <f>SUMIFS(ТГ_ИД!$E:$E,ТГ_ИД!$B:$B,ТГ!$G$9,ТГ_ИД!$D:$D,ТГ!$A307)</f>
        <v>0</v>
      </c>
      <c r="R306" s="130">
        <f>SUMIFS(ТГ_ИД!$E:$E,ТГ_ИД!$B:$B,ТГ!$G$10,ТГ_ИД!$D:$D,ТГ!$A307)</f>
        <v>0</v>
      </c>
      <c r="S306" s="130">
        <f>SUMIFS(ТГ_ИД!$E:$E,ТГ_ИД!$B:$B,ТГ!$G$11,ТГ_ИД!$D:$D,ТГ!$A307)</f>
        <v>0</v>
      </c>
      <c r="T306" s="130">
        <f>SUMIFS(ТГ_ИД!$E:$E,ТГ_ИД!$B:$B,ТГ!$G$12,ТГ_ИД!$D:$D,ТГ!$A307)</f>
        <v>0</v>
      </c>
      <c r="U306" s="130">
        <f>SUMIFS(ТГ_ИД!$E:$E,ТГ_ИД!$B:$B,ТГ!$G$13,ТГ_ИД!$D:$D,ТГ!$A307)</f>
        <v>0</v>
      </c>
      <c r="V306" s="130">
        <f>SUMIFS(ТГ_ИД!$E:$E,ТГ_ИД!$B:$B,ТГ!$G$14,ТГ_ИД!$D:$D,ТГ!$A307)</f>
        <v>0</v>
      </c>
    </row>
    <row r="307" spans="1:22" x14ac:dyDescent="0.25">
      <c r="A307" s="116" t="str">
        <f t="shared" si="5"/>
        <v/>
      </c>
      <c r="K307" s="130">
        <f>SUMIFS(ТГ_ИД!$E:$E,ТГ_ИД!$B:$B,ТГ!$G$3,ТГ_ИД!$D:$D,ТГ!$A308)</f>
        <v>0</v>
      </c>
      <c r="L307" s="130">
        <f>SUMIFS(ТГ_ИД!$E:$E,ТГ_ИД!$B:$B,ТГ!$G$4,ТГ_ИД!$D:$D,ТГ!$A308)</f>
        <v>0</v>
      </c>
      <c r="M307" s="130">
        <f>SUMIFS(ТГ_ИД!$E:$E,ТГ_ИД!$B:$B,ТГ!$G$5,ТГ_ИД!$D:$D,ТГ!$A308)</f>
        <v>0</v>
      </c>
      <c r="N307" s="130">
        <f>SUMIFS(ТГ_ИД!$E:$E,ТГ_ИД!$B:$B,ТГ!$G$6,ТГ_ИД!$D:$D,ТГ!$A308)</f>
        <v>0</v>
      </c>
      <c r="O307" s="130">
        <f>SUMIFS(ТГ_ИД!$E:$E,ТГ_ИД!$B:$B,ТГ!$G$7,ТГ_ИД!$D:$D,ТГ!$A308)</f>
        <v>0</v>
      </c>
      <c r="P307" s="130">
        <f>SUMIFS(ТГ_ИД!$E:$E,ТГ_ИД!$B:$B,ТГ!$G$8,ТГ_ИД!$D:$D,ТГ!$A308)</f>
        <v>0</v>
      </c>
      <c r="Q307" s="130">
        <f>SUMIFS(ТГ_ИД!$E:$E,ТГ_ИД!$B:$B,ТГ!$G$9,ТГ_ИД!$D:$D,ТГ!$A308)</f>
        <v>0</v>
      </c>
      <c r="R307" s="130">
        <f>SUMIFS(ТГ_ИД!$E:$E,ТГ_ИД!$B:$B,ТГ!$G$10,ТГ_ИД!$D:$D,ТГ!$A308)</f>
        <v>0</v>
      </c>
      <c r="S307" s="130">
        <f>SUMIFS(ТГ_ИД!$E:$E,ТГ_ИД!$B:$B,ТГ!$G$11,ТГ_ИД!$D:$D,ТГ!$A308)</f>
        <v>0</v>
      </c>
      <c r="T307" s="130">
        <f>SUMIFS(ТГ_ИД!$E:$E,ТГ_ИД!$B:$B,ТГ!$G$12,ТГ_ИД!$D:$D,ТГ!$A308)</f>
        <v>0</v>
      </c>
      <c r="U307" s="130">
        <f>SUMIFS(ТГ_ИД!$E:$E,ТГ_ИД!$B:$B,ТГ!$G$13,ТГ_ИД!$D:$D,ТГ!$A308)</f>
        <v>0</v>
      </c>
      <c r="V307" s="130">
        <f>SUMIFS(ТГ_ИД!$E:$E,ТГ_ИД!$B:$B,ТГ!$G$14,ТГ_ИД!$D:$D,ТГ!$A308)</f>
        <v>0</v>
      </c>
    </row>
    <row r="308" spans="1:22" x14ac:dyDescent="0.25">
      <c r="A308" s="116" t="str">
        <f t="shared" si="5"/>
        <v/>
      </c>
      <c r="K308" s="130">
        <f>SUMIFS(ТГ_ИД!$E:$E,ТГ_ИД!$B:$B,ТГ!$G$3,ТГ_ИД!$D:$D,ТГ!$A309)</f>
        <v>0</v>
      </c>
      <c r="L308" s="130">
        <f>SUMIFS(ТГ_ИД!$E:$E,ТГ_ИД!$B:$B,ТГ!$G$4,ТГ_ИД!$D:$D,ТГ!$A309)</f>
        <v>0</v>
      </c>
      <c r="M308" s="130">
        <f>SUMIFS(ТГ_ИД!$E:$E,ТГ_ИД!$B:$B,ТГ!$G$5,ТГ_ИД!$D:$D,ТГ!$A309)</f>
        <v>0</v>
      </c>
      <c r="N308" s="130">
        <f>SUMIFS(ТГ_ИД!$E:$E,ТГ_ИД!$B:$B,ТГ!$G$6,ТГ_ИД!$D:$D,ТГ!$A309)</f>
        <v>0</v>
      </c>
      <c r="O308" s="130">
        <f>SUMIFS(ТГ_ИД!$E:$E,ТГ_ИД!$B:$B,ТГ!$G$7,ТГ_ИД!$D:$D,ТГ!$A309)</f>
        <v>0</v>
      </c>
      <c r="P308" s="130">
        <f>SUMIFS(ТГ_ИД!$E:$E,ТГ_ИД!$B:$B,ТГ!$G$8,ТГ_ИД!$D:$D,ТГ!$A309)</f>
        <v>0</v>
      </c>
      <c r="Q308" s="130">
        <f>SUMIFS(ТГ_ИД!$E:$E,ТГ_ИД!$B:$B,ТГ!$G$9,ТГ_ИД!$D:$D,ТГ!$A309)</f>
        <v>0</v>
      </c>
      <c r="R308" s="130">
        <f>SUMIFS(ТГ_ИД!$E:$E,ТГ_ИД!$B:$B,ТГ!$G$10,ТГ_ИД!$D:$D,ТГ!$A309)</f>
        <v>0</v>
      </c>
      <c r="S308" s="130">
        <f>SUMIFS(ТГ_ИД!$E:$E,ТГ_ИД!$B:$B,ТГ!$G$11,ТГ_ИД!$D:$D,ТГ!$A309)</f>
        <v>0</v>
      </c>
      <c r="T308" s="130">
        <f>SUMIFS(ТГ_ИД!$E:$E,ТГ_ИД!$B:$B,ТГ!$G$12,ТГ_ИД!$D:$D,ТГ!$A309)</f>
        <v>0</v>
      </c>
      <c r="U308" s="130">
        <f>SUMIFS(ТГ_ИД!$E:$E,ТГ_ИД!$B:$B,ТГ!$G$13,ТГ_ИД!$D:$D,ТГ!$A309)</f>
        <v>0</v>
      </c>
      <c r="V308" s="130">
        <f>SUMIFS(ТГ_ИД!$E:$E,ТГ_ИД!$B:$B,ТГ!$G$14,ТГ_ИД!$D:$D,ТГ!$A309)</f>
        <v>0</v>
      </c>
    </row>
    <row r="309" spans="1:22" x14ac:dyDescent="0.25">
      <c r="A309" s="116" t="str">
        <f t="shared" si="5"/>
        <v/>
      </c>
      <c r="K309" s="130">
        <f>SUMIFS(ТГ_ИД!$E:$E,ТГ_ИД!$B:$B,ТГ!$G$3,ТГ_ИД!$D:$D,ТГ!$A310)</f>
        <v>0</v>
      </c>
      <c r="L309" s="130">
        <f>SUMIFS(ТГ_ИД!$E:$E,ТГ_ИД!$B:$B,ТГ!$G$4,ТГ_ИД!$D:$D,ТГ!$A310)</f>
        <v>0</v>
      </c>
      <c r="M309" s="130">
        <f>SUMIFS(ТГ_ИД!$E:$E,ТГ_ИД!$B:$B,ТГ!$G$5,ТГ_ИД!$D:$D,ТГ!$A310)</f>
        <v>0</v>
      </c>
      <c r="N309" s="130">
        <f>SUMIFS(ТГ_ИД!$E:$E,ТГ_ИД!$B:$B,ТГ!$G$6,ТГ_ИД!$D:$D,ТГ!$A310)</f>
        <v>0</v>
      </c>
      <c r="O309" s="130">
        <f>SUMIFS(ТГ_ИД!$E:$E,ТГ_ИД!$B:$B,ТГ!$G$7,ТГ_ИД!$D:$D,ТГ!$A310)</f>
        <v>0</v>
      </c>
      <c r="P309" s="130">
        <f>SUMIFS(ТГ_ИД!$E:$E,ТГ_ИД!$B:$B,ТГ!$G$8,ТГ_ИД!$D:$D,ТГ!$A310)</f>
        <v>0</v>
      </c>
      <c r="Q309" s="130">
        <f>SUMIFS(ТГ_ИД!$E:$E,ТГ_ИД!$B:$B,ТГ!$G$9,ТГ_ИД!$D:$D,ТГ!$A310)</f>
        <v>0</v>
      </c>
      <c r="R309" s="130">
        <f>SUMIFS(ТГ_ИД!$E:$E,ТГ_ИД!$B:$B,ТГ!$G$10,ТГ_ИД!$D:$D,ТГ!$A310)</f>
        <v>0</v>
      </c>
      <c r="S309" s="130">
        <f>SUMIFS(ТГ_ИД!$E:$E,ТГ_ИД!$B:$B,ТГ!$G$11,ТГ_ИД!$D:$D,ТГ!$A310)</f>
        <v>0</v>
      </c>
      <c r="T309" s="130">
        <f>SUMIFS(ТГ_ИД!$E:$E,ТГ_ИД!$B:$B,ТГ!$G$12,ТГ_ИД!$D:$D,ТГ!$A310)</f>
        <v>0</v>
      </c>
      <c r="U309" s="130">
        <f>SUMIFS(ТГ_ИД!$E:$E,ТГ_ИД!$B:$B,ТГ!$G$13,ТГ_ИД!$D:$D,ТГ!$A310)</f>
        <v>0</v>
      </c>
      <c r="V309" s="130">
        <f>SUMIFS(ТГ_ИД!$E:$E,ТГ_ИД!$B:$B,ТГ!$G$14,ТГ_ИД!$D:$D,ТГ!$A310)</f>
        <v>0</v>
      </c>
    </row>
    <row r="310" spans="1:22" x14ac:dyDescent="0.25">
      <c r="A310" s="116" t="str">
        <f t="shared" si="5"/>
        <v/>
      </c>
      <c r="K310" s="130">
        <f>SUMIFS(ТГ_ИД!$E:$E,ТГ_ИД!$B:$B,ТГ!$G$3,ТГ_ИД!$D:$D,ТГ!$A311)</f>
        <v>0</v>
      </c>
      <c r="L310" s="130">
        <f>SUMIFS(ТГ_ИД!$E:$E,ТГ_ИД!$B:$B,ТГ!$G$4,ТГ_ИД!$D:$D,ТГ!$A311)</f>
        <v>0</v>
      </c>
      <c r="M310" s="130">
        <f>SUMIFS(ТГ_ИД!$E:$E,ТГ_ИД!$B:$B,ТГ!$G$5,ТГ_ИД!$D:$D,ТГ!$A311)</f>
        <v>0</v>
      </c>
      <c r="N310" s="130">
        <f>SUMIFS(ТГ_ИД!$E:$E,ТГ_ИД!$B:$B,ТГ!$G$6,ТГ_ИД!$D:$D,ТГ!$A311)</f>
        <v>0</v>
      </c>
      <c r="O310" s="130">
        <f>SUMIFS(ТГ_ИД!$E:$E,ТГ_ИД!$B:$B,ТГ!$G$7,ТГ_ИД!$D:$D,ТГ!$A311)</f>
        <v>0</v>
      </c>
      <c r="P310" s="130">
        <f>SUMIFS(ТГ_ИД!$E:$E,ТГ_ИД!$B:$B,ТГ!$G$8,ТГ_ИД!$D:$D,ТГ!$A311)</f>
        <v>0</v>
      </c>
      <c r="Q310" s="130">
        <f>SUMIFS(ТГ_ИД!$E:$E,ТГ_ИД!$B:$B,ТГ!$G$9,ТГ_ИД!$D:$D,ТГ!$A311)</f>
        <v>0</v>
      </c>
      <c r="R310" s="130">
        <f>SUMIFS(ТГ_ИД!$E:$E,ТГ_ИД!$B:$B,ТГ!$G$10,ТГ_ИД!$D:$D,ТГ!$A311)</f>
        <v>0</v>
      </c>
      <c r="S310" s="130">
        <f>SUMIFS(ТГ_ИД!$E:$E,ТГ_ИД!$B:$B,ТГ!$G$11,ТГ_ИД!$D:$D,ТГ!$A311)</f>
        <v>0</v>
      </c>
      <c r="T310" s="130">
        <f>SUMIFS(ТГ_ИД!$E:$E,ТГ_ИД!$B:$B,ТГ!$G$12,ТГ_ИД!$D:$D,ТГ!$A311)</f>
        <v>0</v>
      </c>
      <c r="U310" s="130">
        <f>SUMIFS(ТГ_ИД!$E:$E,ТГ_ИД!$B:$B,ТГ!$G$13,ТГ_ИД!$D:$D,ТГ!$A311)</f>
        <v>0</v>
      </c>
      <c r="V310" s="130">
        <f>SUMIFS(ТГ_ИД!$E:$E,ТГ_ИД!$B:$B,ТГ!$G$14,ТГ_ИД!$D:$D,ТГ!$A311)</f>
        <v>0</v>
      </c>
    </row>
    <row r="311" spans="1:22" x14ac:dyDescent="0.25">
      <c r="A311" s="116" t="str">
        <f t="shared" si="5"/>
        <v/>
      </c>
      <c r="K311" s="130">
        <f>SUMIFS(ТГ_ИД!$E:$E,ТГ_ИД!$B:$B,ТГ!$G$3,ТГ_ИД!$D:$D,ТГ!$A312)</f>
        <v>0</v>
      </c>
      <c r="L311" s="130">
        <f>SUMIFS(ТГ_ИД!$E:$E,ТГ_ИД!$B:$B,ТГ!$G$4,ТГ_ИД!$D:$D,ТГ!$A312)</f>
        <v>0</v>
      </c>
      <c r="M311" s="130">
        <f>SUMIFS(ТГ_ИД!$E:$E,ТГ_ИД!$B:$B,ТГ!$G$5,ТГ_ИД!$D:$D,ТГ!$A312)</f>
        <v>0</v>
      </c>
      <c r="N311" s="130">
        <f>SUMIFS(ТГ_ИД!$E:$E,ТГ_ИД!$B:$B,ТГ!$G$6,ТГ_ИД!$D:$D,ТГ!$A312)</f>
        <v>0</v>
      </c>
      <c r="O311" s="130">
        <f>SUMIFS(ТГ_ИД!$E:$E,ТГ_ИД!$B:$B,ТГ!$G$7,ТГ_ИД!$D:$D,ТГ!$A312)</f>
        <v>0</v>
      </c>
      <c r="P311" s="130">
        <f>SUMIFS(ТГ_ИД!$E:$E,ТГ_ИД!$B:$B,ТГ!$G$8,ТГ_ИД!$D:$D,ТГ!$A312)</f>
        <v>0</v>
      </c>
      <c r="Q311" s="130">
        <f>SUMIFS(ТГ_ИД!$E:$E,ТГ_ИД!$B:$B,ТГ!$G$9,ТГ_ИД!$D:$D,ТГ!$A312)</f>
        <v>0</v>
      </c>
      <c r="R311" s="130">
        <f>SUMIFS(ТГ_ИД!$E:$E,ТГ_ИД!$B:$B,ТГ!$G$10,ТГ_ИД!$D:$D,ТГ!$A312)</f>
        <v>0</v>
      </c>
      <c r="S311" s="130">
        <f>SUMIFS(ТГ_ИД!$E:$E,ТГ_ИД!$B:$B,ТГ!$G$11,ТГ_ИД!$D:$D,ТГ!$A312)</f>
        <v>0</v>
      </c>
      <c r="T311" s="130">
        <f>SUMIFS(ТГ_ИД!$E:$E,ТГ_ИД!$B:$B,ТГ!$G$12,ТГ_ИД!$D:$D,ТГ!$A312)</f>
        <v>0</v>
      </c>
      <c r="U311" s="130">
        <f>SUMIFS(ТГ_ИД!$E:$E,ТГ_ИД!$B:$B,ТГ!$G$13,ТГ_ИД!$D:$D,ТГ!$A312)</f>
        <v>0</v>
      </c>
      <c r="V311" s="130">
        <f>SUMIFS(ТГ_ИД!$E:$E,ТГ_ИД!$B:$B,ТГ!$G$14,ТГ_ИД!$D:$D,ТГ!$A312)</f>
        <v>0</v>
      </c>
    </row>
    <row r="312" spans="1:22" x14ac:dyDescent="0.25">
      <c r="A312" s="116" t="str">
        <f t="shared" si="5"/>
        <v/>
      </c>
      <c r="K312" s="130">
        <f>SUMIFS(ТГ_ИД!$E:$E,ТГ_ИД!$B:$B,ТГ!$G$3,ТГ_ИД!$D:$D,ТГ!$A313)</f>
        <v>0</v>
      </c>
      <c r="L312" s="130">
        <f>SUMIFS(ТГ_ИД!$E:$E,ТГ_ИД!$B:$B,ТГ!$G$4,ТГ_ИД!$D:$D,ТГ!$A313)</f>
        <v>0</v>
      </c>
      <c r="M312" s="130">
        <f>SUMIFS(ТГ_ИД!$E:$E,ТГ_ИД!$B:$B,ТГ!$G$5,ТГ_ИД!$D:$D,ТГ!$A313)</f>
        <v>0</v>
      </c>
      <c r="N312" s="130">
        <f>SUMIFS(ТГ_ИД!$E:$E,ТГ_ИД!$B:$B,ТГ!$G$6,ТГ_ИД!$D:$D,ТГ!$A313)</f>
        <v>0</v>
      </c>
      <c r="O312" s="130">
        <f>SUMIFS(ТГ_ИД!$E:$E,ТГ_ИД!$B:$B,ТГ!$G$7,ТГ_ИД!$D:$D,ТГ!$A313)</f>
        <v>0</v>
      </c>
      <c r="P312" s="130">
        <f>SUMIFS(ТГ_ИД!$E:$E,ТГ_ИД!$B:$B,ТГ!$G$8,ТГ_ИД!$D:$D,ТГ!$A313)</f>
        <v>0</v>
      </c>
      <c r="Q312" s="130">
        <f>SUMIFS(ТГ_ИД!$E:$E,ТГ_ИД!$B:$B,ТГ!$G$9,ТГ_ИД!$D:$D,ТГ!$A313)</f>
        <v>0</v>
      </c>
      <c r="R312" s="130">
        <f>SUMIFS(ТГ_ИД!$E:$E,ТГ_ИД!$B:$B,ТГ!$G$10,ТГ_ИД!$D:$D,ТГ!$A313)</f>
        <v>0</v>
      </c>
      <c r="S312" s="130">
        <f>SUMIFS(ТГ_ИД!$E:$E,ТГ_ИД!$B:$B,ТГ!$G$11,ТГ_ИД!$D:$D,ТГ!$A313)</f>
        <v>0</v>
      </c>
      <c r="T312" s="130">
        <f>SUMIFS(ТГ_ИД!$E:$E,ТГ_ИД!$B:$B,ТГ!$G$12,ТГ_ИД!$D:$D,ТГ!$A313)</f>
        <v>0</v>
      </c>
      <c r="U312" s="130">
        <f>SUMIFS(ТГ_ИД!$E:$E,ТГ_ИД!$B:$B,ТГ!$G$13,ТГ_ИД!$D:$D,ТГ!$A313)</f>
        <v>0</v>
      </c>
      <c r="V312" s="130">
        <f>SUMIFS(ТГ_ИД!$E:$E,ТГ_ИД!$B:$B,ТГ!$G$14,ТГ_ИД!$D:$D,ТГ!$A313)</f>
        <v>0</v>
      </c>
    </row>
    <row r="313" spans="1:22" x14ac:dyDescent="0.25">
      <c r="A313" s="116" t="str">
        <f t="shared" si="5"/>
        <v/>
      </c>
      <c r="K313" s="130">
        <f>SUMIFS(ТГ_ИД!$E:$E,ТГ_ИД!$B:$B,ТГ!$G$3,ТГ_ИД!$D:$D,ТГ!$A314)</f>
        <v>0</v>
      </c>
      <c r="L313" s="130">
        <f>SUMIFS(ТГ_ИД!$E:$E,ТГ_ИД!$B:$B,ТГ!$G$4,ТГ_ИД!$D:$D,ТГ!$A314)</f>
        <v>0</v>
      </c>
      <c r="M313" s="130">
        <f>SUMIFS(ТГ_ИД!$E:$E,ТГ_ИД!$B:$B,ТГ!$G$5,ТГ_ИД!$D:$D,ТГ!$A314)</f>
        <v>0</v>
      </c>
      <c r="N313" s="130">
        <f>SUMIFS(ТГ_ИД!$E:$E,ТГ_ИД!$B:$B,ТГ!$G$6,ТГ_ИД!$D:$D,ТГ!$A314)</f>
        <v>0</v>
      </c>
      <c r="O313" s="130">
        <f>SUMIFS(ТГ_ИД!$E:$E,ТГ_ИД!$B:$B,ТГ!$G$7,ТГ_ИД!$D:$D,ТГ!$A314)</f>
        <v>0</v>
      </c>
      <c r="P313" s="130">
        <f>SUMIFS(ТГ_ИД!$E:$E,ТГ_ИД!$B:$B,ТГ!$G$8,ТГ_ИД!$D:$D,ТГ!$A314)</f>
        <v>0</v>
      </c>
      <c r="Q313" s="130">
        <f>SUMIFS(ТГ_ИД!$E:$E,ТГ_ИД!$B:$B,ТГ!$G$9,ТГ_ИД!$D:$D,ТГ!$A314)</f>
        <v>0</v>
      </c>
      <c r="R313" s="130">
        <f>SUMIFS(ТГ_ИД!$E:$E,ТГ_ИД!$B:$B,ТГ!$G$10,ТГ_ИД!$D:$D,ТГ!$A314)</f>
        <v>0</v>
      </c>
      <c r="S313" s="130">
        <f>SUMIFS(ТГ_ИД!$E:$E,ТГ_ИД!$B:$B,ТГ!$G$11,ТГ_ИД!$D:$D,ТГ!$A314)</f>
        <v>0</v>
      </c>
      <c r="T313" s="130">
        <f>SUMIFS(ТГ_ИД!$E:$E,ТГ_ИД!$B:$B,ТГ!$G$12,ТГ_ИД!$D:$D,ТГ!$A314)</f>
        <v>0</v>
      </c>
      <c r="U313" s="130">
        <f>SUMIFS(ТГ_ИД!$E:$E,ТГ_ИД!$B:$B,ТГ!$G$13,ТГ_ИД!$D:$D,ТГ!$A314)</f>
        <v>0</v>
      </c>
      <c r="V313" s="130">
        <f>SUMIFS(ТГ_ИД!$E:$E,ТГ_ИД!$B:$B,ТГ!$G$14,ТГ_ИД!$D:$D,ТГ!$A314)</f>
        <v>0</v>
      </c>
    </row>
    <row r="314" spans="1:22" x14ac:dyDescent="0.25">
      <c r="A314" s="116" t="str">
        <f t="shared" si="5"/>
        <v/>
      </c>
      <c r="K314" s="130">
        <f>SUMIFS(ТГ_ИД!$E:$E,ТГ_ИД!$B:$B,ТГ!$G$3,ТГ_ИД!$D:$D,ТГ!$A315)</f>
        <v>0</v>
      </c>
      <c r="L314" s="130">
        <f>SUMIFS(ТГ_ИД!$E:$E,ТГ_ИД!$B:$B,ТГ!$G$4,ТГ_ИД!$D:$D,ТГ!$A315)</f>
        <v>0</v>
      </c>
      <c r="M314" s="130">
        <f>SUMIFS(ТГ_ИД!$E:$E,ТГ_ИД!$B:$B,ТГ!$G$5,ТГ_ИД!$D:$D,ТГ!$A315)</f>
        <v>0</v>
      </c>
      <c r="N314" s="130">
        <f>SUMIFS(ТГ_ИД!$E:$E,ТГ_ИД!$B:$B,ТГ!$G$6,ТГ_ИД!$D:$D,ТГ!$A315)</f>
        <v>0</v>
      </c>
      <c r="O314" s="130">
        <f>SUMIFS(ТГ_ИД!$E:$E,ТГ_ИД!$B:$B,ТГ!$G$7,ТГ_ИД!$D:$D,ТГ!$A315)</f>
        <v>0</v>
      </c>
      <c r="P314" s="130">
        <f>SUMIFS(ТГ_ИД!$E:$E,ТГ_ИД!$B:$B,ТГ!$G$8,ТГ_ИД!$D:$D,ТГ!$A315)</f>
        <v>0</v>
      </c>
      <c r="Q314" s="130">
        <f>SUMIFS(ТГ_ИД!$E:$E,ТГ_ИД!$B:$B,ТГ!$G$9,ТГ_ИД!$D:$D,ТГ!$A315)</f>
        <v>0</v>
      </c>
      <c r="R314" s="130">
        <f>SUMIFS(ТГ_ИД!$E:$E,ТГ_ИД!$B:$B,ТГ!$G$10,ТГ_ИД!$D:$D,ТГ!$A315)</f>
        <v>0</v>
      </c>
      <c r="S314" s="130">
        <f>SUMIFS(ТГ_ИД!$E:$E,ТГ_ИД!$B:$B,ТГ!$G$11,ТГ_ИД!$D:$D,ТГ!$A315)</f>
        <v>0</v>
      </c>
      <c r="T314" s="130">
        <f>SUMIFS(ТГ_ИД!$E:$E,ТГ_ИД!$B:$B,ТГ!$G$12,ТГ_ИД!$D:$D,ТГ!$A315)</f>
        <v>0</v>
      </c>
      <c r="U314" s="130">
        <f>SUMIFS(ТГ_ИД!$E:$E,ТГ_ИД!$B:$B,ТГ!$G$13,ТГ_ИД!$D:$D,ТГ!$A315)</f>
        <v>0</v>
      </c>
      <c r="V314" s="130">
        <f>SUMIFS(ТГ_ИД!$E:$E,ТГ_ИД!$B:$B,ТГ!$G$14,ТГ_ИД!$D:$D,ТГ!$A315)</f>
        <v>0</v>
      </c>
    </row>
    <row r="315" spans="1:22" x14ac:dyDescent="0.25">
      <c r="A315" s="116" t="str">
        <f t="shared" si="5"/>
        <v/>
      </c>
      <c r="K315" s="130">
        <f>SUMIFS(ТГ_ИД!$E:$E,ТГ_ИД!$B:$B,ТГ!$G$3,ТГ_ИД!$D:$D,ТГ!$A316)</f>
        <v>0</v>
      </c>
      <c r="L315" s="130">
        <f>SUMIFS(ТГ_ИД!$E:$E,ТГ_ИД!$B:$B,ТГ!$G$4,ТГ_ИД!$D:$D,ТГ!$A316)</f>
        <v>0</v>
      </c>
      <c r="M315" s="130">
        <f>SUMIFS(ТГ_ИД!$E:$E,ТГ_ИД!$B:$B,ТГ!$G$5,ТГ_ИД!$D:$D,ТГ!$A316)</f>
        <v>0</v>
      </c>
      <c r="N315" s="130">
        <f>SUMIFS(ТГ_ИД!$E:$E,ТГ_ИД!$B:$B,ТГ!$G$6,ТГ_ИД!$D:$D,ТГ!$A316)</f>
        <v>0</v>
      </c>
      <c r="O315" s="130">
        <f>SUMIFS(ТГ_ИД!$E:$E,ТГ_ИД!$B:$B,ТГ!$G$7,ТГ_ИД!$D:$D,ТГ!$A316)</f>
        <v>0</v>
      </c>
      <c r="P315" s="130">
        <f>SUMIFS(ТГ_ИД!$E:$E,ТГ_ИД!$B:$B,ТГ!$G$8,ТГ_ИД!$D:$D,ТГ!$A316)</f>
        <v>0</v>
      </c>
      <c r="Q315" s="130">
        <f>SUMIFS(ТГ_ИД!$E:$E,ТГ_ИД!$B:$B,ТГ!$G$9,ТГ_ИД!$D:$D,ТГ!$A316)</f>
        <v>0</v>
      </c>
      <c r="R315" s="130">
        <f>SUMIFS(ТГ_ИД!$E:$E,ТГ_ИД!$B:$B,ТГ!$G$10,ТГ_ИД!$D:$D,ТГ!$A316)</f>
        <v>0</v>
      </c>
      <c r="S315" s="130">
        <f>SUMIFS(ТГ_ИД!$E:$E,ТГ_ИД!$B:$B,ТГ!$G$11,ТГ_ИД!$D:$D,ТГ!$A316)</f>
        <v>0</v>
      </c>
      <c r="T315" s="130">
        <f>SUMIFS(ТГ_ИД!$E:$E,ТГ_ИД!$B:$B,ТГ!$G$12,ТГ_ИД!$D:$D,ТГ!$A316)</f>
        <v>0</v>
      </c>
      <c r="U315" s="130">
        <f>SUMIFS(ТГ_ИД!$E:$E,ТГ_ИД!$B:$B,ТГ!$G$13,ТГ_ИД!$D:$D,ТГ!$A316)</f>
        <v>0</v>
      </c>
      <c r="V315" s="130">
        <f>SUMIFS(ТГ_ИД!$E:$E,ТГ_ИД!$B:$B,ТГ!$G$14,ТГ_ИД!$D:$D,ТГ!$A316)</f>
        <v>0</v>
      </c>
    </row>
    <row r="316" spans="1:22" x14ac:dyDescent="0.25">
      <c r="A316" s="116" t="str">
        <f t="shared" si="5"/>
        <v/>
      </c>
      <c r="K316" s="130">
        <f>SUMIFS(ТГ_ИД!$E:$E,ТГ_ИД!$B:$B,ТГ!$G$3,ТГ_ИД!$D:$D,ТГ!$A317)</f>
        <v>0</v>
      </c>
      <c r="L316" s="130">
        <f>SUMIFS(ТГ_ИД!$E:$E,ТГ_ИД!$B:$B,ТГ!$G$4,ТГ_ИД!$D:$D,ТГ!$A317)</f>
        <v>0</v>
      </c>
      <c r="M316" s="130">
        <f>SUMIFS(ТГ_ИД!$E:$E,ТГ_ИД!$B:$B,ТГ!$G$5,ТГ_ИД!$D:$D,ТГ!$A317)</f>
        <v>0</v>
      </c>
      <c r="N316" s="130">
        <f>SUMIFS(ТГ_ИД!$E:$E,ТГ_ИД!$B:$B,ТГ!$G$6,ТГ_ИД!$D:$D,ТГ!$A317)</f>
        <v>0</v>
      </c>
      <c r="O316" s="130">
        <f>SUMIFS(ТГ_ИД!$E:$E,ТГ_ИД!$B:$B,ТГ!$G$7,ТГ_ИД!$D:$D,ТГ!$A317)</f>
        <v>0</v>
      </c>
      <c r="P316" s="130">
        <f>SUMIFS(ТГ_ИД!$E:$E,ТГ_ИД!$B:$B,ТГ!$G$8,ТГ_ИД!$D:$D,ТГ!$A317)</f>
        <v>0</v>
      </c>
      <c r="Q316" s="130">
        <f>SUMIFS(ТГ_ИД!$E:$E,ТГ_ИД!$B:$B,ТГ!$G$9,ТГ_ИД!$D:$D,ТГ!$A317)</f>
        <v>0</v>
      </c>
      <c r="R316" s="130">
        <f>SUMIFS(ТГ_ИД!$E:$E,ТГ_ИД!$B:$B,ТГ!$G$10,ТГ_ИД!$D:$D,ТГ!$A317)</f>
        <v>0</v>
      </c>
      <c r="S316" s="130">
        <f>SUMIFS(ТГ_ИД!$E:$E,ТГ_ИД!$B:$B,ТГ!$G$11,ТГ_ИД!$D:$D,ТГ!$A317)</f>
        <v>0</v>
      </c>
      <c r="T316" s="130">
        <f>SUMIFS(ТГ_ИД!$E:$E,ТГ_ИД!$B:$B,ТГ!$G$12,ТГ_ИД!$D:$D,ТГ!$A317)</f>
        <v>0</v>
      </c>
      <c r="U316" s="130">
        <f>SUMIFS(ТГ_ИД!$E:$E,ТГ_ИД!$B:$B,ТГ!$G$13,ТГ_ИД!$D:$D,ТГ!$A317)</f>
        <v>0</v>
      </c>
      <c r="V316" s="130">
        <f>SUMIFS(ТГ_ИД!$E:$E,ТГ_ИД!$B:$B,ТГ!$G$14,ТГ_ИД!$D:$D,ТГ!$A317)</f>
        <v>0</v>
      </c>
    </row>
    <row r="317" spans="1:22" x14ac:dyDescent="0.25">
      <c r="A317" s="116" t="str">
        <f t="shared" si="5"/>
        <v/>
      </c>
      <c r="K317" s="130">
        <f>SUMIFS(ТГ_ИД!$E:$E,ТГ_ИД!$B:$B,ТГ!$G$3,ТГ_ИД!$D:$D,ТГ!$A318)</f>
        <v>0</v>
      </c>
      <c r="L317" s="130">
        <f>SUMIFS(ТГ_ИД!$E:$E,ТГ_ИД!$B:$B,ТГ!$G$4,ТГ_ИД!$D:$D,ТГ!$A318)</f>
        <v>0</v>
      </c>
      <c r="M317" s="130">
        <f>SUMIFS(ТГ_ИД!$E:$E,ТГ_ИД!$B:$B,ТГ!$G$5,ТГ_ИД!$D:$D,ТГ!$A318)</f>
        <v>0</v>
      </c>
      <c r="N317" s="130">
        <f>SUMIFS(ТГ_ИД!$E:$E,ТГ_ИД!$B:$B,ТГ!$G$6,ТГ_ИД!$D:$D,ТГ!$A318)</f>
        <v>0</v>
      </c>
      <c r="O317" s="130">
        <f>SUMIFS(ТГ_ИД!$E:$E,ТГ_ИД!$B:$B,ТГ!$G$7,ТГ_ИД!$D:$D,ТГ!$A318)</f>
        <v>0</v>
      </c>
      <c r="P317" s="130">
        <f>SUMIFS(ТГ_ИД!$E:$E,ТГ_ИД!$B:$B,ТГ!$G$8,ТГ_ИД!$D:$D,ТГ!$A318)</f>
        <v>0</v>
      </c>
      <c r="Q317" s="130">
        <f>SUMIFS(ТГ_ИД!$E:$E,ТГ_ИД!$B:$B,ТГ!$G$9,ТГ_ИД!$D:$D,ТГ!$A318)</f>
        <v>0</v>
      </c>
      <c r="R317" s="130">
        <f>SUMIFS(ТГ_ИД!$E:$E,ТГ_ИД!$B:$B,ТГ!$G$10,ТГ_ИД!$D:$D,ТГ!$A318)</f>
        <v>0</v>
      </c>
      <c r="S317" s="130">
        <f>SUMIFS(ТГ_ИД!$E:$E,ТГ_ИД!$B:$B,ТГ!$G$11,ТГ_ИД!$D:$D,ТГ!$A318)</f>
        <v>0</v>
      </c>
      <c r="T317" s="130">
        <f>SUMIFS(ТГ_ИД!$E:$E,ТГ_ИД!$B:$B,ТГ!$G$12,ТГ_ИД!$D:$D,ТГ!$A318)</f>
        <v>0</v>
      </c>
      <c r="U317" s="130">
        <f>SUMIFS(ТГ_ИД!$E:$E,ТГ_ИД!$B:$B,ТГ!$G$13,ТГ_ИД!$D:$D,ТГ!$A318)</f>
        <v>0</v>
      </c>
      <c r="V317" s="130">
        <f>SUMIFS(ТГ_ИД!$E:$E,ТГ_ИД!$B:$B,ТГ!$G$14,ТГ_ИД!$D:$D,ТГ!$A318)</f>
        <v>0</v>
      </c>
    </row>
    <row r="318" spans="1:22" x14ac:dyDescent="0.25">
      <c r="A318" s="116" t="str">
        <f t="shared" si="5"/>
        <v/>
      </c>
      <c r="K318" s="130">
        <f>SUMIFS(ТГ_ИД!$E:$E,ТГ_ИД!$B:$B,ТГ!$G$3,ТГ_ИД!$D:$D,ТГ!$A319)</f>
        <v>0</v>
      </c>
      <c r="L318" s="130">
        <f>SUMIFS(ТГ_ИД!$E:$E,ТГ_ИД!$B:$B,ТГ!$G$4,ТГ_ИД!$D:$D,ТГ!$A319)</f>
        <v>0</v>
      </c>
      <c r="M318" s="130">
        <f>SUMIFS(ТГ_ИД!$E:$E,ТГ_ИД!$B:$B,ТГ!$G$5,ТГ_ИД!$D:$D,ТГ!$A319)</f>
        <v>0</v>
      </c>
      <c r="N318" s="130">
        <f>SUMIFS(ТГ_ИД!$E:$E,ТГ_ИД!$B:$B,ТГ!$G$6,ТГ_ИД!$D:$D,ТГ!$A319)</f>
        <v>0</v>
      </c>
      <c r="O318" s="130">
        <f>SUMIFS(ТГ_ИД!$E:$E,ТГ_ИД!$B:$B,ТГ!$G$7,ТГ_ИД!$D:$D,ТГ!$A319)</f>
        <v>0</v>
      </c>
      <c r="P318" s="130">
        <f>SUMIFS(ТГ_ИД!$E:$E,ТГ_ИД!$B:$B,ТГ!$G$8,ТГ_ИД!$D:$D,ТГ!$A319)</f>
        <v>0</v>
      </c>
      <c r="Q318" s="130">
        <f>SUMIFS(ТГ_ИД!$E:$E,ТГ_ИД!$B:$B,ТГ!$G$9,ТГ_ИД!$D:$D,ТГ!$A319)</f>
        <v>0</v>
      </c>
      <c r="R318" s="130">
        <f>SUMIFS(ТГ_ИД!$E:$E,ТГ_ИД!$B:$B,ТГ!$G$10,ТГ_ИД!$D:$D,ТГ!$A319)</f>
        <v>0</v>
      </c>
      <c r="S318" s="130">
        <f>SUMIFS(ТГ_ИД!$E:$E,ТГ_ИД!$B:$B,ТГ!$G$11,ТГ_ИД!$D:$D,ТГ!$A319)</f>
        <v>0</v>
      </c>
      <c r="T318" s="130">
        <f>SUMIFS(ТГ_ИД!$E:$E,ТГ_ИД!$B:$B,ТГ!$G$12,ТГ_ИД!$D:$D,ТГ!$A319)</f>
        <v>0</v>
      </c>
      <c r="U318" s="130">
        <f>SUMIFS(ТГ_ИД!$E:$E,ТГ_ИД!$B:$B,ТГ!$G$13,ТГ_ИД!$D:$D,ТГ!$A319)</f>
        <v>0</v>
      </c>
      <c r="V318" s="130">
        <f>SUMIFS(ТГ_ИД!$E:$E,ТГ_ИД!$B:$B,ТГ!$G$14,ТГ_ИД!$D:$D,ТГ!$A319)</f>
        <v>0</v>
      </c>
    </row>
    <row r="319" spans="1:22" x14ac:dyDescent="0.25">
      <c r="A319" s="116" t="str">
        <f t="shared" si="5"/>
        <v/>
      </c>
      <c r="K319" s="130">
        <f>SUMIFS(ТГ_ИД!$E:$E,ТГ_ИД!$B:$B,ТГ!$G$3,ТГ_ИД!$D:$D,ТГ!$A320)</f>
        <v>0</v>
      </c>
      <c r="L319" s="130">
        <f>SUMIFS(ТГ_ИД!$E:$E,ТГ_ИД!$B:$B,ТГ!$G$4,ТГ_ИД!$D:$D,ТГ!$A320)</f>
        <v>0</v>
      </c>
      <c r="M319" s="130">
        <f>SUMIFS(ТГ_ИД!$E:$E,ТГ_ИД!$B:$B,ТГ!$G$5,ТГ_ИД!$D:$D,ТГ!$A320)</f>
        <v>0</v>
      </c>
      <c r="N319" s="130">
        <f>SUMIFS(ТГ_ИД!$E:$E,ТГ_ИД!$B:$B,ТГ!$G$6,ТГ_ИД!$D:$D,ТГ!$A320)</f>
        <v>0</v>
      </c>
      <c r="O319" s="130">
        <f>SUMIFS(ТГ_ИД!$E:$E,ТГ_ИД!$B:$B,ТГ!$G$7,ТГ_ИД!$D:$D,ТГ!$A320)</f>
        <v>0</v>
      </c>
      <c r="P319" s="130">
        <f>SUMIFS(ТГ_ИД!$E:$E,ТГ_ИД!$B:$B,ТГ!$G$8,ТГ_ИД!$D:$D,ТГ!$A320)</f>
        <v>0</v>
      </c>
      <c r="Q319" s="130">
        <f>SUMIFS(ТГ_ИД!$E:$E,ТГ_ИД!$B:$B,ТГ!$G$9,ТГ_ИД!$D:$D,ТГ!$A320)</f>
        <v>0</v>
      </c>
      <c r="R319" s="130">
        <f>SUMIFS(ТГ_ИД!$E:$E,ТГ_ИД!$B:$B,ТГ!$G$10,ТГ_ИД!$D:$D,ТГ!$A320)</f>
        <v>0</v>
      </c>
      <c r="S319" s="130">
        <f>SUMIFS(ТГ_ИД!$E:$E,ТГ_ИД!$B:$B,ТГ!$G$11,ТГ_ИД!$D:$D,ТГ!$A320)</f>
        <v>0</v>
      </c>
      <c r="T319" s="130">
        <f>SUMIFS(ТГ_ИД!$E:$E,ТГ_ИД!$B:$B,ТГ!$G$12,ТГ_ИД!$D:$D,ТГ!$A320)</f>
        <v>0</v>
      </c>
      <c r="U319" s="130">
        <f>SUMIFS(ТГ_ИД!$E:$E,ТГ_ИД!$B:$B,ТГ!$G$13,ТГ_ИД!$D:$D,ТГ!$A320)</f>
        <v>0</v>
      </c>
      <c r="V319" s="130">
        <f>SUMIFS(ТГ_ИД!$E:$E,ТГ_ИД!$B:$B,ТГ!$G$14,ТГ_ИД!$D:$D,ТГ!$A320)</f>
        <v>0</v>
      </c>
    </row>
    <row r="320" spans="1:22" x14ac:dyDescent="0.25">
      <c r="A320" s="116" t="str">
        <f t="shared" si="5"/>
        <v/>
      </c>
      <c r="K320" s="130">
        <f>SUMIFS(ТГ_ИД!$E:$E,ТГ_ИД!$B:$B,ТГ!$G$3,ТГ_ИД!$D:$D,ТГ!$A321)</f>
        <v>0</v>
      </c>
      <c r="L320" s="130">
        <f>SUMIFS(ТГ_ИД!$E:$E,ТГ_ИД!$B:$B,ТГ!$G$4,ТГ_ИД!$D:$D,ТГ!$A321)</f>
        <v>0</v>
      </c>
      <c r="M320" s="130">
        <f>SUMIFS(ТГ_ИД!$E:$E,ТГ_ИД!$B:$B,ТГ!$G$5,ТГ_ИД!$D:$D,ТГ!$A321)</f>
        <v>0</v>
      </c>
      <c r="N320" s="130">
        <f>SUMIFS(ТГ_ИД!$E:$E,ТГ_ИД!$B:$B,ТГ!$G$6,ТГ_ИД!$D:$D,ТГ!$A321)</f>
        <v>0</v>
      </c>
      <c r="O320" s="130">
        <f>SUMIFS(ТГ_ИД!$E:$E,ТГ_ИД!$B:$B,ТГ!$G$7,ТГ_ИД!$D:$D,ТГ!$A321)</f>
        <v>0</v>
      </c>
      <c r="P320" s="130">
        <f>SUMIFS(ТГ_ИД!$E:$E,ТГ_ИД!$B:$B,ТГ!$G$8,ТГ_ИД!$D:$D,ТГ!$A321)</f>
        <v>0</v>
      </c>
      <c r="Q320" s="130">
        <f>SUMIFS(ТГ_ИД!$E:$E,ТГ_ИД!$B:$B,ТГ!$G$9,ТГ_ИД!$D:$D,ТГ!$A321)</f>
        <v>0</v>
      </c>
      <c r="R320" s="130">
        <f>SUMIFS(ТГ_ИД!$E:$E,ТГ_ИД!$B:$B,ТГ!$G$10,ТГ_ИД!$D:$D,ТГ!$A321)</f>
        <v>0</v>
      </c>
      <c r="S320" s="130">
        <f>SUMIFS(ТГ_ИД!$E:$E,ТГ_ИД!$B:$B,ТГ!$G$11,ТГ_ИД!$D:$D,ТГ!$A321)</f>
        <v>0</v>
      </c>
      <c r="T320" s="130">
        <f>SUMIFS(ТГ_ИД!$E:$E,ТГ_ИД!$B:$B,ТГ!$G$12,ТГ_ИД!$D:$D,ТГ!$A321)</f>
        <v>0</v>
      </c>
      <c r="U320" s="130">
        <f>SUMIFS(ТГ_ИД!$E:$E,ТГ_ИД!$B:$B,ТГ!$G$13,ТГ_ИД!$D:$D,ТГ!$A321)</f>
        <v>0</v>
      </c>
      <c r="V320" s="130">
        <f>SUMIFS(ТГ_ИД!$E:$E,ТГ_ИД!$B:$B,ТГ!$G$14,ТГ_ИД!$D:$D,ТГ!$A321)</f>
        <v>0</v>
      </c>
    </row>
    <row r="321" spans="1:22" x14ac:dyDescent="0.25">
      <c r="A321" s="116" t="str">
        <f t="shared" si="5"/>
        <v/>
      </c>
      <c r="K321" s="130">
        <f>SUMIFS(ТГ_ИД!$E:$E,ТГ_ИД!$B:$B,ТГ!$G$3,ТГ_ИД!$D:$D,ТГ!$A322)</f>
        <v>0</v>
      </c>
      <c r="L321" s="130">
        <f>SUMIFS(ТГ_ИД!$E:$E,ТГ_ИД!$B:$B,ТГ!$G$4,ТГ_ИД!$D:$D,ТГ!$A322)</f>
        <v>0</v>
      </c>
      <c r="M321" s="130">
        <f>SUMIFS(ТГ_ИД!$E:$E,ТГ_ИД!$B:$B,ТГ!$G$5,ТГ_ИД!$D:$D,ТГ!$A322)</f>
        <v>0</v>
      </c>
      <c r="N321" s="130">
        <f>SUMIFS(ТГ_ИД!$E:$E,ТГ_ИД!$B:$B,ТГ!$G$6,ТГ_ИД!$D:$D,ТГ!$A322)</f>
        <v>0</v>
      </c>
      <c r="O321" s="130">
        <f>SUMIFS(ТГ_ИД!$E:$E,ТГ_ИД!$B:$B,ТГ!$G$7,ТГ_ИД!$D:$D,ТГ!$A322)</f>
        <v>0</v>
      </c>
      <c r="P321" s="130">
        <f>SUMIFS(ТГ_ИД!$E:$E,ТГ_ИД!$B:$B,ТГ!$G$8,ТГ_ИД!$D:$D,ТГ!$A322)</f>
        <v>0</v>
      </c>
      <c r="Q321" s="130">
        <f>SUMIFS(ТГ_ИД!$E:$E,ТГ_ИД!$B:$B,ТГ!$G$9,ТГ_ИД!$D:$D,ТГ!$A322)</f>
        <v>0</v>
      </c>
      <c r="R321" s="130">
        <f>SUMIFS(ТГ_ИД!$E:$E,ТГ_ИД!$B:$B,ТГ!$G$10,ТГ_ИД!$D:$D,ТГ!$A322)</f>
        <v>0</v>
      </c>
      <c r="S321" s="130">
        <f>SUMIFS(ТГ_ИД!$E:$E,ТГ_ИД!$B:$B,ТГ!$G$11,ТГ_ИД!$D:$D,ТГ!$A322)</f>
        <v>0</v>
      </c>
      <c r="T321" s="130">
        <f>SUMIFS(ТГ_ИД!$E:$E,ТГ_ИД!$B:$B,ТГ!$G$12,ТГ_ИД!$D:$D,ТГ!$A322)</f>
        <v>0</v>
      </c>
      <c r="U321" s="130">
        <f>SUMIFS(ТГ_ИД!$E:$E,ТГ_ИД!$B:$B,ТГ!$G$13,ТГ_ИД!$D:$D,ТГ!$A322)</f>
        <v>0</v>
      </c>
      <c r="V321" s="130">
        <f>SUMIFS(ТГ_ИД!$E:$E,ТГ_ИД!$B:$B,ТГ!$G$14,ТГ_ИД!$D:$D,ТГ!$A322)</f>
        <v>0</v>
      </c>
    </row>
    <row r="322" spans="1:22" x14ac:dyDescent="0.25">
      <c r="A322" s="116" t="str">
        <f t="shared" si="5"/>
        <v/>
      </c>
      <c r="K322" s="130">
        <f>SUMIFS(ТГ_ИД!$E:$E,ТГ_ИД!$B:$B,ТГ!$G$3,ТГ_ИД!$D:$D,ТГ!$A323)</f>
        <v>0</v>
      </c>
      <c r="L322" s="130">
        <f>SUMIFS(ТГ_ИД!$E:$E,ТГ_ИД!$B:$B,ТГ!$G$4,ТГ_ИД!$D:$D,ТГ!$A323)</f>
        <v>0</v>
      </c>
      <c r="M322" s="130">
        <f>SUMIFS(ТГ_ИД!$E:$E,ТГ_ИД!$B:$B,ТГ!$G$5,ТГ_ИД!$D:$D,ТГ!$A323)</f>
        <v>0</v>
      </c>
      <c r="N322" s="130">
        <f>SUMIFS(ТГ_ИД!$E:$E,ТГ_ИД!$B:$B,ТГ!$G$6,ТГ_ИД!$D:$D,ТГ!$A323)</f>
        <v>0</v>
      </c>
      <c r="O322" s="130">
        <f>SUMIFS(ТГ_ИД!$E:$E,ТГ_ИД!$B:$B,ТГ!$G$7,ТГ_ИД!$D:$D,ТГ!$A323)</f>
        <v>0</v>
      </c>
      <c r="P322" s="130">
        <f>SUMIFS(ТГ_ИД!$E:$E,ТГ_ИД!$B:$B,ТГ!$G$8,ТГ_ИД!$D:$D,ТГ!$A323)</f>
        <v>0</v>
      </c>
      <c r="Q322" s="130">
        <f>SUMIFS(ТГ_ИД!$E:$E,ТГ_ИД!$B:$B,ТГ!$G$9,ТГ_ИД!$D:$D,ТГ!$A323)</f>
        <v>0</v>
      </c>
      <c r="R322" s="130">
        <f>SUMIFS(ТГ_ИД!$E:$E,ТГ_ИД!$B:$B,ТГ!$G$10,ТГ_ИД!$D:$D,ТГ!$A323)</f>
        <v>0</v>
      </c>
      <c r="S322" s="130">
        <f>SUMIFS(ТГ_ИД!$E:$E,ТГ_ИД!$B:$B,ТГ!$G$11,ТГ_ИД!$D:$D,ТГ!$A323)</f>
        <v>0</v>
      </c>
      <c r="T322" s="130">
        <f>SUMIFS(ТГ_ИД!$E:$E,ТГ_ИД!$B:$B,ТГ!$G$12,ТГ_ИД!$D:$D,ТГ!$A323)</f>
        <v>0</v>
      </c>
      <c r="U322" s="130">
        <f>SUMIFS(ТГ_ИД!$E:$E,ТГ_ИД!$B:$B,ТГ!$G$13,ТГ_ИД!$D:$D,ТГ!$A323)</f>
        <v>0</v>
      </c>
      <c r="V322" s="130">
        <f>SUMIFS(ТГ_ИД!$E:$E,ТГ_ИД!$B:$B,ТГ!$G$14,ТГ_ИД!$D:$D,ТГ!$A323)</f>
        <v>0</v>
      </c>
    </row>
    <row r="323" spans="1:22" x14ac:dyDescent="0.25">
      <c r="A323" s="116" t="str">
        <f t="shared" si="5"/>
        <v/>
      </c>
      <c r="K323" s="130">
        <f>SUMIFS(ТГ_ИД!$E:$E,ТГ_ИД!$B:$B,ТГ!$G$3,ТГ_ИД!$D:$D,ТГ!$A324)</f>
        <v>0</v>
      </c>
      <c r="L323" s="130">
        <f>SUMIFS(ТГ_ИД!$E:$E,ТГ_ИД!$B:$B,ТГ!$G$4,ТГ_ИД!$D:$D,ТГ!$A324)</f>
        <v>0</v>
      </c>
      <c r="M323" s="130">
        <f>SUMIFS(ТГ_ИД!$E:$E,ТГ_ИД!$B:$B,ТГ!$G$5,ТГ_ИД!$D:$D,ТГ!$A324)</f>
        <v>0</v>
      </c>
      <c r="N323" s="130">
        <f>SUMIFS(ТГ_ИД!$E:$E,ТГ_ИД!$B:$B,ТГ!$G$6,ТГ_ИД!$D:$D,ТГ!$A324)</f>
        <v>0</v>
      </c>
      <c r="O323" s="130">
        <f>SUMIFS(ТГ_ИД!$E:$E,ТГ_ИД!$B:$B,ТГ!$G$7,ТГ_ИД!$D:$D,ТГ!$A324)</f>
        <v>0</v>
      </c>
      <c r="P323" s="130">
        <f>SUMIFS(ТГ_ИД!$E:$E,ТГ_ИД!$B:$B,ТГ!$G$8,ТГ_ИД!$D:$D,ТГ!$A324)</f>
        <v>0</v>
      </c>
      <c r="Q323" s="130">
        <f>SUMIFS(ТГ_ИД!$E:$E,ТГ_ИД!$B:$B,ТГ!$G$9,ТГ_ИД!$D:$D,ТГ!$A324)</f>
        <v>0</v>
      </c>
      <c r="R323" s="130">
        <f>SUMIFS(ТГ_ИД!$E:$E,ТГ_ИД!$B:$B,ТГ!$G$10,ТГ_ИД!$D:$D,ТГ!$A324)</f>
        <v>0</v>
      </c>
      <c r="S323" s="130">
        <f>SUMIFS(ТГ_ИД!$E:$E,ТГ_ИД!$B:$B,ТГ!$G$11,ТГ_ИД!$D:$D,ТГ!$A324)</f>
        <v>0</v>
      </c>
      <c r="T323" s="130">
        <f>SUMIFS(ТГ_ИД!$E:$E,ТГ_ИД!$B:$B,ТГ!$G$12,ТГ_ИД!$D:$D,ТГ!$A324)</f>
        <v>0</v>
      </c>
      <c r="U323" s="130">
        <f>SUMIFS(ТГ_ИД!$E:$E,ТГ_ИД!$B:$B,ТГ!$G$13,ТГ_ИД!$D:$D,ТГ!$A324)</f>
        <v>0</v>
      </c>
      <c r="V323" s="130">
        <f>SUMIFS(ТГ_ИД!$E:$E,ТГ_ИД!$B:$B,ТГ!$G$14,ТГ_ИД!$D:$D,ТГ!$A324)</f>
        <v>0</v>
      </c>
    </row>
    <row r="324" spans="1:22" x14ac:dyDescent="0.25">
      <c r="A324" s="116" t="str">
        <f t="shared" si="5"/>
        <v/>
      </c>
      <c r="K324" s="130">
        <f>SUMIFS(ТГ_ИД!$E:$E,ТГ_ИД!$B:$B,ТГ!$G$3,ТГ_ИД!$D:$D,ТГ!$A325)</f>
        <v>0</v>
      </c>
      <c r="L324" s="130">
        <f>SUMIFS(ТГ_ИД!$E:$E,ТГ_ИД!$B:$B,ТГ!$G$4,ТГ_ИД!$D:$D,ТГ!$A325)</f>
        <v>0</v>
      </c>
      <c r="M324" s="130">
        <f>SUMIFS(ТГ_ИД!$E:$E,ТГ_ИД!$B:$B,ТГ!$G$5,ТГ_ИД!$D:$D,ТГ!$A325)</f>
        <v>0</v>
      </c>
      <c r="N324" s="130">
        <f>SUMIFS(ТГ_ИД!$E:$E,ТГ_ИД!$B:$B,ТГ!$G$6,ТГ_ИД!$D:$D,ТГ!$A325)</f>
        <v>0</v>
      </c>
      <c r="O324" s="130">
        <f>SUMIFS(ТГ_ИД!$E:$E,ТГ_ИД!$B:$B,ТГ!$G$7,ТГ_ИД!$D:$D,ТГ!$A325)</f>
        <v>0</v>
      </c>
      <c r="P324" s="130">
        <f>SUMIFS(ТГ_ИД!$E:$E,ТГ_ИД!$B:$B,ТГ!$G$8,ТГ_ИД!$D:$D,ТГ!$A325)</f>
        <v>0</v>
      </c>
      <c r="Q324" s="130">
        <f>SUMIFS(ТГ_ИД!$E:$E,ТГ_ИД!$B:$B,ТГ!$G$9,ТГ_ИД!$D:$D,ТГ!$A325)</f>
        <v>0</v>
      </c>
      <c r="R324" s="130">
        <f>SUMIFS(ТГ_ИД!$E:$E,ТГ_ИД!$B:$B,ТГ!$G$10,ТГ_ИД!$D:$D,ТГ!$A325)</f>
        <v>0</v>
      </c>
      <c r="S324" s="130">
        <f>SUMIFS(ТГ_ИД!$E:$E,ТГ_ИД!$B:$B,ТГ!$G$11,ТГ_ИД!$D:$D,ТГ!$A325)</f>
        <v>0</v>
      </c>
      <c r="T324" s="130">
        <f>SUMIFS(ТГ_ИД!$E:$E,ТГ_ИД!$B:$B,ТГ!$G$12,ТГ_ИД!$D:$D,ТГ!$A325)</f>
        <v>0</v>
      </c>
      <c r="U324" s="130">
        <f>SUMIFS(ТГ_ИД!$E:$E,ТГ_ИД!$B:$B,ТГ!$G$13,ТГ_ИД!$D:$D,ТГ!$A325)</f>
        <v>0</v>
      </c>
      <c r="V324" s="130">
        <f>SUMIFS(ТГ_ИД!$E:$E,ТГ_ИД!$B:$B,ТГ!$G$14,ТГ_ИД!$D:$D,ТГ!$A325)</f>
        <v>0</v>
      </c>
    </row>
    <row r="325" spans="1:22" x14ac:dyDescent="0.25">
      <c r="A325" s="116" t="str">
        <f t="shared" ref="A325:A388" si="6">IF(B325="","",TEXT(B325,"00000"))</f>
        <v/>
      </c>
      <c r="K325" s="130">
        <f>SUMIFS(ТГ_ИД!$E:$E,ТГ_ИД!$B:$B,ТГ!$G$3,ТГ_ИД!$D:$D,ТГ!$A326)</f>
        <v>0</v>
      </c>
      <c r="L325" s="130">
        <f>SUMIFS(ТГ_ИД!$E:$E,ТГ_ИД!$B:$B,ТГ!$G$4,ТГ_ИД!$D:$D,ТГ!$A326)</f>
        <v>0</v>
      </c>
      <c r="M325" s="130">
        <f>SUMIFS(ТГ_ИД!$E:$E,ТГ_ИД!$B:$B,ТГ!$G$5,ТГ_ИД!$D:$D,ТГ!$A326)</f>
        <v>0</v>
      </c>
      <c r="N325" s="130">
        <f>SUMIFS(ТГ_ИД!$E:$E,ТГ_ИД!$B:$B,ТГ!$G$6,ТГ_ИД!$D:$D,ТГ!$A326)</f>
        <v>0</v>
      </c>
      <c r="O325" s="130">
        <f>SUMIFS(ТГ_ИД!$E:$E,ТГ_ИД!$B:$B,ТГ!$G$7,ТГ_ИД!$D:$D,ТГ!$A326)</f>
        <v>0</v>
      </c>
      <c r="P325" s="130">
        <f>SUMIFS(ТГ_ИД!$E:$E,ТГ_ИД!$B:$B,ТГ!$G$8,ТГ_ИД!$D:$D,ТГ!$A326)</f>
        <v>0</v>
      </c>
      <c r="Q325" s="130">
        <f>SUMIFS(ТГ_ИД!$E:$E,ТГ_ИД!$B:$B,ТГ!$G$9,ТГ_ИД!$D:$D,ТГ!$A326)</f>
        <v>0</v>
      </c>
      <c r="R325" s="130">
        <f>SUMIFS(ТГ_ИД!$E:$E,ТГ_ИД!$B:$B,ТГ!$G$10,ТГ_ИД!$D:$D,ТГ!$A326)</f>
        <v>0</v>
      </c>
      <c r="S325" s="130">
        <f>SUMIFS(ТГ_ИД!$E:$E,ТГ_ИД!$B:$B,ТГ!$G$11,ТГ_ИД!$D:$D,ТГ!$A326)</f>
        <v>0</v>
      </c>
      <c r="T325" s="130">
        <f>SUMIFS(ТГ_ИД!$E:$E,ТГ_ИД!$B:$B,ТГ!$G$12,ТГ_ИД!$D:$D,ТГ!$A326)</f>
        <v>0</v>
      </c>
      <c r="U325" s="130">
        <f>SUMIFS(ТГ_ИД!$E:$E,ТГ_ИД!$B:$B,ТГ!$G$13,ТГ_ИД!$D:$D,ТГ!$A326)</f>
        <v>0</v>
      </c>
      <c r="V325" s="130">
        <f>SUMIFS(ТГ_ИД!$E:$E,ТГ_ИД!$B:$B,ТГ!$G$14,ТГ_ИД!$D:$D,ТГ!$A326)</f>
        <v>0</v>
      </c>
    </row>
    <row r="326" spans="1:22" x14ac:dyDescent="0.25">
      <c r="A326" s="116" t="str">
        <f t="shared" si="6"/>
        <v/>
      </c>
      <c r="K326" s="130">
        <f>SUMIFS(ТГ_ИД!$E:$E,ТГ_ИД!$B:$B,ТГ!$G$3,ТГ_ИД!$D:$D,ТГ!$A327)</f>
        <v>0</v>
      </c>
      <c r="L326" s="130">
        <f>SUMIFS(ТГ_ИД!$E:$E,ТГ_ИД!$B:$B,ТГ!$G$4,ТГ_ИД!$D:$D,ТГ!$A327)</f>
        <v>0</v>
      </c>
      <c r="M326" s="130">
        <f>SUMIFS(ТГ_ИД!$E:$E,ТГ_ИД!$B:$B,ТГ!$G$5,ТГ_ИД!$D:$D,ТГ!$A327)</f>
        <v>0</v>
      </c>
      <c r="N326" s="130">
        <f>SUMIFS(ТГ_ИД!$E:$E,ТГ_ИД!$B:$B,ТГ!$G$6,ТГ_ИД!$D:$D,ТГ!$A327)</f>
        <v>0</v>
      </c>
      <c r="O326" s="130">
        <f>SUMIFS(ТГ_ИД!$E:$E,ТГ_ИД!$B:$B,ТГ!$G$7,ТГ_ИД!$D:$D,ТГ!$A327)</f>
        <v>0</v>
      </c>
      <c r="P326" s="130">
        <f>SUMIFS(ТГ_ИД!$E:$E,ТГ_ИД!$B:$B,ТГ!$G$8,ТГ_ИД!$D:$D,ТГ!$A327)</f>
        <v>0</v>
      </c>
      <c r="Q326" s="130">
        <f>SUMIFS(ТГ_ИД!$E:$E,ТГ_ИД!$B:$B,ТГ!$G$9,ТГ_ИД!$D:$D,ТГ!$A327)</f>
        <v>0</v>
      </c>
      <c r="R326" s="130">
        <f>SUMIFS(ТГ_ИД!$E:$E,ТГ_ИД!$B:$B,ТГ!$G$10,ТГ_ИД!$D:$D,ТГ!$A327)</f>
        <v>0</v>
      </c>
      <c r="S326" s="130">
        <f>SUMIFS(ТГ_ИД!$E:$E,ТГ_ИД!$B:$B,ТГ!$G$11,ТГ_ИД!$D:$D,ТГ!$A327)</f>
        <v>0</v>
      </c>
      <c r="T326" s="130">
        <f>SUMIFS(ТГ_ИД!$E:$E,ТГ_ИД!$B:$B,ТГ!$G$12,ТГ_ИД!$D:$D,ТГ!$A327)</f>
        <v>0</v>
      </c>
      <c r="U326" s="130">
        <f>SUMIFS(ТГ_ИД!$E:$E,ТГ_ИД!$B:$B,ТГ!$G$13,ТГ_ИД!$D:$D,ТГ!$A327)</f>
        <v>0</v>
      </c>
      <c r="V326" s="130">
        <f>SUMIFS(ТГ_ИД!$E:$E,ТГ_ИД!$B:$B,ТГ!$G$14,ТГ_ИД!$D:$D,ТГ!$A327)</f>
        <v>0</v>
      </c>
    </row>
    <row r="327" spans="1:22" x14ac:dyDescent="0.25">
      <c r="A327" s="116" t="str">
        <f t="shared" si="6"/>
        <v/>
      </c>
      <c r="K327" s="130">
        <f>SUMIFS(ТГ_ИД!$E:$E,ТГ_ИД!$B:$B,ТГ!$G$3,ТГ_ИД!$D:$D,ТГ!$A328)</f>
        <v>0</v>
      </c>
      <c r="L327" s="130">
        <f>SUMIFS(ТГ_ИД!$E:$E,ТГ_ИД!$B:$B,ТГ!$G$4,ТГ_ИД!$D:$D,ТГ!$A328)</f>
        <v>0</v>
      </c>
      <c r="M327" s="130">
        <f>SUMIFS(ТГ_ИД!$E:$E,ТГ_ИД!$B:$B,ТГ!$G$5,ТГ_ИД!$D:$D,ТГ!$A328)</f>
        <v>0</v>
      </c>
      <c r="N327" s="130">
        <f>SUMIFS(ТГ_ИД!$E:$E,ТГ_ИД!$B:$B,ТГ!$G$6,ТГ_ИД!$D:$D,ТГ!$A328)</f>
        <v>0</v>
      </c>
      <c r="O327" s="130">
        <f>SUMIFS(ТГ_ИД!$E:$E,ТГ_ИД!$B:$B,ТГ!$G$7,ТГ_ИД!$D:$D,ТГ!$A328)</f>
        <v>0</v>
      </c>
      <c r="P327" s="130">
        <f>SUMIFS(ТГ_ИД!$E:$E,ТГ_ИД!$B:$B,ТГ!$G$8,ТГ_ИД!$D:$D,ТГ!$A328)</f>
        <v>0</v>
      </c>
      <c r="Q327" s="130">
        <f>SUMIFS(ТГ_ИД!$E:$E,ТГ_ИД!$B:$B,ТГ!$G$9,ТГ_ИД!$D:$D,ТГ!$A328)</f>
        <v>0</v>
      </c>
      <c r="R327" s="130">
        <f>SUMIFS(ТГ_ИД!$E:$E,ТГ_ИД!$B:$B,ТГ!$G$10,ТГ_ИД!$D:$D,ТГ!$A328)</f>
        <v>0</v>
      </c>
      <c r="S327" s="130">
        <f>SUMIFS(ТГ_ИД!$E:$E,ТГ_ИД!$B:$B,ТГ!$G$11,ТГ_ИД!$D:$D,ТГ!$A328)</f>
        <v>0</v>
      </c>
      <c r="T327" s="130">
        <f>SUMIFS(ТГ_ИД!$E:$E,ТГ_ИД!$B:$B,ТГ!$G$12,ТГ_ИД!$D:$D,ТГ!$A328)</f>
        <v>0</v>
      </c>
      <c r="U327" s="130">
        <f>SUMIFS(ТГ_ИД!$E:$E,ТГ_ИД!$B:$B,ТГ!$G$13,ТГ_ИД!$D:$D,ТГ!$A328)</f>
        <v>0</v>
      </c>
      <c r="V327" s="130">
        <f>SUMIFS(ТГ_ИД!$E:$E,ТГ_ИД!$B:$B,ТГ!$G$14,ТГ_ИД!$D:$D,ТГ!$A328)</f>
        <v>0</v>
      </c>
    </row>
    <row r="328" spans="1:22" x14ac:dyDescent="0.25">
      <c r="A328" s="116" t="str">
        <f t="shared" si="6"/>
        <v/>
      </c>
      <c r="K328" s="130">
        <f>SUMIFS(ТГ_ИД!$E:$E,ТГ_ИД!$B:$B,ТГ!$G$3,ТГ_ИД!$D:$D,ТГ!$A329)</f>
        <v>0</v>
      </c>
      <c r="L328" s="130">
        <f>SUMIFS(ТГ_ИД!$E:$E,ТГ_ИД!$B:$B,ТГ!$G$4,ТГ_ИД!$D:$D,ТГ!$A329)</f>
        <v>0</v>
      </c>
      <c r="M328" s="130">
        <f>SUMIFS(ТГ_ИД!$E:$E,ТГ_ИД!$B:$B,ТГ!$G$5,ТГ_ИД!$D:$D,ТГ!$A329)</f>
        <v>0</v>
      </c>
      <c r="N328" s="130">
        <f>SUMIFS(ТГ_ИД!$E:$E,ТГ_ИД!$B:$B,ТГ!$G$6,ТГ_ИД!$D:$D,ТГ!$A329)</f>
        <v>0</v>
      </c>
      <c r="O328" s="130">
        <f>SUMIFS(ТГ_ИД!$E:$E,ТГ_ИД!$B:$B,ТГ!$G$7,ТГ_ИД!$D:$D,ТГ!$A329)</f>
        <v>0</v>
      </c>
      <c r="P328" s="130">
        <f>SUMIFS(ТГ_ИД!$E:$E,ТГ_ИД!$B:$B,ТГ!$G$8,ТГ_ИД!$D:$D,ТГ!$A329)</f>
        <v>0</v>
      </c>
      <c r="Q328" s="130">
        <f>SUMIFS(ТГ_ИД!$E:$E,ТГ_ИД!$B:$B,ТГ!$G$9,ТГ_ИД!$D:$D,ТГ!$A329)</f>
        <v>0</v>
      </c>
      <c r="R328" s="130">
        <f>SUMIFS(ТГ_ИД!$E:$E,ТГ_ИД!$B:$B,ТГ!$G$10,ТГ_ИД!$D:$D,ТГ!$A329)</f>
        <v>0</v>
      </c>
      <c r="S328" s="130">
        <f>SUMIFS(ТГ_ИД!$E:$E,ТГ_ИД!$B:$B,ТГ!$G$11,ТГ_ИД!$D:$D,ТГ!$A329)</f>
        <v>0</v>
      </c>
      <c r="T328" s="130">
        <f>SUMIFS(ТГ_ИД!$E:$E,ТГ_ИД!$B:$B,ТГ!$G$12,ТГ_ИД!$D:$D,ТГ!$A329)</f>
        <v>0</v>
      </c>
      <c r="U328" s="130">
        <f>SUMIFS(ТГ_ИД!$E:$E,ТГ_ИД!$B:$B,ТГ!$G$13,ТГ_ИД!$D:$D,ТГ!$A329)</f>
        <v>0</v>
      </c>
      <c r="V328" s="130">
        <f>SUMIFS(ТГ_ИД!$E:$E,ТГ_ИД!$B:$B,ТГ!$G$14,ТГ_ИД!$D:$D,ТГ!$A329)</f>
        <v>0</v>
      </c>
    </row>
    <row r="329" spans="1:22" x14ac:dyDescent="0.25">
      <c r="A329" s="116" t="str">
        <f t="shared" si="6"/>
        <v/>
      </c>
      <c r="K329" s="130">
        <f>SUMIFS(ТГ_ИД!$E:$E,ТГ_ИД!$B:$B,ТГ!$G$3,ТГ_ИД!$D:$D,ТГ!$A330)</f>
        <v>0</v>
      </c>
      <c r="L329" s="130">
        <f>SUMIFS(ТГ_ИД!$E:$E,ТГ_ИД!$B:$B,ТГ!$G$4,ТГ_ИД!$D:$D,ТГ!$A330)</f>
        <v>0</v>
      </c>
      <c r="M329" s="130">
        <f>SUMIFS(ТГ_ИД!$E:$E,ТГ_ИД!$B:$B,ТГ!$G$5,ТГ_ИД!$D:$D,ТГ!$A330)</f>
        <v>0</v>
      </c>
      <c r="N329" s="130">
        <f>SUMIFS(ТГ_ИД!$E:$E,ТГ_ИД!$B:$B,ТГ!$G$6,ТГ_ИД!$D:$D,ТГ!$A330)</f>
        <v>0</v>
      </c>
      <c r="O329" s="130">
        <f>SUMIFS(ТГ_ИД!$E:$E,ТГ_ИД!$B:$B,ТГ!$G$7,ТГ_ИД!$D:$D,ТГ!$A330)</f>
        <v>0</v>
      </c>
      <c r="P329" s="130">
        <f>SUMIFS(ТГ_ИД!$E:$E,ТГ_ИД!$B:$B,ТГ!$G$8,ТГ_ИД!$D:$D,ТГ!$A330)</f>
        <v>0</v>
      </c>
      <c r="Q329" s="130">
        <f>SUMIFS(ТГ_ИД!$E:$E,ТГ_ИД!$B:$B,ТГ!$G$9,ТГ_ИД!$D:$D,ТГ!$A330)</f>
        <v>0</v>
      </c>
      <c r="R329" s="130">
        <f>SUMIFS(ТГ_ИД!$E:$E,ТГ_ИД!$B:$B,ТГ!$G$10,ТГ_ИД!$D:$D,ТГ!$A330)</f>
        <v>0</v>
      </c>
      <c r="S329" s="130">
        <f>SUMIFS(ТГ_ИД!$E:$E,ТГ_ИД!$B:$B,ТГ!$G$11,ТГ_ИД!$D:$D,ТГ!$A330)</f>
        <v>0</v>
      </c>
      <c r="T329" s="130">
        <f>SUMIFS(ТГ_ИД!$E:$E,ТГ_ИД!$B:$B,ТГ!$G$12,ТГ_ИД!$D:$D,ТГ!$A330)</f>
        <v>0</v>
      </c>
      <c r="U329" s="130">
        <f>SUMIFS(ТГ_ИД!$E:$E,ТГ_ИД!$B:$B,ТГ!$G$13,ТГ_ИД!$D:$D,ТГ!$A330)</f>
        <v>0</v>
      </c>
      <c r="V329" s="130">
        <f>SUMIFS(ТГ_ИД!$E:$E,ТГ_ИД!$B:$B,ТГ!$G$14,ТГ_ИД!$D:$D,ТГ!$A330)</f>
        <v>0</v>
      </c>
    </row>
    <row r="330" spans="1:22" x14ac:dyDescent="0.25">
      <c r="A330" s="116" t="str">
        <f t="shared" si="6"/>
        <v/>
      </c>
      <c r="K330" s="130">
        <f>SUMIFS(ТГ_ИД!$E:$E,ТГ_ИД!$B:$B,ТГ!$G$3,ТГ_ИД!$D:$D,ТГ!$A331)</f>
        <v>0</v>
      </c>
      <c r="L330" s="130">
        <f>SUMIFS(ТГ_ИД!$E:$E,ТГ_ИД!$B:$B,ТГ!$G$4,ТГ_ИД!$D:$D,ТГ!$A331)</f>
        <v>0</v>
      </c>
      <c r="M330" s="130">
        <f>SUMIFS(ТГ_ИД!$E:$E,ТГ_ИД!$B:$B,ТГ!$G$5,ТГ_ИД!$D:$D,ТГ!$A331)</f>
        <v>0</v>
      </c>
      <c r="N330" s="130">
        <f>SUMIFS(ТГ_ИД!$E:$E,ТГ_ИД!$B:$B,ТГ!$G$6,ТГ_ИД!$D:$D,ТГ!$A331)</f>
        <v>0</v>
      </c>
      <c r="O330" s="130">
        <f>SUMIFS(ТГ_ИД!$E:$E,ТГ_ИД!$B:$B,ТГ!$G$7,ТГ_ИД!$D:$D,ТГ!$A331)</f>
        <v>0</v>
      </c>
      <c r="P330" s="130">
        <f>SUMIFS(ТГ_ИД!$E:$E,ТГ_ИД!$B:$B,ТГ!$G$8,ТГ_ИД!$D:$D,ТГ!$A331)</f>
        <v>0</v>
      </c>
      <c r="Q330" s="130">
        <f>SUMIFS(ТГ_ИД!$E:$E,ТГ_ИД!$B:$B,ТГ!$G$9,ТГ_ИД!$D:$D,ТГ!$A331)</f>
        <v>0</v>
      </c>
      <c r="R330" s="130">
        <f>SUMIFS(ТГ_ИД!$E:$E,ТГ_ИД!$B:$B,ТГ!$G$10,ТГ_ИД!$D:$D,ТГ!$A331)</f>
        <v>0</v>
      </c>
      <c r="S330" s="130">
        <f>SUMIFS(ТГ_ИД!$E:$E,ТГ_ИД!$B:$B,ТГ!$G$11,ТГ_ИД!$D:$D,ТГ!$A331)</f>
        <v>0</v>
      </c>
      <c r="T330" s="130">
        <f>SUMIFS(ТГ_ИД!$E:$E,ТГ_ИД!$B:$B,ТГ!$G$12,ТГ_ИД!$D:$D,ТГ!$A331)</f>
        <v>0</v>
      </c>
      <c r="U330" s="130">
        <f>SUMIFS(ТГ_ИД!$E:$E,ТГ_ИД!$B:$B,ТГ!$G$13,ТГ_ИД!$D:$D,ТГ!$A331)</f>
        <v>0</v>
      </c>
      <c r="V330" s="130">
        <f>SUMIFS(ТГ_ИД!$E:$E,ТГ_ИД!$B:$B,ТГ!$G$14,ТГ_ИД!$D:$D,ТГ!$A331)</f>
        <v>0</v>
      </c>
    </row>
    <row r="331" spans="1:22" x14ac:dyDescent="0.25">
      <c r="A331" s="116" t="str">
        <f t="shared" si="6"/>
        <v/>
      </c>
      <c r="K331" s="130">
        <f>SUMIFS(ТГ_ИД!$E:$E,ТГ_ИД!$B:$B,ТГ!$G$3,ТГ_ИД!$D:$D,ТГ!$A332)</f>
        <v>0</v>
      </c>
      <c r="L331" s="130">
        <f>SUMIFS(ТГ_ИД!$E:$E,ТГ_ИД!$B:$B,ТГ!$G$4,ТГ_ИД!$D:$D,ТГ!$A332)</f>
        <v>0</v>
      </c>
      <c r="M331" s="130">
        <f>SUMIFS(ТГ_ИД!$E:$E,ТГ_ИД!$B:$B,ТГ!$G$5,ТГ_ИД!$D:$D,ТГ!$A332)</f>
        <v>0</v>
      </c>
      <c r="N331" s="130">
        <f>SUMIFS(ТГ_ИД!$E:$E,ТГ_ИД!$B:$B,ТГ!$G$6,ТГ_ИД!$D:$D,ТГ!$A332)</f>
        <v>0</v>
      </c>
      <c r="O331" s="130">
        <f>SUMIFS(ТГ_ИД!$E:$E,ТГ_ИД!$B:$B,ТГ!$G$7,ТГ_ИД!$D:$D,ТГ!$A332)</f>
        <v>0</v>
      </c>
      <c r="P331" s="130">
        <f>SUMIFS(ТГ_ИД!$E:$E,ТГ_ИД!$B:$B,ТГ!$G$8,ТГ_ИД!$D:$D,ТГ!$A332)</f>
        <v>0</v>
      </c>
      <c r="Q331" s="130">
        <f>SUMIFS(ТГ_ИД!$E:$E,ТГ_ИД!$B:$B,ТГ!$G$9,ТГ_ИД!$D:$D,ТГ!$A332)</f>
        <v>0</v>
      </c>
      <c r="R331" s="130">
        <f>SUMIFS(ТГ_ИД!$E:$E,ТГ_ИД!$B:$B,ТГ!$G$10,ТГ_ИД!$D:$D,ТГ!$A332)</f>
        <v>0</v>
      </c>
      <c r="S331" s="130">
        <f>SUMIFS(ТГ_ИД!$E:$E,ТГ_ИД!$B:$B,ТГ!$G$11,ТГ_ИД!$D:$D,ТГ!$A332)</f>
        <v>0</v>
      </c>
      <c r="T331" s="130">
        <f>SUMIFS(ТГ_ИД!$E:$E,ТГ_ИД!$B:$B,ТГ!$G$12,ТГ_ИД!$D:$D,ТГ!$A332)</f>
        <v>0</v>
      </c>
      <c r="U331" s="130">
        <f>SUMIFS(ТГ_ИД!$E:$E,ТГ_ИД!$B:$B,ТГ!$G$13,ТГ_ИД!$D:$D,ТГ!$A332)</f>
        <v>0</v>
      </c>
      <c r="V331" s="130">
        <f>SUMIFS(ТГ_ИД!$E:$E,ТГ_ИД!$B:$B,ТГ!$G$14,ТГ_ИД!$D:$D,ТГ!$A332)</f>
        <v>0</v>
      </c>
    </row>
    <row r="332" spans="1:22" x14ac:dyDescent="0.25">
      <c r="A332" s="116" t="str">
        <f t="shared" si="6"/>
        <v/>
      </c>
      <c r="K332" s="130">
        <f>SUMIFS(ТГ_ИД!$E:$E,ТГ_ИД!$B:$B,ТГ!$G$3,ТГ_ИД!$D:$D,ТГ!$A333)</f>
        <v>0</v>
      </c>
      <c r="L332" s="130">
        <f>SUMIFS(ТГ_ИД!$E:$E,ТГ_ИД!$B:$B,ТГ!$G$4,ТГ_ИД!$D:$D,ТГ!$A333)</f>
        <v>0</v>
      </c>
      <c r="M332" s="130">
        <f>SUMIFS(ТГ_ИД!$E:$E,ТГ_ИД!$B:$B,ТГ!$G$5,ТГ_ИД!$D:$D,ТГ!$A333)</f>
        <v>0</v>
      </c>
      <c r="N332" s="130">
        <f>SUMIFS(ТГ_ИД!$E:$E,ТГ_ИД!$B:$B,ТГ!$G$6,ТГ_ИД!$D:$D,ТГ!$A333)</f>
        <v>0</v>
      </c>
      <c r="O332" s="130">
        <f>SUMIFS(ТГ_ИД!$E:$E,ТГ_ИД!$B:$B,ТГ!$G$7,ТГ_ИД!$D:$D,ТГ!$A333)</f>
        <v>0</v>
      </c>
      <c r="P332" s="130">
        <f>SUMIFS(ТГ_ИД!$E:$E,ТГ_ИД!$B:$B,ТГ!$G$8,ТГ_ИД!$D:$D,ТГ!$A333)</f>
        <v>0</v>
      </c>
      <c r="Q332" s="130">
        <f>SUMIFS(ТГ_ИД!$E:$E,ТГ_ИД!$B:$B,ТГ!$G$9,ТГ_ИД!$D:$D,ТГ!$A333)</f>
        <v>0</v>
      </c>
      <c r="R332" s="130">
        <f>SUMIFS(ТГ_ИД!$E:$E,ТГ_ИД!$B:$B,ТГ!$G$10,ТГ_ИД!$D:$D,ТГ!$A333)</f>
        <v>0</v>
      </c>
      <c r="S332" s="130">
        <f>SUMIFS(ТГ_ИД!$E:$E,ТГ_ИД!$B:$B,ТГ!$G$11,ТГ_ИД!$D:$D,ТГ!$A333)</f>
        <v>0</v>
      </c>
      <c r="T332" s="130">
        <f>SUMIFS(ТГ_ИД!$E:$E,ТГ_ИД!$B:$B,ТГ!$G$12,ТГ_ИД!$D:$D,ТГ!$A333)</f>
        <v>0</v>
      </c>
      <c r="U332" s="130">
        <f>SUMIFS(ТГ_ИД!$E:$E,ТГ_ИД!$B:$B,ТГ!$G$13,ТГ_ИД!$D:$D,ТГ!$A333)</f>
        <v>0</v>
      </c>
      <c r="V332" s="130">
        <f>SUMIFS(ТГ_ИД!$E:$E,ТГ_ИД!$B:$B,ТГ!$G$14,ТГ_ИД!$D:$D,ТГ!$A333)</f>
        <v>0</v>
      </c>
    </row>
    <row r="333" spans="1:22" x14ac:dyDescent="0.25">
      <c r="A333" s="116" t="str">
        <f t="shared" si="6"/>
        <v/>
      </c>
      <c r="K333" s="130">
        <f>SUMIFS(ТГ_ИД!$E:$E,ТГ_ИД!$B:$B,ТГ!$G$3,ТГ_ИД!$D:$D,ТГ!$A334)</f>
        <v>0</v>
      </c>
      <c r="L333" s="130">
        <f>SUMIFS(ТГ_ИД!$E:$E,ТГ_ИД!$B:$B,ТГ!$G$4,ТГ_ИД!$D:$D,ТГ!$A334)</f>
        <v>0</v>
      </c>
      <c r="M333" s="130">
        <f>SUMIFS(ТГ_ИД!$E:$E,ТГ_ИД!$B:$B,ТГ!$G$5,ТГ_ИД!$D:$D,ТГ!$A334)</f>
        <v>0</v>
      </c>
      <c r="N333" s="130">
        <f>SUMIFS(ТГ_ИД!$E:$E,ТГ_ИД!$B:$B,ТГ!$G$6,ТГ_ИД!$D:$D,ТГ!$A334)</f>
        <v>0</v>
      </c>
      <c r="O333" s="130">
        <f>SUMIFS(ТГ_ИД!$E:$E,ТГ_ИД!$B:$B,ТГ!$G$7,ТГ_ИД!$D:$D,ТГ!$A334)</f>
        <v>0</v>
      </c>
      <c r="P333" s="130">
        <f>SUMIFS(ТГ_ИД!$E:$E,ТГ_ИД!$B:$B,ТГ!$G$8,ТГ_ИД!$D:$D,ТГ!$A334)</f>
        <v>0</v>
      </c>
      <c r="Q333" s="130">
        <f>SUMIFS(ТГ_ИД!$E:$E,ТГ_ИД!$B:$B,ТГ!$G$9,ТГ_ИД!$D:$D,ТГ!$A334)</f>
        <v>0</v>
      </c>
      <c r="R333" s="130">
        <f>SUMIFS(ТГ_ИД!$E:$E,ТГ_ИД!$B:$B,ТГ!$G$10,ТГ_ИД!$D:$D,ТГ!$A334)</f>
        <v>0</v>
      </c>
      <c r="S333" s="130">
        <f>SUMIFS(ТГ_ИД!$E:$E,ТГ_ИД!$B:$B,ТГ!$G$11,ТГ_ИД!$D:$D,ТГ!$A334)</f>
        <v>0</v>
      </c>
      <c r="T333" s="130">
        <f>SUMIFS(ТГ_ИД!$E:$E,ТГ_ИД!$B:$B,ТГ!$G$12,ТГ_ИД!$D:$D,ТГ!$A334)</f>
        <v>0</v>
      </c>
      <c r="U333" s="130">
        <f>SUMIFS(ТГ_ИД!$E:$E,ТГ_ИД!$B:$B,ТГ!$G$13,ТГ_ИД!$D:$D,ТГ!$A334)</f>
        <v>0</v>
      </c>
      <c r="V333" s="130">
        <f>SUMIFS(ТГ_ИД!$E:$E,ТГ_ИД!$B:$B,ТГ!$G$14,ТГ_ИД!$D:$D,ТГ!$A334)</f>
        <v>0</v>
      </c>
    </row>
    <row r="334" spans="1:22" x14ac:dyDescent="0.25">
      <c r="A334" s="116" t="str">
        <f t="shared" si="6"/>
        <v/>
      </c>
      <c r="K334" s="130">
        <f>SUMIFS(ТГ_ИД!$E:$E,ТГ_ИД!$B:$B,ТГ!$G$3,ТГ_ИД!$D:$D,ТГ!$A335)</f>
        <v>0</v>
      </c>
      <c r="L334" s="130">
        <f>SUMIFS(ТГ_ИД!$E:$E,ТГ_ИД!$B:$B,ТГ!$G$4,ТГ_ИД!$D:$D,ТГ!$A335)</f>
        <v>0</v>
      </c>
      <c r="M334" s="130">
        <f>SUMIFS(ТГ_ИД!$E:$E,ТГ_ИД!$B:$B,ТГ!$G$5,ТГ_ИД!$D:$D,ТГ!$A335)</f>
        <v>0</v>
      </c>
      <c r="N334" s="130">
        <f>SUMIFS(ТГ_ИД!$E:$E,ТГ_ИД!$B:$B,ТГ!$G$6,ТГ_ИД!$D:$D,ТГ!$A335)</f>
        <v>0</v>
      </c>
      <c r="O334" s="130">
        <f>SUMIFS(ТГ_ИД!$E:$E,ТГ_ИД!$B:$B,ТГ!$G$7,ТГ_ИД!$D:$D,ТГ!$A335)</f>
        <v>0</v>
      </c>
      <c r="P334" s="130">
        <f>SUMIFS(ТГ_ИД!$E:$E,ТГ_ИД!$B:$B,ТГ!$G$8,ТГ_ИД!$D:$D,ТГ!$A335)</f>
        <v>0</v>
      </c>
      <c r="Q334" s="130">
        <f>SUMIFS(ТГ_ИД!$E:$E,ТГ_ИД!$B:$B,ТГ!$G$9,ТГ_ИД!$D:$D,ТГ!$A335)</f>
        <v>0</v>
      </c>
      <c r="R334" s="130">
        <f>SUMIFS(ТГ_ИД!$E:$E,ТГ_ИД!$B:$B,ТГ!$G$10,ТГ_ИД!$D:$D,ТГ!$A335)</f>
        <v>0</v>
      </c>
      <c r="S334" s="130">
        <f>SUMIFS(ТГ_ИД!$E:$E,ТГ_ИД!$B:$B,ТГ!$G$11,ТГ_ИД!$D:$D,ТГ!$A335)</f>
        <v>0</v>
      </c>
      <c r="T334" s="130">
        <f>SUMIFS(ТГ_ИД!$E:$E,ТГ_ИД!$B:$B,ТГ!$G$12,ТГ_ИД!$D:$D,ТГ!$A335)</f>
        <v>0</v>
      </c>
      <c r="U334" s="130">
        <f>SUMIFS(ТГ_ИД!$E:$E,ТГ_ИД!$B:$B,ТГ!$G$13,ТГ_ИД!$D:$D,ТГ!$A335)</f>
        <v>0</v>
      </c>
      <c r="V334" s="130">
        <f>SUMIFS(ТГ_ИД!$E:$E,ТГ_ИД!$B:$B,ТГ!$G$14,ТГ_ИД!$D:$D,ТГ!$A335)</f>
        <v>0</v>
      </c>
    </row>
    <row r="335" spans="1:22" x14ac:dyDescent="0.25">
      <c r="A335" s="116" t="str">
        <f t="shared" si="6"/>
        <v/>
      </c>
      <c r="K335" s="130">
        <f>SUMIFS(ТГ_ИД!$E:$E,ТГ_ИД!$B:$B,ТГ!$G$3,ТГ_ИД!$D:$D,ТГ!$A336)</f>
        <v>0</v>
      </c>
      <c r="L335" s="130">
        <f>SUMIFS(ТГ_ИД!$E:$E,ТГ_ИД!$B:$B,ТГ!$G$4,ТГ_ИД!$D:$D,ТГ!$A336)</f>
        <v>0</v>
      </c>
      <c r="M335" s="130">
        <f>SUMIFS(ТГ_ИД!$E:$E,ТГ_ИД!$B:$B,ТГ!$G$5,ТГ_ИД!$D:$D,ТГ!$A336)</f>
        <v>0</v>
      </c>
      <c r="N335" s="130">
        <f>SUMIFS(ТГ_ИД!$E:$E,ТГ_ИД!$B:$B,ТГ!$G$6,ТГ_ИД!$D:$D,ТГ!$A336)</f>
        <v>0</v>
      </c>
      <c r="O335" s="130">
        <f>SUMIFS(ТГ_ИД!$E:$E,ТГ_ИД!$B:$B,ТГ!$G$7,ТГ_ИД!$D:$D,ТГ!$A336)</f>
        <v>0</v>
      </c>
      <c r="P335" s="130">
        <f>SUMIFS(ТГ_ИД!$E:$E,ТГ_ИД!$B:$B,ТГ!$G$8,ТГ_ИД!$D:$D,ТГ!$A336)</f>
        <v>0</v>
      </c>
      <c r="Q335" s="130">
        <f>SUMIFS(ТГ_ИД!$E:$E,ТГ_ИД!$B:$B,ТГ!$G$9,ТГ_ИД!$D:$D,ТГ!$A336)</f>
        <v>0</v>
      </c>
      <c r="R335" s="130">
        <f>SUMIFS(ТГ_ИД!$E:$E,ТГ_ИД!$B:$B,ТГ!$G$10,ТГ_ИД!$D:$D,ТГ!$A336)</f>
        <v>0</v>
      </c>
      <c r="S335" s="130">
        <f>SUMIFS(ТГ_ИД!$E:$E,ТГ_ИД!$B:$B,ТГ!$G$11,ТГ_ИД!$D:$D,ТГ!$A336)</f>
        <v>0</v>
      </c>
      <c r="T335" s="130">
        <f>SUMIFS(ТГ_ИД!$E:$E,ТГ_ИД!$B:$B,ТГ!$G$12,ТГ_ИД!$D:$D,ТГ!$A336)</f>
        <v>0</v>
      </c>
      <c r="U335" s="130">
        <f>SUMIFS(ТГ_ИД!$E:$E,ТГ_ИД!$B:$B,ТГ!$G$13,ТГ_ИД!$D:$D,ТГ!$A336)</f>
        <v>0</v>
      </c>
      <c r="V335" s="130">
        <f>SUMIFS(ТГ_ИД!$E:$E,ТГ_ИД!$B:$B,ТГ!$G$14,ТГ_ИД!$D:$D,ТГ!$A336)</f>
        <v>0</v>
      </c>
    </row>
    <row r="336" spans="1:22" x14ac:dyDescent="0.25">
      <c r="A336" s="116" t="str">
        <f t="shared" si="6"/>
        <v/>
      </c>
      <c r="K336" s="130">
        <f>SUMIFS(ТГ_ИД!$E:$E,ТГ_ИД!$B:$B,ТГ!$G$3,ТГ_ИД!$D:$D,ТГ!$A337)</f>
        <v>0</v>
      </c>
      <c r="L336" s="130">
        <f>SUMIFS(ТГ_ИД!$E:$E,ТГ_ИД!$B:$B,ТГ!$G$4,ТГ_ИД!$D:$D,ТГ!$A337)</f>
        <v>0</v>
      </c>
      <c r="M336" s="130">
        <f>SUMIFS(ТГ_ИД!$E:$E,ТГ_ИД!$B:$B,ТГ!$G$5,ТГ_ИД!$D:$D,ТГ!$A337)</f>
        <v>0</v>
      </c>
      <c r="N336" s="130">
        <f>SUMIFS(ТГ_ИД!$E:$E,ТГ_ИД!$B:$B,ТГ!$G$6,ТГ_ИД!$D:$D,ТГ!$A337)</f>
        <v>0</v>
      </c>
      <c r="O336" s="130">
        <f>SUMIFS(ТГ_ИД!$E:$E,ТГ_ИД!$B:$B,ТГ!$G$7,ТГ_ИД!$D:$D,ТГ!$A337)</f>
        <v>0</v>
      </c>
      <c r="P336" s="130">
        <f>SUMIFS(ТГ_ИД!$E:$E,ТГ_ИД!$B:$B,ТГ!$G$8,ТГ_ИД!$D:$D,ТГ!$A337)</f>
        <v>0</v>
      </c>
      <c r="Q336" s="130">
        <f>SUMIFS(ТГ_ИД!$E:$E,ТГ_ИД!$B:$B,ТГ!$G$9,ТГ_ИД!$D:$D,ТГ!$A337)</f>
        <v>0</v>
      </c>
      <c r="R336" s="130">
        <f>SUMIFS(ТГ_ИД!$E:$E,ТГ_ИД!$B:$B,ТГ!$G$10,ТГ_ИД!$D:$D,ТГ!$A337)</f>
        <v>0</v>
      </c>
      <c r="S336" s="130">
        <f>SUMIFS(ТГ_ИД!$E:$E,ТГ_ИД!$B:$B,ТГ!$G$11,ТГ_ИД!$D:$D,ТГ!$A337)</f>
        <v>0</v>
      </c>
      <c r="T336" s="130">
        <f>SUMIFS(ТГ_ИД!$E:$E,ТГ_ИД!$B:$B,ТГ!$G$12,ТГ_ИД!$D:$D,ТГ!$A337)</f>
        <v>0</v>
      </c>
      <c r="U336" s="130">
        <f>SUMIFS(ТГ_ИД!$E:$E,ТГ_ИД!$B:$B,ТГ!$G$13,ТГ_ИД!$D:$D,ТГ!$A337)</f>
        <v>0</v>
      </c>
      <c r="V336" s="130">
        <f>SUMIFS(ТГ_ИД!$E:$E,ТГ_ИД!$B:$B,ТГ!$G$14,ТГ_ИД!$D:$D,ТГ!$A337)</f>
        <v>0</v>
      </c>
    </row>
    <row r="337" spans="1:22" x14ac:dyDescent="0.25">
      <c r="A337" s="116" t="str">
        <f t="shared" si="6"/>
        <v/>
      </c>
      <c r="K337" s="130">
        <f>SUMIFS(ТГ_ИД!$E:$E,ТГ_ИД!$B:$B,ТГ!$G$3,ТГ_ИД!$D:$D,ТГ!$A338)</f>
        <v>0</v>
      </c>
      <c r="L337" s="130">
        <f>SUMIFS(ТГ_ИД!$E:$E,ТГ_ИД!$B:$B,ТГ!$G$4,ТГ_ИД!$D:$D,ТГ!$A338)</f>
        <v>0</v>
      </c>
      <c r="M337" s="130">
        <f>SUMIFS(ТГ_ИД!$E:$E,ТГ_ИД!$B:$B,ТГ!$G$5,ТГ_ИД!$D:$D,ТГ!$A338)</f>
        <v>0</v>
      </c>
      <c r="N337" s="130">
        <f>SUMIFS(ТГ_ИД!$E:$E,ТГ_ИД!$B:$B,ТГ!$G$6,ТГ_ИД!$D:$D,ТГ!$A338)</f>
        <v>0</v>
      </c>
      <c r="O337" s="130">
        <f>SUMIFS(ТГ_ИД!$E:$E,ТГ_ИД!$B:$B,ТГ!$G$7,ТГ_ИД!$D:$D,ТГ!$A338)</f>
        <v>0</v>
      </c>
      <c r="P337" s="130">
        <f>SUMIFS(ТГ_ИД!$E:$E,ТГ_ИД!$B:$B,ТГ!$G$8,ТГ_ИД!$D:$D,ТГ!$A338)</f>
        <v>0</v>
      </c>
      <c r="Q337" s="130">
        <f>SUMIFS(ТГ_ИД!$E:$E,ТГ_ИД!$B:$B,ТГ!$G$9,ТГ_ИД!$D:$D,ТГ!$A338)</f>
        <v>0</v>
      </c>
      <c r="R337" s="130">
        <f>SUMIFS(ТГ_ИД!$E:$E,ТГ_ИД!$B:$B,ТГ!$G$10,ТГ_ИД!$D:$D,ТГ!$A338)</f>
        <v>0</v>
      </c>
      <c r="S337" s="130">
        <f>SUMIFS(ТГ_ИД!$E:$E,ТГ_ИД!$B:$B,ТГ!$G$11,ТГ_ИД!$D:$D,ТГ!$A338)</f>
        <v>0</v>
      </c>
      <c r="T337" s="130">
        <f>SUMIFS(ТГ_ИД!$E:$E,ТГ_ИД!$B:$B,ТГ!$G$12,ТГ_ИД!$D:$D,ТГ!$A338)</f>
        <v>0</v>
      </c>
      <c r="U337" s="130">
        <f>SUMIFS(ТГ_ИД!$E:$E,ТГ_ИД!$B:$B,ТГ!$G$13,ТГ_ИД!$D:$D,ТГ!$A338)</f>
        <v>0</v>
      </c>
      <c r="V337" s="130">
        <f>SUMIFS(ТГ_ИД!$E:$E,ТГ_ИД!$B:$B,ТГ!$G$14,ТГ_ИД!$D:$D,ТГ!$A338)</f>
        <v>0</v>
      </c>
    </row>
    <row r="338" spans="1:22" x14ac:dyDescent="0.25">
      <c r="A338" s="116" t="str">
        <f t="shared" si="6"/>
        <v/>
      </c>
      <c r="K338" s="130">
        <f>SUMIFS(ТГ_ИД!$E:$E,ТГ_ИД!$B:$B,ТГ!$G$3,ТГ_ИД!$D:$D,ТГ!$A339)</f>
        <v>0</v>
      </c>
      <c r="L338" s="130">
        <f>SUMIFS(ТГ_ИД!$E:$E,ТГ_ИД!$B:$B,ТГ!$G$4,ТГ_ИД!$D:$D,ТГ!$A339)</f>
        <v>0</v>
      </c>
      <c r="M338" s="130">
        <f>SUMIFS(ТГ_ИД!$E:$E,ТГ_ИД!$B:$B,ТГ!$G$5,ТГ_ИД!$D:$D,ТГ!$A339)</f>
        <v>0</v>
      </c>
      <c r="N338" s="130">
        <f>SUMIFS(ТГ_ИД!$E:$E,ТГ_ИД!$B:$B,ТГ!$G$6,ТГ_ИД!$D:$D,ТГ!$A339)</f>
        <v>0</v>
      </c>
      <c r="O338" s="130">
        <f>SUMIFS(ТГ_ИД!$E:$E,ТГ_ИД!$B:$B,ТГ!$G$7,ТГ_ИД!$D:$D,ТГ!$A339)</f>
        <v>0</v>
      </c>
      <c r="P338" s="130">
        <f>SUMIFS(ТГ_ИД!$E:$E,ТГ_ИД!$B:$B,ТГ!$G$8,ТГ_ИД!$D:$D,ТГ!$A339)</f>
        <v>0</v>
      </c>
      <c r="Q338" s="130">
        <f>SUMIFS(ТГ_ИД!$E:$E,ТГ_ИД!$B:$B,ТГ!$G$9,ТГ_ИД!$D:$D,ТГ!$A339)</f>
        <v>0</v>
      </c>
      <c r="R338" s="130">
        <f>SUMIFS(ТГ_ИД!$E:$E,ТГ_ИД!$B:$B,ТГ!$G$10,ТГ_ИД!$D:$D,ТГ!$A339)</f>
        <v>0</v>
      </c>
      <c r="S338" s="130">
        <f>SUMIFS(ТГ_ИД!$E:$E,ТГ_ИД!$B:$B,ТГ!$G$11,ТГ_ИД!$D:$D,ТГ!$A339)</f>
        <v>0</v>
      </c>
      <c r="T338" s="130">
        <f>SUMIFS(ТГ_ИД!$E:$E,ТГ_ИД!$B:$B,ТГ!$G$12,ТГ_ИД!$D:$D,ТГ!$A339)</f>
        <v>0</v>
      </c>
      <c r="U338" s="130">
        <f>SUMIFS(ТГ_ИД!$E:$E,ТГ_ИД!$B:$B,ТГ!$G$13,ТГ_ИД!$D:$D,ТГ!$A339)</f>
        <v>0</v>
      </c>
      <c r="V338" s="130">
        <f>SUMIFS(ТГ_ИД!$E:$E,ТГ_ИД!$B:$B,ТГ!$G$14,ТГ_ИД!$D:$D,ТГ!$A339)</f>
        <v>0</v>
      </c>
    </row>
    <row r="339" spans="1:22" x14ac:dyDescent="0.25">
      <c r="A339" s="116" t="str">
        <f t="shared" si="6"/>
        <v/>
      </c>
      <c r="K339" s="130">
        <f>SUMIFS(ТГ_ИД!$E:$E,ТГ_ИД!$B:$B,ТГ!$G$3,ТГ_ИД!$D:$D,ТГ!$A340)</f>
        <v>0</v>
      </c>
      <c r="L339" s="130">
        <f>SUMIFS(ТГ_ИД!$E:$E,ТГ_ИД!$B:$B,ТГ!$G$4,ТГ_ИД!$D:$D,ТГ!$A340)</f>
        <v>0</v>
      </c>
      <c r="M339" s="130">
        <f>SUMIFS(ТГ_ИД!$E:$E,ТГ_ИД!$B:$B,ТГ!$G$5,ТГ_ИД!$D:$D,ТГ!$A340)</f>
        <v>0</v>
      </c>
      <c r="N339" s="130">
        <f>SUMIFS(ТГ_ИД!$E:$E,ТГ_ИД!$B:$B,ТГ!$G$6,ТГ_ИД!$D:$D,ТГ!$A340)</f>
        <v>0</v>
      </c>
      <c r="O339" s="130">
        <f>SUMIFS(ТГ_ИД!$E:$E,ТГ_ИД!$B:$B,ТГ!$G$7,ТГ_ИД!$D:$D,ТГ!$A340)</f>
        <v>0</v>
      </c>
      <c r="P339" s="130">
        <f>SUMIFS(ТГ_ИД!$E:$E,ТГ_ИД!$B:$B,ТГ!$G$8,ТГ_ИД!$D:$D,ТГ!$A340)</f>
        <v>0</v>
      </c>
      <c r="Q339" s="130">
        <f>SUMIFS(ТГ_ИД!$E:$E,ТГ_ИД!$B:$B,ТГ!$G$9,ТГ_ИД!$D:$D,ТГ!$A340)</f>
        <v>0</v>
      </c>
      <c r="R339" s="130">
        <f>SUMIFS(ТГ_ИД!$E:$E,ТГ_ИД!$B:$B,ТГ!$G$10,ТГ_ИД!$D:$D,ТГ!$A340)</f>
        <v>0</v>
      </c>
      <c r="S339" s="130">
        <f>SUMIFS(ТГ_ИД!$E:$E,ТГ_ИД!$B:$B,ТГ!$G$11,ТГ_ИД!$D:$D,ТГ!$A340)</f>
        <v>0</v>
      </c>
      <c r="T339" s="130">
        <f>SUMIFS(ТГ_ИД!$E:$E,ТГ_ИД!$B:$B,ТГ!$G$12,ТГ_ИД!$D:$D,ТГ!$A340)</f>
        <v>0</v>
      </c>
      <c r="U339" s="130">
        <f>SUMIFS(ТГ_ИД!$E:$E,ТГ_ИД!$B:$B,ТГ!$G$13,ТГ_ИД!$D:$D,ТГ!$A340)</f>
        <v>0</v>
      </c>
      <c r="V339" s="130">
        <f>SUMIFS(ТГ_ИД!$E:$E,ТГ_ИД!$B:$B,ТГ!$G$14,ТГ_ИД!$D:$D,ТГ!$A340)</f>
        <v>0</v>
      </c>
    </row>
    <row r="340" spans="1:22" x14ac:dyDescent="0.25">
      <c r="A340" s="116" t="str">
        <f t="shared" si="6"/>
        <v/>
      </c>
      <c r="K340" s="130">
        <f>SUMIFS(ТГ_ИД!$E:$E,ТГ_ИД!$B:$B,ТГ!$G$3,ТГ_ИД!$D:$D,ТГ!$A341)</f>
        <v>0</v>
      </c>
      <c r="L340" s="130">
        <f>SUMIFS(ТГ_ИД!$E:$E,ТГ_ИД!$B:$B,ТГ!$G$4,ТГ_ИД!$D:$D,ТГ!$A341)</f>
        <v>0</v>
      </c>
      <c r="M340" s="130">
        <f>SUMIFS(ТГ_ИД!$E:$E,ТГ_ИД!$B:$B,ТГ!$G$5,ТГ_ИД!$D:$D,ТГ!$A341)</f>
        <v>0</v>
      </c>
      <c r="N340" s="130">
        <f>SUMIFS(ТГ_ИД!$E:$E,ТГ_ИД!$B:$B,ТГ!$G$6,ТГ_ИД!$D:$D,ТГ!$A341)</f>
        <v>0</v>
      </c>
      <c r="O340" s="130">
        <f>SUMIFS(ТГ_ИД!$E:$E,ТГ_ИД!$B:$B,ТГ!$G$7,ТГ_ИД!$D:$D,ТГ!$A341)</f>
        <v>0</v>
      </c>
      <c r="P340" s="130">
        <f>SUMIFS(ТГ_ИД!$E:$E,ТГ_ИД!$B:$B,ТГ!$G$8,ТГ_ИД!$D:$D,ТГ!$A341)</f>
        <v>0</v>
      </c>
      <c r="Q340" s="130">
        <f>SUMIFS(ТГ_ИД!$E:$E,ТГ_ИД!$B:$B,ТГ!$G$9,ТГ_ИД!$D:$D,ТГ!$A341)</f>
        <v>0</v>
      </c>
      <c r="R340" s="130">
        <f>SUMIFS(ТГ_ИД!$E:$E,ТГ_ИД!$B:$B,ТГ!$G$10,ТГ_ИД!$D:$D,ТГ!$A341)</f>
        <v>0</v>
      </c>
      <c r="S340" s="130">
        <f>SUMIFS(ТГ_ИД!$E:$E,ТГ_ИД!$B:$B,ТГ!$G$11,ТГ_ИД!$D:$D,ТГ!$A341)</f>
        <v>0</v>
      </c>
      <c r="T340" s="130">
        <f>SUMIFS(ТГ_ИД!$E:$E,ТГ_ИД!$B:$B,ТГ!$G$12,ТГ_ИД!$D:$D,ТГ!$A341)</f>
        <v>0</v>
      </c>
      <c r="U340" s="130">
        <f>SUMIFS(ТГ_ИД!$E:$E,ТГ_ИД!$B:$B,ТГ!$G$13,ТГ_ИД!$D:$D,ТГ!$A341)</f>
        <v>0</v>
      </c>
      <c r="V340" s="130">
        <f>SUMIFS(ТГ_ИД!$E:$E,ТГ_ИД!$B:$B,ТГ!$G$14,ТГ_ИД!$D:$D,ТГ!$A341)</f>
        <v>0</v>
      </c>
    </row>
    <row r="341" spans="1:22" x14ac:dyDescent="0.25">
      <c r="A341" s="116" t="str">
        <f t="shared" si="6"/>
        <v/>
      </c>
      <c r="K341" s="130">
        <f>SUMIFS(ТГ_ИД!$E:$E,ТГ_ИД!$B:$B,ТГ!$G$3,ТГ_ИД!$D:$D,ТГ!$A342)</f>
        <v>0</v>
      </c>
      <c r="L341" s="130">
        <f>SUMIFS(ТГ_ИД!$E:$E,ТГ_ИД!$B:$B,ТГ!$G$4,ТГ_ИД!$D:$D,ТГ!$A342)</f>
        <v>0</v>
      </c>
      <c r="M341" s="130">
        <f>SUMIFS(ТГ_ИД!$E:$E,ТГ_ИД!$B:$B,ТГ!$G$5,ТГ_ИД!$D:$D,ТГ!$A342)</f>
        <v>0</v>
      </c>
      <c r="N341" s="130">
        <f>SUMIFS(ТГ_ИД!$E:$E,ТГ_ИД!$B:$B,ТГ!$G$6,ТГ_ИД!$D:$D,ТГ!$A342)</f>
        <v>0</v>
      </c>
      <c r="O341" s="130">
        <f>SUMIFS(ТГ_ИД!$E:$E,ТГ_ИД!$B:$B,ТГ!$G$7,ТГ_ИД!$D:$D,ТГ!$A342)</f>
        <v>0</v>
      </c>
      <c r="P341" s="130">
        <f>SUMIFS(ТГ_ИД!$E:$E,ТГ_ИД!$B:$B,ТГ!$G$8,ТГ_ИД!$D:$D,ТГ!$A342)</f>
        <v>0</v>
      </c>
      <c r="Q341" s="130">
        <f>SUMIFS(ТГ_ИД!$E:$E,ТГ_ИД!$B:$B,ТГ!$G$9,ТГ_ИД!$D:$D,ТГ!$A342)</f>
        <v>0</v>
      </c>
      <c r="R341" s="130">
        <f>SUMIFS(ТГ_ИД!$E:$E,ТГ_ИД!$B:$B,ТГ!$G$10,ТГ_ИД!$D:$D,ТГ!$A342)</f>
        <v>0</v>
      </c>
      <c r="S341" s="130">
        <f>SUMIFS(ТГ_ИД!$E:$E,ТГ_ИД!$B:$B,ТГ!$G$11,ТГ_ИД!$D:$D,ТГ!$A342)</f>
        <v>0</v>
      </c>
      <c r="T341" s="130">
        <f>SUMIFS(ТГ_ИД!$E:$E,ТГ_ИД!$B:$B,ТГ!$G$12,ТГ_ИД!$D:$D,ТГ!$A342)</f>
        <v>0</v>
      </c>
      <c r="U341" s="130">
        <f>SUMIFS(ТГ_ИД!$E:$E,ТГ_ИД!$B:$B,ТГ!$G$13,ТГ_ИД!$D:$D,ТГ!$A342)</f>
        <v>0</v>
      </c>
      <c r="V341" s="130">
        <f>SUMIFS(ТГ_ИД!$E:$E,ТГ_ИД!$B:$B,ТГ!$G$14,ТГ_ИД!$D:$D,ТГ!$A342)</f>
        <v>0</v>
      </c>
    </row>
    <row r="342" spans="1:22" x14ac:dyDescent="0.25">
      <c r="A342" s="116" t="str">
        <f t="shared" si="6"/>
        <v/>
      </c>
      <c r="K342" s="130">
        <f>SUMIFS(ТГ_ИД!$E:$E,ТГ_ИД!$B:$B,ТГ!$G$3,ТГ_ИД!$D:$D,ТГ!$A343)</f>
        <v>0</v>
      </c>
      <c r="L342" s="130">
        <f>SUMIFS(ТГ_ИД!$E:$E,ТГ_ИД!$B:$B,ТГ!$G$4,ТГ_ИД!$D:$D,ТГ!$A343)</f>
        <v>0</v>
      </c>
      <c r="M342" s="130">
        <f>SUMIFS(ТГ_ИД!$E:$E,ТГ_ИД!$B:$B,ТГ!$G$5,ТГ_ИД!$D:$D,ТГ!$A343)</f>
        <v>0</v>
      </c>
      <c r="N342" s="130">
        <f>SUMIFS(ТГ_ИД!$E:$E,ТГ_ИД!$B:$B,ТГ!$G$6,ТГ_ИД!$D:$D,ТГ!$A343)</f>
        <v>0</v>
      </c>
      <c r="O342" s="130">
        <f>SUMIFS(ТГ_ИД!$E:$E,ТГ_ИД!$B:$B,ТГ!$G$7,ТГ_ИД!$D:$D,ТГ!$A343)</f>
        <v>0</v>
      </c>
      <c r="P342" s="130">
        <f>SUMIFS(ТГ_ИД!$E:$E,ТГ_ИД!$B:$B,ТГ!$G$8,ТГ_ИД!$D:$D,ТГ!$A343)</f>
        <v>0</v>
      </c>
      <c r="Q342" s="130">
        <f>SUMIFS(ТГ_ИД!$E:$E,ТГ_ИД!$B:$B,ТГ!$G$9,ТГ_ИД!$D:$D,ТГ!$A343)</f>
        <v>0</v>
      </c>
      <c r="R342" s="130">
        <f>SUMIFS(ТГ_ИД!$E:$E,ТГ_ИД!$B:$B,ТГ!$G$10,ТГ_ИД!$D:$D,ТГ!$A343)</f>
        <v>0</v>
      </c>
      <c r="S342" s="130">
        <f>SUMIFS(ТГ_ИД!$E:$E,ТГ_ИД!$B:$B,ТГ!$G$11,ТГ_ИД!$D:$D,ТГ!$A343)</f>
        <v>0</v>
      </c>
      <c r="T342" s="130">
        <f>SUMIFS(ТГ_ИД!$E:$E,ТГ_ИД!$B:$B,ТГ!$G$12,ТГ_ИД!$D:$D,ТГ!$A343)</f>
        <v>0</v>
      </c>
      <c r="U342" s="130">
        <f>SUMIFS(ТГ_ИД!$E:$E,ТГ_ИД!$B:$B,ТГ!$G$13,ТГ_ИД!$D:$D,ТГ!$A343)</f>
        <v>0</v>
      </c>
      <c r="V342" s="130">
        <f>SUMIFS(ТГ_ИД!$E:$E,ТГ_ИД!$B:$B,ТГ!$G$14,ТГ_ИД!$D:$D,ТГ!$A343)</f>
        <v>0</v>
      </c>
    </row>
    <row r="343" spans="1:22" x14ac:dyDescent="0.25">
      <c r="A343" s="116" t="str">
        <f t="shared" si="6"/>
        <v/>
      </c>
      <c r="K343" s="130">
        <f>SUMIFS(ТГ_ИД!$E:$E,ТГ_ИД!$B:$B,ТГ!$G$3,ТГ_ИД!$D:$D,ТГ!$A344)</f>
        <v>0</v>
      </c>
      <c r="L343" s="130">
        <f>SUMIFS(ТГ_ИД!$E:$E,ТГ_ИД!$B:$B,ТГ!$G$4,ТГ_ИД!$D:$D,ТГ!$A344)</f>
        <v>0</v>
      </c>
      <c r="M343" s="130">
        <f>SUMIFS(ТГ_ИД!$E:$E,ТГ_ИД!$B:$B,ТГ!$G$5,ТГ_ИД!$D:$D,ТГ!$A344)</f>
        <v>0</v>
      </c>
      <c r="N343" s="130">
        <f>SUMIFS(ТГ_ИД!$E:$E,ТГ_ИД!$B:$B,ТГ!$G$6,ТГ_ИД!$D:$D,ТГ!$A344)</f>
        <v>0</v>
      </c>
      <c r="O343" s="130">
        <f>SUMIFS(ТГ_ИД!$E:$E,ТГ_ИД!$B:$B,ТГ!$G$7,ТГ_ИД!$D:$D,ТГ!$A344)</f>
        <v>0</v>
      </c>
      <c r="P343" s="130">
        <f>SUMIFS(ТГ_ИД!$E:$E,ТГ_ИД!$B:$B,ТГ!$G$8,ТГ_ИД!$D:$D,ТГ!$A344)</f>
        <v>0</v>
      </c>
      <c r="Q343" s="130">
        <f>SUMIFS(ТГ_ИД!$E:$E,ТГ_ИД!$B:$B,ТГ!$G$9,ТГ_ИД!$D:$D,ТГ!$A344)</f>
        <v>0</v>
      </c>
      <c r="R343" s="130">
        <f>SUMIFS(ТГ_ИД!$E:$E,ТГ_ИД!$B:$B,ТГ!$G$10,ТГ_ИД!$D:$D,ТГ!$A344)</f>
        <v>0</v>
      </c>
      <c r="S343" s="130">
        <f>SUMIFS(ТГ_ИД!$E:$E,ТГ_ИД!$B:$B,ТГ!$G$11,ТГ_ИД!$D:$D,ТГ!$A344)</f>
        <v>0</v>
      </c>
      <c r="T343" s="130">
        <f>SUMIFS(ТГ_ИД!$E:$E,ТГ_ИД!$B:$B,ТГ!$G$12,ТГ_ИД!$D:$D,ТГ!$A344)</f>
        <v>0</v>
      </c>
      <c r="U343" s="130">
        <f>SUMIFS(ТГ_ИД!$E:$E,ТГ_ИД!$B:$B,ТГ!$G$13,ТГ_ИД!$D:$D,ТГ!$A344)</f>
        <v>0</v>
      </c>
      <c r="V343" s="130">
        <f>SUMIFS(ТГ_ИД!$E:$E,ТГ_ИД!$B:$B,ТГ!$G$14,ТГ_ИД!$D:$D,ТГ!$A344)</f>
        <v>0</v>
      </c>
    </row>
    <row r="344" spans="1:22" x14ac:dyDescent="0.25">
      <c r="A344" s="116" t="str">
        <f t="shared" si="6"/>
        <v/>
      </c>
      <c r="K344" s="130">
        <f>SUMIFS(ТГ_ИД!$E:$E,ТГ_ИД!$B:$B,ТГ!$G$3,ТГ_ИД!$D:$D,ТГ!$A345)</f>
        <v>0</v>
      </c>
      <c r="L344" s="130">
        <f>SUMIFS(ТГ_ИД!$E:$E,ТГ_ИД!$B:$B,ТГ!$G$4,ТГ_ИД!$D:$D,ТГ!$A345)</f>
        <v>0</v>
      </c>
      <c r="M344" s="130">
        <f>SUMIFS(ТГ_ИД!$E:$E,ТГ_ИД!$B:$B,ТГ!$G$5,ТГ_ИД!$D:$D,ТГ!$A345)</f>
        <v>0</v>
      </c>
      <c r="N344" s="130">
        <f>SUMIFS(ТГ_ИД!$E:$E,ТГ_ИД!$B:$B,ТГ!$G$6,ТГ_ИД!$D:$D,ТГ!$A345)</f>
        <v>0</v>
      </c>
      <c r="O344" s="130">
        <f>SUMIFS(ТГ_ИД!$E:$E,ТГ_ИД!$B:$B,ТГ!$G$7,ТГ_ИД!$D:$D,ТГ!$A345)</f>
        <v>0</v>
      </c>
      <c r="P344" s="130">
        <f>SUMIFS(ТГ_ИД!$E:$E,ТГ_ИД!$B:$B,ТГ!$G$8,ТГ_ИД!$D:$D,ТГ!$A345)</f>
        <v>0</v>
      </c>
      <c r="Q344" s="130">
        <f>SUMIFS(ТГ_ИД!$E:$E,ТГ_ИД!$B:$B,ТГ!$G$9,ТГ_ИД!$D:$D,ТГ!$A345)</f>
        <v>0</v>
      </c>
      <c r="R344" s="130">
        <f>SUMIFS(ТГ_ИД!$E:$E,ТГ_ИД!$B:$B,ТГ!$G$10,ТГ_ИД!$D:$D,ТГ!$A345)</f>
        <v>0</v>
      </c>
      <c r="S344" s="130">
        <f>SUMIFS(ТГ_ИД!$E:$E,ТГ_ИД!$B:$B,ТГ!$G$11,ТГ_ИД!$D:$D,ТГ!$A345)</f>
        <v>0</v>
      </c>
      <c r="T344" s="130">
        <f>SUMIFS(ТГ_ИД!$E:$E,ТГ_ИД!$B:$B,ТГ!$G$12,ТГ_ИД!$D:$D,ТГ!$A345)</f>
        <v>0</v>
      </c>
      <c r="U344" s="130">
        <f>SUMIFS(ТГ_ИД!$E:$E,ТГ_ИД!$B:$B,ТГ!$G$13,ТГ_ИД!$D:$D,ТГ!$A345)</f>
        <v>0</v>
      </c>
      <c r="V344" s="130">
        <f>SUMIFS(ТГ_ИД!$E:$E,ТГ_ИД!$B:$B,ТГ!$G$14,ТГ_ИД!$D:$D,ТГ!$A345)</f>
        <v>0</v>
      </c>
    </row>
    <row r="345" spans="1:22" x14ac:dyDescent="0.25">
      <c r="A345" s="116" t="str">
        <f t="shared" si="6"/>
        <v/>
      </c>
      <c r="K345" s="130">
        <f>SUMIFS(ТГ_ИД!$E:$E,ТГ_ИД!$B:$B,ТГ!$G$3,ТГ_ИД!$D:$D,ТГ!$A346)</f>
        <v>0</v>
      </c>
      <c r="L345" s="130">
        <f>SUMIFS(ТГ_ИД!$E:$E,ТГ_ИД!$B:$B,ТГ!$G$4,ТГ_ИД!$D:$D,ТГ!$A346)</f>
        <v>0</v>
      </c>
      <c r="M345" s="130">
        <f>SUMIFS(ТГ_ИД!$E:$E,ТГ_ИД!$B:$B,ТГ!$G$5,ТГ_ИД!$D:$D,ТГ!$A346)</f>
        <v>0</v>
      </c>
      <c r="N345" s="130">
        <f>SUMIFS(ТГ_ИД!$E:$E,ТГ_ИД!$B:$B,ТГ!$G$6,ТГ_ИД!$D:$D,ТГ!$A346)</f>
        <v>0</v>
      </c>
      <c r="O345" s="130">
        <f>SUMIFS(ТГ_ИД!$E:$E,ТГ_ИД!$B:$B,ТГ!$G$7,ТГ_ИД!$D:$D,ТГ!$A346)</f>
        <v>0</v>
      </c>
      <c r="P345" s="130">
        <f>SUMIFS(ТГ_ИД!$E:$E,ТГ_ИД!$B:$B,ТГ!$G$8,ТГ_ИД!$D:$D,ТГ!$A346)</f>
        <v>0</v>
      </c>
      <c r="Q345" s="130">
        <f>SUMIFS(ТГ_ИД!$E:$E,ТГ_ИД!$B:$B,ТГ!$G$9,ТГ_ИД!$D:$D,ТГ!$A346)</f>
        <v>0</v>
      </c>
      <c r="R345" s="130">
        <f>SUMIFS(ТГ_ИД!$E:$E,ТГ_ИД!$B:$B,ТГ!$G$10,ТГ_ИД!$D:$D,ТГ!$A346)</f>
        <v>0</v>
      </c>
      <c r="S345" s="130">
        <f>SUMIFS(ТГ_ИД!$E:$E,ТГ_ИД!$B:$B,ТГ!$G$11,ТГ_ИД!$D:$D,ТГ!$A346)</f>
        <v>0</v>
      </c>
      <c r="T345" s="130">
        <f>SUMIFS(ТГ_ИД!$E:$E,ТГ_ИД!$B:$B,ТГ!$G$12,ТГ_ИД!$D:$D,ТГ!$A346)</f>
        <v>0</v>
      </c>
      <c r="U345" s="130">
        <f>SUMIFS(ТГ_ИД!$E:$E,ТГ_ИД!$B:$B,ТГ!$G$13,ТГ_ИД!$D:$D,ТГ!$A346)</f>
        <v>0</v>
      </c>
      <c r="V345" s="130">
        <f>SUMIFS(ТГ_ИД!$E:$E,ТГ_ИД!$B:$B,ТГ!$G$14,ТГ_ИД!$D:$D,ТГ!$A346)</f>
        <v>0</v>
      </c>
    </row>
    <row r="346" spans="1:22" x14ac:dyDescent="0.25">
      <c r="A346" s="116" t="str">
        <f t="shared" si="6"/>
        <v/>
      </c>
      <c r="K346" s="130">
        <f>SUMIFS(ТГ_ИД!$E:$E,ТГ_ИД!$B:$B,ТГ!$G$3,ТГ_ИД!$D:$D,ТГ!$A347)</f>
        <v>0</v>
      </c>
      <c r="L346" s="130">
        <f>SUMIFS(ТГ_ИД!$E:$E,ТГ_ИД!$B:$B,ТГ!$G$4,ТГ_ИД!$D:$D,ТГ!$A347)</f>
        <v>0</v>
      </c>
      <c r="M346" s="130">
        <f>SUMIFS(ТГ_ИД!$E:$E,ТГ_ИД!$B:$B,ТГ!$G$5,ТГ_ИД!$D:$D,ТГ!$A347)</f>
        <v>0</v>
      </c>
      <c r="N346" s="130">
        <f>SUMIFS(ТГ_ИД!$E:$E,ТГ_ИД!$B:$B,ТГ!$G$6,ТГ_ИД!$D:$D,ТГ!$A347)</f>
        <v>0</v>
      </c>
      <c r="O346" s="130">
        <f>SUMIFS(ТГ_ИД!$E:$E,ТГ_ИД!$B:$B,ТГ!$G$7,ТГ_ИД!$D:$D,ТГ!$A347)</f>
        <v>0</v>
      </c>
      <c r="P346" s="130">
        <f>SUMIFS(ТГ_ИД!$E:$E,ТГ_ИД!$B:$B,ТГ!$G$8,ТГ_ИД!$D:$D,ТГ!$A347)</f>
        <v>0</v>
      </c>
      <c r="Q346" s="130">
        <f>SUMIFS(ТГ_ИД!$E:$E,ТГ_ИД!$B:$B,ТГ!$G$9,ТГ_ИД!$D:$D,ТГ!$A347)</f>
        <v>0</v>
      </c>
      <c r="R346" s="130">
        <f>SUMIFS(ТГ_ИД!$E:$E,ТГ_ИД!$B:$B,ТГ!$G$10,ТГ_ИД!$D:$D,ТГ!$A347)</f>
        <v>0</v>
      </c>
      <c r="S346" s="130">
        <f>SUMIFS(ТГ_ИД!$E:$E,ТГ_ИД!$B:$B,ТГ!$G$11,ТГ_ИД!$D:$D,ТГ!$A347)</f>
        <v>0</v>
      </c>
      <c r="T346" s="130">
        <f>SUMIFS(ТГ_ИД!$E:$E,ТГ_ИД!$B:$B,ТГ!$G$12,ТГ_ИД!$D:$D,ТГ!$A347)</f>
        <v>0</v>
      </c>
      <c r="U346" s="130">
        <f>SUMIFS(ТГ_ИД!$E:$E,ТГ_ИД!$B:$B,ТГ!$G$13,ТГ_ИД!$D:$D,ТГ!$A347)</f>
        <v>0</v>
      </c>
      <c r="V346" s="130">
        <f>SUMIFS(ТГ_ИД!$E:$E,ТГ_ИД!$B:$B,ТГ!$G$14,ТГ_ИД!$D:$D,ТГ!$A347)</f>
        <v>0</v>
      </c>
    </row>
    <row r="347" spans="1:22" x14ac:dyDescent="0.25">
      <c r="A347" s="116" t="str">
        <f t="shared" si="6"/>
        <v/>
      </c>
      <c r="K347" s="130">
        <f>SUMIFS(ТГ_ИД!$E:$E,ТГ_ИД!$B:$B,ТГ!$G$3,ТГ_ИД!$D:$D,ТГ!$A348)</f>
        <v>0</v>
      </c>
      <c r="L347" s="130">
        <f>SUMIFS(ТГ_ИД!$E:$E,ТГ_ИД!$B:$B,ТГ!$G$4,ТГ_ИД!$D:$D,ТГ!$A348)</f>
        <v>0</v>
      </c>
      <c r="M347" s="130">
        <f>SUMIFS(ТГ_ИД!$E:$E,ТГ_ИД!$B:$B,ТГ!$G$5,ТГ_ИД!$D:$D,ТГ!$A348)</f>
        <v>0</v>
      </c>
      <c r="N347" s="130">
        <f>SUMIFS(ТГ_ИД!$E:$E,ТГ_ИД!$B:$B,ТГ!$G$6,ТГ_ИД!$D:$D,ТГ!$A348)</f>
        <v>0</v>
      </c>
      <c r="O347" s="130">
        <f>SUMIFS(ТГ_ИД!$E:$E,ТГ_ИД!$B:$B,ТГ!$G$7,ТГ_ИД!$D:$D,ТГ!$A348)</f>
        <v>0</v>
      </c>
      <c r="P347" s="130">
        <f>SUMIFS(ТГ_ИД!$E:$E,ТГ_ИД!$B:$B,ТГ!$G$8,ТГ_ИД!$D:$D,ТГ!$A348)</f>
        <v>0</v>
      </c>
      <c r="Q347" s="130">
        <f>SUMIFS(ТГ_ИД!$E:$E,ТГ_ИД!$B:$B,ТГ!$G$9,ТГ_ИД!$D:$D,ТГ!$A348)</f>
        <v>0</v>
      </c>
      <c r="R347" s="130">
        <f>SUMIFS(ТГ_ИД!$E:$E,ТГ_ИД!$B:$B,ТГ!$G$10,ТГ_ИД!$D:$D,ТГ!$A348)</f>
        <v>0</v>
      </c>
      <c r="S347" s="130">
        <f>SUMIFS(ТГ_ИД!$E:$E,ТГ_ИД!$B:$B,ТГ!$G$11,ТГ_ИД!$D:$D,ТГ!$A348)</f>
        <v>0</v>
      </c>
      <c r="T347" s="130">
        <f>SUMIFS(ТГ_ИД!$E:$E,ТГ_ИД!$B:$B,ТГ!$G$12,ТГ_ИД!$D:$D,ТГ!$A348)</f>
        <v>0</v>
      </c>
      <c r="U347" s="130">
        <f>SUMIFS(ТГ_ИД!$E:$E,ТГ_ИД!$B:$B,ТГ!$G$13,ТГ_ИД!$D:$D,ТГ!$A348)</f>
        <v>0</v>
      </c>
      <c r="V347" s="130">
        <f>SUMIFS(ТГ_ИД!$E:$E,ТГ_ИД!$B:$B,ТГ!$G$14,ТГ_ИД!$D:$D,ТГ!$A348)</f>
        <v>0</v>
      </c>
    </row>
    <row r="348" spans="1:22" x14ac:dyDescent="0.25">
      <c r="A348" s="116" t="str">
        <f t="shared" si="6"/>
        <v/>
      </c>
      <c r="K348" s="130">
        <f>SUMIFS(ТГ_ИД!$E:$E,ТГ_ИД!$B:$B,ТГ!$G$3,ТГ_ИД!$D:$D,ТГ!$A349)</f>
        <v>0</v>
      </c>
      <c r="L348" s="130">
        <f>SUMIFS(ТГ_ИД!$E:$E,ТГ_ИД!$B:$B,ТГ!$G$4,ТГ_ИД!$D:$D,ТГ!$A349)</f>
        <v>0</v>
      </c>
      <c r="M348" s="130">
        <f>SUMIFS(ТГ_ИД!$E:$E,ТГ_ИД!$B:$B,ТГ!$G$5,ТГ_ИД!$D:$D,ТГ!$A349)</f>
        <v>0</v>
      </c>
      <c r="N348" s="130">
        <f>SUMIFS(ТГ_ИД!$E:$E,ТГ_ИД!$B:$B,ТГ!$G$6,ТГ_ИД!$D:$D,ТГ!$A349)</f>
        <v>0</v>
      </c>
      <c r="O348" s="130">
        <f>SUMIFS(ТГ_ИД!$E:$E,ТГ_ИД!$B:$B,ТГ!$G$7,ТГ_ИД!$D:$D,ТГ!$A349)</f>
        <v>0</v>
      </c>
      <c r="P348" s="130">
        <f>SUMIFS(ТГ_ИД!$E:$E,ТГ_ИД!$B:$B,ТГ!$G$8,ТГ_ИД!$D:$D,ТГ!$A349)</f>
        <v>0</v>
      </c>
      <c r="Q348" s="130">
        <f>SUMIFS(ТГ_ИД!$E:$E,ТГ_ИД!$B:$B,ТГ!$G$9,ТГ_ИД!$D:$D,ТГ!$A349)</f>
        <v>0</v>
      </c>
      <c r="R348" s="130">
        <f>SUMIFS(ТГ_ИД!$E:$E,ТГ_ИД!$B:$B,ТГ!$G$10,ТГ_ИД!$D:$D,ТГ!$A349)</f>
        <v>0</v>
      </c>
      <c r="S348" s="130">
        <f>SUMIFS(ТГ_ИД!$E:$E,ТГ_ИД!$B:$B,ТГ!$G$11,ТГ_ИД!$D:$D,ТГ!$A349)</f>
        <v>0</v>
      </c>
      <c r="T348" s="130">
        <f>SUMIFS(ТГ_ИД!$E:$E,ТГ_ИД!$B:$B,ТГ!$G$12,ТГ_ИД!$D:$D,ТГ!$A349)</f>
        <v>0</v>
      </c>
      <c r="U348" s="130">
        <f>SUMIFS(ТГ_ИД!$E:$E,ТГ_ИД!$B:$B,ТГ!$G$13,ТГ_ИД!$D:$D,ТГ!$A349)</f>
        <v>0</v>
      </c>
      <c r="V348" s="130">
        <f>SUMIFS(ТГ_ИД!$E:$E,ТГ_ИД!$B:$B,ТГ!$G$14,ТГ_ИД!$D:$D,ТГ!$A349)</f>
        <v>0</v>
      </c>
    </row>
    <row r="349" spans="1:22" x14ac:dyDescent="0.25">
      <c r="A349" s="116" t="str">
        <f t="shared" si="6"/>
        <v/>
      </c>
      <c r="K349" s="130">
        <f>SUMIFS(ТГ_ИД!$E:$E,ТГ_ИД!$B:$B,ТГ!$G$3,ТГ_ИД!$D:$D,ТГ!$A350)</f>
        <v>0</v>
      </c>
      <c r="L349" s="130">
        <f>SUMIFS(ТГ_ИД!$E:$E,ТГ_ИД!$B:$B,ТГ!$G$4,ТГ_ИД!$D:$D,ТГ!$A350)</f>
        <v>0</v>
      </c>
      <c r="M349" s="130">
        <f>SUMIFS(ТГ_ИД!$E:$E,ТГ_ИД!$B:$B,ТГ!$G$5,ТГ_ИД!$D:$D,ТГ!$A350)</f>
        <v>0</v>
      </c>
      <c r="N349" s="130">
        <f>SUMIFS(ТГ_ИД!$E:$E,ТГ_ИД!$B:$B,ТГ!$G$6,ТГ_ИД!$D:$D,ТГ!$A350)</f>
        <v>0</v>
      </c>
      <c r="O349" s="130">
        <f>SUMIFS(ТГ_ИД!$E:$E,ТГ_ИД!$B:$B,ТГ!$G$7,ТГ_ИД!$D:$D,ТГ!$A350)</f>
        <v>0</v>
      </c>
      <c r="P349" s="130">
        <f>SUMIFS(ТГ_ИД!$E:$E,ТГ_ИД!$B:$B,ТГ!$G$8,ТГ_ИД!$D:$D,ТГ!$A350)</f>
        <v>0</v>
      </c>
      <c r="Q349" s="130">
        <f>SUMIFS(ТГ_ИД!$E:$E,ТГ_ИД!$B:$B,ТГ!$G$9,ТГ_ИД!$D:$D,ТГ!$A350)</f>
        <v>0</v>
      </c>
      <c r="R349" s="130">
        <f>SUMIFS(ТГ_ИД!$E:$E,ТГ_ИД!$B:$B,ТГ!$G$10,ТГ_ИД!$D:$D,ТГ!$A350)</f>
        <v>0</v>
      </c>
      <c r="S349" s="130">
        <f>SUMIFS(ТГ_ИД!$E:$E,ТГ_ИД!$B:$B,ТГ!$G$11,ТГ_ИД!$D:$D,ТГ!$A350)</f>
        <v>0</v>
      </c>
      <c r="T349" s="130">
        <f>SUMIFS(ТГ_ИД!$E:$E,ТГ_ИД!$B:$B,ТГ!$G$12,ТГ_ИД!$D:$D,ТГ!$A350)</f>
        <v>0</v>
      </c>
      <c r="U349" s="130">
        <f>SUMIFS(ТГ_ИД!$E:$E,ТГ_ИД!$B:$B,ТГ!$G$13,ТГ_ИД!$D:$D,ТГ!$A350)</f>
        <v>0</v>
      </c>
      <c r="V349" s="130">
        <f>SUMIFS(ТГ_ИД!$E:$E,ТГ_ИД!$B:$B,ТГ!$G$14,ТГ_ИД!$D:$D,ТГ!$A350)</f>
        <v>0</v>
      </c>
    </row>
    <row r="350" spans="1:22" x14ac:dyDescent="0.25">
      <c r="A350" s="116" t="str">
        <f t="shared" si="6"/>
        <v/>
      </c>
      <c r="K350" s="130">
        <f>SUMIFS(ТГ_ИД!$E:$E,ТГ_ИД!$B:$B,ТГ!$G$3,ТГ_ИД!$D:$D,ТГ!$A351)</f>
        <v>0</v>
      </c>
      <c r="L350" s="130">
        <f>SUMIFS(ТГ_ИД!$E:$E,ТГ_ИД!$B:$B,ТГ!$G$4,ТГ_ИД!$D:$D,ТГ!$A351)</f>
        <v>0</v>
      </c>
      <c r="M350" s="130">
        <f>SUMIFS(ТГ_ИД!$E:$E,ТГ_ИД!$B:$B,ТГ!$G$5,ТГ_ИД!$D:$D,ТГ!$A351)</f>
        <v>0</v>
      </c>
      <c r="N350" s="130">
        <f>SUMIFS(ТГ_ИД!$E:$E,ТГ_ИД!$B:$B,ТГ!$G$6,ТГ_ИД!$D:$D,ТГ!$A351)</f>
        <v>0</v>
      </c>
      <c r="O350" s="130">
        <f>SUMIFS(ТГ_ИД!$E:$E,ТГ_ИД!$B:$B,ТГ!$G$7,ТГ_ИД!$D:$D,ТГ!$A351)</f>
        <v>0</v>
      </c>
      <c r="P350" s="130">
        <f>SUMIFS(ТГ_ИД!$E:$E,ТГ_ИД!$B:$B,ТГ!$G$8,ТГ_ИД!$D:$D,ТГ!$A351)</f>
        <v>0</v>
      </c>
      <c r="Q350" s="130">
        <f>SUMIFS(ТГ_ИД!$E:$E,ТГ_ИД!$B:$B,ТГ!$G$9,ТГ_ИД!$D:$D,ТГ!$A351)</f>
        <v>0</v>
      </c>
      <c r="R350" s="130">
        <f>SUMIFS(ТГ_ИД!$E:$E,ТГ_ИД!$B:$B,ТГ!$G$10,ТГ_ИД!$D:$D,ТГ!$A351)</f>
        <v>0</v>
      </c>
      <c r="S350" s="130">
        <f>SUMIFS(ТГ_ИД!$E:$E,ТГ_ИД!$B:$B,ТГ!$G$11,ТГ_ИД!$D:$D,ТГ!$A351)</f>
        <v>0</v>
      </c>
      <c r="T350" s="130">
        <f>SUMIFS(ТГ_ИД!$E:$E,ТГ_ИД!$B:$B,ТГ!$G$12,ТГ_ИД!$D:$D,ТГ!$A351)</f>
        <v>0</v>
      </c>
      <c r="U350" s="130">
        <f>SUMIFS(ТГ_ИД!$E:$E,ТГ_ИД!$B:$B,ТГ!$G$13,ТГ_ИД!$D:$D,ТГ!$A351)</f>
        <v>0</v>
      </c>
      <c r="V350" s="130">
        <f>SUMIFS(ТГ_ИД!$E:$E,ТГ_ИД!$B:$B,ТГ!$G$14,ТГ_ИД!$D:$D,ТГ!$A351)</f>
        <v>0</v>
      </c>
    </row>
    <row r="351" spans="1:22" x14ac:dyDescent="0.25">
      <c r="A351" s="116" t="str">
        <f t="shared" si="6"/>
        <v/>
      </c>
      <c r="K351" s="130">
        <f>SUMIFS(ТГ_ИД!$E:$E,ТГ_ИД!$B:$B,ТГ!$G$3,ТГ_ИД!$D:$D,ТГ!$A352)</f>
        <v>0</v>
      </c>
      <c r="L351" s="130">
        <f>SUMIFS(ТГ_ИД!$E:$E,ТГ_ИД!$B:$B,ТГ!$G$4,ТГ_ИД!$D:$D,ТГ!$A352)</f>
        <v>0</v>
      </c>
      <c r="M351" s="130">
        <f>SUMIFS(ТГ_ИД!$E:$E,ТГ_ИД!$B:$B,ТГ!$G$5,ТГ_ИД!$D:$D,ТГ!$A352)</f>
        <v>0</v>
      </c>
      <c r="N351" s="130">
        <f>SUMIFS(ТГ_ИД!$E:$E,ТГ_ИД!$B:$B,ТГ!$G$6,ТГ_ИД!$D:$D,ТГ!$A352)</f>
        <v>0</v>
      </c>
      <c r="O351" s="130">
        <f>SUMIFS(ТГ_ИД!$E:$E,ТГ_ИД!$B:$B,ТГ!$G$7,ТГ_ИД!$D:$D,ТГ!$A352)</f>
        <v>0</v>
      </c>
      <c r="P351" s="130">
        <f>SUMIFS(ТГ_ИД!$E:$E,ТГ_ИД!$B:$B,ТГ!$G$8,ТГ_ИД!$D:$D,ТГ!$A352)</f>
        <v>0</v>
      </c>
      <c r="Q351" s="130">
        <f>SUMIFS(ТГ_ИД!$E:$E,ТГ_ИД!$B:$B,ТГ!$G$9,ТГ_ИД!$D:$D,ТГ!$A352)</f>
        <v>0</v>
      </c>
      <c r="R351" s="130">
        <f>SUMIFS(ТГ_ИД!$E:$E,ТГ_ИД!$B:$B,ТГ!$G$10,ТГ_ИД!$D:$D,ТГ!$A352)</f>
        <v>0</v>
      </c>
      <c r="S351" s="130">
        <f>SUMIFS(ТГ_ИД!$E:$E,ТГ_ИД!$B:$B,ТГ!$G$11,ТГ_ИД!$D:$D,ТГ!$A352)</f>
        <v>0</v>
      </c>
      <c r="T351" s="130">
        <f>SUMIFS(ТГ_ИД!$E:$E,ТГ_ИД!$B:$B,ТГ!$G$12,ТГ_ИД!$D:$D,ТГ!$A352)</f>
        <v>0</v>
      </c>
      <c r="U351" s="130">
        <f>SUMIFS(ТГ_ИД!$E:$E,ТГ_ИД!$B:$B,ТГ!$G$13,ТГ_ИД!$D:$D,ТГ!$A352)</f>
        <v>0</v>
      </c>
      <c r="V351" s="130">
        <f>SUMIFS(ТГ_ИД!$E:$E,ТГ_ИД!$B:$B,ТГ!$G$14,ТГ_ИД!$D:$D,ТГ!$A352)</f>
        <v>0</v>
      </c>
    </row>
    <row r="352" spans="1:22" x14ac:dyDescent="0.25">
      <c r="A352" s="116" t="str">
        <f t="shared" si="6"/>
        <v/>
      </c>
      <c r="K352" s="130">
        <f>SUMIFS(ТГ_ИД!$E:$E,ТГ_ИД!$B:$B,ТГ!$G$3,ТГ_ИД!$D:$D,ТГ!$A353)</f>
        <v>0</v>
      </c>
      <c r="L352" s="130">
        <f>SUMIFS(ТГ_ИД!$E:$E,ТГ_ИД!$B:$B,ТГ!$G$4,ТГ_ИД!$D:$D,ТГ!$A353)</f>
        <v>0</v>
      </c>
      <c r="M352" s="130">
        <f>SUMIFS(ТГ_ИД!$E:$E,ТГ_ИД!$B:$B,ТГ!$G$5,ТГ_ИД!$D:$D,ТГ!$A353)</f>
        <v>0</v>
      </c>
      <c r="N352" s="130">
        <f>SUMIFS(ТГ_ИД!$E:$E,ТГ_ИД!$B:$B,ТГ!$G$6,ТГ_ИД!$D:$D,ТГ!$A353)</f>
        <v>0</v>
      </c>
      <c r="O352" s="130">
        <f>SUMIFS(ТГ_ИД!$E:$E,ТГ_ИД!$B:$B,ТГ!$G$7,ТГ_ИД!$D:$D,ТГ!$A353)</f>
        <v>0</v>
      </c>
      <c r="P352" s="130">
        <f>SUMIFS(ТГ_ИД!$E:$E,ТГ_ИД!$B:$B,ТГ!$G$8,ТГ_ИД!$D:$D,ТГ!$A353)</f>
        <v>0</v>
      </c>
      <c r="Q352" s="130">
        <f>SUMIFS(ТГ_ИД!$E:$E,ТГ_ИД!$B:$B,ТГ!$G$9,ТГ_ИД!$D:$D,ТГ!$A353)</f>
        <v>0</v>
      </c>
      <c r="R352" s="130">
        <f>SUMIFS(ТГ_ИД!$E:$E,ТГ_ИД!$B:$B,ТГ!$G$10,ТГ_ИД!$D:$D,ТГ!$A353)</f>
        <v>0</v>
      </c>
      <c r="S352" s="130">
        <f>SUMIFS(ТГ_ИД!$E:$E,ТГ_ИД!$B:$B,ТГ!$G$11,ТГ_ИД!$D:$D,ТГ!$A353)</f>
        <v>0</v>
      </c>
      <c r="T352" s="130">
        <f>SUMIFS(ТГ_ИД!$E:$E,ТГ_ИД!$B:$B,ТГ!$G$12,ТГ_ИД!$D:$D,ТГ!$A353)</f>
        <v>0</v>
      </c>
      <c r="U352" s="130">
        <f>SUMIFS(ТГ_ИД!$E:$E,ТГ_ИД!$B:$B,ТГ!$G$13,ТГ_ИД!$D:$D,ТГ!$A353)</f>
        <v>0</v>
      </c>
      <c r="V352" s="130">
        <f>SUMIFS(ТГ_ИД!$E:$E,ТГ_ИД!$B:$B,ТГ!$G$14,ТГ_ИД!$D:$D,ТГ!$A353)</f>
        <v>0</v>
      </c>
    </row>
    <row r="353" spans="1:22" x14ac:dyDescent="0.25">
      <c r="A353" s="116" t="str">
        <f t="shared" si="6"/>
        <v/>
      </c>
      <c r="K353" s="130">
        <f>SUMIFS(ТГ_ИД!$E:$E,ТГ_ИД!$B:$B,ТГ!$G$3,ТГ_ИД!$D:$D,ТГ!$A354)</f>
        <v>0</v>
      </c>
      <c r="L353" s="130">
        <f>SUMIFS(ТГ_ИД!$E:$E,ТГ_ИД!$B:$B,ТГ!$G$4,ТГ_ИД!$D:$D,ТГ!$A354)</f>
        <v>0</v>
      </c>
      <c r="M353" s="130">
        <f>SUMIFS(ТГ_ИД!$E:$E,ТГ_ИД!$B:$B,ТГ!$G$5,ТГ_ИД!$D:$D,ТГ!$A354)</f>
        <v>0</v>
      </c>
      <c r="N353" s="130">
        <f>SUMIFS(ТГ_ИД!$E:$E,ТГ_ИД!$B:$B,ТГ!$G$6,ТГ_ИД!$D:$D,ТГ!$A354)</f>
        <v>0</v>
      </c>
      <c r="O353" s="130">
        <f>SUMIFS(ТГ_ИД!$E:$E,ТГ_ИД!$B:$B,ТГ!$G$7,ТГ_ИД!$D:$D,ТГ!$A354)</f>
        <v>0</v>
      </c>
      <c r="P353" s="130">
        <f>SUMIFS(ТГ_ИД!$E:$E,ТГ_ИД!$B:$B,ТГ!$G$8,ТГ_ИД!$D:$D,ТГ!$A354)</f>
        <v>0</v>
      </c>
      <c r="Q353" s="130">
        <f>SUMIFS(ТГ_ИД!$E:$E,ТГ_ИД!$B:$B,ТГ!$G$9,ТГ_ИД!$D:$D,ТГ!$A354)</f>
        <v>0</v>
      </c>
      <c r="R353" s="130">
        <f>SUMIFS(ТГ_ИД!$E:$E,ТГ_ИД!$B:$B,ТГ!$G$10,ТГ_ИД!$D:$D,ТГ!$A354)</f>
        <v>0</v>
      </c>
      <c r="S353" s="130">
        <f>SUMIFS(ТГ_ИД!$E:$E,ТГ_ИД!$B:$B,ТГ!$G$11,ТГ_ИД!$D:$D,ТГ!$A354)</f>
        <v>0</v>
      </c>
      <c r="T353" s="130">
        <f>SUMIFS(ТГ_ИД!$E:$E,ТГ_ИД!$B:$B,ТГ!$G$12,ТГ_ИД!$D:$D,ТГ!$A354)</f>
        <v>0</v>
      </c>
      <c r="U353" s="130">
        <f>SUMIFS(ТГ_ИД!$E:$E,ТГ_ИД!$B:$B,ТГ!$G$13,ТГ_ИД!$D:$D,ТГ!$A354)</f>
        <v>0</v>
      </c>
      <c r="V353" s="130">
        <f>SUMIFS(ТГ_ИД!$E:$E,ТГ_ИД!$B:$B,ТГ!$G$14,ТГ_ИД!$D:$D,ТГ!$A354)</f>
        <v>0</v>
      </c>
    </row>
    <row r="354" spans="1:22" x14ac:dyDescent="0.25">
      <c r="A354" s="116" t="str">
        <f t="shared" si="6"/>
        <v/>
      </c>
      <c r="K354" s="130">
        <f>SUMIFS(ТГ_ИД!$E:$E,ТГ_ИД!$B:$B,ТГ!$G$3,ТГ_ИД!$D:$D,ТГ!$A355)</f>
        <v>0</v>
      </c>
      <c r="L354" s="130">
        <f>SUMIFS(ТГ_ИД!$E:$E,ТГ_ИД!$B:$B,ТГ!$G$4,ТГ_ИД!$D:$D,ТГ!$A355)</f>
        <v>0</v>
      </c>
      <c r="M354" s="130">
        <f>SUMIFS(ТГ_ИД!$E:$E,ТГ_ИД!$B:$B,ТГ!$G$5,ТГ_ИД!$D:$D,ТГ!$A355)</f>
        <v>0</v>
      </c>
      <c r="N354" s="130">
        <f>SUMIFS(ТГ_ИД!$E:$E,ТГ_ИД!$B:$B,ТГ!$G$6,ТГ_ИД!$D:$D,ТГ!$A355)</f>
        <v>0</v>
      </c>
      <c r="O354" s="130">
        <f>SUMIFS(ТГ_ИД!$E:$E,ТГ_ИД!$B:$B,ТГ!$G$7,ТГ_ИД!$D:$D,ТГ!$A355)</f>
        <v>0</v>
      </c>
      <c r="P354" s="130">
        <f>SUMIFS(ТГ_ИД!$E:$E,ТГ_ИД!$B:$B,ТГ!$G$8,ТГ_ИД!$D:$D,ТГ!$A355)</f>
        <v>0</v>
      </c>
      <c r="Q354" s="130">
        <f>SUMIFS(ТГ_ИД!$E:$E,ТГ_ИД!$B:$B,ТГ!$G$9,ТГ_ИД!$D:$D,ТГ!$A355)</f>
        <v>0</v>
      </c>
      <c r="R354" s="130">
        <f>SUMIFS(ТГ_ИД!$E:$E,ТГ_ИД!$B:$B,ТГ!$G$10,ТГ_ИД!$D:$D,ТГ!$A355)</f>
        <v>0</v>
      </c>
      <c r="S354" s="130">
        <f>SUMIFS(ТГ_ИД!$E:$E,ТГ_ИД!$B:$B,ТГ!$G$11,ТГ_ИД!$D:$D,ТГ!$A355)</f>
        <v>0</v>
      </c>
      <c r="T354" s="130">
        <f>SUMIFS(ТГ_ИД!$E:$E,ТГ_ИД!$B:$B,ТГ!$G$12,ТГ_ИД!$D:$D,ТГ!$A355)</f>
        <v>0</v>
      </c>
      <c r="U354" s="130">
        <f>SUMIFS(ТГ_ИД!$E:$E,ТГ_ИД!$B:$B,ТГ!$G$13,ТГ_ИД!$D:$D,ТГ!$A355)</f>
        <v>0</v>
      </c>
      <c r="V354" s="130">
        <f>SUMIFS(ТГ_ИД!$E:$E,ТГ_ИД!$B:$B,ТГ!$G$14,ТГ_ИД!$D:$D,ТГ!$A355)</f>
        <v>0</v>
      </c>
    </row>
    <row r="355" spans="1:22" x14ac:dyDescent="0.25">
      <c r="A355" s="116" t="str">
        <f t="shared" si="6"/>
        <v/>
      </c>
      <c r="K355" s="130">
        <f>SUMIFS(ТГ_ИД!$E:$E,ТГ_ИД!$B:$B,ТГ!$G$3,ТГ_ИД!$D:$D,ТГ!$A356)</f>
        <v>0</v>
      </c>
      <c r="L355" s="130">
        <f>SUMIFS(ТГ_ИД!$E:$E,ТГ_ИД!$B:$B,ТГ!$G$4,ТГ_ИД!$D:$D,ТГ!$A356)</f>
        <v>0</v>
      </c>
      <c r="M355" s="130">
        <f>SUMIFS(ТГ_ИД!$E:$E,ТГ_ИД!$B:$B,ТГ!$G$5,ТГ_ИД!$D:$D,ТГ!$A356)</f>
        <v>0</v>
      </c>
      <c r="N355" s="130">
        <f>SUMIFS(ТГ_ИД!$E:$E,ТГ_ИД!$B:$B,ТГ!$G$6,ТГ_ИД!$D:$D,ТГ!$A356)</f>
        <v>0</v>
      </c>
      <c r="O355" s="130">
        <f>SUMIFS(ТГ_ИД!$E:$E,ТГ_ИД!$B:$B,ТГ!$G$7,ТГ_ИД!$D:$D,ТГ!$A356)</f>
        <v>0</v>
      </c>
      <c r="P355" s="130">
        <f>SUMIFS(ТГ_ИД!$E:$E,ТГ_ИД!$B:$B,ТГ!$G$8,ТГ_ИД!$D:$D,ТГ!$A356)</f>
        <v>0</v>
      </c>
      <c r="Q355" s="130">
        <f>SUMIFS(ТГ_ИД!$E:$E,ТГ_ИД!$B:$B,ТГ!$G$9,ТГ_ИД!$D:$D,ТГ!$A356)</f>
        <v>0</v>
      </c>
      <c r="R355" s="130">
        <f>SUMIFS(ТГ_ИД!$E:$E,ТГ_ИД!$B:$B,ТГ!$G$10,ТГ_ИД!$D:$D,ТГ!$A356)</f>
        <v>0</v>
      </c>
      <c r="S355" s="130">
        <f>SUMIFS(ТГ_ИД!$E:$E,ТГ_ИД!$B:$B,ТГ!$G$11,ТГ_ИД!$D:$D,ТГ!$A356)</f>
        <v>0</v>
      </c>
      <c r="T355" s="130">
        <f>SUMIFS(ТГ_ИД!$E:$E,ТГ_ИД!$B:$B,ТГ!$G$12,ТГ_ИД!$D:$D,ТГ!$A356)</f>
        <v>0</v>
      </c>
      <c r="U355" s="130">
        <f>SUMIFS(ТГ_ИД!$E:$E,ТГ_ИД!$B:$B,ТГ!$G$13,ТГ_ИД!$D:$D,ТГ!$A356)</f>
        <v>0</v>
      </c>
      <c r="V355" s="130">
        <f>SUMIFS(ТГ_ИД!$E:$E,ТГ_ИД!$B:$B,ТГ!$G$14,ТГ_ИД!$D:$D,ТГ!$A356)</f>
        <v>0</v>
      </c>
    </row>
    <row r="356" spans="1:22" x14ac:dyDescent="0.25">
      <c r="A356" s="116" t="str">
        <f t="shared" si="6"/>
        <v/>
      </c>
      <c r="K356" s="130">
        <f>SUMIFS(ТГ_ИД!$E:$E,ТГ_ИД!$B:$B,ТГ!$G$3,ТГ_ИД!$D:$D,ТГ!$A357)</f>
        <v>0</v>
      </c>
      <c r="L356" s="130">
        <f>SUMIFS(ТГ_ИД!$E:$E,ТГ_ИД!$B:$B,ТГ!$G$4,ТГ_ИД!$D:$D,ТГ!$A357)</f>
        <v>0</v>
      </c>
      <c r="M356" s="130">
        <f>SUMIFS(ТГ_ИД!$E:$E,ТГ_ИД!$B:$B,ТГ!$G$5,ТГ_ИД!$D:$D,ТГ!$A357)</f>
        <v>0</v>
      </c>
      <c r="N356" s="130">
        <f>SUMIFS(ТГ_ИД!$E:$E,ТГ_ИД!$B:$B,ТГ!$G$6,ТГ_ИД!$D:$D,ТГ!$A357)</f>
        <v>0</v>
      </c>
      <c r="O356" s="130">
        <f>SUMIFS(ТГ_ИД!$E:$E,ТГ_ИД!$B:$B,ТГ!$G$7,ТГ_ИД!$D:$D,ТГ!$A357)</f>
        <v>0</v>
      </c>
      <c r="P356" s="130">
        <f>SUMIFS(ТГ_ИД!$E:$E,ТГ_ИД!$B:$B,ТГ!$G$8,ТГ_ИД!$D:$D,ТГ!$A357)</f>
        <v>0</v>
      </c>
      <c r="Q356" s="130">
        <f>SUMIFS(ТГ_ИД!$E:$E,ТГ_ИД!$B:$B,ТГ!$G$9,ТГ_ИД!$D:$D,ТГ!$A357)</f>
        <v>0</v>
      </c>
      <c r="R356" s="130">
        <f>SUMIFS(ТГ_ИД!$E:$E,ТГ_ИД!$B:$B,ТГ!$G$10,ТГ_ИД!$D:$D,ТГ!$A357)</f>
        <v>0</v>
      </c>
      <c r="S356" s="130">
        <f>SUMIFS(ТГ_ИД!$E:$E,ТГ_ИД!$B:$B,ТГ!$G$11,ТГ_ИД!$D:$D,ТГ!$A357)</f>
        <v>0</v>
      </c>
      <c r="T356" s="130">
        <f>SUMIFS(ТГ_ИД!$E:$E,ТГ_ИД!$B:$B,ТГ!$G$12,ТГ_ИД!$D:$D,ТГ!$A357)</f>
        <v>0</v>
      </c>
      <c r="U356" s="130">
        <f>SUMIFS(ТГ_ИД!$E:$E,ТГ_ИД!$B:$B,ТГ!$G$13,ТГ_ИД!$D:$D,ТГ!$A357)</f>
        <v>0</v>
      </c>
      <c r="V356" s="130">
        <f>SUMIFS(ТГ_ИД!$E:$E,ТГ_ИД!$B:$B,ТГ!$G$14,ТГ_ИД!$D:$D,ТГ!$A357)</f>
        <v>0</v>
      </c>
    </row>
    <row r="357" spans="1:22" x14ac:dyDescent="0.25">
      <c r="A357" s="116" t="str">
        <f t="shared" si="6"/>
        <v/>
      </c>
      <c r="K357" s="130">
        <f>SUMIFS(ТГ_ИД!$E:$E,ТГ_ИД!$B:$B,ТГ!$G$3,ТГ_ИД!$D:$D,ТГ!$A358)</f>
        <v>0</v>
      </c>
      <c r="L357" s="130">
        <f>SUMIFS(ТГ_ИД!$E:$E,ТГ_ИД!$B:$B,ТГ!$G$4,ТГ_ИД!$D:$D,ТГ!$A358)</f>
        <v>0</v>
      </c>
      <c r="M357" s="130">
        <f>SUMIFS(ТГ_ИД!$E:$E,ТГ_ИД!$B:$B,ТГ!$G$5,ТГ_ИД!$D:$D,ТГ!$A358)</f>
        <v>0</v>
      </c>
      <c r="N357" s="130">
        <f>SUMIFS(ТГ_ИД!$E:$E,ТГ_ИД!$B:$B,ТГ!$G$6,ТГ_ИД!$D:$D,ТГ!$A358)</f>
        <v>0</v>
      </c>
      <c r="O357" s="130">
        <f>SUMIFS(ТГ_ИД!$E:$E,ТГ_ИД!$B:$B,ТГ!$G$7,ТГ_ИД!$D:$D,ТГ!$A358)</f>
        <v>0</v>
      </c>
      <c r="P357" s="130">
        <f>SUMIFS(ТГ_ИД!$E:$E,ТГ_ИД!$B:$B,ТГ!$G$8,ТГ_ИД!$D:$D,ТГ!$A358)</f>
        <v>0</v>
      </c>
      <c r="Q357" s="130">
        <f>SUMIFS(ТГ_ИД!$E:$E,ТГ_ИД!$B:$B,ТГ!$G$9,ТГ_ИД!$D:$D,ТГ!$A358)</f>
        <v>0</v>
      </c>
      <c r="R357" s="130">
        <f>SUMIFS(ТГ_ИД!$E:$E,ТГ_ИД!$B:$B,ТГ!$G$10,ТГ_ИД!$D:$D,ТГ!$A358)</f>
        <v>0</v>
      </c>
      <c r="S357" s="130">
        <f>SUMIFS(ТГ_ИД!$E:$E,ТГ_ИД!$B:$B,ТГ!$G$11,ТГ_ИД!$D:$D,ТГ!$A358)</f>
        <v>0</v>
      </c>
      <c r="T357" s="130">
        <f>SUMIFS(ТГ_ИД!$E:$E,ТГ_ИД!$B:$B,ТГ!$G$12,ТГ_ИД!$D:$D,ТГ!$A358)</f>
        <v>0</v>
      </c>
      <c r="U357" s="130">
        <f>SUMIFS(ТГ_ИД!$E:$E,ТГ_ИД!$B:$B,ТГ!$G$13,ТГ_ИД!$D:$D,ТГ!$A358)</f>
        <v>0</v>
      </c>
      <c r="V357" s="130">
        <f>SUMIFS(ТГ_ИД!$E:$E,ТГ_ИД!$B:$B,ТГ!$G$14,ТГ_ИД!$D:$D,ТГ!$A358)</f>
        <v>0</v>
      </c>
    </row>
    <row r="358" spans="1:22" x14ac:dyDescent="0.25">
      <c r="A358" s="116" t="str">
        <f t="shared" si="6"/>
        <v/>
      </c>
      <c r="K358" s="130">
        <f>SUMIFS(ТГ_ИД!$E:$E,ТГ_ИД!$B:$B,ТГ!$G$3,ТГ_ИД!$D:$D,ТГ!$A359)</f>
        <v>0</v>
      </c>
      <c r="L358" s="130">
        <f>SUMIFS(ТГ_ИД!$E:$E,ТГ_ИД!$B:$B,ТГ!$G$4,ТГ_ИД!$D:$D,ТГ!$A359)</f>
        <v>0</v>
      </c>
      <c r="M358" s="130">
        <f>SUMIFS(ТГ_ИД!$E:$E,ТГ_ИД!$B:$B,ТГ!$G$5,ТГ_ИД!$D:$D,ТГ!$A359)</f>
        <v>0</v>
      </c>
      <c r="N358" s="130">
        <f>SUMIFS(ТГ_ИД!$E:$E,ТГ_ИД!$B:$B,ТГ!$G$6,ТГ_ИД!$D:$D,ТГ!$A359)</f>
        <v>0</v>
      </c>
      <c r="O358" s="130">
        <f>SUMIFS(ТГ_ИД!$E:$E,ТГ_ИД!$B:$B,ТГ!$G$7,ТГ_ИД!$D:$D,ТГ!$A359)</f>
        <v>0</v>
      </c>
      <c r="P358" s="130">
        <f>SUMIFS(ТГ_ИД!$E:$E,ТГ_ИД!$B:$B,ТГ!$G$8,ТГ_ИД!$D:$D,ТГ!$A359)</f>
        <v>0</v>
      </c>
      <c r="Q358" s="130">
        <f>SUMIFS(ТГ_ИД!$E:$E,ТГ_ИД!$B:$B,ТГ!$G$9,ТГ_ИД!$D:$D,ТГ!$A359)</f>
        <v>0</v>
      </c>
      <c r="R358" s="130">
        <f>SUMIFS(ТГ_ИД!$E:$E,ТГ_ИД!$B:$B,ТГ!$G$10,ТГ_ИД!$D:$D,ТГ!$A359)</f>
        <v>0</v>
      </c>
      <c r="S358" s="130">
        <f>SUMIFS(ТГ_ИД!$E:$E,ТГ_ИД!$B:$B,ТГ!$G$11,ТГ_ИД!$D:$D,ТГ!$A359)</f>
        <v>0</v>
      </c>
      <c r="T358" s="130">
        <f>SUMIFS(ТГ_ИД!$E:$E,ТГ_ИД!$B:$B,ТГ!$G$12,ТГ_ИД!$D:$D,ТГ!$A359)</f>
        <v>0</v>
      </c>
      <c r="U358" s="130">
        <f>SUMIFS(ТГ_ИД!$E:$E,ТГ_ИД!$B:$B,ТГ!$G$13,ТГ_ИД!$D:$D,ТГ!$A359)</f>
        <v>0</v>
      </c>
      <c r="V358" s="130">
        <f>SUMIFS(ТГ_ИД!$E:$E,ТГ_ИД!$B:$B,ТГ!$G$14,ТГ_ИД!$D:$D,ТГ!$A359)</f>
        <v>0</v>
      </c>
    </row>
    <row r="359" spans="1:22" x14ac:dyDescent="0.25">
      <c r="A359" s="116" t="str">
        <f t="shared" si="6"/>
        <v/>
      </c>
      <c r="K359" s="130">
        <f>SUMIFS(ТГ_ИД!$E:$E,ТГ_ИД!$B:$B,ТГ!$G$3,ТГ_ИД!$D:$D,ТГ!$A360)</f>
        <v>0</v>
      </c>
      <c r="L359" s="130">
        <f>SUMIFS(ТГ_ИД!$E:$E,ТГ_ИД!$B:$B,ТГ!$G$4,ТГ_ИД!$D:$D,ТГ!$A360)</f>
        <v>0</v>
      </c>
      <c r="M359" s="130">
        <f>SUMIFS(ТГ_ИД!$E:$E,ТГ_ИД!$B:$B,ТГ!$G$5,ТГ_ИД!$D:$D,ТГ!$A360)</f>
        <v>0</v>
      </c>
      <c r="N359" s="130">
        <f>SUMIFS(ТГ_ИД!$E:$E,ТГ_ИД!$B:$B,ТГ!$G$6,ТГ_ИД!$D:$D,ТГ!$A360)</f>
        <v>0</v>
      </c>
      <c r="O359" s="130">
        <f>SUMIFS(ТГ_ИД!$E:$E,ТГ_ИД!$B:$B,ТГ!$G$7,ТГ_ИД!$D:$D,ТГ!$A360)</f>
        <v>0</v>
      </c>
      <c r="P359" s="130">
        <f>SUMIFS(ТГ_ИД!$E:$E,ТГ_ИД!$B:$B,ТГ!$G$8,ТГ_ИД!$D:$D,ТГ!$A360)</f>
        <v>0</v>
      </c>
      <c r="Q359" s="130">
        <f>SUMIFS(ТГ_ИД!$E:$E,ТГ_ИД!$B:$B,ТГ!$G$9,ТГ_ИД!$D:$D,ТГ!$A360)</f>
        <v>0</v>
      </c>
      <c r="R359" s="130">
        <f>SUMIFS(ТГ_ИД!$E:$E,ТГ_ИД!$B:$B,ТГ!$G$10,ТГ_ИД!$D:$D,ТГ!$A360)</f>
        <v>0</v>
      </c>
      <c r="S359" s="130">
        <f>SUMIFS(ТГ_ИД!$E:$E,ТГ_ИД!$B:$B,ТГ!$G$11,ТГ_ИД!$D:$D,ТГ!$A360)</f>
        <v>0</v>
      </c>
      <c r="T359" s="130">
        <f>SUMIFS(ТГ_ИД!$E:$E,ТГ_ИД!$B:$B,ТГ!$G$12,ТГ_ИД!$D:$D,ТГ!$A360)</f>
        <v>0</v>
      </c>
      <c r="U359" s="130">
        <f>SUMIFS(ТГ_ИД!$E:$E,ТГ_ИД!$B:$B,ТГ!$G$13,ТГ_ИД!$D:$D,ТГ!$A360)</f>
        <v>0</v>
      </c>
      <c r="V359" s="130">
        <f>SUMIFS(ТГ_ИД!$E:$E,ТГ_ИД!$B:$B,ТГ!$G$14,ТГ_ИД!$D:$D,ТГ!$A360)</f>
        <v>0</v>
      </c>
    </row>
    <row r="360" spans="1:22" x14ac:dyDescent="0.25">
      <c r="A360" s="116" t="str">
        <f t="shared" si="6"/>
        <v/>
      </c>
      <c r="K360" s="130">
        <f>SUMIFS(ТГ_ИД!$E:$E,ТГ_ИД!$B:$B,ТГ!$G$3,ТГ_ИД!$D:$D,ТГ!$A361)</f>
        <v>0</v>
      </c>
      <c r="L360" s="130">
        <f>SUMIFS(ТГ_ИД!$E:$E,ТГ_ИД!$B:$B,ТГ!$G$4,ТГ_ИД!$D:$D,ТГ!$A361)</f>
        <v>0</v>
      </c>
      <c r="M360" s="130">
        <f>SUMIFS(ТГ_ИД!$E:$E,ТГ_ИД!$B:$B,ТГ!$G$5,ТГ_ИД!$D:$D,ТГ!$A361)</f>
        <v>0</v>
      </c>
      <c r="N360" s="130">
        <f>SUMIFS(ТГ_ИД!$E:$E,ТГ_ИД!$B:$B,ТГ!$G$6,ТГ_ИД!$D:$D,ТГ!$A361)</f>
        <v>0</v>
      </c>
      <c r="O360" s="130">
        <f>SUMIFS(ТГ_ИД!$E:$E,ТГ_ИД!$B:$B,ТГ!$G$7,ТГ_ИД!$D:$D,ТГ!$A361)</f>
        <v>0</v>
      </c>
      <c r="P360" s="130">
        <f>SUMIFS(ТГ_ИД!$E:$E,ТГ_ИД!$B:$B,ТГ!$G$8,ТГ_ИД!$D:$D,ТГ!$A361)</f>
        <v>0</v>
      </c>
      <c r="Q360" s="130">
        <f>SUMIFS(ТГ_ИД!$E:$E,ТГ_ИД!$B:$B,ТГ!$G$9,ТГ_ИД!$D:$D,ТГ!$A361)</f>
        <v>0</v>
      </c>
      <c r="R360" s="130">
        <f>SUMIFS(ТГ_ИД!$E:$E,ТГ_ИД!$B:$B,ТГ!$G$10,ТГ_ИД!$D:$D,ТГ!$A361)</f>
        <v>0</v>
      </c>
      <c r="S360" s="130">
        <f>SUMIFS(ТГ_ИД!$E:$E,ТГ_ИД!$B:$B,ТГ!$G$11,ТГ_ИД!$D:$D,ТГ!$A361)</f>
        <v>0</v>
      </c>
      <c r="T360" s="130">
        <f>SUMIFS(ТГ_ИД!$E:$E,ТГ_ИД!$B:$B,ТГ!$G$12,ТГ_ИД!$D:$D,ТГ!$A361)</f>
        <v>0</v>
      </c>
      <c r="U360" s="130">
        <f>SUMIFS(ТГ_ИД!$E:$E,ТГ_ИД!$B:$B,ТГ!$G$13,ТГ_ИД!$D:$D,ТГ!$A361)</f>
        <v>0</v>
      </c>
      <c r="V360" s="130">
        <f>SUMIFS(ТГ_ИД!$E:$E,ТГ_ИД!$B:$B,ТГ!$G$14,ТГ_ИД!$D:$D,ТГ!$A361)</f>
        <v>0</v>
      </c>
    </row>
    <row r="361" spans="1:22" x14ac:dyDescent="0.25">
      <c r="A361" s="116" t="str">
        <f t="shared" si="6"/>
        <v/>
      </c>
      <c r="K361" s="130">
        <f>SUMIFS(ТГ_ИД!$E:$E,ТГ_ИД!$B:$B,ТГ!$G$3,ТГ_ИД!$D:$D,ТГ!$A362)</f>
        <v>0</v>
      </c>
      <c r="L361" s="130">
        <f>SUMIFS(ТГ_ИД!$E:$E,ТГ_ИД!$B:$B,ТГ!$G$4,ТГ_ИД!$D:$D,ТГ!$A362)</f>
        <v>0</v>
      </c>
      <c r="M361" s="130">
        <f>SUMIFS(ТГ_ИД!$E:$E,ТГ_ИД!$B:$B,ТГ!$G$5,ТГ_ИД!$D:$D,ТГ!$A362)</f>
        <v>0</v>
      </c>
      <c r="N361" s="130">
        <f>SUMIFS(ТГ_ИД!$E:$E,ТГ_ИД!$B:$B,ТГ!$G$6,ТГ_ИД!$D:$D,ТГ!$A362)</f>
        <v>0</v>
      </c>
      <c r="O361" s="130">
        <f>SUMIFS(ТГ_ИД!$E:$E,ТГ_ИД!$B:$B,ТГ!$G$7,ТГ_ИД!$D:$D,ТГ!$A362)</f>
        <v>0</v>
      </c>
      <c r="P361" s="130">
        <f>SUMIFS(ТГ_ИД!$E:$E,ТГ_ИД!$B:$B,ТГ!$G$8,ТГ_ИД!$D:$D,ТГ!$A362)</f>
        <v>0</v>
      </c>
      <c r="Q361" s="130">
        <f>SUMIFS(ТГ_ИД!$E:$E,ТГ_ИД!$B:$B,ТГ!$G$9,ТГ_ИД!$D:$D,ТГ!$A362)</f>
        <v>0</v>
      </c>
      <c r="R361" s="130">
        <f>SUMIFS(ТГ_ИД!$E:$E,ТГ_ИД!$B:$B,ТГ!$G$10,ТГ_ИД!$D:$D,ТГ!$A362)</f>
        <v>0</v>
      </c>
      <c r="S361" s="130">
        <f>SUMIFS(ТГ_ИД!$E:$E,ТГ_ИД!$B:$B,ТГ!$G$11,ТГ_ИД!$D:$D,ТГ!$A362)</f>
        <v>0</v>
      </c>
      <c r="T361" s="130">
        <f>SUMIFS(ТГ_ИД!$E:$E,ТГ_ИД!$B:$B,ТГ!$G$12,ТГ_ИД!$D:$D,ТГ!$A362)</f>
        <v>0</v>
      </c>
      <c r="U361" s="130">
        <f>SUMIFS(ТГ_ИД!$E:$E,ТГ_ИД!$B:$B,ТГ!$G$13,ТГ_ИД!$D:$D,ТГ!$A362)</f>
        <v>0</v>
      </c>
      <c r="V361" s="130">
        <f>SUMIFS(ТГ_ИД!$E:$E,ТГ_ИД!$B:$B,ТГ!$G$14,ТГ_ИД!$D:$D,ТГ!$A362)</f>
        <v>0</v>
      </c>
    </row>
    <row r="362" spans="1:22" x14ac:dyDescent="0.25">
      <c r="A362" s="116" t="str">
        <f t="shared" si="6"/>
        <v/>
      </c>
      <c r="K362" s="130">
        <f>SUMIFS(ТГ_ИД!$E:$E,ТГ_ИД!$B:$B,ТГ!$G$3,ТГ_ИД!$D:$D,ТГ!$A363)</f>
        <v>0</v>
      </c>
      <c r="L362" s="130">
        <f>SUMIFS(ТГ_ИД!$E:$E,ТГ_ИД!$B:$B,ТГ!$G$4,ТГ_ИД!$D:$D,ТГ!$A363)</f>
        <v>0</v>
      </c>
      <c r="M362" s="130">
        <f>SUMIFS(ТГ_ИД!$E:$E,ТГ_ИД!$B:$B,ТГ!$G$5,ТГ_ИД!$D:$D,ТГ!$A363)</f>
        <v>0</v>
      </c>
      <c r="N362" s="130">
        <f>SUMIFS(ТГ_ИД!$E:$E,ТГ_ИД!$B:$B,ТГ!$G$6,ТГ_ИД!$D:$D,ТГ!$A363)</f>
        <v>0</v>
      </c>
      <c r="O362" s="130">
        <f>SUMIFS(ТГ_ИД!$E:$E,ТГ_ИД!$B:$B,ТГ!$G$7,ТГ_ИД!$D:$D,ТГ!$A363)</f>
        <v>0</v>
      </c>
      <c r="P362" s="130">
        <f>SUMIFS(ТГ_ИД!$E:$E,ТГ_ИД!$B:$B,ТГ!$G$8,ТГ_ИД!$D:$D,ТГ!$A363)</f>
        <v>0</v>
      </c>
      <c r="Q362" s="130">
        <f>SUMIFS(ТГ_ИД!$E:$E,ТГ_ИД!$B:$B,ТГ!$G$9,ТГ_ИД!$D:$D,ТГ!$A363)</f>
        <v>0</v>
      </c>
      <c r="R362" s="130">
        <f>SUMIFS(ТГ_ИД!$E:$E,ТГ_ИД!$B:$B,ТГ!$G$10,ТГ_ИД!$D:$D,ТГ!$A363)</f>
        <v>0</v>
      </c>
      <c r="S362" s="130">
        <f>SUMIFS(ТГ_ИД!$E:$E,ТГ_ИД!$B:$B,ТГ!$G$11,ТГ_ИД!$D:$D,ТГ!$A363)</f>
        <v>0</v>
      </c>
      <c r="T362" s="130">
        <f>SUMIFS(ТГ_ИД!$E:$E,ТГ_ИД!$B:$B,ТГ!$G$12,ТГ_ИД!$D:$D,ТГ!$A363)</f>
        <v>0</v>
      </c>
      <c r="U362" s="130">
        <f>SUMIFS(ТГ_ИД!$E:$E,ТГ_ИД!$B:$B,ТГ!$G$13,ТГ_ИД!$D:$D,ТГ!$A363)</f>
        <v>0</v>
      </c>
      <c r="V362" s="130">
        <f>SUMIFS(ТГ_ИД!$E:$E,ТГ_ИД!$B:$B,ТГ!$G$14,ТГ_ИД!$D:$D,ТГ!$A363)</f>
        <v>0</v>
      </c>
    </row>
    <row r="363" spans="1:22" x14ac:dyDescent="0.25">
      <c r="A363" s="116" t="str">
        <f t="shared" si="6"/>
        <v/>
      </c>
      <c r="K363" s="130">
        <f>SUMIFS(ТГ_ИД!$E:$E,ТГ_ИД!$B:$B,ТГ!$G$3,ТГ_ИД!$D:$D,ТГ!$A364)</f>
        <v>0</v>
      </c>
      <c r="L363" s="130">
        <f>SUMIFS(ТГ_ИД!$E:$E,ТГ_ИД!$B:$B,ТГ!$G$4,ТГ_ИД!$D:$D,ТГ!$A364)</f>
        <v>0</v>
      </c>
      <c r="M363" s="130">
        <f>SUMIFS(ТГ_ИД!$E:$E,ТГ_ИД!$B:$B,ТГ!$G$5,ТГ_ИД!$D:$D,ТГ!$A364)</f>
        <v>0</v>
      </c>
      <c r="N363" s="130">
        <f>SUMIFS(ТГ_ИД!$E:$E,ТГ_ИД!$B:$B,ТГ!$G$6,ТГ_ИД!$D:$D,ТГ!$A364)</f>
        <v>0</v>
      </c>
      <c r="O363" s="130">
        <f>SUMIFS(ТГ_ИД!$E:$E,ТГ_ИД!$B:$B,ТГ!$G$7,ТГ_ИД!$D:$D,ТГ!$A364)</f>
        <v>0</v>
      </c>
      <c r="P363" s="130">
        <f>SUMIFS(ТГ_ИД!$E:$E,ТГ_ИД!$B:$B,ТГ!$G$8,ТГ_ИД!$D:$D,ТГ!$A364)</f>
        <v>0</v>
      </c>
      <c r="Q363" s="130">
        <f>SUMIFS(ТГ_ИД!$E:$E,ТГ_ИД!$B:$B,ТГ!$G$9,ТГ_ИД!$D:$D,ТГ!$A364)</f>
        <v>0</v>
      </c>
      <c r="R363" s="130">
        <f>SUMIFS(ТГ_ИД!$E:$E,ТГ_ИД!$B:$B,ТГ!$G$10,ТГ_ИД!$D:$D,ТГ!$A364)</f>
        <v>0</v>
      </c>
      <c r="S363" s="130">
        <f>SUMIFS(ТГ_ИД!$E:$E,ТГ_ИД!$B:$B,ТГ!$G$11,ТГ_ИД!$D:$D,ТГ!$A364)</f>
        <v>0</v>
      </c>
      <c r="T363" s="130">
        <f>SUMIFS(ТГ_ИД!$E:$E,ТГ_ИД!$B:$B,ТГ!$G$12,ТГ_ИД!$D:$D,ТГ!$A364)</f>
        <v>0</v>
      </c>
      <c r="U363" s="130">
        <f>SUMIFS(ТГ_ИД!$E:$E,ТГ_ИД!$B:$B,ТГ!$G$13,ТГ_ИД!$D:$D,ТГ!$A364)</f>
        <v>0</v>
      </c>
      <c r="V363" s="130">
        <f>SUMIFS(ТГ_ИД!$E:$E,ТГ_ИД!$B:$B,ТГ!$G$14,ТГ_ИД!$D:$D,ТГ!$A364)</f>
        <v>0</v>
      </c>
    </row>
    <row r="364" spans="1:22" x14ac:dyDescent="0.25">
      <c r="A364" s="116" t="str">
        <f t="shared" si="6"/>
        <v/>
      </c>
      <c r="K364" s="130">
        <f>SUMIFS(ТГ_ИД!$E:$E,ТГ_ИД!$B:$B,ТГ!$G$3,ТГ_ИД!$D:$D,ТГ!$A365)</f>
        <v>0</v>
      </c>
      <c r="L364" s="130">
        <f>SUMIFS(ТГ_ИД!$E:$E,ТГ_ИД!$B:$B,ТГ!$G$4,ТГ_ИД!$D:$D,ТГ!$A365)</f>
        <v>0</v>
      </c>
      <c r="M364" s="130">
        <f>SUMIFS(ТГ_ИД!$E:$E,ТГ_ИД!$B:$B,ТГ!$G$5,ТГ_ИД!$D:$D,ТГ!$A365)</f>
        <v>0</v>
      </c>
      <c r="N364" s="130">
        <f>SUMIFS(ТГ_ИД!$E:$E,ТГ_ИД!$B:$B,ТГ!$G$6,ТГ_ИД!$D:$D,ТГ!$A365)</f>
        <v>0</v>
      </c>
      <c r="O364" s="130">
        <f>SUMIFS(ТГ_ИД!$E:$E,ТГ_ИД!$B:$B,ТГ!$G$7,ТГ_ИД!$D:$D,ТГ!$A365)</f>
        <v>0</v>
      </c>
      <c r="P364" s="130">
        <f>SUMIFS(ТГ_ИД!$E:$E,ТГ_ИД!$B:$B,ТГ!$G$8,ТГ_ИД!$D:$D,ТГ!$A365)</f>
        <v>0</v>
      </c>
      <c r="Q364" s="130">
        <f>SUMIFS(ТГ_ИД!$E:$E,ТГ_ИД!$B:$B,ТГ!$G$9,ТГ_ИД!$D:$D,ТГ!$A365)</f>
        <v>0</v>
      </c>
      <c r="R364" s="130">
        <f>SUMIFS(ТГ_ИД!$E:$E,ТГ_ИД!$B:$B,ТГ!$G$10,ТГ_ИД!$D:$D,ТГ!$A365)</f>
        <v>0</v>
      </c>
      <c r="S364" s="130">
        <f>SUMIFS(ТГ_ИД!$E:$E,ТГ_ИД!$B:$B,ТГ!$G$11,ТГ_ИД!$D:$D,ТГ!$A365)</f>
        <v>0</v>
      </c>
      <c r="T364" s="130">
        <f>SUMIFS(ТГ_ИД!$E:$E,ТГ_ИД!$B:$B,ТГ!$G$12,ТГ_ИД!$D:$D,ТГ!$A365)</f>
        <v>0</v>
      </c>
      <c r="U364" s="130">
        <f>SUMIFS(ТГ_ИД!$E:$E,ТГ_ИД!$B:$B,ТГ!$G$13,ТГ_ИД!$D:$D,ТГ!$A365)</f>
        <v>0</v>
      </c>
      <c r="V364" s="130">
        <f>SUMIFS(ТГ_ИД!$E:$E,ТГ_ИД!$B:$B,ТГ!$G$14,ТГ_ИД!$D:$D,ТГ!$A365)</f>
        <v>0</v>
      </c>
    </row>
    <row r="365" spans="1:22" x14ac:dyDescent="0.25">
      <c r="A365" s="116" t="str">
        <f t="shared" si="6"/>
        <v/>
      </c>
      <c r="K365" s="130">
        <f>SUMIFS(ТГ_ИД!$E:$E,ТГ_ИД!$B:$B,ТГ!$G$3,ТГ_ИД!$D:$D,ТГ!$A366)</f>
        <v>0</v>
      </c>
      <c r="L365" s="130">
        <f>SUMIFS(ТГ_ИД!$E:$E,ТГ_ИД!$B:$B,ТГ!$G$4,ТГ_ИД!$D:$D,ТГ!$A366)</f>
        <v>0</v>
      </c>
      <c r="M365" s="130">
        <f>SUMIFS(ТГ_ИД!$E:$E,ТГ_ИД!$B:$B,ТГ!$G$5,ТГ_ИД!$D:$D,ТГ!$A366)</f>
        <v>0</v>
      </c>
      <c r="N365" s="130">
        <f>SUMIFS(ТГ_ИД!$E:$E,ТГ_ИД!$B:$B,ТГ!$G$6,ТГ_ИД!$D:$D,ТГ!$A366)</f>
        <v>0</v>
      </c>
      <c r="O365" s="130">
        <f>SUMIFS(ТГ_ИД!$E:$E,ТГ_ИД!$B:$B,ТГ!$G$7,ТГ_ИД!$D:$D,ТГ!$A366)</f>
        <v>0</v>
      </c>
      <c r="P365" s="130">
        <f>SUMIFS(ТГ_ИД!$E:$E,ТГ_ИД!$B:$B,ТГ!$G$8,ТГ_ИД!$D:$D,ТГ!$A366)</f>
        <v>0</v>
      </c>
      <c r="Q365" s="130">
        <f>SUMIFS(ТГ_ИД!$E:$E,ТГ_ИД!$B:$B,ТГ!$G$9,ТГ_ИД!$D:$D,ТГ!$A366)</f>
        <v>0</v>
      </c>
      <c r="R365" s="130">
        <f>SUMIFS(ТГ_ИД!$E:$E,ТГ_ИД!$B:$B,ТГ!$G$10,ТГ_ИД!$D:$D,ТГ!$A366)</f>
        <v>0</v>
      </c>
      <c r="S365" s="130">
        <f>SUMIFS(ТГ_ИД!$E:$E,ТГ_ИД!$B:$B,ТГ!$G$11,ТГ_ИД!$D:$D,ТГ!$A366)</f>
        <v>0</v>
      </c>
      <c r="T365" s="130">
        <f>SUMIFS(ТГ_ИД!$E:$E,ТГ_ИД!$B:$B,ТГ!$G$12,ТГ_ИД!$D:$D,ТГ!$A366)</f>
        <v>0</v>
      </c>
      <c r="U365" s="130">
        <f>SUMIFS(ТГ_ИД!$E:$E,ТГ_ИД!$B:$B,ТГ!$G$13,ТГ_ИД!$D:$D,ТГ!$A366)</f>
        <v>0</v>
      </c>
      <c r="V365" s="130">
        <f>SUMIFS(ТГ_ИД!$E:$E,ТГ_ИД!$B:$B,ТГ!$G$14,ТГ_ИД!$D:$D,ТГ!$A366)</f>
        <v>0</v>
      </c>
    </row>
    <row r="366" spans="1:22" x14ac:dyDescent="0.25">
      <c r="A366" s="116" t="str">
        <f t="shared" si="6"/>
        <v/>
      </c>
      <c r="K366" s="130">
        <f>SUMIFS(ТГ_ИД!$E:$E,ТГ_ИД!$B:$B,ТГ!$G$3,ТГ_ИД!$D:$D,ТГ!$A367)</f>
        <v>0</v>
      </c>
      <c r="L366" s="130">
        <f>SUMIFS(ТГ_ИД!$E:$E,ТГ_ИД!$B:$B,ТГ!$G$4,ТГ_ИД!$D:$D,ТГ!$A367)</f>
        <v>0</v>
      </c>
      <c r="M366" s="130">
        <f>SUMIFS(ТГ_ИД!$E:$E,ТГ_ИД!$B:$B,ТГ!$G$5,ТГ_ИД!$D:$D,ТГ!$A367)</f>
        <v>0</v>
      </c>
      <c r="N366" s="130">
        <f>SUMIFS(ТГ_ИД!$E:$E,ТГ_ИД!$B:$B,ТГ!$G$6,ТГ_ИД!$D:$D,ТГ!$A367)</f>
        <v>0</v>
      </c>
      <c r="O366" s="130">
        <f>SUMIFS(ТГ_ИД!$E:$E,ТГ_ИД!$B:$B,ТГ!$G$7,ТГ_ИД!$D:$D,ТГ!$A367)</f>
        <v>0</v>
      </c>
      <c r="P366" s="130">
        <f>SUMIFS(ТГ_ИД!$E:$E,ТГ_ИД!$B:$B,ТГ!$G$8,ТГ_ИД!$D:$D,ТГ!$A367)</f>
        <v>0</v>
      </c>
      <c r="Q366" s="130">
        <f>SUMIFS(ТГ_ИД!$E:$E,ТГ_ИД!$B:$B,ТГ!$G$9,ТГ_ИД!$D:$D,ТГ!$A367)</f>
        <v>0</v>
      </c>
      <c r="R366" s="130">
        <f>SUMIFS(ТГ_ИД!$E:$E,ТГ_ИД!$B:$B,ТГ!$G$10,ТГ_ИД!$D:$D,ТГ!$A367)</f>
        <v>0</v>
      </c>
      <c r="S366" s="130">
        <f>SUMIFS(ТГ_ИД!$E:$E,ТГ_ИД!$B:$B,ТГ!$G$11,ТГ_ИД!$D:$D,ТГ!$A367)</f>
        <v>0</v>
      </c>
      <c r="T366" s="130">
        <f>SUMIFS(ТГ_ИД!$E:$E,ТГ_ИД!$B:$B,ТГ!$G$12,ТГ_ИД!$D:$D,ТГ!$A367)</f>
        <v>0</v>
      </c>
      <c r="U366" s="130">
        <f>SUMIFS(ТГ_ИД!$E:$E,ТГ_ИД!$B:$B,ТГ!$G$13,ТГ_ИД!$D:$D,ТГ!$A367)</f>
        <v>0</v>
      </c>
      <c r="V366" s="130">
        <f>SUMIFS(ТГ_ИД!$E:$E,ТГ_ИД!$B:$B,ТГ!$G$14,ТГ_ИД!$D:$D,ТГ!$A367)</f>
        <v>0</v>
      </c>
    </row>
    <row r="367" spans="1:22" x14ac:dyDescent="0.25">
      <c r="A367" s="116" t="str">
        <f t="shared" si="6"/>
        <v/>
      </c>
      <c r="K367" s="130">
        <f>SUMIFS(ТГ_ИД!$E:$E,ТГ_ИД!$B:$B,ТГ!$G$3,ТГ_ИД!$D:$D,ТГ!$A368)</f>
        <v>0</v>
      </c>
      <c r="L367" s="130">
        <f>SUMIFS(ТГ_ИД!$E:$E,ТГ_ИД!$B:$B,ТГ!$G$4,ТГ_ИД!$D:$D,ТГ!$A368)</f>
        <v>0</v>
      </c>
      <c r="M367" s="130">
        <f>SUMIFS(ТГ_ИД!$E:$E,ТГ_ИД!$B:$B,ТГ!$G$5,ТГ_ИД!$D:$D,ТГ!$A368)</f>
        <v>0</v>
      </c>
      <c r="N367" s="130">
        <f>SUMIFS(ТГ_ИД!$E:$E,ТГ_ИД!$B:$B,ТГ!$G$6,ТГ_ИД!$D:$D,ТГ!$A368)</f>
        <v>0</v>
      </c>
      <c r="O367" s="130">
        <f>SUMIFS(ТГ_ИД!$E:$E,ТГ_ИД!$B:$B,ТГ!$G$7,ТГ_ИД!$D:$D,ТГ!$A368)</f>
        <v>0</v>
      </c>
      <c r="P367" s="130">
        <f>SUMIFS(ТГ_ИД!$E:$E,ТГ_ИД!$B:$B,ТГ!$G$8,ТГ_ИД!$D:$D,ТГ!$A368)</f>
        <v>0</v>
      </c>
      <c r="Q367" s="130">
        <f>SUMIFS(ТГ_ИД!$E:$E,ТГ_ИД!$B:$B,ТГ!$G$9,ТГ_ИД!$D:$D,ТГ!$A368)</f>
        <v>0</v>
      </c>
      <c r="R367" s="130">
        <f>SUMIFS(ТГ_ИД!$E:$E,ТГ_ИД!$B:$B,ТГ!$G$10,ТГ_ИД!$D:$D,ТГ!$A368)</f>
        <v>0</v>
      </c>
      <c r="S367" s="130">
        <f>SUMIFS(ТГ_ИД!$E:$E,ТГ_ИД!$B:$B,ТГ!$G$11,ТГ_ИД!$D:$D,ТГ!$A368)</f>
        <v>0</v>
      </c>
      <c r="T367" s="130">
        <f>SUMIFS(ТГ_ИД!$E:$E,ТГ_ИД!$B:$B,ТГ!$G$12,ТГ_ИД!$D:$D,ТГ!$A368)</f>
        <v>0</v>
      </c>
      <c r="U367" s="130">
        <f>SUMIFS(ТГ_ИД!$E:$E,ТГ_ИД!$B:$B,ТГ!$G$13,ТГ_ИД!$D:$D,ТГ!$A368)</f>
        <v>0</v>
      </c>
      <c r="V367" s="130">
        <f>SUMIFS(ТГ_ИД!$E:$E,ТГ_ИД!$B:$B,ТГ!$G$14,ТГ_ИД!$D:$D,ТГ!$A368)</f>
        <v>0</v>
      </c>
    </row>
    <row r="368" spans="1:22" x14ac:dyDescent="0.25">
      <c r="A368" s="116" t="str">
        <f t="shared" si="6"/>
        <v/>
      </c>
      <c r="K368" s="130">
        <f>SUMIFS(ТГ_ИД!$E:$E,ТГ_ИД!$B:$B,ТГ!$G$3,ТГ_ИД!$D:$D,ТГ!$A369)</f>
        <v>0</v>
      </c>
      <c r="L368" s="130">
        <f>SUMIFS(ТГ_ИД!$E:$E,ТГ_ИД!$B:$B,ТГ!$G$4,ТГ_ИД!$D:$D,ТГ!$A369)</f>
        <v>0</v>
      </c>
      <c r="M368" s="130">
        <f>SUMIFS(ТГ_ИД!$E:$E,ТГ_ИД!$B:$B,ТГ!$G$5,ТГ_ИД!$D:$D,ТГ!$A369)</f>
        <v>0</v>
      </c>
      <c r="N368" s="130">
        <f>SUMIFS(ТГ_ИД!$E:$E,ТГ_ИД!$B:$B,ТГ!$G$6,ТГ_ИД!$D:$D,ТГ!$A369)</f>
        <v>0</v>
      </c>
      <c r="O368" s="130">
        <f>SUMIFS(ТГ_ИД!$E:$E,ТГ_ИД!$B:$B,ТГ!$G$7,ТГ_ИД!$D:$D,ТГ!$A369)</f>
        <v>0</v>
      </c>
      <c r="P368" s="130">
        <f>SUMIFS(ТГ_ИД!$E:$E,ТГ_ИД!$B:$B,ТГ!$G$8,ТГ_ИД!$D:$D,ТГ!$A369)</f>
        <v>0</v>
      </c>
      <c r="Q368" s="130">
        <f>SUMIFS(ТГ_ИД!$E:$E,ТГ_ИД!$B:$B,ТГ!$G$9,ТГ_ИД!$D:$D,ТГ!$A369)</f>
        <v>0</v>
      </c>
      <c r="R368" s="130">
        <f>SUMIFS(ТГ_ИД!$E:$E,ТГ_ИД!$B:$B,ТГ!$G$10,ТГ_ИД!$D:$D,ТГ!$A369)</f>
        <v>0</v>
      </c>
      <c r="S368" s="130">
        <f>SUMIFS(ТГ_ИД!$E:$E,ТГ_ИД!$B:$B,ТГ!$G$11,ТГ_ИД!$D:$D,ТГ!$A369)</f>
        <v>0</v>
      </c>
      <c r="T368" s="130">
        <f>SUMIFS(ТГ_ИД!$E:$E,ТГ_ИД!$B:$B,ТГ!$G$12,ТГ_ИД!$D:$D,ТГ!$A369)</f>
        <v>0</v>
      </c>
      <c r="U368" s="130">
        <f>SUMIFS(ТГ_ИД!$E:$E,ТГ_ИД!$B:$B,ТГ!$G$13,ТГ_ИД!$D:$D,ТГ!$A369)</f>
        <v>0</v>
      </c>
      <c r="V368" s="130">
        <f>SUMIFS(ТГ_ИД!$E:$E,ТГ_ИД!$B:$B,ТГ!$G$14,ТГ_ИД!$D:$D,ТГ!$A369)</f>
        <v>0</v>
      </c>
    </row>
    <row r="369" spans="1:22" x14ac:dyDescent="0.25">
      <c r="A369" s="116" t="str">
        <f t="shared" si="6"/>
        <v/>
      </c>
      <c r="K369" s="130">
        <f>SUMIFS(ТГ_ИД!$E:$E,ТГ_ИД!$B:$B,ТГ!$G$3,ТГ_ИД!$D:$D,ТГ!$A370)</f>
        <v>0</v>
      </c>
      <c r="L369" s="130">
        <f>SUMIFS(ТГ_ИД!$E:$E,ТГ_ИД!$B:$B,ТГ!$G$4,ТГ_ИД!$D:$D,ТГ!$A370)</f>
        <v>0</v>
      </c>
      <c r="M369" s="130">
        <f>SUMIFS(ТГ_ИД!$E:$E,ТГ_ИД!$B:$B,ТГ!$G$5,ТГ_ИД!$D:$D,ТГ!$A370)</f>
        <v>0</v>
      </c>
      <c r="N369" s="130">
        <f>SUMIFS(ТГ_ИД!$E:$E,ТГ_ИД!$B:$B,ТГ!$G$6,ТГ_ИД!$D:$D,ТГ!$A370)</f>
        <v>0</v>
      </c>
      <c r="O369" s="130">
        <f>SUMIFS(ТГ_ИД!$E:$E,ТГ_ИД!$B:$B,ТГ!$G$7,ТГ_ИД!$D:$D,ТГ!$A370)</f>
        <v>0</v>
      </c>
      <c r="P369" s="130">
        <f>SUMIFS(ТГ_ИД!$E:$E,ТГ_ИД!$B:$B,ТГ!$G$8,ТГ_ИД!$D:$D,ТГ!$A370)</f>
        <v>0</v>
      </c>
      <c r="Q369" s="130">
        <f>SUMIFS(ТГ_ИД!$E:$E,ТГ_ИД!$B:$B,ТГ!$G$9,ТГ_ИД!$D:$D,ТГ!$A370)</f>
        <v>0</v>
      </c>
      <c r="R369" s="130">
        <f>SUMIFS(ТГ_ИД!$E:$E,ТГ_ИД!$B:$B,ТГ!$G$10,ТГ_ИД!$D:$D,ТГ!$A370)</f>
        <v>0</v>
      </c>
      <c r="S369" s="130">
        <f>SUMIFS(ТГ_ИД!$E:$E,ТГ_ИД!$B:$B,ТГ!$G$11,ТГ_ИД!$D:$D,ТГ!$A370)</f>
        <v>0</v>
      </c>
      <c r="T369" s="130">
        <f>SUMIFS(ТГ_ИД!$E:$E,ТГ_ИД!$B:$B,ТГ!$G$12,ТГ_ИД!$D:$D,ТГ!$A370)</f>
        <v>0</v>
      </c>
      <c r="U369" s="130">
        <f>SUMIFS(ТГ_ИД!$E:$E,ТГ_ИД!$B:$B,ТГ!$G$13,ТГ_ИД!$D:$D,ТГ!$A370)</f>
        <v>0</v>
      </c>
      <c r="V369" s="130">
        <f>SUMIFS(ТГ_ИД!$E:$E,ТГ_ИД!$B:$B,ТГ!$G$14,ТГ_ИД!$D:$D,ТГ!$A370)</f>
        <v>0</v>
      </c>
    </row>
    <row r="370" spans="1:22" x14ac:dyDescent="0.25">
      <c r="A370" s="116" t="str">
        <f t="shared" si="6"/>
        <v/>
      </c>
      <c r="K370" s="130">
        <f>SUMIFS(ТГ_ИД!$E:$E,ТГ_ИД!$B:$B,ТГ!$G$3,ТГ_ИД!$D:$D,ТГ!$A371)</f>
        <v>0</v>
      </c>
      <c r="L370" s="130">
        <f>SUMIFS(ТГ_ИД!$E:$E,ТГ_ИД!$B:$B,ТГ!$G$4,ТГ_ИД!$D:$D,ТГ!$A371)</f>
        <v>0</v>
      </c>
      <c r="M370" s="130">
        <f>SUMIFS(ТГ_ИД!$E:$E,ТГ_ИД!$B:$B,ТГ!$G$5,ТГ_ИД!$D:$D,ТГ!$A371)</f>
        <v>0</v>
      </c>
      <c r="N370" s="130">
        <f>SUMIFS(ТГ_ИД!$E:$E,ТГ_ИД!$B:$B,ТГ!$G$6,ТГ_ИД!$D:$D,ТГ!$A371)</f>
        <v>0</v>
      </c>
      <c r="O370" s="130">
        <f>SUMIFS(ТГ_ИД!$E:$E,ТГ_ИД!$B:$B,ТГ!$G$7,ТГ_ИД!$D:$D,ТГ!$A371)</f>
        <v>0</v>
      </c>
      <c r="P370" s="130">
        <f>SUMIFS(ТГ_ИД!$E:$E,ТГ_ИД!$B:$B,ТГ!$G$8,ТГ_ИД!$D:$D,ТГ!$A371)</f>
        <v>0</v>
      </c>
      <c r="Q370" s="130">
        <f>SUMIFS(ТГ_ИД!$E:$E,ТГ_ИД!$B:$B,ТГ!$G$9,ТГ_ИД!$D:$D,ТГ!$A371)</f>
        <v>0</v>
      </c>
      <c r="R370" s="130">
        <f>SUMIFS(ТГ_ИД!$E:$E,ТГ_ИД!$B:$B,ТГ!$G$10,ТГ_ИД!$D:$D,ТГ!$A371)</f>
        <v>0</v>
      </c>
      <c r="S370" s="130">
        <f>SUMIFS(ТГ_ИД!$E:$E,ТГ_ИД!$B:$B,ТГ!$G$11,ТГ_ИД!$D:$D,ТГ!$A371)</f>
        <v>0</v>
      </c>
      <c r="T370" s="130">
        <f>SUMIFS(ТГ_ИД!$E:$E,ТГ_ИД!$B:$B,ТГ!$G$12,ТГ_ИД!$D:$D,ТГ!$A371)</f>
        <v>0</v>
      </c>
      <c r="U370" s="130">
        <f>SUMIFS(ТГ_ИД!$E:$E,ТГ_ИД!$B:$B,ТГ!$G$13,ТГ_ИД!$D:$D,ТГ!$A371)</f>
        <v>0</v>
      </c>
      <c r="V370" s="130">
        <f>SUMIFS(ТГ_ИД!$E:$E,ТГ_ИД!$B:$B,ТГ!$G$14,ТГ_ИД!$D:$D,ТГ!$A371)</f>
        <v>0</v>
      </c>
    </row>
    <row r="371" spans="1:22" x14ac:dyDescent="0.25">
      <c r="A371" s="116" t="str">
        <f t="shared" si="6"/>
        <v/>
      </c>
      <c r="K371" s="130">
        <f>SUMIFS(ТГ_ИД!$E:$E,ТГ_ИД!$B:$B,ТГ!$G$3,ТГ_ИД!$D:$D,ТГ!$A372)</f>
        <v>0</v>
      </c>
      <c r="L371" s="130">
        <f>SUMIFS(ТГ_ИД!$E:$E,ТГ_ИД!$B:$B,ТГ!$G$4,ТГ_ИД!$D:$D,ТГ!$A372)</f>
        <v>0</v>
      </c>
      <c r="M371" s="130">
        <f>SUMIFS(ТГ_ИД!$E:$E,ТГ_ИД!$B:$B,ТГ!$G$5,ТГ_ИД!$D:$D,ТГ!$A372)</f>
        <v>0</v>
      </c>
      <c r="N371" s="130">
        <f>SUMIFS(ТГ_ИД!$E:$E,ТГ_ИД!$B:$B,ТГ!$G$6,ТГ_ИД!$D:$D,ТГ!$A372)</f>
        <v>0</v>
      </c>
      <c r="O371" s="130">
        <f>SUMIFS(ТГ_ИД!$E:$E,ТГ_ИД!$B:$B,ТГ!$G$7,ТГ_ИД!$D:$D,ТГ!$A372)</f>
        <v>0</v>
      </c>
      <c r="P371" s="130">
        <f>SUMIFS(ТГ_ИД!$E:$E,ТГ_ИД!$B:$B,ТГ!$G$8,ТГ_ИД!$D:$D,ТГ!$A372)</f>
        <v>0</v>
      </c>
      <c r="Q371" s="130">
        <f>SUMIFS(ТГ_ИД!$E:$E,ТГ_ИД!$B:$B,ТГ!$G$9,ТГ_ИД!$D:$D,ТГ!$A372)</f>
        <v>0</v>
      </c>
      <c r="R371" s="130">
        <f>SUMIFS(ТГ_ИД!$E:$E,ТГ_ИД!$B:$B,ТГ!$G$10,ТГ_ИД!$D:$D,ТГ!$A372)</f>
        <v>0</v>
      </c>
      <c r="S371" s="130">
        <f>SUMIFS(ТГ_ИД!$E:$E,ТГ_ИД!$B:$B,ТГ!$G$11,ТГ_ИД!$D:$D,ТГ!$A372)</f>
        <v>0</v>
      </c>
      <c r="T371" s="130">
        <f>SUMIFS(ТГ_ИД!$E:$E,ТГ_ИД!$B:$B,ТГ!$G$12,ТГ_ИД!$D:$D,ТГ!$A372)</f>
        <v>0</v>
      </c>
      <c r="U371" s="130">
        <f>SUMIFS(ТГ_ИД!$E:$E,ТГ_ИД!$B:$B,ТГ!$G$13,ТГ_ИД!$D:$D,ТГ!$A372)</f>
        <v>0</v>
      </c>
      <c r="V371" s="130">
        <f>SUMIFS(ТГ_ИД!$E:$E,ТГ_ИД!$B:$B,ТГ!$G$14,ТГ_ИД!$D:$D,ТГ!$A372)</f>
        <v>0</v>
      </c>
    </row>
    <row r="372" spans="1:22" x14ac:dyDescent="0.25">
      <c r="A372" s="116" t="str">
        <f t="shared" si="6"/>
        <v/>
      </c>
      <c r="K372" s="130">
        <f>SUMIFS(ТГ_ИД!$E:$E,ТГ_ИД!$B:$B,ТГ!$G$3,ТГ_ИД!$D:$D,ТГ!$A373)</f>
        <v>0</v>
      </c>
      <c r="L372" s="130">
        <f>SUMIFS(ТГ_ИД!$E:$E,ТГ_ИД!$B:$B,ТГ!$G$4,ТГ_ИД!$D:$D,ТГ!$A373)</f>
        <v>0</v>
      </c>
      <c r="M372" s="130">
        <f>SUMIFS(ТГ_ИД!$E:$E,ТГ_ИД!$B:$B,ТГ!$G$5,ТГ_ИД!$D:$D,ТГ!$A373)</f>
        <v>0</v>
      </c>
      <c r="N372" s="130">
        <f>SUMIFS(ТГ_ИД!$E:$E,ТГ_ИД!$B:$B,ТГ!$G$6,ТГ_ИД!$D:$D,ТГ!$A373)</f>
        <v>0</v>
      </c>
      <c r="O372" s="130">
        <f>SUMIFS(ТГ_ИД!$E:$E,ТГ_ИД!$B:$B,ТГ!$G$7,ТГ_ИД!$D:$D,ТГ!$A373)</f>
        <v>0</v>
      </c>
      <c r="P372" s="130">
        <f>SUMIFS(ТГ_ИД!$E:$E,ТГ_ИД!$B:$B,ТГ!$G$8,ТГ_ИД!$D:$D,ТГ!$A373)</f>
        <v>0</v>
      </c>
      <c r="Q372" s="130">
        <f>SUMIFS(ТГ_ИД!$E:$E,ТГ_ИД!$B:$B,ТГ!$G$9,ТГ_ИД!$D:$D,ТГ!$A373)</f>
        <v>0</v>
      </c>
      <c r="R372" s="130">
        <f>SUMIFS(ТГ_ИД!$E:$E,ТГ_ИД!$B:$B,ТГ!$G$10,ТГ_ИД!$D:$D,ТГ!$A373)</f>
        <v>0</v>
      </c>
      <c r="S372" s="130">
        <f>SUMIFS(ТГ_ИД!$E:$E,ТГ_ИД!$B:$B,ТГ!$G$11,ТГ_ИД!$D:$D,ТГ!$A373)</f>
        <v>0</v>
      </c>
      <c r="T372" s="130">
        <f>SUMIFS(ТГ_ИД!$E:$E,ТГ_ИД!$B:$B,ТГ!$G$12,ТГ_ИД!$D:$D,ТГ!$A373)</f>
        <v>0</v>
      </c>
      <c r="U372" s="130">
        <f>SUMIFS(ТГ_ИД!$E:$E,ТГ_ИД!$B:$B,ТГ!$G$13,ТГ_ИД!$D:$D,ТГ!$A373)</f>
        <v>0</v>
      </c>
      <c r="V372" s="130">
        <f>SUMIFS(ТГ_ИД!$E:$E,ТГ_ИД!$B:$B,ТГ!$G$14,ТГ_ИД!$D:$D,ТГ!$A373)</f>
        <v>0</v>
      </c>
    </row>
    <row r="373" spans="1:22" x14ac:dyDescent="0.25">
      <c r="A373" s="116" t="str">
        <f t="shared" si="6"/>
        <v/>
      </c>
      <c r="K373" s="130">
        <f>SUMIFS(ТГ_ИД!$E:$E,ТГ_ИД!$B:$B,ТГ!$G$3,ТГ_ИД!$D:$D,ТГ!$A374)</f>
        <v>0</v>
      </c>
      <c r="L373" s="130">
        <f>SUMIFS(ТГ_ИД!$E:$E,ТГ_ИД!$B:$B,ТГ!$G$4,ТГ_ИД!$D:$D,ТГ!$A374)</f>
        <v>0</v>
      </c>
      <c r="M373" s="130">
        <f>SUMIFS(ТГ_ИД!$E:$E,ТГ_ИД!$B:$B,ТГ!$G$5,ТГ_ИД!$D:$D,ТГ!$A374)</f>
        <v>0</v>
      </c>
      <c r="N373" s="130">
        <f>SUMIFS(ТГ_ИД!$E:$E,ТГ_ИД!$B:$B,ТГ!$G$6,ТГ_ИД!$D:$D,ТГ!$A374)</f>
        <v>0</v>
      </c>
      <c r="O373" s="130">
        <f>SUMIFS(ТГ_ИД!$E:$E,ТГ_ИД!$B:$B,ТГ!$G$7,ТГ_ИД!$D:$D,ТГ!$A374)</f>
        <v>0</v>
      </c>
      <c r="P373" s="130">
        <f>SUMIFS(ТГ_ИД!$E:$E,ТГ_ИД!$B:$B,ТГ!$G$8,ТГ_ИД!$D:$D,ТГ!$A374)</f>
        <v>0</v>
      </c>
      <c r="Q373" s="130">
        <f>SUMIFS(ТГ_ИД!$E:$E,ТГ_ИД!$B:$B,ТГ!$G$9,ТГ_ИД!$D:$D,ТГ!$A374)</f>
        <v>0</v>
      </c>
      <c r="R373" s="130">
        <f>SUMIFS(ТГ_ИД!$E:$E,ТГ_ИД!$B:$B,ТГ!$G$10,ТГ_ИД!$D:$D,ТГ!$A374)</f>
        <v>0</v>
      </c>
      <c r="S373" s="130">
        <f>SUMIFS(ТГ_ИД!$E:$E,ТГ_ИД!$B:$B,ТГ!$G$11,ТГ_ИД!$D:$D,ТГ!$A374)</f>
        <v>0</v>
      </c>
      <c r="T373" s="130">
        <f>SUMIFS(ТГ_ИД!$E:$E,ТГ_ИД!$B:$B,ТГ!$G$12,ТГ_ИД!$D:$D,ТГ!$A374)</f>
        <v>0</v>
      </c>
      <c r="U373" s="130">
        <f>SUMIFS(ТГ_ИД!$E:$E,ТГ_ИД!$B:$B,ТГ!$G$13,ТГ_ИД!$D:$D,ТГ!$A374)</f>
        <v>0</v>
      </c>
      <c r="V373" s="130">
        <f>SUMIFS(ТГ_ИД!$E:$E,ТГ_ИД!$B:$B,ТГ!$G$14,ТГ_ИД!$D:$D,ТГ!$A374)</f>
        <v>0</v>
      </c>
    </row>
    <row r="374" spans="1:22" x14ac:dyDescent="0.25">
      <c r="A374" s="116" t="str">
        <f t="shared" si="6"/>
        <v/>
      </c>
      <c r="K374" s="130">
        <f>SUMIFS(ТГ_ИД!$E:$E,ТГ_ИД!$B:$B,ТГ!$G$3,ТГ_ИД!$D:$D,ТГ!$A375)</f>
        <v>0</v>
      </c>
      <c r="L374" s="130">
        <f>SUMIFS(ТГ_ИД!$E:$E,ТГ_ИД!$B:$B,ТГ!$G$4,ТГ_ИД!$D:$D,ТГ!$A375)</f>
        <v>0</v>
      </c>
      <c r="M374" s="130">
        <f>SUMIFS(ТГ_ИД!$E:$E,ТГ_ИД!$B:$B,ТГ!$G$5,ТГ_ИД!$D:$D,ТГ!$A375)</f>
        <v>0</v>
      </c>
      <c r="N374" s="130">
        <f>SUMIFS(ТГ_ИД!$E:$E,ТГ_ИД!$B:$B,ТГ!$G$6,ТГ_ИД!$D:$D,ТГ!$A375)</f>
        <v>0</v>
      </c>
      <c r="O374" s="130">
        <f>SUMIFS(ТГ_ИД!$E:$E,ТГ_ИД!$B:$B,ТГ!$G$7,ТГ_ИД!$D:$D,ТГ!$A375)</f>
        <v>0</v>
      </c>
      <c r="P374" s="130">
        <f>SUMIFS(ТГ_ИД!$E:$E,ТГ_ИД!$B:$B,ТГ!$G$8,ТГ_ИД!$D:$D,ТГ!$A375)</f>
        <v>0</v>
      </c>
      <c r="Q374" s="130">
        <f>SUMIFS(ТГ_ИД!$E:$E,ТГ_ИД!$B:$B,ТГ!$G$9,ТГ_ИД!$D:$D,ТГ!$A375)</f>
        <v>0</v>
      </c>
      <c r="R374" s="130">
        <f>SUMIFS(ТГ_ИД!$E:$E,ТГ_ИД!$B:$B,ТГ!$G$10,ТГ_ИД!$D:$D,ТГ!$A375)</f>
        <v>0</v>
      </c>
      <c r="S374" s="130">
        <f>SUMIFS(ТГ_ИД!$E:$E,ТГ_ИД!$B:$B,ТГ!$G$11,ТГ_ИД!$D:$D,ТГ!$A375)</f>
        <v>0</v>
      </c>
      <c r="T374" s="130">
        <f>SUMIFS(ТГ_ИД!$E:$E,ТГ_ИД!$B:$B,ТГ!$G$12,ТГ_ИД!$D:$D,ТГ!$A375)</f>
        <v>0</v>
      </c>
      <c r="U374" s="130">
        <f>SUMIFS(ТГ_ИД!$E:$E,ТГ_ИД!$B:$B,ТГ!$G$13,ТГ_ИД!$D:$D,ТГ!$A375)</f>
        <v>0</v>
      </c>
      <c r="V374" s="130">
        <f>SUMIFS(ТГ_ИД!$E:$E,ТГ_ИД!$B:$B,ТГ!$G$14,ТГ_ИД!$D:$D,ТГ!$A375)</f>
        <v>0</v>
      </c>
    </row>
    <row r="375" spans="1:22" x14ac:dyDescent="0.25">
      <c r="A375" s="116" t="str">
        <f t="shared" si="6"/>
        <v/>
      </c>
      <c r="K375" s="130">
        <f>SUMIFS(ТГ_ИД!$E:$E,ТГ_ИД!$B:$B,ТГ!$G$3,ТГ_ИД!$D:$D,ТГ!$A376)</f>
        <v>0</v>
      </c>
      <c r="L375" s="130">
        <f>SUMIFS(ТГ_ИД!$E:$E,ТГ_ИД!$B:$B,ТГ!$G$4,ТГ_ИД!$D:$D,ТГ!$A376)</f>
        <v>0</v>
      </c>
      <c r="M375" s="130">
        <f>SUMIFS(ТГ_ИД!$E:$E,ТГ_ИД!$B:$B,ТГ!$G$5,ТГ_ИД!$D:$D,ТГ!$A376)</f>
        <v>0</v>
      </c>
      <c r="N375" s="130">
        <f>SUMIFS(ТГ_ИД!$E:$E,ТГ_ИД!$B:$B,ТГ!$G$6,ТГ_ИД!$D:$D,ТГ!$A376)</f>
        <v>0</v>
      </c>
      <c r="O375" s="130">
        <f>SUMIFS(ТГ_ИД!$E:$E,ТГ_ИД!$B:$B,ТГ!$G$7,ТГ_ИД!$D:$D,ТГ!$A376)</f>
        <v>0</v>
      </c>
      <c r="P375" s="130">
        <f>SUMIFS(ТГ_ИД!$E:$E,ТГ_ИД!$B:$B,ТГ!$G$8,ТГ_ИД!$D:$D,ТГ!$A376)</f>
        <v>0</v>
      </c>
      <c r="Q375" s="130">
        <f>SUMIFS(ТГ_ИД!$E:$E,ТГ_ИД!$B:$B,ТГ!$G$9,ТГ_ИД!$D:$D,ТГ!$A376)</f>
        <v>0</v>
      </c>
      <c r="R375" s="130">
        <f>SUMIFS(ТГ_ИД!$E:$E,ТГ_ИД!$B:$B,ТГ!$G$10,ТГ_ИД!$D:$D,ТГ!$A376)</f>
        <v>0</v>
      </c>
      <c r="S375" s="130">
        <f>SUMIFS(ТГ_ИД!$E:$E,ТГ_ИД!$B:$B,ТГ!$G$11,ТГ_ИД!$D:$D,ТГ!$A376)</f>
        <v>0</v>
      </c>
      <c r="T375" s="130">
        <f>SUMIFS(ТГ_ИД!$E:$E,ТГ_ИД!$B:$B,ТГ!$G$12,ТГ_ИД!$D:$D,ТГ!$A376)</f>
        <v>0</v>
      </c>
      <c r="U375" s="130">
        <f>SUMIFS(ТГ_ИД!$E:$E,ТГ_ИД!$B:$B,ТГ!$G$13,ТГ_ИД!$D:$D,ТГ!$A376)</f>
        <v>0</v>
      </c>
      <c r="V375" s="130">
        <f>SUMIFS(ТГ_ИД!$E:$E,ТГ_ИД!$B:$B,ТГ!$G$14,ТГ_ИД!$D:$D,ТГ!$A376)</f>
        <v>0</v>
      </c>
    </row>
    <row r="376" spans="1:22" x14ac:dyDescent="0.25">
      <c r="A376" s="116" t="str">
        <f t="shared" si="6"/>
        <v/>
      </c>
      <c r="K376" s="130">
        <f>SUMIFS(ТГ_ИД!$E:$E,ТГ_ИД!$B:$B,ТГ!$G$3,ТГ_ИД!$D:$D,ТГ!$A377)</f>
        <v>0</v>
      </c>
      <c r="L376" s="130">
        <f>SUMIFS(ТГ_ИД!$E:$E,ТГ_ИД!$B:$B,ТГ!$G$4,ТГ_ИД!$D:$D,ТГ!$A377)</f>
        <v>0</v>
      </c>
      <c r="M376" s="130">
        <f>SUMIFS(ТГ_ИД!$E:$E,ТГ_ИД!$B:$B,ТГ!$G$5,ТГ_ИД!$D:$D,ТГ!$A377)</f>
        <v>0</v>
      </c>
      <c r="N376" s="130">
        <f>SUMIFS(ТГ_ИД!$E:$E,ТГ_ИД!$B:$B,ТГ!$G$6,ТГ_ИД!$D:$D,ТГ!$A377)</f>
        <v>0</v>
      </c>
      <c r="O376" s="130">
        <f>SUMIFS(ТГ_ИД!$E:$E,ТГ_ИД!$B:$B,ТГ!$G$7,ТГ_ИД!$D:$D,ТГ!$A377)</f>
        <v>0</v>
      </c>
      <c r="P376" s="130">
        <f>SUMIFS(ТГ_ИД!$E:$E,ТГ_ИД!$B:$B,ТГ!$G$8,ТГ_ИД!$D:$D,ТГ!$A377)</f>
        <v>0</v>
      </c>
      <c r="Q376" s="130">
        <f>SUMIFS(ТГ_ИД!$E:$E,ТГ_ИД!$B:$B,ТГ!$G$9,ТГ_ИД!$D:$D,ТГ!$A377)</f>
        <v>0</v>
      </c>
      <c r="R376" s="130">
        <f>SUMIFS(ТГ_ИД!$E:$E,ТГ_ИД!$B:$B,ТГ!$G$10,ТГ_ИД!$D:$D,ТГ!$A377)</f>
        <v>0</v>
      </c>
      <c r="S376" s="130">
        <f>SUMIFS(ТГ_ИД!$E:$E,ТГ_ИД!$B:$B,ТГ!$G$11,ТГ_ИД!$D:$D,ТГ!$A377)</f>
        <v>0</v>
      </c>
      <c r="T376" s="130">
        <f>SUMIFS(ТГ_ИД!$E:$E,ТГ_ИД!$B:$B,ТГ!$G$12,ТГ_ИД!$D:$D,ТГ!$A377)</f>
        <v>0</v>
      </c>
      <c r="U376" s="130">
        <f>SUMIFS(ТГ_ИД!$E:$E,ТГ_ИД!$B:$B,ТГ!$G$13,ТГ_ИД!$D:$D,ТГ!$A377)</f>
        <v>0</v>
      </c>
      <c r="V376" s="130">
        <f>SUMIFS(ТГ_ИД!$E:$E,ТГ_ИД!$B:$B,ТГ!$G$14,ТГ_ИД!$D:$D,ТГ!$A377)</f>
        <v>0</v>
      </c>
    </row>
    <row r="377" spans="1:22" x14ac:dyDescent="0.25">
      <c r="A377" s="116" t="str">
        <f t="shared" si="6"/>
        <v/>
      </c>
      <c r="K377" s="130">
        <f>SUMIFS(ТГ_ИД!$E:$E,ТГ_ИД!$B:$B,ТГ!$G$3,ТГ_ИД!$D:$D,ТГ!$A378)</f>
        <v>0</v>
      </c>
      <c r="L377" s="130">
        <f>SUMIFS(ТГ_ИД!$E:$E,ТГ_ИД!$B:$B,ТГ!$G$4,ТГ_ИД!$D:$D,ТГ!$A378)</f>
        <v>0</v>
      </c>
      <c r="M377" s="130">
        <f>SUMIFS(ТГ_ИД!$E:$E,ТГ_ИД!$B:$B,ТГ!$G$5,ТГ_ИД!$D:$D,ТГ!$A378)</f>
        <v>0</v>
      </c>
      <c r="N377" s="130">
        <f>SUMIFS(ТГ_ИД!$E:$E,ТГ_ИД!$B:$B,ТГ!$G$6,ТГ_ИД!$D:$D,ТГ!$A378)</f>
        <v>0</v>
      </c>
      <c r="O377" s="130">
        <f>SUMIFS(ТГ_ИД!$E:$E,ТГ_ИД!$B:$B,ТГ!$G$7,ТГ_ИД!$D:$D,ТГ!$A378)</f>
        <v>0</v>
      </c>
      <c r="P377" s="130">
        <f>SUMIFS(ТГ_ИД!$E:$E,ТГ_ИД!$B:$B,ТГ!$G$8,ТГ_ИД!$D:$D,ТГ!$A378)</f>
        <v>0</v>
      </c>
      <c r="Q377" s="130">
        <f>SUMIFS(ТГ_ИД!$E:$E,ТГ_ИД!$B:$B,ТГ!$G$9,ТГ_ИД!$D:$D,ТГ!$A378)</f>
        <v>0</v>
      </c>
      <c r="R377" s="130">
        <f>SUMIFS(ТГ_ИД!$E:$E,ТГ_ИД!$B:$B,ТГ!$G$10,ТГ_ИД!$D:$D,ТГ!$A378)</f>
        <v>0</v>
      </c>
      <c r="S377" s="130">
        <f>SUMIFS(ТГ_ИД!$E:$E,ТГ_ИД!$B:$B,ТГ!$G$11,ТГ_ИД!$D:$D,ТГ!$A378)</f>
        <v>0</v>
      </c>
      <c r="T377" s="130">
        <f>SUMIFS(ТГ_ИД!$E:$E,ТГ_ИД!$B:$B,ТГ!$G$12,ТГ_ИД!$D:$D,ТГ!$A378)</f>
        <v>0</v>
      </c>
      <c r="U377" s="130">
        <f>SUMIFS(ТГ_ИД!$E:$E,ТГ_ИД!$B:$B,ТГ!$G$13,ТГ_ИД!$D:$D,ТГ!$A378)</f>
        <v>0</v>
      </c>
      <c r="V377" s="130">
        <f>SUMIFS(ТГ_ИД!$E:$E,ТГ_ИД!$B:$B,ТГ!$G$14,ТГ_ИД!$D:$D,ТГ!$A378)</f>
        <v>0</v>
      </c>
    </row>
    <row r="378" spans="1:22" x14ac:dyDescent="0.25">
      <c r="A378" s="116" t="str">
        <f t="shared" si="6"/>
        <v/>
      </c>
      <c r="K378" s="130">
        <f>SUMIFS(ТГ_ИД!$E:$E,ТГ_ИД!$B:$B,ТГ!$G$3,ТГ_ИД!$D:$D,ТГ!$A379)</f>
        <v>0</v>
      </c>
      <c r="L378" s="130">
        <f>SUMIFS(ТГ_ИД!$E:$E,ТГ_ИД!$B:$B,ТГ!$G$4,ТГ_ИД!$D:$D,ТГ!$A379)</f>
        <v>0</v>
      </c>
      <c r="M378" s="130">
        <f>SUMIFS(ТГ_ИД!$E:$E,ТГ_ИД!$B:$B,ТГ!$G$5,ТГ_ИД!$D:$D,ТГ!$A379)</f>
        <v>0</v>
      </c>
      <c r="N378" s="130">
        <f>SUMIFS(ТГ_ИД!$E:$E,ТГ_ИД!$B:$B,ТГ!$G$6,ТГ_ИД!$D:$D,ТГ!$A379)</f>
        <v>0</v>
      </c>
      <c r="O378" s="130">
        <f>SUMIFS(ТГ_ИД!$E:$E,ТГ_ИД!$B:$B,ТГ!$G$7,ТГ_ИД!$D:$D,ТГ!$A379)</f>
        <v>0</v>
      </c>
      <c r="P378" s="130">
        <f>SUMIFS(ТГ_ИД!$E:$E,ТГ_ИД!$B:$B,ТГ!$G$8,ТГ_ИД!$D:$D,ТГ!$A379)</f>
        <v>0</v>
      </c>
      <c r="Q378" s="130">
        <f>SUMIFS(ТГ_ИД!$E:$E,ТГ_ИД!$B:$B,ТГ!$G$9,ТГ_ИД!$D:$D,ТГ!$A379)</f>
        <v>0</v>
      </c>
      <c r="R378" s="130">
        <f>SUMIFS(ТГ_ИД!$E:$E,ТГ_ИД!$B:$B,ТГ!$G$10,ТГ_ИД!$D:$D,ТГ!$A379)</f>
        <v>0</v>
      </c>
      <c r="S378" s="130">
        <f>SUMIFS(ТГ_ИД!$E:$E,ТГ_ИД!$B:$B,ТГ!$G$11,ТГ_ИД!$D:$D,ТГ!$A379)</f>
        <v>0</v>
      </c>
      <c r="T378" s="130">
        <f>SUMIFS(ТГ_ИД!$E:$E,ТГ_ИД!$B:$B,ТГ!$G$12,ТГ_ИД!$D:$D,ТГ!$A379)</f>
        <v>0</v>
      </c>
      <c r="U378" s="130">
        <f>SUMIFS(ТГ_ИД!$E:$E,ТГ_ИД!$B:$B,ТГ!$G$13,ТГ_ИД!$D:$D,ТГ!$A379)</f>
        <v>0</v>
      </c>
      <c r="V378" s="130">
        <f>SUMIFS(ТГ_ИД!$E:$E,ТГ_ИД!$B:$B,ТГ!$G$14,ТГ_ИД!$D:$D,ТГ!$A379)</f>
        <v>0</v>
      </c>
    </row>
    <row r="379" spans="1:22" x14ac:dyDescent="0.25">
      <c r="A379" s="116" t="str">
        <f t="shared" si="6"/>
        <v/>
      </c>
      <c r="K379" s="130">
        <f>SUMIFS(ТГ_ИД!$E:$E,ТГ_ИД!$B:$B,ТГ!$G$3,ТГ_ИД!$D:$D,ТГ!$A380)</f>
        <v>0</v>
      </c>
      <c r="L379" s="130">
        <f>SUMIFS(ТГ_ИД!$E:$E,ТГ_ИД!$B:$B,ТГ!$G$4,ТГ_ИД!$D:$D,ТГ!$A380)</f>
        <v>0</v>
      </c>
      <c r="M379" s="130">
        <f>SUMIFS(ТГ_ИД!$E:$E,ТГ_ИД!$B:$B,ТГ!$G$5,ТГ_ИД!$D:$D,ТГ!$A380)</f>
        <v>0</v>
      </c>
      <c r="N379" s="130">
        <f>SUMIFS(ТГ_ИД!$E:$E,ТГ_ИД!$B:$B,ТГ!$G$6,ТГ_ИД!$D:$D,ТГ!$A380)</f>
        <v>0</v>
      </c>
      <c r="O379" s="130">
        <f>SUMIFS(ТГ_ИД!$E:$E,ТГ_ИД!$B:$B,ТГ!$G$7,ТГ_ИД!$D:$D,ТГ!$A380)</f>
        <v>0</v>
      </c>
      <c r="P379" s="130">
        <f>SUMIFS(ТГ_ИД!$E:$E,ТГ_ИД!$B:$B,ТГ!$G$8,ТГ_ИД!$D:$D,ТГ!$A380)</f>
        <v>0</v>
      </c>
      <c r="Q379" s="130">
        <f>SUMIFS(ТГ_ИД!$E:$E,ТГ_ИД!$B:$B,ТГ!$G$9,ТГ_ИД!$D:$D,ТГ!$A380)</f>
        <v>0</v>
      </c>
      <c r="R379" s="130">
        <f>SUMIFS(ТГ_ИД!$E:$E,ТГ_ИД!$B:$B,ТГ!$G$10,ТГ_ИД!$D:$D,ТГ!$A380)</f>
        <v>0</v>
      </c>
      <c r="S379" s="130">
        <f>SUMIFS(ТГ_ИД!$E:$E,ТГ_ИД!$B:$B,ТГ!$G$11,ТГ_ИД!$D:$D,ТГ!$A380)</f>
        <v>0</v>
      </c>
      <c r="T379" s="130">
        <f>SUMIFS(ТГ_ИД!$E:$E,ТГ_ИД!$B:$B,ТГ!$G$12,ТГ_ИД!$D:$D,ТГ!$A380)</f>
        <v>0</v>
      </c>
      <c r="U379" s="130">
        <f>SUMIFS(ТГ_ИД!$E:$E,ТГ_ИД!$B:$B,ТГ!$G$13,ТГ_ИД!$D:$D,ТГ!$A380)</f>
        <v>0</v>
      </c>
      <c r="V379" s="130">
        <f>SUMIFS(ТГ_ИД!$E:$E,ТГ_ИД!$B:$B,ТГ!$G$14,ТГ_ИД!$D:$D,ТГ!$A380)</f>
        <v>0</v>
      </c>
    </row>
    <row r="380" spans="1:22" x14ac:dyDescent="0.25">
      <c r="A380" s="116" t="str">
        <f t="shared" si="6"/>
        <v/>
      </c>
      <c r="K380" s="130">
        <f>SUMIFS(ТГ_ИД!$E:$E,ТГ_ИД!$B:$B,ТГ!$G$3,ТГ_ИД!$D:$D,ТГ!$A381)</f>
        <v>0</v>
      </c>
      <c r="L380" s="130">
        <f>SUMIFS(ТГ_ИД!$E:$E,ТГ_ИД!$B:$B,ТГ!$G$4,ТГ_ИД!$D:$D,ТГ!$A381)</f>
        <v>0</v>
      </c>
      <c r="M380" s="130">
        <f>SUMIFS(ТГ_ИД!$E:$E,ТГ_ИД!$B:$B,ТГ!$G$5,ТГ_ИД!$D:$D,ТГ!$A381)</f>
        <v>0</v>
      </c>
      <c r="N380" s="130">
        <f>SUMIFS(ТГ_ИД!$E:$E,ТГ_ИД!$B:$B,ТГ!$G$6,ТГ_ИД!$D:$D,ТГ!$A381)</f>
        <v>0</v>
      </c>
      <c r="O380" s="130">
        <f>SUMIFS(ТГ_ИД!$E:$E,ТГ_ИД!$B:$B,ТГ!$G$7,ТГ_ИД!$D:$D,ТГ!$A381)</f>
        <v>0</v>
      </c>
      <c r="P380" s="130">
        <f>SUMIFS(ТГ_ИД!$E:$E,ТГ_ИД!$B:$B,ТГ!$G$8,ТГ_ИД!$D:$D,ТГ!$A381)</f>
        <v>0</v>
      </c>
      <c r="Q380" s="130">
        <f>SUMIFS(ТГ_ИД!$E:$E,ТГ_ИД!$B:$B,ТГ!$G$9,ТГ_ИД!$D:$D,ТГ!$A381)</f>
        <v>0</v>
      </c>
      <c r="R380" s="130">
        <f>SUMIFS(ТГ_ИД!$E:$E,ТГ_ИД!$B:$B,ТГ!$G$10,ТГ_ИД!$D:$D,ТГ!$A381)</f>
        <v>0</v>
      </c>
      <c r="S380" s="130">
        <f>SUMIFS(ТГ_ИД!$E:$E,ТГ_ИД!$B:$B,ТГ!$G$11,ТГ_ИД!$D:$D,ТГ!$A381)</f>
        <v>0</v>
      </c>
      <c r="T380" s="130">
        <f>SUMIFS(ТГ_ИД!$E:$E,ТГ_ИД!$B:$B,ТГ!$G$12,ТГ_ИД!$D:$D,ТГ!$A381)</f>
        <v>0</v>
      </c>
      <c r="U380" s="130">
        <f>SUMIFS(ТГ_ИД!$E:$E,ТГ_ИД!$B:$B,ТГ!$G$13,ТГ_ИД!$D:$D,ТГ!$A381)</f>
        <v>0</v>
      </c>
      <c r="V380" s="130">
        <f>SUMIFS(ТГ_ИД!$E:$E,ТГ_ИД!$B:$B,ТГ!$G$14,ТГ_ИД!$D:$D,ТГ!$A381)</f>
        <v>0</v>
      </c>
    </row>
    <row r="381" spans="1:22" x14ac:dyDescent="0.25">
      <c r="A381" s="116" t="str">
        <f t="shared" si="6"/>
        <v/>
      </c>
      <c r="K381" s="130">
        <f>SUMIFS(ТГ_ИД!$E:$E,ТГ_ИД!$B:$B,ТГ!$G$3,ТГ_ИД!$D:$D,ТГ!$A382)</f>
        <v>0</v>
      </c>
      <c r="L381" s="130">
        <f>SUMIFS(ТГ_ИД!$E:$E,ТГ_ИД!$B:$B,ТГ!$G$4,ТГ_ИД!$D:$D,ТГ!$A382)</f>
        <v>0</v>
      </c>
      <c r="M381" s="130">
        <f>SUMIFS(ТГ_ИД!$E:$E,ТГ_ИД!$B:$B,ТГ!$G$5,ТГ_ИД!$D:$D,ТГ!$A382)</f>
        <v>0</v>
      </c>
      <c r="N381" s="130">
        <f>SUMIFS(ТГ_ИД!$E:$E,ТГ_ИД!$B:$B,ТГ!$G$6,ТГ_ИД!$D:$D,ТГ!$A382)</f>
        <v>0</v>
      </c>
      <c r="O381" s="130">
        <f>SUMIFS(ТГ_ИД!$E:$E,ТГ_ИД!$B:$B,ТГ!$G$7,ТГ_ИД!$D:$D,ТГ!$A382)</f>
        <v>0</v>
      </c>
      <c r="P381" s="130">
        <f>SUMIFS(ТГ_ИД!$E:$E,ТГ_ИД!$B:$B,ТГ!$G$8,ТГ_ИД!$D:$D,ТГ!$A382)</f>
        <v>0</v>
      </c>
      <c r="Q381" s="130">
        <f>SUMIFS(ТГ_ИД!$E:$E,ТГ_ИД!$B:$B,ТГ!$G$9,ТГ_ИД!$D:$D,ТГ!$A382)</f>
        <v>0</v>
      </c>
      <c r="R381" s="130">
        <f>SUMIFS(ТГ_ИД!$E:$E,ТГ_ИД!$B:$B,ТГ!$G$10,ТГ_ИД!$D:$D,ТГ!$A382)</f>
        <v>0</v>
      </c>
      <c r="S381" s="130">
        <f>SUMIFS(ТГ_ИД!$E:$E,ТГ_ИД!$B:$B,ТГ!$G$11,ТГ_ИД!$D:$D,ТГ!$A382)</f>
        <v>0</v>
      </c>
      <c r="T381" s="130">
        <f>SUMIFS(ТГ_ИД!$E:$E,ТГ_ИД!$B:$B,ТГ!$G$12,ТГ_ИД!$D:$D,ТГ!$A382)</f>
        <v>0</v>
      </c>
      <c r="U381" s="130">
        <f>SUMIFS(ТГ_ИД!$E:$E,ТГ_ИД!$B:$B,ТГ!$G$13,ТГ_ИД!$D:$D,ТГ!$A382)</f>
        <v>0</v>
      </c>
      <c r="V381" s="130">
        <f>SUMIFS(ТГ_ИД!$E:$E,ТГ_ИД!$B:$B,ТГ!$G$14,ТГ_ИД!$D:$D,ТГ!$A382)</f>
        <v>0</v>
      </c>
    </row>
    <row r="382" spans="1:22" x14ac:dyDescent="0.25">
      <c r="A382" s="116" t="str">
        <f t="shared" si="6"/>
        <v/>
      </c>
      <c r="K382" s="130">
        <f>SUMIFS(ТГ_ИД!$E:$E,ТГ_ИД!$B:$B,ТГ!$G$3,ТГ_ИД!$D:$D,ТГ!$A383)</f>
        <v>0</v>
      </c>
      <c r="L382" s="130">
        <f>SUMIFS(ТГ_ИД!$E:$E,ТГ_ИД!$B:$B,ТГ!$G$4,ТГ_ИД!$D:$D,ТГ!$A383)</f>
        <v>0</v>
      </c>
      <c r="M382" s="130">
        <f>SUMIFS(ТГ_ИД!$E:$E,ТГ_ИД!$B:$B,ТГ!$G$5,ТГ_ИД!$D:$D,ТГ!$A383)</f>
        <v>0</v>
      </c>
      <c r="N382" s="130">
        <f>SUMIFS(ТГ_ИД!$E:$E,ТГ_ИД!$B:$B,ТГ!$G$6,ТГ_ИД!$D:$D,ТГ!$A383)</f>
        <v>0</v>
      </c>
      <c r="O382" s="130">
        <f>SUMIFS(ТГ_ИД!$E:$E,ТГ_ИД!$B:$B,ТГ!$G$7,ТГ_ИД!$D:$D,ТГ!$A383)</f>
        <v>0</v>
      </c>
      <c r="P382" s="130">
        <f>SUMIFS(ТГ_ИД!$E:$E,ТГ_ИД!$B:$B,ТГ!$G$8,ТГ_ИД!$D:$D,ТГ!$A383)</f>
        <v>0</v>
      </c>
      <c r="Q382" s="130">
        <f>SUMIFS(ТГ_ИД!$E:$E,ТГ_ИД!$B:$B,ТГ!$G$9,ТГ_ИД!$D:$D,ТГ!$A383)</f>
        <v>0</v>
      </c>
      <c r="R382" s="130">
        <f>SUMIFS(ТГ_ИД!$E:$E,ТГ_ИД!$B:$B,ТГ!$G$10,ТГ_ИД!$D:$D,ТГ!$A383)</f>
        <v>0</v>
      </c>
      <c r="S382" s="130">
        <f>SUMIFS(ТГ_ИД!$E:$E,ТГ_ИД!$B:$B,ТГ!$G$11,ТГ_ИД!$D:$D,ТГ!$A383)</f>
        <v>0</v>
      </c>
      <c r="T382" s="130">
        <f>SUMIFS(ТГ_ИД!$E:$E,ТГ_ИД!$B:$B,ТГ!$G$12,ТГ_ИД!$D:$D,ТГ!$A383)</f>
        <v>0</v>
      </c>
      <c r="U382" s="130">
        <f>SUMIFS(ТГ_ИД!$E:$E,ТГ_ИД!$B:$B,ТГ!$G$13,ТГ_ИД!$D:$D,ТГ!$A383)</f>
        <v>0</v>
      </c>
      <c r="V382" s="130">
        <f>SUMIFS(ТГ_ИД!$E:$E,ТГ_ИД!$B:$B,ТГ!$G$14,ТГ_ИД!$D:$D,ТГ!$A383)</f>
        <v>0</v>
      </c>
    </row>
    <row r="383" spans="1:22" x14ac:dyDescent="0.25">
      <c r="A383" s="116" t="str">
        <f t="shared" si="6"/>
        <v/>
      </c>
      <c r="K383" s="130">
        <f>SUMIFS(ТГ_ИД!$E:$E,ТГ_ИД!$B:$B,ТГ!$G$3,ТГ_ИД!$D:$D,ТГ!$A384)</f>
        <v>0</v>
      </c>
      <c r="L383" s="130">
        <f>SUMIFS(ТГ_ИД!$E:$E,ТГ_ИД!$B:$B,ТГ!$G$4,ТГ_ИД!$D:$D,ТГ!$A384)</f>
        <v>0</v>
      </c>
      <c r="M383" s="130">
        <f>SUMIFS(ТГ_ИД!$E:$E,ТГ_ИД!$B:$B,ТГ!$G$5,ТГ_ИД!$D:$D,ТГ!$A384)</f>
        <v>0</v>
      </c>
      <c r="N383" s="130">
        <f>SUMIFS(ТГ_ИД!$E:$E,ТГ_ИД!$B:$B,ТГ!$G$6,ТГ_ИД!$D:$D,ТГ!$A384)</f>
        <v>0</v>
      </c>
      <c r="O383" s="130">
        <f>SUMIFS(ТГ_ИД!$E:$E,ТГ_ИД!$B:$B,ТГ!$G$7,ТГ_ИД!$D:$D,ТГ!$A384)</f>
        <v>0</v>
      </c>
      <c r="P383" s="130">
        <f>SUMIFS(ТГ_ИД!$E:$E,ТГ_ИД!$B:$B,ТГ!$G$8,ТГ_ИД!$D:$D,ТГ!$A384)</f>
        <v>0</v>
      </c>
      <c r="Q383" s="130">
        <f>SUMIFS(ТГ_ИД!$E:$E,ТГ_ИД!$B:$B,ТГ!$G$9,ТГ_ИД!$D:$D,ТГ!$A384)</f>
        <v>0</v>
      </c>
      <c r="R383" s="130">
        <f>SUMIFS(ТГ_ИД!$E:$E,ТГ_ИД!$B:$B,ТГ!$G$10,ТГ_ИД!$D:$D,ТГ!$A384)</f>
        <v>0</v>
      </c>
      <c r="S383" s="130">
        <f>SUMIFS(ТГ_ИД!$E:$E,ТГ_ИД!$B:$B,ТГ!$G$11,ТГ_ИД!$D:$D,ТГ!$A384)</f>
        <v>0</v>
      </c>
      <c r="T383" s="130">
        <f>SUMIFS(ТГ_ИД!$E:$E,ТГ_ИД!$B:$B,ТГ!$G$12,ТГ_ИД!$D:$D,ТГ!$A384)</f>
        <v>0</v>
      </c>
      <c r="U383" s="130">
        <f>SUMIFS(ТГ_ИД!$E:$E,ТГ_ИД!$B:$B,ТГ!$G$13,ТГ_ИД!$D:$D,ТГ!$A384)</f>
        <v>0</v>
      </c>
      <c r="V383" s="130">
        <f>SUMIFS(ТГ_ИД!$E:$E,ТГ_ИД!$B:$B,ТГ!$G$14,ТГ_ИД!$D:$D,ТГ!$A384)</f>
        <v>0</v>
      </c>
    </row>
    <row r="384" spans="1:22" x14ac:dyDescent="0.25">
      <c r="A384" s="116" t="str">
        <f t="shared" si="6"/>
        <v/>
      </c>
      <c r="K384" s="130">
        <f>SUMIFS(ТГ_ИД!$E:$E,ТГ_ИД!$B:$B,ТГ!$G$3,ТГ_ИД!$D:$D,ТГ!$A385)</f>
        <v>0</v>
      </c>
      <c r="L384" s="130">
        <f>SUMIFS(ТГ_ИД!$E:$E,ТГ_ИД!$B:$B,ТГ!$G$4,ТГ_ИД!$D:$D,ТГ!$A385)</f>
        <v>0</v>
      </c>
      <c r="M384" s="130">
        <f>SUMIFS(ТГ_ИД!$E:$E,ТГ_ИД!$B:$B,ТГ!$G$5,ТГ_ИД!$D:$D,ТГ!$A385)</f>
        <v>0</v>
      </c>
      <c r="N384" s="130">
        <f>SUMIFS(ТГ_ИД!$E:$E,ТГ_ИД!$B:$B,ТГ!$G$6,ТГ_ИД!$D:$D,ТГ!$A385)</f>
        <v>0</v>
      </c>
      <c r="O384" s="130">
        <f>SUMIFS(ТГ_ИД!$E:$E,ТГ_ИД!$B:$B,ТГ!$G$7,ТГ_ИД!$D:$D,ТГ!$A385)</f>
        <v>0</v>
      </c>
      <c r="P384" s="130">
        <f>SUMIFS(ТГ_ИД!$E:$E,ТГ_ИД!$B:$B,ТГ!$G$8,ТГ_ИД!$D:$D,ТГ!$A385)</f>
        <v>0</v>
      </c>
      <c r="Q384" s="130">
        <f>SUMIFS(ТГ_ИД!$E:$E,ТГ_ИД!$B:$B,ТГ!$G$9,ТГ_ИД!$D:$D,ТГ!$A385)</f>
        <v>0</v>
      </c>
      <c r="R384" s="130">
        <f>SUMIFS(ТГ_ИД!$E:$E,ТГ_ИД!$B:$B,ТГ!$G$10,ТГ_ИД!$D:$D,ТГ!$A385)</f>
        <v>0</v>
      </c>
      <c r="S384" s="130">
        <f>SUMIFS(ТГ_ИД!$E:$E,ТГ_ИД!$B:$B,ТГ!$G$11,ТГ_ИД!$D:$D,ТГ!$A385)</f>
        <v>0</v>
      </c>
      <c r="T384" s="130">
        <f>SUMIFS(ТГ_ИД!$E:$E,ТГ_ИД!$B:$B,ТГ!$G$12,ТГ_ИД!$D:$D,ТГ!$A385)</f>
        <v>0</v>
      </c>
      <c r="U384" s="130">
        <f>SUMIFS(ТГ_ИД!$E:$E,ТГ_ИД!$B:$B,ТГ!$G$13,ТГ_ИД!$D:$D,ТГ!$A385)</f>
        <v>0</v>
      </c>
      <c r="V384" s="130">
        <f>SUMIFS(ТГ_ИД!$E:$E,ТГ_ИД!$B:$B,ТГ!$G$14,ТГ_ИД!$D:$D,ТГ!$A385)</f>
        <v>0</v>
      </c>
    </row>
    <row r="385" spans="1:22" x14ac:dyDescent="0.25">
      <c r="A385" s="116" t="str">
        <f t="shared" si="6"/>
        <v/>
      </c>
      <c r="K385" s="130">
        <f>SUMIFS(ТГ_ИД!$E:$E,ТГ_ИД!$B:$B,ТГ!$G$3,ТГ_ИД!$D:$D,ТГ!$A386)</f>
        <v>0</v>
      </c>
      <c r="L385" s="130">
        <f>SUMIFS(ТГ_ИД!$E:$E,ТГ_ИД!$B:$B,ТГ!$G$4,ТГ_ИД!$D:$D,ТГ!$A386)</f>
        <v>0</v>
      </c>
      <c r="M385" s="130">
        <f>SUMIFS(ТГ_ИД!$E:$E,ТГ_ИД!$B:$B,ТГ!$G$5,ТГ_ИД!$D:$D,ТГ!$A386)</f>
        <v>0</v>
      </c>
      <c r="N385" s="130">
        <f>SUMIFS(ТГ_ИД!$E:$E,ТГ_ИД!$B:$B,ТГ!$G$6,ТГ_ИД!$D:$D,ТГ!$A386)</f>
        <v>0</v>
      </c>
      <c r="O385" s="130">
        <f>SUMIFS(ТГ_ИД!$E:$E,ТГ_ИД!$B:$B,ТГ!$G$7,ТГ_ИД!$D:$D,ТГ!$A386)</f>
        <v>0</v>
      </c>
      <c r="P385" s="130">
        <f>SUMIFS(ТГ_ИД!$E:$E,ТГ_ИД!$B:$B,ТГ!$G$8,ТГ_ИД!$D:$D,ТГ!$A386)</f>
        <v>0</v>
      </c>
      <c r="Q385" s="130">
        <f>SUMIFS(ТГ_ИД!$E:$E,ТГ_ИД!$B:$B,ТГ!$G$9,ТГ_ИД!$D:$D,ТГ!$A386)</f>
        <v>0</v>
      </c>
      <c r="R385" s="130">
        <f>SUMIFS(ТГ_ИД!$E:$E,ТГ_ИД!$B:$B,ТГ!$G$10,ТГ_ИД!$D:$D,ТГ!$A386)</f>
        <v>0</v>
      </c>
      <c r="S385" s="130">
        <f>SUMIFS(ТГ_ИД!$E:$E,ТГ_ИД!$B:$B,ТГ!$G$11,ТГ_ИД!$D:$D,ТГ!$A386)</f>
        <v>0</v>
      </c>
      <c r="T385" s="130">
        <f>SUMIFS(ТГ_ИД!$E:$E,ТГ_ИД!$B:$B,ТГ!$G$12,ТГ_ИД!$D:$D,ТГ!$A386)</f>
        <v>0</v>
      </c>
      <c r="U385" s="130">
        <f>SUMIFS(ТГ_ИД!$E:$E,ТГ_ИД!$B:$B,ТГ!$G$13,ТГ_ИД!$D:$D,ТГ!$A386)</f>
        <v>0</v>
      </c>
      <c r="V385" s="130">
        <f>SUMIFS(ТГ_ИД!$E:$E,ТГ_ИД!$B:$B,ТГ!$G$14,ТГ_ИД!$D:$D,ТГ!$A386)</f>
        <v>0</v>
      </c>
    </row>
    <row r="386" spans="1:22" x14ac:dyDescent="0.25">
      <c r="A386" s="116" t="str">
        <f t="shared" si="6"/>
        <v/>
      </c>
      <c r="K386" s="130">
        <f>SUMIFS(ТГ_ИД!$E:$E,ТГ_ИД!$B:$B,ТГ!$G$3,ТГ_ИД!$D:$D,ТГ!$A387)</f>
        <v>0</v>
      </c>
      <c r="L386" s="130">
        <f>SUMIFS(ТГ_ИД!$E:$E,ТГ_ИД!$B:$B,ТГ!$G$4,ТГ_ИД!$D:$D,ТГ!$A387)</f>
        <v>0</v>
      </c>
      <c r="M386" s="130">
        <f>SUMIFS(ТГ_ИД!$E:$E,ТГ_ИД!$B:$B,ТГ!$G$5,ТГ_ИД!$D:$D,ТГ!$A387)</f>
        <v>0</v>
      </c>
      <c r="N386" s="130">
        <f>SUMIFS(ТГ_ИД!$E:$E,ТГ_ИД!$B:$B,ТГ!$G$6,ТГ_ИД!$D:$D,ТГ!$A387)</f>
        <v>0</v>
      </c>
      <c r="O386" s="130">
        <f>SUMIFS(ТГ_ИД!$E:$E,ТГ_ИД!$B:$B,ТГ!$G$7,ТГ_ИД!$D:$D,ТГ!$A387)</f>
        <v>0</v>
      </c>
      <c r="P386" s="130">
        <f>SUMIFS(ТГ_ИД!$E:$E,ТГ_ИД!$B:$B,ТГ!$G$8,ТГ_ИД!$D:$D,ТГ!$A387)</f>
        <v>0</v>
      </c>
      <c r="Q386" s="130">
        <f>SUMIFS(ТГ_ИД!$E:$E,ТГ_ИД!$B:$B,ТГ!$G$9,ТГ_ИД!$D:$D,ТГ!$A387)</f>
        <v>0</v>
      </c>
      <c r="R386" s="130">
        <f>SUMIFS(ТГ_ИД!$E:$E,ТГ_ИД!$B:$B,ТГ!$G$10,ТГ_ИД!$D:$D,ТГ!$A387)</f>
        <v>0</v>
      </c>
      <c r="S386" s="130">
        <f>SUMIFS(ТГ_ИД!$E:$E,ТГ_ИД!$B:$B,ТГ!$G$11,ТГ_ИД!$D:$D,ТГ!$A387)</f>
        <v>0</v>
      </c>
      <c r="T386" s="130">
        <f>SUMIFS(ТГ_ИД!$E:$E,ТГ_ИД!$B:$B,ТГ!$G$12,ТГ_ИД!$D:$D,ТГ!$A387)</f>
        <v>0</v>
      </c>
      <c r="U386" s="130">
        <f>SUMIFS(ТГ_ИД!$E:$E,ТГ_ИД!$B:$B,ТГ!$G$13,ТГ_ИД!$D:$D,ТГ!$A387)</f>
        <v>0</v>
      </c>
      <c r="V386" s="130">
        <f>SUMIFS(ТГ_ИД!$E:$E,ТГ_ИД!$B:$B,ТГ!$G$14,ТГ_ИД!$D:$D,ТГ!$A387)</f>
        <v>0</v>
      </c>
    </row>
    <row r="387" spans="1:22" x14ac:dyDescent="0.25">
      <c r="A387" s="116" t="str">
        <f t="shared" si="6"/>
        <v/>
      </c>
      <c r="K387" s="130">
        <f>SUMIFS(ТГ_ИД!$E:$E,ТГ_ИД!$B:$B,ТГ!$G$3,ТГ_ИД!$D:$D,ТГ!$A388)</f>
        <v>0</v>
      </c>
      <c r="L387" s="130">
        <f>SUMIFS(ТГ_ИД!$E:$E,ТГ_ИД!$B:$B,ТГ!$G$4,ТГ_ИД!$D:$D,ТГ!$A388)</f>
        <v>0</v>
      </c>
      <c r="M387" s="130">
        <f>SUMIFS(ТГ_ИД!$E:$E,ТГ_ИД!$B:$B,ТГ!$G$5,ТГ_ИД!$D:$D,ТГ!$A388)</f>
        <v>0</v>
      </c>
      <c r="N387" s="130">
        <f>SUMIFS(ТГ_ИД!$E:$E,ТГ_ИД!$B:$B,ТГ!$G$6,ТГ_ИД!$D:$D,ТГ!$A388)</f>
        <v>0</v>
      </c>
      <c r="O387" s="130">
        <f>SUMIFS(ТГ_ИД!$E:$E,ТГ_ИД!$B:$B,ТГ!$G$7,ТГ_ИД!$D:$D,ТГ!$A388)</f>
        <v>0</v>
      </c>
      <c r="P387" s="130">
        <f>SUMIFS(ТГ_ИД!$E:$E,ТГ_ИД!$B:$B,ТГ!$G$8,ТГ_ИД!$D:$D,ТГ!$A388)</f>
        <v>0</v>
      </c>
      <c r="Q387" s="130">
        <f>SUMIFS(ТГ_ИД!$E:$E,ТГ_ИД!$B:$B,ТГ!$G$9,ТГ_ИД!$D:$D,ТГ!$A388)</f>
        <v>0</v>
      </c>
      <c r="R387" s="130">
        <f>SUMIFS(ТГ_ИД!$E:$E,ТГ_ИД!$B:$B,ТГ!$G$10,ТГ_ИД!$D:$D,ТГ!$A388)</f>
        <v>0</v>
      </c>
      <c r="S387" s="130">
        <f>SUMIFS(ТГ_ИД!$E:$E,ТГ_ИД!$B:$B,ТГ!$G$11,ТГ_ИД!$D:$D,ТГ!$A388)</f>
        <v>0</v>
      </c>
      <c r="T387" s="130">
        <f>SUMIFS(ТГ_ИД!$E:$E,ТГ_ИД!$B:$B,ТГ!$G$12,ТГ_ИД!$D:$D,ТГ!$A388)</f>
        <v>0</v>
      </c>
      <c r="U387" s="130">
        <f>SUMIFS(ТГ_ИД!$E:$E,ТГ_ИД!$B:$B,ТГ!$G$13,ТГ_ИД!$D:$D,ТГ!$A388)</f>
        <v>0</v>
      </c>
      <c r="V387" s="130">
        <f>SUMIFS(ТГ_ИД!$E:$E,ТГ_ИД!$B:$B,ТГ!$G$14,ТГ_ИД!$D:$D,ТГ!$A388)</f>
        <v>0</v>
      </c>
    </row>
    <row r="388" spans="1:22" x14ac:dyDescent="0.25">
      <c r="A388" s="116" t="str">
        <f t="shared" si="6"/>
        <v/>
      </c>
      <c r="K388" s="130">
        <f>SUMIFS(ТГ_ИД!$E:$E,ТГ_ИД!$B:$B,ТГ!$G$3,ТГ_ИД!$D:$D,ТГ!$A389)</f>
        <v>0</v>
      </c>
      <c r="L388" s="130">
        <f>SUMIFS(ТГ_ИД!$E:$E,ТГ_ИД!$B:$B,ТГ!$G$4,ТГ_ИД!$D:$D,ТГ!$A389)</f>
        <v>0</v>
      </c>
      <c r="M388" s="130">
        <f>SUMIFS(ТГ_ИД!$E:$E,ТГ_ИД!$B:$B,ТГ!$G$5,ТГ_ИД!$D:$D,ТГ!$A389)</f>
        <v>0</v>
      </c>
      <c r="N388" s="130">
        <f>SUMIFS(ТГ_ИД!$E:$E,ТГ_ИД!$B:$B,ТГ!$G$6,ТГ_ИД!$D:$D,ТГ!$A389)</f>
        <v>0</v>
      </c>
      <c r="O388" s="130">
        <f>SUMIFS(ТГ_ИД!$E:$E,ТГ_ИД!$B:$B,ТГ!$G$7,ТГ_ИД!$D:$D,ТГ!$A389)</f>
        <v>0</v>
      </c>
      <c r="P388" s="130">
        <f>SUMIFS(ТГ_ИД!$E:$E,ТГ_ИД!$B:$B,ТГ!$G$8,ТГ_ИД!$D:$D,ТГ!$A389)</f>
        <v>0</v>
      </c>
      <c r="Q388" s="130">
        <f>SUMIFS(ТГ_ИД!$E:$E,ТГ_ИД!$B:$B,ТГ!$G$9,ТГ_ИД!$D:$D,ТГ!$A389)</f>
        <v>0</v>
      </c>
      <c r="R388" s="130">
        <f>SUMIFS(ТГ_ИД!$E:$E,ТГ_ИД!$B:$B,ТГ!$G$10,ТГ_ИД!$D:$D,ТГ!$A389)</f>
        <v>0</v>
      </c>
      <c r="S388" s="130">
        <f>SUMIFS(ТГ_ИД!$E:$E,ТГ_ИД!$B:$B,ТГ!$G$11,ТГ_ИД!$D:$D,ТГ!$A389)</f>
        <v>0</v>
      </c>
      <c r="T388" s="130">
        <f>SUMIFS(ТГ_ИД!$E:$E,ТГ_ИД!$B:$B,ТГ!$G$12,ТГ_ИД!$D:$D,ТГ!$A389)</f>
        <v>0</v>
      </c>
      <c r="U388" s="130">
        <f>SUMIFS(ТГ_ИД!$E:$E,ТГ_ИД!$B:$B,ТГ!$G$13,ТГ_ИД!$D:$D,ТГ!$A389)</f>
        <v>0</v>
      </c>
      <c r="V388" s="130">
        <f>SUMIFS(ТГ_ИД!$E:$E,ТГ_ИД!$B:$B,ТГ!$G$14,ТГ_ИД!$D:$D,ТГ!$A389)</f>
        <v>0</v>
      </c>
    </row>
    <row r="389" spans="1:22" x14ac:dyDescent="0.25">
      <c r="A389" s="116" t="str">
        <f t="shared" ref="A389:A452" si="7">IF(B389="","",TEXT(B389,"00000"))</f>
        <v/>
      </c>
      <c r="K389" s="130">
        <f>SUMIFS(ТГ_ИД!$E:$E,ТГ_ИД!$B:$B,ТГ!$G$3,ТГ_ИД!$D:$D,ТГ!$A390)</f>
        <v>0</v>
      </c>
      <c r="L389" s="130">
        <f>SUMIFS(ТГ_ИД!$E:$E,ТГ_ИД!$B:$B,ТГ!$G$4,ТГ_ИД!$D:$D,ТГ!$A390)</f>
        <v>0</v>
      </c>
      <c r="M389" s="130">
        <f>SUMIFS(ТГ_ИД!$E:$E,ТГ_ИД!$B:$B,ТГ!$G$5,ТГ_ИД!$D:$D,ТГ!$A390)</f>
        <v>0</v>
      </c>
      <c r="N389" s="130">
        <f>SUMIFS(ТГ_ИД!$E:$E,ТГ_ИД!$B:$B,ТГ!$G$6,ТГ_ИД!$D:$D,ТГ!$A390)</f>
        <v>0</v>
      </c>
      <c r="O389" s="130">
        <f>SUMIFS(ТГ_ИД!$E:$E,ТГ_ИД!$B:$B,ТГ!$G$7,ТГ_ИД!$D:$D,ТГ!$A390)</f>
        <v>0</v>
      </c>
      <c r="P389" s="130">
        <f>SUMIFS(ТГ_ИД!$E:$E,ТГ_ИД!$B:$B,ТГ!$G$8,ТГ_ИД!$D:$D,ТГ!$A390)</f>
        <v>0</v>
      </c>
      <c r="Q389" s="130">
        <f>SUMIFS(ТГ_ИД!$E:$E,ТГ_ИД!$B:$B,ТГ!$G$9,ТГ_ИД!$D:$D,ТГ!$A390)</f>
        <v>0</v>
      </c>
      <c r="R389" s="130">
        <f>SUMIFS(ТГ_ИД!$E:$E,ТГ_ИД!$B:$B,ТГ!$G$10,ТГ_ИД!$D:$D,ТГ!$A390)</f>
        <v>0</v>
      </c>
      <c r="S389" s="130">
        <f>SUMIFS(ТГ_ИД!$E:$E,ТГ_ИД!$B:$B,ТГ!$G$11,ТГ_ИД!$D:$D,ТГ!$A390)</f>
        <v>0</v>
      </c>
      <c r="T389" s="130">
        <f>SUMIFS(ТГ_ИД!$E:$E,ТГ_ИД!$B:$B,ТГ!$G$12,ТГ_ИД!$D:$D,ТГ!$A390)</f>
        <v>0</v>
      </c>
      <c r="U389" s="130">
        <f>SUMIFS(ТГ_ИД!$E:$E,ТГ_ИД!$B:$B,ТГ!$G$13,ТГ_ИД!$D:$D,ТГ!$A390)</f>
        <v>0</v>
      </c>
      <c r="V389" s="130">
        <f>SUMIFS(ТГ_ИД!$E:$E,ТГ_ИД!$B:$B,ТГ!$G$14,ТГ_ИД!$D:$D,ТГ!$A390)</f>
        <v>0</v>
      </c>
    </row>
    <row r="390" spans="1:22" x14ac:dyDescent="0.25">
      <c r="A390" s="116" t="str">
        <f t="shared" si="7"/>
        <v/>
      </c>
      <c r="K390" s="130">
        <f>SUMIFS(ТГ_ИД!$E:$E,ТГ_ИД!$B:$B,ТГ!$G$3,ТГ_ИД!$D:$D,ТГ!$A391)</f>
        <v>0</v>
      </c>
      <c r="L390" s="130">
        <f>SUMIFS(ТГ_ИД!$E:$E,ТГ_ИД!$B:$B,ТГ!$G$4,ТГ_ИД!$D:$D,ТГ!$A391)</f>
        <v>0</v>
      </c>
      <c r="M390" s="130">
        <f>SUMIFS(ТГ_ИД!$E:$E,ТГ_ИД!$B:$B,ТГ!$G$5,ТГ_ИД!$D:$D,ТГ!$A391)</f>
        <v>0</v>
      </c>
      <c r="N390" s="130">
        <f>SUMIFS(ТГ_ИД!$E:$E,ТГ_ИД!$B:$B,ТГ!$G$6,ТГ_ИД!$D:$D,ТГ!$A391)</f>
        <v>0</v>
      </c>
      <c r="O390" s="130">
        <f>SUMIFS(ТГ_ИД!$E:$E,ТГ_ИД!$B:$B,ТГ!$G$7,ТГ_ИД!$D:$D,ТГ!$A391)</f>
        <v>0</v>
      </c>
      <c r="P390" s="130">
        <f>SUMIFS(ТГ_ИД!$E:$E,ТГ_ИД!$B:$B,ТГ!$G$8,ТГ_ИД!$D:$D,ТГ!$A391)</f>
        <v>0</v>
      </c>
      <c r="Q390" s="130">
        <f>SUMIFS(ТГ_ИД!$E:$E,ТГ_ИД!$B:$B,ТГ!$G$9,ТГ_ИД!$D:$D,ТГ!$A391)</f>
        <v>0</v>
      </c>
      <c r="R390" s="130">
        <f>SUMIFS(ТГ_ИД!$E:$E,ТГ_ИД!$B:$B,ТГ!$G$10,ТГ_ИД!$D:$D,ТГ!$A391)</f>
        <v>0</v>
      </c>
      <c r="S390" s="130">
        <f>SUMIFS(ТГ_ИД!$E:$E,ТГ_ИД!$B:$B,ТГ!$G$11,ТГ_ИД!$D:$D,ТГ!$A391)</f>
        <v>0</v>
      </c>
      <c r="T390" s="130">
        <f>SUMIFS(ТГ_ИД!$E:$E,ТГ_ИД!$B:$B,ТГ!$G$12,ТГ_ИД!$D:$D,ТГ!$A391)</f>
        <v>0</v>
      </c>
      <c r="U390" s="130">
        <f>SUMIFS(ТГ_ИД!$E:$E,ТГ_ИД!$B:$B,ТГ!$G$13,ТГ_ИД!$D:$D,ТГ!$A391)</f>
        <v>0</v>
      </c>
      <c r="V390" s="130">
        <f>SUMIFS(ТГ_ИД!$E:$E,ТГ_ИД!$B:$B,ТГ!$G$14,ТГ_ИД!$D:$D,ТГ!$A391)</f>
        <v>0</v>
      </c>
    </row>
    <row r="391" spans="1:22" x14ac:dyDescent="0.25">
      <c r="A391" s="116" t="str">
        <f t="shared" si="7"/>
        <v/>
      </c>
      <c r="K391" s="130">
        <f>SUMIFS(ТГ_ИД!$E:$E,ТГ_ИД!$B:$B,ТГ!$G$3,ТГ_ИД!$D:$D,ТГ!$A392)</f>
        <v>0</v>
      </c>
      <c r="L391" s="130">
        <f>SUMIFS(ТГ_ИД!$E:$E,ТГ_ИД!$B:$B,ТГ!$G$4,ТГ_ИД!$D:$D,ТГ!$A392)</f>
        <v>0</v>
      </c>
      <c r="M391" s="130">
        <f>SUMIFS(ТГ_ИД!$E:$E,ТГ_ИД!$B:$B,ТГ!$G$5,ТГ_ИД!$D:$D,ТГ!$A392)</f>
        <v>0</v>
      </c>
      <c r="N391" s="130">
        <f>SUMIFS(ТГ_ИД!$E:$E,ТГ_ИД!$B:$B,ТГ!$G$6,ТГ_ИД!$D:$D,ТГ!$A392)</f>
        <v>0</v>
      </c>
      <c r="O391" s="130">
        <f>SUMIFS(ТГ_ИД!$E:$E,ТГ_ИД!$B:$B,ТГ!$G$7,ТГ_ИД!$D:$D,ТГ!$A392)</f>
        <v>0</v>
      </c>
      <c r="P391" s="130">
        <f>SUMIFS(ТГ_ИД!$E:$E,ТГ_ИД!$B:$B,ТГ!$G$8,ТГ_ИД!$D:$D,ТГ!$A392)</f>
        <v>0</v>
      </c>
      <c r="Q391" s="130">
        <f>SUMIFS(ТГ_ИД!$E:$E,ТГ_ИД!$B:$B,ТГ!$G$9,ТГ_ИД!$D:$D,ТГ!$A392)</f>
        <v>0</v>
      </c>
      <c r="R391" s="130">
        <f>SUMIFS(ТГ_ИД!$E:$E,ТГ_ИД!$B:$B,ТГ!$G$10,ТГ_ИД!$D:$D,ТГ!$A392)</f>
        <v>0</v>
      </c>
      <c r="S391" s="130">
        <f>SUMIFS(ТГ_ИД!$E:$E,ТГ_ИД!$B:$B,ТГ!$G$11,ТГ_ИД!$D:$D,ТГ!$A392)</f>
        <v>0</v>
      </c>
      <c r="T391" s="130">
        <f>SUMIFS(ТГ_ИД!$E:$E,ТГ_ИД!$B:$B,ТГ!$G$12,ТГ_ИД!$D:$D,ТГ!$A392)</f>
        <v>0</v>
      </c>
      <c r="U391" s="130">
        <f>SUMIFS(ТГ_ИД!$E:$E,ТГ_ИД!$B:$B,ТГ!$G$13,ТГ_ИД!$D:$D,ТГ!$A392)</f>
        <v>0</v>
      </c>
      <c r="V391" s="130">
        <f>SUMIFS(ТГ_ИД!$E:$E,ТГ_ИД!$B:$B,ТГ!$G$14,ТГ_ИД!$D:$D,ТГ!$A392)</f>
        <v>0</v>
      </c>
    </row>
    <row r="392" spans="1:22" x14ac:dyDescent="0.25">
      <c r="A392" s="116" t="str">
        <f t="shared" si="7"/>
        <v/>
      </c>
      <c r="K392" s="130">
        <f>SUMIFS(ТГ_ИД!$E:$E,ТГ_ИД!$B:$B,ТГ!$G$3,ТГ_ИД!$D:$D,ТГ!$A393)</f>
        <v>0</v>
      </c>
      <c r="L392" s="130">
        <f>SUMIFS(ТГ_ИД!$E:$E,ТГ_ИД!$B:$B,ТГ!$G$4,ТГ_ИД!$D:$D,ТГ!$A393)</f>
        <v>0</v>
      </c>
      <c r="M392" s="130">
        <f>SUMIFS(ТГ_ИД!$E:$E,ТГ_ИД!$B:$B,ТГ!$G$5,ТГ_ИД!$D:$D,ТГ!$A393)</f>
        <v>0</v>
      </c>
      <c r="N392" s="130">
        <f>SUMIFS(ТГ_ИД!$E:$E,ТГ_ИД!$B:$B,ТГ!$G$6,ТГ_ИД!$D:$D,ТГ!$A393)</f>
        <v>0</v>
      </c>
      <c r="O392" s="130">
        <f>SUMIFS(ТГ_ИД!$E:$E,ТГ_ИД!$B:$B,ТГ!$G$7,ТГ_ИД!$D:$D,ТГ!$A393)</f>
        <v>0</v>
      </c>
      <c r="P392" s="130">
        <f>SUMIFS(ТГ_ИД!$E:$E,ТГ_ИД!$B:$B,ТГ!$G$8,ТГ_ИД!$D:$D,ТГ!$A393)</f>
        <v>0</v>
      </c>
      <c r="Q392" s="130">
        <f>SUMIFS(ТГ_ИД!$E:$E,ТГ_ИД!$B:$B,ТГ!$G$9,ТГ_ИД!$D:$D,ТГ!$A393)</f>
        <v>0</v>
      </c>
      <c r="R392" s="130">
        <f>SUMIFS(ТГ_ИД!$E:$E,ТГ_ИД!$B:$B,ТГ!$G$10,ТГ_ИД!$D:$D,ТГ!$A393)</f>
        <v>0</v>
      </c>
      <c r="S392" s="130">
        <f>SUMIFS(ТГ_ИД!$E:$E,ТГ_ИД!$B:$B,ТГ!$G$11,ТГ_ИД!$D:$D,ТГ!$A393)</f>
        <v>0</v>
      </c>
      <c r="T392" s="130">
        <f>SUMIFS(ТГ_ИД!$E:$E,ТГ_ИД!$B:$B,ТГ!$G$12,ТГ_ИД!$D:$D,ТГ!$A393)</f>
        <v>0</v>
      </c>
      <c r="U392" s="130">
        <f>SUMIFS(ТГ_ИД!$E:$E,ТГ_ИД!$B:$B,ТГ!$G$13,ТГ_ИД!$D:$D,ТГ!$A393)</f>
        <v>0</v>
      </c>
      <c r="V392" s="130">
        <f>SUMIFS(ТГ_ИД!$E:$E,ТГ_ИД!$B:$B,ТГ!$G$14,ТГ_ИД!$D:$D,ТГ!$A393)</f>
        <v>0</v>
      </c>
    </row>
    <row r="393" spans="1:22" x14ac:dyDescent="0.25">
      <c r="A393" s="116" t="str">
        <f t="shared" si="7"/>
        <v/>
      </c>
      <c r="K393" s="130">
        <f>SUMIFS(ТГ_ИД!$E:$E,ТГ_ИД!$B:$B,ТГ!$G$3,ТГ_ИД!$D:$D,ТГ!$A394)</f>
        <v>0</v>
      </c>
      <c r="L393" s="130">
        <f>SUMIFS(ТГ_ИД!$E:$E,ТГ_ИД!$B:$B,ТГ!$G$4,ТГ_ИД!$D:$D,ТГ!$A394)</f>
        <v>0</v>
      </c>
      <c r="M393" s="130">
        <f>SUMIFS(ТГ_ИД!$E:$E,ТГ_ИД!$B:$B,ТГ!$G$5,ТГ_ИД!$D:$D,ТГ!$A394)</f>
        <v>0</v>
      </c>
      <c r="N393" s="130">
        <f>SUMIFS(ТГ_ИД!$E:$E,ТГ_ИД!$B:$B,ТГ!$G$6,ТГ_ИД!$D:$D,ТГ!$A394)</f>
        <v>0</v>
      </c>
      <c r="O393" s="130">
        <f>SUMIFS(ТГ_ИД!$E:$E,ТГ_ИД!$B:$B,ТГ!$G$7,ТГ_ИД!$D:$D,ТГ!$A394)</f>
        <v>0</v>
      </c>
      <c r="P393" s="130">
        <f>SUMIFS(ТГ_ИД!$E:$E,ТГ_ИД!$B:$B,ТГ!$G$8,ТГ_ИД!$D:$D,ТГ!$A394)</f>
        <v>0</v>
      </c>
      <c r="Q393" s="130">
        <f>SUMIFS(ТГ_ИД!$E:$E,ТГ_ИД!$B:$B,ТГ!$G$9,ТГ_ИД!$D:$D,ТГ!$A394)</f>
        <v>0</v>
      </c>
      <c r="R393" s="130">
        <f>SUMIFS(ТГ_ИД!$E:$E,ТГ_ИД!$B:$B,ТГ!$G$10,ТГ_ИД!$D:$D,ТГ!$A394)</f>
        <v>0</v>
      </c>
      <c r="S393" s="130">
        <f>SUMIFS(ТГ_ИД!$E:$E,ТГ_ИД!$B:$B,ТГ!$G$11,ТГ_ИД!$D:$D,ТГ!$A394)</f>
        <v>0</v>
      </c>
      <c r="T393" s="130">
        <f>SUMIFS(ТГ_ИД!$E:$E,ТГ_ИД!$B:$B,ТГ!$G$12,ТГ_ИД!$D:$D,ТГ!$A394)</f>
        <v>0</v>
      </c>
      <c r="U393" s="130">
        <f>SUMIFS(ТГ_ИД!$E:$E,ТГ_ИД!$B:$B,ТГ!$G$13,ТГ_ИД!$D:$D,ТГ!$A394)</f>
        <v>0</v>
      </c>
      <c r="V393" s="130">
        <f>SUMIFS(ТГ_ИД!$E:$E,ТГ_ИД!$B:$B,ТГ!$G$14,ТГ_ИД!$D:$D,ТГ!$A394)</f>
        <v>0</v>
      </c>
    </row>
    <row r="394" spans="1:22" x14ac:dyDescent="0.25">
      <c r="A394" s="116" t="str">
        <f t="shared" si="7"/>
        <v/>
      </c>
      <c r="K394" s="130">
        <f>SUMIFS(ТГ_ИД!$E:$E,ТГ_ИД!$B:$B,ТГ!$G$3,ТГ_ИД!$D:$D,ТГ!$A395)</f>
        <v>0</v>
      </c>
      <c r="L394" s="130">
        <f>SUMIFS(ТГ_ИД!$E:$E,ТГ_ИД!$B:$B,ТГ!$G$4,ТГ_ИД!$D:$D,ТГ!$A395)</f>
        <v>0</v>
      </c>
      <c r="M394" s="130">
        <f>SUMIFS(ТГ_ИД!$E:$E,ТГ_ИД!$B:$B,ТГ!$G$5,ТГ_ИД!$D:$D,ТГ!$A395)</f>
        <v>0</v>
      </c>
      <c r="N394" s="130">
        <f>SUMIFS(ТГ_ИД!$E:$E,ТГ_ИД!$B:$B,ТГ!$G$6,ТГ_ИД!$D:$D,ТГ!$A395)</f>
        <v>0</v>
      </c>
      <c r="O394" s="130">
        <f>SUMIFS(ТГ_ИД!$E:$E,ТГ_ИД!$B:$B,ТГ!$G$7,ТГ_ИД!$D:$D,ТГ!$A395)</f>
        <v>0</v>
      </c>
      <c r="P394" s="130">
        <f>SUMIFS(ТГ_ИД!$E:$E,ТГ_ИД!$B:$B,ТГ!$G$8,ТГ_ИД!$D:$D,ТГ!$A395)</f>
        <v>0</v>
      </c>
      <c r="Q394" s="130">
        <f>SUMIFS(ТГ_ИД!$E:$E,ТГ_ИД!$B:$B,ТГ!$G$9,ТГ_ИД!$D:$D,ТГ!$A395)</f>
        <v>0</v>
      </c>
      <c r="R394" s="130">
        <f>SUMIFS(ТГ_ИД!$E:$E,ТГ_ИД!$B:$B,ТГ!$G$10,ТГ_ИД!$D:$D,ТГ!$A395)</f>
        <v>0</v>
      </c>
      <c r="S394" s="130">
        <f>SUMIFS(ТГ_ИД!$E:$E,ТГ_ИД!$B:$B,ТГ!$G$11,ТГ_ИД!$D:$D,ТГ!$A395)</f>
        <v>0</v>
      </c>
      <c r="T394" s="130">
        <f>SUMIFS(ТГ_ИД!$E:$E,ТГ_ИД!$B:$B,ТГ!$G$12,ТГ_ИД!$D:$D,ТГ!$A395)</f>
        <v>0</v>
      </c>
      <c r="U394" s="130">
        <f>SUMIFS(ТГ_ИД!$E:$E,ТГ_ИД!$B:$B,ТГ!$G$13,ТГ_ИД!$D:$D,ТГ!$A395)</f>
        <v>0</v>
      </c>
      <c r="V394" s="130">
        <f>SUMIFS(ТГ_ИД!$E:$E,ТГ_ИД!$B:$B,ТГ!$G$14,ТГ_ИД!$D:$D,ТГ!$A395)</f>
        <v>0</v>
      </c>
    </row>
    <row r="395" spans="1:22" x14ac:dyDescent="0.25">
      <c r="A395" s="116" t="str">
        <f t="shared" si="7"/>
        <v/>
      </c>
      <c r="K395" s="130">
        <f>SUMIFS(ТГ_ИД!$E:$E,ТГ_ИД!$B:$B,ТГ!$G$3,ТГ_ИД!$D:$D,ТГ!$A396)</f>
        <v>0</v>
      </c>
      <c r="L395" s="130">
        <f>SUMIFS(ТГ_ИД!$E:$E,ТГ_ИД!$B:$B,ТГ!$G$4,ТГ_ИД!$D:$D,ТГ!$A396)</f>
        <v>0</v>
      </c>
      <c r="M395" s="130">
        <f>SUMIFS(ТГ_ИД!$E:$E,ТГ_ИД!$B:$B,ТГ!$G$5,ТГ_ИД!$D:$D,ТГ!$A396)</f>
        <v>0</v>
      </c>
      <c r="N395" s="130">
        <f>SUMIFS(ТГ_ИД!$E:$E,ТГ_ИД!$B:$B,ТГ!$G$6,ТГ_ИД!$D:$D,ТГ!$A396)</f>
        <v>0</v>
      </c>
      <c r="O395" s="130">
        <f>SUMIFS(ТГ_ИД!$E:$E,ТГ_ИД!$B:$B,ТГ!$G$7,ТГ_ИД!$D:$D,ТГ!$A396)</f>
        <v>0</v>
      </c>
      <c r="P395" s="130">
        <f>SUMIFS(ТГ_ИД!$E:$E,ТГ_ИД!$B:$B,ТГ!$G$8,ТГ_ИД!$D:$D,ТГ!$A396)</f>
        <v>0</v>
      </c>
      <c r="Q395" s="130">
        <f>SUMIFS(ТГ_ИД!$E:$E,ТГ_ИД!$B:$B,ТГ!$G$9,ТГ_ИД!$D:$D,ТГ!$A396)</f>
        <v>0</v>
      </c>
      <c r="R395" s="130">
        <f>SUMIFS(ТГ_ИД!$E:$E,ТГ_ИД!$B:$B,ТГ!$G$10,ТГ_ИД!$D:$D,ТГ!$A396)</f>
        <v>0</v>
      </c>
      <c r="S395" s="130">
        <f>SUMIFS(ТГ_ИД!$E:$E,ТГ_ИД!$B:$B,ТГ!$G$11,ТГ_ИД!$D:$D,ТГ!$A396)</f>
        <v>0</v>
      </c>
      <c r="T395" s="130">
        <f>SUMIFS(ТГ_ИД!$E:$E,ТГ_ИД!$B:$B,ТГ!$G$12,ТГ_ИД!$D:$D,ТГ!$A396)</f>
        <v>0</v>
      </c>
      <c r="U395" s="130">
        <f>SUMIFS(ТГ_ИД!$E:$E,ТГ_ИД!$B:$B,ТГ!$G$13,ТГ_ИД!$D:$D,ТГ!$A396)</f>
        <v>0</v>
      </c>
      <c r="V395" s="130">
        <f>SUMIFS(ТГ_ИД!$E:$E,ТГ_ИД!$B:$B,ТГ!$G$14,ТГ_ИД!$D:$D,ТГ!$A396)</f>
        <v>0</v>
      </c>
    </row>
    <row r="396" spans="1:22" x14ac:dyDescent="0.25">
      <c r="A396" s="116" t="str">
        <f t="shared" si="7"/>
        <v/>
      </c>
      <c r="K396" s="130">
        <f>SUMIFS(ТГ_ИД!$E:$E,ТГ_ИД!$B:$B,ТГ!$G$3,ТГ_ИД!$D:$D,ТГ!$A397)</f>
        <v>0</v>
      </c>
      <c r="L396" s="130">
        <f>SUMIFS(ТГ_ИД!$E:$E,ТГ_ИД!$B:$B,ТГ!$G$4,ТГ_ИД!$D:$D,ТГ!$A397)</f>
        <v>0</v>
      </c>
      <c r="M396" s="130">
        <f>SUMIFS(ТГ_ИД!$E:$E,ТГ_ИД!$B:$B,ТГ!$G$5,ТГ_ИД!$D:$D,ТГ!$A397)</f>
        <v>0</v>
      </c>
      <c r="N396" s="130">
        <f>SUMIFS(ТГ_ИД!$E:$E,ТГ_ИД!$B:$B,ТГ!$G$6,ТГ_ИД!$D:$D,ТГ!$A397)</f>
        <v>0</v>
      </c>
      <c r="O396" s="130">
        <f>SUMIFS(ТГ_ИД!$E:$E,ТГ_ИД!$B:$B,ТГ!$G$7,ТГ_ИД!$D:$D,ТГ!$A397)</f>
        <v>0</v>
      </c>
      <c r="P396" s="130">
        <f>SUMIFS(ТГ_ИД!$E:$E,ТГ_ИД!$B:$B,ТГ!$G$8,ТГ_ИД!$D:$D,ТГ!$A397)</f>
        <v>0</v>
      </c>
      <c r="Q396" s="130">
        <f>SUMIFS(ТГ_ИД!$E:$E,ТГ_ИД!$B:$B,ТГ!$G$9,ТГ_ИД!$D:$D,ТГ!$A397)</f>
        <v>0</v>
      </c>
      <c r="R396" s="130">
        <f>SUMIFS(ТГ_ИД!$E:$E,ТГ_ИД!$B:$B,ТГ!$G$10,ТГ_ИД!$D:$D,ТГ!$A397)</f>
        <v>0</v>
      </c>
      <c r="S396" s="130">
        <f>SUMIFS(ТГ_ИД!$E:$E,ТГ_ИД!$B:$B,ТГ!$G$11,ТГ_ИД!$D:$D,ТГ!$A397)</f>
        <v>0</v>
      </c>
      <c r="T396" s="130">
        <f>SUMIFS(ТГ_ИД!$E:$E,ТГ_ИД!$B:$B,ТГ!$G$12,ТГ_ИД!$D:$D,ТГ!$A397)</f>
        <v>0</v>
      </c>
      <c r="U396" s="130">
        <f>SUMIFS(ТГ_ИД!$E:$E,ТГ_ИД!$B:$B,ТГ!$G$13,ТГ_ИД!$D:$D,ТГ!$A397)</f>
        <v>0</v>
      </c>
      <c r="V396" s="130">
        <f>SUMIFS(ТГ_ИД!$E:$E,ТГ_ИД!$B:$B,ТГ!$G$14,ТГ_ИД!$D:$D,ТГ!$A397)</f>
        <v>0</v>
      </c>
    </row>
    <row r="397" spans="1:22" x14ac:dyDescent="0.25">
      <c r="A397" s="116" t="str">
        <f t="shared" si="7"/>
        <v/>
      </c>
      <c r="K397" s="130">
        <f>SUMIFS(ТГ_ИД!$E:$E,ТГ_ИД!$B:$B,ТГ!$G$3,ТГ_ИД!$D:$D,ТГ!$A398)</f>
        <v>0</v>
      </c>
      <c r="L397" s="130">
        <f>SUMIFS(ТГ_ИД!$E:$E,ТГ_ИД!$B:$B,ТГ!$G$4,ТГ_ИД!$D:$D,ТГ!$A398)</f>
        <v>0</v>
      </c>
      <c r="M397" s="130">
        <f>SUMIFS(ТГ_ИД!$E:$E,ТГ_ИД!$B:$B,ТГ!$G$5,ТГ_ИД!$D:$D,ТГ!$A398)</f>
        <v>0</v>
      </c>
      <c r="N397" s="130">
        <f>SUMIFS(ТГ_ИД!$E:$E,ТГ_ИД!$B:$B,ТГ!$G$6,ТГ_ИД!$D:$D,ТГ!$A398)</f>
        <v>0</v>
      </c>
      <c r="O397" s="130">
        <f>SUMIFS(ТГ_ИД!$E:$E,ТГ_ИД!$B:$B,ТГ!$G$7,ТГ_ИД!$D:$D,ТГ!$A398)</f>
        <v>0</v>
      </c>
      <c r="P397" s="130">
        <f>SUMIFS(ТГ_ИД!$E:$E,ТГ_ИД!$B:$B,ТГ!$G$8,ТГ_ИД!$D:$D,ТГ!$A398)</f>
        <v>0</v>
      </c>
      <c r="Q397" s="130">
        <f>SUMIFS(ТГ_ИД!$E:$E,ТГ_ИД!$B:$B,ТГ!$G$9,ТГ_ИД!$D:$D,ТГ!$A398)</f>
        <v>0</v>
      </c>
      <c r="R397" s="130">
        <f>SUMIFS(ТГ_ИД!$E:$E,ТГ_ИД!$B:$B,ТГ!$G$10,ТГ_ИД!$D:$D,ТГ!$A398)</f>
        <v>0</v>
      </c>
      <c r="S397" s="130">
        <f>SUMIFS(ТГ_ИД!$E:$E,ТГ_ИД!$B:$B,ТГ!$G$11,ТГ_ИД!$D:$D,ТГ!$A398)</f>
        <v>0</v>
      </c>
      <c r="T397" s="130">
        <f>SUMIFS(ТГ_ИД!$E:$E,ТГ_ИД!$B:$B,ТГ!$G$12,ТГ_ИД!$D:$D,ТГ!$A398)</f>
        <v>0</v>
      </c>
      <c r="U397" s="130">
        <f>SUMIFS(ТГ_ИД!$E:$E,ТГ_ИД!$B:$B,ТГ!$G$13,ТГ_ИД!$D:$D,ТГ!$A398)</f>
        <v>0</v>
      </c>
      <c r="V397" s="130">
        <f>SUMIFS(ТГ_ИД!$E:$E,ТГ_ИД!$B:$B,ТГ!$G$14,ТГ_ИД!$D:$D,ТГ!$A398)</f>
        <v>0</v>
      </c>
    </row>
    <row r="398" spans="1:22" x14ac:dyDescent="0.25">
      <c r="A398" s="116" t="str">
        <f t="shared" si="7"/>
        <v/>
      </c>
      <c r="K398" s="130">
        <f>SUMIFS(ТГ_ИД!$E:$E,ТГ_ИД!$B:$B,ТГ!$G$3,ТГ_ИД!$D:$D,ТГ!$A399)</f>
        <v>0</v>
      </c>
      <c r="L398" s="130">
        <f>SUMIFS(ТГ_ИД!$E:$E,ТГ_ИД!$B:$B,ТГ!$G$4,ТГ_ИД!$D:$D,ТГ!$A399)</f>
        <v>0</v>
      </c>
      <c r="M398" s="130">
        <f>SUMIFS(ТГ_ИД!$E:$E,ТГ_ИД!$B:$B,ТГ!$G$5,ТГ_ИД!$D:$D,ТГ!$A399)</f>
        <v>0</v>
      </c>
      <c r="N398" s="130">
        <f>SUMIFS(ТГ_ИД!$E:$E,ТГ_ИД!$B:$B,ТГ!$G$6,ТГ_ИД!$D:$D,ТГ!$A399)</f>
        <v>0</v>
      </c>
      <c r="O398" s="130">
        <f>SUMIFS(ТГ_ИД!$E:$E,ТГ_ИД!$B:$B,ТГ!$G$7,ТГ_ИД!$D:$D,ТГ!$A399)</f>
        <v>0</v>
      </c>
      <c r="P398" s="130">
        <f>SUMIFS(ТГ_ИД!$E:$E,ТГ_ИД!$B:$B,ТГ!$G$8,ТГ_ИД!$D:$D,ТГ!$A399)</f>
        <v>0</v>
      </c>
      <c r="Q398" s="130">
        <f>SUMIFS(ТГ_ИД!$E:$E,ТГ_ИД!$B:$B,ТГ!$G$9,ТГ_ИД!$D:$D,ТГ!$A399)</f>
        <v>0</v>
      </c>
      <c r="R398" s="130">
        <f>SUMIFS(ТГ_ИД!$E:$E,ТГ_ИД!$B:$B,ТГ!$G$10,ТГ_ИД!$D:$D,ТГ!$A399)</f>
        <v>0</v>
      </c>
      <c r="S398" s="130">
        <f>SUMIFS(ТГ_ИД!$E:$E,ТГ_ИД!$B:$B,ТГ!$G$11,ТГ_ИД!$D:$D,ТГ!$A399)</f>
        <v>0</v>
      </c>
      <c r="T398" s="130">
        <f>SUMIFS(ТГ_ИД!$E:$E,ТГ_ИД!$B:$B,ТГ!$G$12,ТГ_ИД!$D:$D,ТГ!$A399)</f>
        <v>0</v>
      </c>
      <c r="U398" s="130">
        <f>SUMIFS(ТГ_ИД!$E:$E,ТГ_ИД!$B:$B,ТГ!$G$13,ТГ_ИД!$D:$D,ТГ!$A399)</f>
        <v>0</v>
      </c>
      <c r="V398" s="130">
        <f>SUMIFS(ТГ_ИД!$E:$E,ТГ_ИД!$B:$B,ТГ!$G$14,ТГ_ИД!$D:$D,ТГ!$A399)</f>
        <v>0</v>
      </c>
    </row>
    <row r="399" spans="1:22" x14ac:dyDescent="0.25">
      <c r="A399" s="116" t="str">
        <f t="shared" si="7"/>
        <v/>
      </c>
      <c r="K399" s="130">
        <f>SUMIFS(ТГ_ИД!$E:$E,ТГ_ИД!$B:$B,ТГ!$G$3,ТГ_ИД!$D:$D,ТГ!$A400)</f>
        <v>0</v>
      </c>
      <c r="L399" s="130">
        <f>SUMIFS(ТГ_ИД!$E:$E,ТГ_ИД!$B:$B,ТГ!$G$4,ТГ_ИД!$D:$D,ТГ!$A400)</f>
        <v>0</v>
      </c>
      <c r="M399" s="130">
        <f>SUMIFS(ТГ_ИД!$E:$E,ТГ_ИД!$B:$B,ТГ!$G$5,ТГ_ИД!$D:$D,ТГ!$A400)</f>
        <v>0</v>
      </c>
      <c r="N399" s="130">
        <f>SUMIFS(ТГ_ИД!$E:$E,ТГ_ИД!$B:$B,ТГ!$G$6,ТГ_ИД!$D:$D,ТГ!$A400)</f>
        <v>0</v>
      </c>
      <c r="O399" s="130">
        <f>SUMIFS(ТГ_ИД!$E:$E,ТГ_ИД!$B:$B,ТГ!$G$7,ТГ_ИД!$D:$D,ТГ!$A400)</f>
        <v>0</v>
      </c>
      <c r="P399" s="130">
        <f>SUMIFS(ТГ_ИД!$E:$E,ТГ_ИД!$B:$B,ТГ!$G$8,ТГ_ИД!$D:$D,ТГ!$A400)</f>
        <v>0</v>
      </c>
      <c r="Q399" s="130">
        <f>SUMIFS(ТГ_ИД!$E:$E,ТГ_ИД!$B:$B,ТГ!$G$9,ТГ_ИД!$D:$D,ТГ!$A400)</f>
        <v>0</v>
      </c>
      <c r="R399" s="130">
        <f>SUMIFS(ТГ_ИД!$E:$E,ТГ_ИД!$B:$B,ТГ!$G$10,ТГ_ИД!$D:$D,ТГ!$A400)</f>
        <v>0</v>
      </c>
      <c r="S399" s="130">
        <f>SUMIFS(ТГ_ИД!$E:$E,ТГ_ИД!$B:$B,ТГ!$G$11,ТГ_ИД!$D:$D,ТГ!$A400)</f>
        <v>0</v>
      </c>
      <c r="T399" s="130">
        <f>SUMIFS(ТГ_ИД!$E:$E,ТГ_ИД!$B:$B,ТГ!$G$12,ТГ_ИД!$D:$D,ТГ!$A400)</f>
        <v>0</v>
      </c>
      <c r="U399" s="130">
        <f>SUMIFS(ТГ_ИД!$E:$E,ТГ_ИД!$B:$B,ТГ!$G$13,ТГ_ИД!$D:$D,ТГ!$A400)</f>
        <v>0</v>
      </c>
      <c r="V399" s="130">
        <f>SUMIFS(ТГ_ИД!$E:$E,ТГ_ИД!$B:$B,ТГ!$G$14,ТГ_ИД!$D:$D,ТГ!$A400)</f>
        <v>0</v>
      </c>
    </row>
    <row r="400" spans="1:22" x14ac:dyDescent="0.25">
      <c r="A400" s="116" t="str">
        <f t="shared" si="7"/>
        <v/>
      </c>
      <c r="K400" s="130">
        <f>SUMIFS(ТГ_ИД!$E:$E,ТГ_ИД!$B:$B,ТГ!$G$3,ТГ_ИД!$D:$D,ТГ!$A401)</f>
        <v>0</v>
      </c>
      <c r="L400" s="130">
        <f>SUMIFS(ТГ_ИД!$E:$E,ТГ_ИД!$B:$B,ТГ!$G$4,ТГ_ИД!$D:$D,ТГ!$A401)</f>
        <v>0</v>
      </c>
      <c r="M400" s="130">
        <f>SUMIFS(ТГ_ИД!$E:$E,ТГ_ИД!$B:$B,ТГ!$G$5,ТГ_ИД!$D:$D,ТГ!$A401)</f>
        <v>0</v>
      </c>
      <c r="N400" s="130">
        <f>SUMIFS(ТГ_ИД!$E:$E,ТГ_ИД!$B:$B,ТГ!$G$6,ТГ_ИД!$D:$D,ТГ!$A401)</f>
        <v>0</v>
      </c>
      <c r="O400" s="130">
        <f>SUMIFS(ТГ_ИД!$E:$E,ТГ_ИД!$B:$B,ТГ!$G$7,ТГ_ИД!$D:$D,ТГ!$A401)</f>
        <v>0</v>
      </c>
      <c r="P400" s="130">
        <f>SUMIFS(ТГ_ИД!$E:$E,ТГ_ИД!$B:$B,ТГ!$G$8,ТГ_ИД!$D:$D,ТГ!$A401)</f>
        <v>0</v>
      </c>
      <c r="Q400" s="130">
        <f>SUMIFS(ТГ_ИД!$E:$E,ТГ_ИД!$B:$B,ТГ!$G$9,ТГ_ИД!$D:$D,ТГ!$A401)</f>
        <v>0</v>
      </c>
      <c r="R400" s="130">
        <f>SUMIFS(ТГ_ИД!$E:$E,ТГ_ИД!$B:$B,ТГ!$G$10,ТГ_ИД!$D:$D,ТГ!$A401)</f>
        <v>0</v>
      </c>
      <c r="S400" s="130">
        <f>SUMIFS(ТГ_ИД!$E:$E,ТГ_ИД!$B:$B,ТГ!$G$11,ТГ_ИД!$D:$D,ТГ!$A401)</f>
        <v>0</v>
      </c>
      <c r="T400" s="130">
        <f>SUMIFS(ТГ_ИД!$E:$E,ТГ_ИД!$B:$B,ТГ!$G$12,ТГ_ИД!$D:$D,ТГ!$A401)</f>
        <v>0</v>
      </c>
      <c r="U400" s="130">
        <f>SUMIFS(ТГ_ИД!$E:$E,ТГ_ИД!$B:$B,ТГ!$G$13,ТГ_ИД!$D:$D,ТГ!$A401)</f>
        <v>0</v>
      </c>
      <c r="V400" s="130">
        <f>SUMIFS(ТГ_ИД!$E:$E,ТГ_ИД!$B:$B,ТГ!$G$14,ТГ_ИД!$D:$D,ТГ!$A401)</f>
        <v>0</v>
      </c>
    </row>
    <row r="401" spans="1:22" x14ac:dyDescent="0.25">
      <c r="A401" s="116" t="str">
        <f t="shared" si="7"/>
        <v/>
      </c>
      <c r="K401" s="130">
        <f>SUMIFS(ТГ_ИД!$E:$E,ТГ_ИД!$B:$B,ТГ!$G$3,ТГ_ИД!$D:$D,ТГ!$A402)</f>
        <v>0</v>
      </c>
      <c r="L401" s="130">
        <f>SUMIFS(ТГ_ИД!$E:$E,ТГ_ИД!$B:$B,ТГ!$G$4,ТГ_ИД!$D:$D,ТГ!$A402)</f>
        <v>0</v>
      </c>
      <c r="M401" s="130">
        <f>SUMIFS(ТГ_ИД!$E:$E,ТГ_ИД!$B:$B,ТГ!$G$5,ТГ_ИД!$D:$D,ТГ!$A402)</f>
        <v>0</v>
      </c>
      <c r="N401" s="130">
        <f>SUMIFS(ТГ_ИД!$E:$E,ТГ_ИД!$B:$B,ТГ!$G$6,ТГ_ИД!$D:$D,ТГ!$A402)</f>
        <v>0</v>
      </c>
      <c r="O401" s="130">
        <f>SUMIFS(ТГ_ИД!$E:$E,ТГ_ИД!$B:$B,ТГ!$G$7,ТГ_ИД!$D:$D,ТГ!$A402)</f>
        <v>0</v>
      </c>
      <c r="P401" s="130">
        <f>SUMIFS(ТГ_ИД!$E:$E,ТГ_ИД!$B:$B,ТГ!$G$8,ТГ_ИД!$D:$D,ТГ!$A402)</f>
        <v>0</v>
      </c>
      <c r="Q401" s="130">
        <f>SUMIFS(ТГ_ИД!$E:$E,ТГ_ИД!$B:$B,ТГ!$G$9,ТГ_ИД!$D:$D,ТГ!$A402)</f>
        <v>0</v>
      </c>
      <c r="R401" s="130">
        <f>SUMIFS(ТГ_ИД!$E:$E,ТГ_ИД!$B:$B,ТГ!$G$10,ТГ_ИД!$D:$D,ТГ!$A402)</f>
        <v>0</v>
      </c>
      <c r="S401" s="130">
        <f>SUMIFS(ТГ_ИД!$E:$E,ТГ_ИД!$B:$B,ТГ!$G$11,ТГ_ИД!$D:$D,ТГ!$A402)</f>
        <v>0</v>
      </c>
      <c r="T401" s="130">
        <f>SUMIFS(ТГ_ИД!$E:$E,ТГ_ИД!$B:$B,ТГ!$G$12,ТГ_ИД!$D:$D,ТГ!$A402)</f>
        <v>0</v>
      </c>
      <c r="U401" s="130">
        <f>SUMIFS(ТГ_ИД!$E:$E,ТГ_ИД!$B:$B,ТГ!$G$13,ТГ_ИД!$D:$D,ТГ!$A402)</f>
        <v>0</v>
      </c>
      <c r="V401" s="130">
        <f>SUMIFS(ТГ_ИД!$E:$E,ТГ_ИД!$B:$B,ТГ!$G$14,ТГ_ИД!$D:$D,ТГ!$A402)</f>
        <v>0</v>
      </c>
    </row>
    <row r="402" spans="1:22" x14ac:dyDescent="0.25">
      <c r="A402" s="116" t="str">
        <f t="shared" si="7"/>
        <v/>
      </c>
      <c r="K402" s="130">
        <f>SUMIFS(ТГ_ИД!$E:$E,ТГ_ИД!$B:$B,ТГ!$G$3,ТГ_ИД!$D:$D,ТГ!$A403)</f>
        <v>0</v>
      </c>
      <c r="L402" s="130">
        <f>SUMIFS(ТГ_ИД!$E:$E,ТГ_ИД!$B:$B,ТГ!$G$4,ТГ_ИД!$D:$D,ТГ!$A403)</f>
        <v>0</v>
      </c>
      <c r="M402" s="130">
        <f>SUMIFS(ТГ_ИД!$E:$E,ТГ_ИД!$B:$B,ТГ!$G$5,ТГ_ИД!$D:$D,ТГ!$A403)</f>
        <v>0</v>
      </c>
      <c r="N402" s="130">
        <f>SUMIFS(ТГ_ИД!$E:$E,ТГ_ИД!$B:$B,ТГ!$G$6,ТГ_ИД!$D:$D,ТГ!$A403)</f>
        <v>0</v>
      </c>
      <c r="O402" s="130">
        <f>SUMIFS(ТГ_ИД!$E:$E,ТГ_ИД!$B:$B,ТГ!$G$7,ТГ_ИД!$D:$D,ТГ!$A403)</f>
        <v>0</v>
      </c>
      <c r="P402" s="130">
        <f>SUMIFS(ТГ_ИД!$E:$E,ТГ_ИД!$B:$B,ТГ!$G$8,ТГ_ИД!$D:$D,ТГ!$A403)</f>
        <v>0</v>
      </c>
      <c r="Q402" s="130">
        <f>SUMIFS(ТГ_ИД!$E:$E,ТГ_ИД!$B:$B,ТГ!$G$9,ТГ_ИД!$D:$D,ТГ!$A403)</f>
        <v>0</v>
      </c>
      <c r="R402" s="130">
        <f>SUMIFS(ТГ_ИД!$E:$E,ТГ_ИД!$B:$B,ТГ!$G$10,ТГ_ИД!$D:$D,ТГ!$A403)</f>
        <v>0</v>
      </c>
      <c r="S402" s="130">
        <f>SUMIFS(ТГ_ИД!$E:$E,ТГ_ИД!$B:$B,ТГ!$G$11,ТГ_ИД!$D:$D,ТГ!$A403)</f>
        <v>0</v>
      </c>
      <c r="T402" s="130">
        <f>SUMIFS(ТГ_ИД!$E:$E,ТГ_ИД!$B:$B,ТГ!$G$12,ТГ_ИД!$D:$D,ТГ!$A403)</f>
        <v>0</v>
      </c>
      <c r="U402" s="130">
        <f>SUMIFS(ТГ_ИД!$E:$E,ТГ_ИД!$B:$B,ТГ!$G$13,ТГ_ИД!$D:$D,ТГ!$A403)</f>
        <v>0</v>
      </c>
      <c r="V402" s="130">
        <f>SUMIFS(ТГ_ИД!$E:$E,ТГ_ИД!$B:$B,ТГ!$G$14,ТГ_ИД!$D:$D,ТГ!$A403)</f>
        <v>0</v>
      </c>
    </row>
    <row r="403" spans="1:22" x14ac:dyDescent="0.25">
      <c r="A403" s="116" t="str">
        <f t="shared" si="7"/>
        <v/>
      </c>
      <c r="K403" s="130">
        <f>SUMIFS(ТГ_ИД!$E:$E,ТГ_ИД!$B:$B,ТГ!$G$3,ТГ_ИД!$D:$D,ТГ!$A404)</f>
        <v>0</v>
      </c>
      <c r="L403" s="130">
        <f>SUMIFS(ТГ_ИД!$E:$E,ТГ_ИД!$B:$B,ТГ!$G$4,ТГ_ИД!$D:$D,ТГ!$A404)</f>
        <v>0</v>
      </c>
      <c r="M403" s="130">
        <f>SUMIFS(ТГ_ИД!$E:$E,ТГ_ИД!$B:$B,ТГ!$G$5,ТГ_ИД!$D:$D,ТГ!$A404)</f>
        <v>0</v>
      </c>
      <c r="N403" s="130">
        <f>SUMIFS(ТГ_ИД!$E:$E,ТГ_ИД!$B:$B,ТГ!$G$6,ТГ_ИД!$D:$D,ТГ!$A404)</f>
        <v>0</v>
      </c>
      <c r="O403" s="130">
        <f>SUMIFS(ТГ_ИД!$E:$E,ТГ_ИД!$B:$B,ТГ!$G$7,ТГ_ИД!$D:$D,ТГ!$A404)</f>
        <v>0</v>
      </c>
      <c r="P403" s="130">
        <f>SUMIFS(ТГ_ИД!$E:$E,ТГ_ИД!$B:$B,ТГ!$G$8,ТГ_ИД!$D:$D,ТГ!$A404)</f>
        <v>0</v>
      </c>
      <c r="Q403" s="130">
        <f>SUMIFS(ТГ_ИД!$E:$E,ТГ_ИД!$B:$B,ТГ!$G$9,ТГ_ИД!$D:$D,ТГ!$A404)</f>
        <v>0</v>
      </c>
      <c r="R403" s="130">
        <f>SUMIFS(ТГ_ИД!$E:$E,ТГ_ИД!$B:$B,ТГ!$G$10,ТГ_ИД!$D:$D,ТГ!$A404)</f>
        <v>0</v>
      </c>
      <c r="S403" s="130">
        <f>SUMIFS(ТГ_ИД!$E:$E,ТГ_ИД!$B:$B,ТГ!$G$11,ТГ_ИД!$D:$D,ТГ!$A404)</f>
        <v>0</v>
      </c>
      <c r="T403" s="130">
        <f>SUMIFS(ТГ_ИД!$E:$E,ТГ_ИД!$B:$B,ТГ!$G$12,ТГ_ИД!$D:$D,ТГ!$A404)</f>
        <v>0</v>
      </c>
      <c r="U403" s="130">
        <f>SUMIFS(ТГ_ИД!$E:$E,ТГ_ИД!$B:$B,ТГ!$G$13,ТГ_ИД!$D:$D,ТГ!$A404)</f>
        <v>0</v>
      </c>
      <c r="V403" s="130">
        <f>SUMIFS(ТГ_ИД!$E:$E,ТГ_ИД!$B:$B,ТГ!$G$14,ТГ_ИД!$D:$D,ТГ!$A404)</f>
        <v>0</v>
      </c>
    </row>
    <row r="404" spans="1:22" x14ac:dyDescent="0.25">
      <c r="A404" s="116" t="str">
        <f t="shared" si="7"/>
        <v/>
      </c>
      <c r="K404" s="130">
        <f>SUMIFS(ТГ_ИД!$E:$E,ТГ_ИД!$B:$B,ТГ!$G$3,ТГ_ИД!$D:$D,ТГ!$A405)</f>
        <v>0</v>
      </c>
      <c r="L404" s="130">
        <f>SUMIFS(ТГ_ИД!$E:$E,ТГ_ИД!$B:$B,ТГ!$G$4,ТГ_ИД!$D:$D,ТГ!$A405)</f>
        <v>0</v>
      </c>
      <c r="M404" s="130">
        <f>SUMIFS(ТГ_ИД!$E:$E,ТГ_ИД!$B:$B,ТГ!$G$5,ТГ_ИД!$D:$D,ТГ!$A405)</f>
        <v>0</v>
      </c>
      <c r="N404" s="130">
        <f>SUMIFS(ТГ_ИД!$E:$E,ТГ_ИД!$B:$B,ТГ!$G$6,ТГ_ИД!$D:$D,ТГ!$A405)</f>
        <v>0</v>
      </c>
      <c r="O404" s="130">
        <f>SUMIFS(ТГ_ИД!$E:$E,ТГ_ИД!$B:$B,ТГ!$G$7,ТГ_ИД!$D:$D,ТГ!$A405)</f>
        <v>0</v>
      </c>
      <c r="P404" s="130">
        <f>SUMIFS(ТГ_ИД!$E:$E,ТГ_ИД!$B:$B,ТГ!$G$8,ТГ_ИД!$D:$D,ТГ!$A405)</f>
        <v>0</v>
      </c>
      <c r="Q404" s="130">
        <f>SUMIFS(ТГ_ИД!$E:$E,ТГ_ИД!$B:$B,ТГ!$G$9,ТГ_ИД!$D:$D,ТГ!$A405)</f>
        <v>0</v>
      </c>
      <c r="R404" s="130">
        <f>SUMIFS(ТГ_ИД!$E:$E,ТГ_ИД!$B:$B,ТГ!$G$10,ТГ_ИД!$D:$D,ТГ!$A405)</f>
        <v>0</v>
      </c>
      <c r="S404" s="130">
        <f>SUMIFS(ТГ_ИД!$E:$E,ТГ_ИД!$B:$B,ТГ!$G$11,ТГ_ИД!$D:$D,ТГ!$A405)</f>
        <v>0</v>
      </c>
      <c r="T404" s="130">
        <f>SUMIFS(ТГ_ИД!$E:$E,ТГ_ИД!$B:$B,ТГ!$G$12,ТГ_ИД!$D:$D,ТГ!$A405)</f>
        <v>0</v>
      </c>
      <c r="U404" s="130">
        <f>SUMIFS(ТГ_ИД!$E:$E,ТГ_ИД!$B:$B,ТГ!$G$13,ТГ_ИД!$D:$D,ТГ!$A405)</f>
        <v>0</v>
      </c>
      <c r="V404" s="130">
        <f>SUMIFS(ТГ_ИД!$E:$E,ТГ_ИД!$B:$B,ТГ!$G$14,ТГ_ИД!$D:$D,ТГ!$A405)</f>
        <v>0</v>
      </c>
    </row>
    <row r="405" spans="1:22" x14ac:dyDescent="0.25">
      <c r="A405" s="116" t="str">
        <f t="shared" si="7"/>
        <v/>
      </c>
      <c r="K405" s="130">
        <f>SUMIFS(ТГ_ИД!$E:$E,ТГ_ИД!$B:$B,ТГ!$G$3,ТГ_ИД!$D:$D,ТГ!$A406)</f>
        <v>0</v>
      </c>
      <c r="L405" s="130">
        <f>SUMIFS(ТГ_ИД!$E:$E,ТГ_ИД!$B:$B,ТГ!$G$4,ТГ_ИД!$D:$D,ТГ!$A406)</f>
        <v>0</v>
      </c>
      <c r="M405" s="130">
        <f>SUMIFS(ТГ_ИД!$E:$E,ТГ_ИД!$B:$B,ТГ!$G$5,ТГ_ИД!$D:$D,ТГ!$A406)</f>
        <v>0</v>
      </c>
      <c r="N405" s="130">
        <f>SUMIFS(ТГ_ИД!$E:$E,ТГ_ИД!$B:$B,ТГ!$G$6,ТГ_ИД!$D:$D,ТГ!$A406)</f>
        <v>0</v>
      </c>
      <c r="O405" s="130">
        <f>SUMIFS(ТГ_ИД!$E:$E,ТГ_ИД!$B:$B,ТГ!$G$7,ТГ_ИД!$D:$D,ТГ!$A406)</f>
        <v>0</v>
      </c>
      <c r="P405" s="130">
        <f>SUMIFS(ТГ_ИД!$E:$E,ТГ_ИД!$B:$B,ТГ!$G$8,ТГ_ИД!$D:$D,ТГ!$A406)</f>
        <v>0</v>
      </c>
      <c r="Q405" s="130">
        <f>SUMIFS(ТГ_ИД!$E:$E,ТГ_ИД!$B:$B,ТГ!$G$9,ТГ_ИД!$D:$D,ТГ!$A406)</f>
        <v>0</v>
      </c>
      <c r="R405" s="130">
        <f>SUMIFS(ТГ_ИД!$E:$E,ТГ_ИД!$B:$B,ТГ!$G$10,ТГ_ИД!$D:$D,ТГ!$A406)</f>
        <v>0</v>
      </c>
      <c r="S405" s="130">
        <f>SUMIFS(ТГ_ИД!$E:$E,ТГ_ИД!$B:$B,ТГ!$G$11,ТГ_ИД!$D:$D,ТГ!$A406)</f>
        <v>0</v>
      </c>
      <c r="T405" s="130">
        <f>SUMIFS(ТГ_ИД!$E:$E,ТГ_ИД!$B:$B,ТГ!$G$12,ТГ_ИД!$D:$D,ТГ!$A406)</f>
        <v>0</v>
      </c>
      <c r="U405" s="130">
        <f>SUMIFS(ТГ_ИД!$E:$E,ТГ_ИД!$B:$B,ТГ!$G$13,ТГ_ИД!$D:$D,ТГ!$A406)</f>
        <v>0</v>
      </c>
      <c r="V405" s="130">
        <f>SUMIFS(ТГ_ИД!$E:$E,ТГ_ИД!$B:$B,ТГ!$G$14,ТГ_ИД!$D:$D,ТГ!$A406)</f>
        <v>0</v>
      </c>
    </row>
    <row r="406" spans="1:22" x14ac:dyDescent="0.25">
      <c r="A406" s="116" t="str">
        <f t="shared" si="7"/>
        <v/>
      </c>
      <c r="K406" s="130">
        <f>SUMIFS(ТГ_ИД!$E:$E,ТГ_ИД!$B:$B,ТГ!$G$3,ТГ_ИД!$D:$D,ТГ!$A407)</f>
        <v>0</v>
      </c>
      <c r="L406" s="130">
        <f>SUMIFS(ТГ_ИД!$E:$E,ТГ_ИД!$B:$B,ТГ!$G$4,ТГ_ИД!$D:$D,ТГ!$A407)</f>
        <v>0</v>
      </c>
      <c r="M406" s="130">
        <f>SUMIFS(ТГ_ИД!$E:$E,ТГ_ИД!$B:$B,ТГ!$G$5,ТГ_ИД!$D:$D,ТГ!$A407)</f>
        <v>0</v>
      </c>
      <c r="N406" s="130">
        <f>SUMIFS(ТГ_ИД!$E:$E,ТГ_ИД!$B:$B,ТГ!$G$6,ТГ_ИД!$D:$D,ТГ!$A407)</f>
        <v>0</v>
      </c>
      <c r="O406" s="130">
        <f>SUMIFS(ТГ_ИД!$E:$E,ТГ_ИД!$B:$B,ТГ!$G$7,ТГ_ИД!$D:$D,ТГ!$A407)</f>
        <v>0</v>
      </c>
      <c r="P406" s="130">
        <f>SUMIFS(ТГ_ИД!$E:$E,ТГ_ИД!$B:$B,ТГ!$G$8,ТГ_ИД!$D:$D,ТГ!$A407)</f>
        <v>0</v>
      </c>
      <c r="Q406" s="130">
        <f>SUMIFS(ТГ_ИД!$E:$E,ТГ_ИД!$B:$B,ТГ!$G$9,ТГ_ИД!$D:$D,ТГ!$A407)</f>
        <v>0</v>
      </c>
      <c r="R406" s="130">
        <f>SUMIFS(ТГ_ИД!$E:$E,ТГ_ИД!$B:$B,ТГ!$G$10,ТГ_ИД!$D:$D,ТГ!$A407)</f>
        <v>0</v>
      </c>
      <c r="S406" s="130">
        <f>SUMIFS(ТГ_ИД!$E:$E,ТГ_ИД!$B:$B,ТГ!$G$11,ТГ_ИД!$D:$D,ТГ!$A407)</f>
        <v>0</v>
      </c>
      <c r="T406" s="130">
        <f>SUMIFS(ТГ_ИД!$E:$E,ТГ_ИД!$B:$B,ТГ!$G$12,ТГ_ИД!$D:$D,ТГ!$A407)</f>
        <v>0</v>
      </c>
      <c r="U406" s="130">
        <f>SUMIFS(ТГ_ИД!$E:$E,ТГ_ИД!$B:$B,ТГ!$G$13,ТГ_ИД!$D:$D,ТГ!$A407)</f>
        <v>0</v>
      </c>
      <c r="V406" s="130">
        <f>SUMIFS(ТГ_ИД!$E:$E,ТГ_ИД!$B:$B,ТГ!$G$14,ТГ_ИД!$D:$D,ТГ!$A407)</f>
        <v>0</v>
      </c>
    </row>
    <row r="407" spans="1:22" x14ac:dyDescent="0.25">
      <c r="A407" s="116" t="str">
        <f t="shared" si="7"/>
        <v/>
      </c>
      <c r="K407" s="130">
        <f>SUMIFS(ТГ_ИД!$E:$E,ТГ_ИД!$B:$B,ТГ!$G$3,ТГ_ИД!$D:$D,ТГ!$A408)</f>
        <v>0</v>
      </c>
      <c r="L407" s="130">
        <f>SUMIFS(ТГ_ИД!$E:$E,ТГ_ИД!$B:$B,ТГ!$G$4,ТГ_ИД!$D:$D,ТГ!$A408)</f>
        <v>0</v>
      </c>
      <c r="M407" s="130">
        <f>SUMIFS(ТГ_ИД!$E:$E,ТГ_ИД!$B:$B,ТГ!$G$5,ТГ_ИД!$D:$D,ТГ!$A408)</f>
        <v>0</v>
      </c>
      <c r="N407" s="130">
        <f>SUMIFS(ТГ_ИД!$E:$E,ТГ_ИД!$B:$B,ТГ!$G$6,ТГ_ИД!$D:$D,ТГ!$A408)</f>
        <v>0</v>
      </c>
      <c r="O407" s="130">
        <f>SUMIFS(ТГ_ИД!$E:$E,ТГ_ИД!$B:$B,ТГ!$G$7,ТГ_ИД!$D:$D,ТГ!$A408)</f>
        <v>0</v>
      </c>
      <c r="P407" s="130">
        <f>SUMIFS(ТГ_ИД!$E:$E,ТГ_ИД!$B:$B,ТГ!$G$8,ТГ_ИД!$D:$D,ТГ!$A408)</f>
        <v>0</v>
      </c>
      <c r="Q407" s="130">
        <f>SUMIFS(ТГ_ИД!$E:$E,ТГ_ИД!$B:$B,ТГ!$G$9,ТГ_ИД!$D:$D,ТГ!$A408)</f>
        <v>0</v>
      </c>
      <c r="R407" s="130">
        <f>SUMIFS(ТГ_ИД!$E:$E,ТГ_ИД!$B:$B,ТГ!$G$10,ТГ_ИД!$D:$D,ТГ!$A408)</f>
        <v>0</v>
      </c>
      <c r="S407" s="130">
        <f>SUMIFS(ТГ_ИД!$E:$E,ТГ_ИД!$B:$B,ТГ!$G$11,ТГ_ИД!$D:$D,ТГ!$A408)</f>
        <v>0</v>
      </c>
      <c r="T407" s="130">
        <f>SUMIFS(ТГ_ИД!$E:$E,ТГ_ИД!$B:$B,ТГ!$G$12,ТГ_ИД!$D:$D,ТГ!$A408)</f>
        <v>0</v>
      </c>
      <c r="U407" s="130">
        <f>SUMIFS(ТГ_ИД!$E:$E,ТГ_ИД!$B:$B,ТГ!$G$13,ТГ_ИД!$D:$D,ТГ!$A408)</f>
        <v>0</v>
      </c>
      <c r="V407" s="130">
        <f>SUMIFS(ТГ_ИД!$E:$E,ТГ_ИД!$B:$B,ТГ!$G$14,ТГ_ИД!$D:$D,ТГ!$A408)</f>
        <v>0</v>
      </c>
    </row>
    <row r="408" spans="1:22" x14ac:dyDescent="0.25">
      <c r="A408" s="116" t="str">
        <f t="shared" si="7"/>
        <v/>
      </c>
      <c r="K408" s="130">
        <f>SUMIFS(ТГ_ИД!$E:$E,ТГ_ИД!$B:$B,ТГ!$G$3,ТГ_ИД!$D:$D,ТГ!$A409)</f>
        <v>0</v>
      </c>
      <c r="L408" s="130">
        <f>SUMIFS(ТГ_ИД!$E:$E,ТГ_ИД!$B:$B,ТГ!$G$4,ТГ_ИД!$D:$D,ТГ!$A409)</f>
        <v>0</v>
      </c>
      <c r="M408" s="130">
        <f>SUMIFS(ТГ_ИД!$E:$E,ТГ_ИД!$B:$B,ТГ!$G$5,ТГ_ИД!$D:$D,ТГ!$A409)</f>
        <v>0</v>
      </c>
      <c r="N408" s="130">
        <f>SUMIFS(ТГ_ИД!$E:$E,ТГ_ИД!$B:$B,ТГ!$G$6,ТГ_ИД!$D:$D,ТГ!$A409)</f>
        <v>0</v>
      </c>
      <c r="O408" s="130">
        <f>SUMIFS(ТГ_ИД!$E:$E,ТГ_ИД!$B:$B,ТГ!$G$7,ТГ_ИД!$D:$D,ТГ!$A409)</f>
        <v>0</v>
      </c>
      <c r="P408" s="130">
        <f>SUMIFS(ТГ_ИД!$E:$E,ТГ_ИД!$B:$B,ТГ!$G$8,ТГ_ИД!$D:$D,ТГ!$A409)</f>
        <v>0</v>
      </c>
      <c r="Q408" s="130">
        <f>SUMIFS(ТГ_ИД!$E:$E,ТГ_ИД!$B:$B,ТГ!$G$9,ТГ_ИД!$D:$D,ТГ!$A409)</f>
        <v>0</v>
      </c>
      <c r="R408" s="130">
        <f>SUMIFS(ТГ_ИД!$E:$E,ТГ_ИД!$B:$B,ТГ!$G$10,ТГ_ИД!$D:$D,ТГ!$A409)</f>
        <v>0</v>
      </c>
      <c r="S408" s="130">
        <f>SUMIFS(ТГ_ИД!$E:$E,ТГ_ИД!$B:$B,ТГ!$G$11,ТГ_ИД!$D:$D,ТГ!$A409)</f>
        <v>0</v>
      </c>
      <c r="T408" s="130">
        <f>SUMIFS(ТГ_ИД!$E:$E,ТГ_ИД!$B:$B,ТГ!$G$12,ТГ_ИД!$D:$D,ТГ!$A409)</f>
        <v>0</v>
      </c>
      <c r="U408" s="130">
        <f>SUMIFS(ТГ_ИД!$E:$E,ТГ_ИД!$B:$B,ТГ!$G$13,ТГ_ИД!$D:$D,ТГ!$A409)</f>
        <v>0</v>
      </c>
      <c r="V408" s="130">
        <f>SUMIFS(ТГ_ИД!$E:$E,ТГ_ИД!$B:$B,ТГ!$G$14,ТГ_ИД!$D:$D,ТГ!$A409)</f>
        <v>0</v>
      </c>
    </row>
    <row r="409" spans="1:22" x14ac:dyDescent="0.25">
      <c r="A409" s="116" t="str">
        <f t="shared" si="7"/>
        <v/>
      </c>
      <c r="K409" s="130">
        <f>SUMIFS(ТГ_ИД!$E:$E,ТГ_ИД!$B:$B,ТГ!$G$3,ТГ_ИД!$D:$D,ТГ!$A410)</f>
        <v>0</v>
      </c>
      <c r="L409" s="130">
        <f>SUMIFS(ТГ_ИД!$E:$E,ТГ_ИД!$B:$B,ТГ!$G$4,ТГ_ИД!$D:$D,ТГ!$A410)</f>
        <v>0</v>
      </c>
      <c r="M409" s="130">
        <f>SUMIFS(ТГ_ИД!$E:$E,ТГ_ИД!$B:$B,ТГ!$G$5,ТГ_ИД!$D:$D,ТГ!$A410)</f>
        <v>0</v>
      </c>
      <c r="N409" s="130">
        <f>SUMIFS(ТГ_ИД!$E:$E,ТГ_ИД!$B:$B,ТГ!$G$6,ТГ_ИД!$D:$D,ТГ!$A410)</f>
        <v>0</v>
      </c>
      <c r="O409" s="130">
        <f>SUMIFS(ТГ_ИД!$E:$E,ТГ_ИД!$B:$B,ТГ!$G$7,ТГ_ИД!$D:$D,ТГ!$A410)</f>
        <v>0</v>
      </c>
      <c r="P409" s="130">
        <f>SUMIFS(ТГ_ИД!$E:$E,ТГ_ИД!$B:$B,ТГ!$G$8,ТГ_ИД!$D:$D,ТГ!$A410)</f>
        <v>0</v>
      </c>
      <c r="Q409" s="130">
        <f>SUMIFS(ТГ_ИД!$E:$E,ТГ_ИД!$B:$B,ТГ!$G$9,ТГ_ИД!$D:$D,ТГ!$A410)</f>
        <v>0</v>
      </c>
      <c r="R409" s="130">
        <f>SUMIFS(ТГ_ИД!$E:$E,ТГ_ИД!$B:$B,ТГ!$G$10,ТГ_ИД!$D:$D,ТГ!$A410)</f>
        <v>0</v>
      </c>
      <c r="S409" s="130">
        <f>SUMIFS(ТГ_ИД!$E:$E,ТГ_ИД!$B:$B,ТГ!$G$11,ТГ_ИД!$D:$D,ТГ!$A410)</f>
        <v>0</v>
      </c>
      <c r="T409" s="130">
        <f>SUMIFS(ТГ_ИД!$E:$E,ТГ_ИД!$B:$B,ТГ!$G$12,ТГ_ИД!$D:$D,ТГ!$A410)</f>
        <v>0</v>
      </c>
      <c r="U409" s="130">
        <f>SUMIFS(ТГ_ИД!$E:$E,ТГ_ИД!$B:$B,ТГ!$G$13,ТГ_ИД!$D:$D,ТГ!$A410)</f>
        <v>0</v>
      </c>
      <c r="V409" s="130">
        <f>SUMIFS(ТГ_ИД!$E:$E,ТГ_ИД!$B:$B,ТГ!$G$14,ТГ_ИД!$D:$D,ТГ!$A410)</f>
        <v>0</v>
      </c>
    </row>
    <row r="410" spans="1:22" x14ac:dyDescent="0.25">
      <c r="A410" s="116" t="str">
        <f t="shared" si="7"/>
        <v/>
      </c>
      <c r="K410" s="130">
        <f>SUMIFS(ТГ_ИД!$E:$E,ТГ_ИД!$B:$B,ТГ!$G$3,ТГ_ИД!$D:$D,ТГ!$A411)</f>
        <v>0</v>
      </c>
      <c r="L410" s="130">
        <f>SUMIFS(ТГ_ИД!$E:$E,ТГ_ИД!$B:$B,ТГ!$G$4,ТГ_ИД!$D:$D,ТГ!$A411)</f>
        <v>0</v>
      </c>
      <c r="M410" s="130">
        <f>SUMIFS(ТГ_ИД!$E:$E,ТГ_ИД!$B:$B,ТГ!$G$5,ТГ_ИД!$D:$D,ТГ!$A411)</f>
        <v>0</v>
      </c>
      <c r="N410" s="130">
        <f>SUMIFS(ТГ_ИД!$E:$E,ТГ_ИД!$B:$B,ТГ!$G$6,ТГ_ИД!$D:$D,ТГ!$A411)</f>
        <v>0</v>
      </c>
      <c r="O410" s="130">
        <f>SUMIFS(ТГ_ИД!$E:$E,ТГ_ИД!$B:$B,ТГ!$G$7,ТГ_ИД!$D:$D,ТГ!$A411)</f>
        <v>0</v>
      </c>
      <c r="P410" s="130">
        <f>SUMIFS(ТГ_ИД!$E:$E,ТГ_ИД!$B:$B,ТГ!$G$8,ТГ_ИД!$D:$D,ТГ!$A411)</f>
        <v>0</v>
      </c>
      <c r="Q410" s="130">
        <f>SUMIFS(ТГ_ИД!$E:$E,ТГ_ИД!$B:$B,ТГ!$G$9,ТГ_ИД!$D:$D,ТГ!$A411)</f>
        <v>0</v>
      </c>
      <c r="R410" s="130">
        <f>SUMIFS(ТГ_ИД!$E:$E,ТГ_ИД!$B:$B,ТГ!$G$10,ТГ_ИД!$D:$D,ТГ!$A411)</f>
        <v>0</v>
      </c>
      <c r="S410" s="130">
        <f>SUMIFS(ТГ_ИД!$E:$E,ТГ_ИД!$B:$B,ТГ!$G$11,ТГ_ИД!$D:$D,ТГ!$A411)</f>
        <v>0</v>
      </c>
      <c r="T410" s="130">
        <f>SUMIFS(ТГ_ИД!$E:$E,ТГ_ИД!$B:$B,ТГ!$G$12,ТГ_ИД!$D:$D,ТГ!$A411)</f>
        <v>0</v>
      </c>
      <c r="U410" s="130">
        <f>SUMIFS(ТГ_ИД!$E:$E,ТГ_ИД!$B:$B,ТГ!$G$13,ТГ_ИД!$D:$D,ТГ!$A411)</f>
        <v>0</v>
      </c>
      <c r="V410" s="130">
        <f>SUMIFS(ТГ_ИД!$E:$E,ТГ_ИД!$B:$B,ТГ!$G$14,ТГ_ИД!$D:$D,ТГ!$A411)</f>
        <v>0</v>
      </c>
    </row>
    <row r="411" spans="1:22" x14ac:dyDescent="0.25">
      <c r="A411" s="116" t="str">
        <f t="shared" si="7"/>
        <v/>
      </c>
      <c r="K411" s="130">
        <f>SUMIFS(ТГ_ИД!$E:$E,ТГ_ИД!$B:$B,ТГ!$G$3,ТГ_ИД!$D:$D,ТГ!$A412)</f>
        <v>0</v>
      </c>
      <c r="L411" s="130">
        <f>SUMIFS(ТГ_ИД!$E:$E,ТГ_ИД!$B:$B,ТГ!$G$4,ТГ_ИД!$D:$D,ТГ!$A412)</f>
        <v>0</v>
      </c>
      <c r="M411" s="130">
        <f>SUMIFS(ТГ_ИД!$E:$E,ТГ_ИД!$B:$B,ТГ!$G$5,ТГ_ИД!$D:$D,ТГ!$A412)</f>
        <v>0</v>
      </c>
      <c r="N411" s="130">
        <f>SUMIFS(ТГ_ИД!$E:$E,ТГ_ИД!$B:$B,ТГ!$G$6,ТГ_ИД!$D:$D,ТГ!$A412)</f>
        <v>0</v>
      </c>
      <c r="O411" s="130">
        <f>SUMIFS(ТГ_ИД!$E:$E,ТГ_ИД!$B:$B,ТГ!$G$7,ТГ_ИД!$D:$D,ТГ!$A412)</f>
        <v>0</v>
      </c>
      <c r="P411" s="130">
        <f>SUMIFS(ТГ_ИД!$E:$E,ТГ_ИД!$B:$B,ТГ!$G$8,ТГ_ИД!$D:$D,ТГ!$A412)</f>
        <v>0</v>
      </c>
      <c r="Q411" s="130">
        <f>SUMIFS(ТГ_ИД!$E:$E,ТГ_ИД!$B:$B,ТГ!$G$9,ТГ_ИД!$D:$D,ТГ!$A412)</f>
        <v>0</v>
      </c>
      <c r="R411" s="130">
        <f>SUMIFS(ТГ_ИД!$E:$E,ТГ_ИД!$B:$B,ТГ!$G$10,ТГ_ИД!$D:$D,ТГ!$A412)</f>
        <v>0</v>
      </c>
      <c r="S411" s="130">
        <f>SUMIFS(ТГ_ИД!$E:$E,ТГ_ИД!$B:$B,ТГ!$G$11,ТГ_ИД!$D:$D,ТГ!$A412)</f>
        <v>0</v>
      </c>
      <c r="T411" s="130">
        <f>SUMIFS(ТГ_ИД!$E:$E,ТГ_ИД!$B:$B,ТГ!$G$12,ТГ_ИД!$D:$D,ТГ!$A412)</f>
        <v>0</v>
      </c>
      <c r="U411" s="130">
        <f>SUMIFS(ТГ_ИД!$E:$E,ТГ_ИД!$B:$B,ТГ!$G$13,ТГ_ИД!$D:$D,ТГ!$A412)</f>
        <v>0</v>
      </c>
      <c r="V411" s="130">
        <f>SUMIFS(ТГ_ИД!$E:$E,ТГ_ИД!$B:$B,ТГ!$G$14,ТГ_ИД!$D:$D,ТГ!$A412)</f>
        <v>0</v>
      </c>
    </row>
    <row r="412" spans="1:22" x14ac:dyDescent="0.25">
      <c r="A412" s="116" t="str">
        <f t="shared" si="7"/>
        <v/>
      </c>
      <c r="K412" s="130">
        <f>SUMIFS(ТГ_ИД!$E:$E,ТГ_ИД!$B:$B,ТГ!$G$3,ТГ_ИД!$D:$D,ТГ!$A413)</f>
        <v>0</v>
      </c>
      <c r="L412" s="130">
        <f>SUMIFS(ТГ_ИД!$E:$E,ТГ_ИД!$B:$B,ТГ!$G$4,ТГ_ИД!$D:$D,ТГ!$A413)</f>
        <v>0</v>
      </c>
      <c r="M412" s="130">
        <f>SUMIFS(ТГ_ИД!$E:$E,ТГ_ИД!$B:$B,ТГ!$G$5,ТГ_ИД!$D:$D,ТГ!$A413)</f>
        <v>0</v>
      </c>
      <c r="N412" s="130">
        <f>SUMIFS(ТГ_ИД!$E:$E,ТГ_ИД!$B:$B,ТГ!$G$6,ТГ_ИД!$D:$D,ТГ!$A413)</f>
        <v>0</v>
      </c>
      <c r="O412" s="130">
        <f>SUMIFS(ТГ_ИД!$E:$E,ТГ_ИД!$B:$B,ТГ!$G$7,ТГ_ИД!$D:$D,ТГ!$A413)</f>
        <v>0</v>
      </c>
      <c r="P412" s="130">
        <f>SUMIFS(ТГ_ИД!$E:$E,ТГ_ИД!$B:$B,ТГ!$G$8,ТГ_ИД!$D:$D,ТГ!$A413)</f>
        <v>0</v>
      </c>
      <c r="Q412" s="130">
        <f>SUMIFS(ТГ_ИД!$E:$E,ТГ_ИД!$B:$B,ТГ!$G$9,ТГ_ИД!$D:$D,ТГ!$A413)</f>
        <v>0</v>
      </c>
      <c r="R412" s="130">
        <f>SUMIFS(ТГ_ИД!$E:$E,ТГ_ИД!$B:$B,ТГ!$G$10,ТГ_ИД!$D:$D,ТГ!$A413)</f>
        <v>0</v>
      </c>
      <c r="S412" s="130">
        <f>SUMIFS(ТГ_ИД!$E:$E,ТГ_ИД!$B:$B,ТГ!$G$11,ТГ_ИД!$D:$D,ТГ!$A413)</f>
        <v>0</v>
      </c>
      <c r="T412" s="130">
        <f>SUMIFS(ТГ_ИД!$E:$E,ТГ_ИД!$B:$B,ТГ!$G$12,ТГ_ИД!$D:$D,ТГ!$A413)</f>
        <v>0</v>
      </c>
      <c r="U412" s="130">
        <f>SUMIFS(ТГ_ИД!$E:$E,ТГ_ИД!$B:$B,ТГ!$G$13,ТГ_ИД!$D:$D,ТГ!$A413)</f>
        <v>0</v>
      </c>
      <c r="V412" s="130">
        <f>SUMIFS(ТГ_ИД!$E:$E,ТГ_ИД!$B:$B,ТГ!$G$14,ТГ_ИД!$D:$D,ТГ!$A413)</f>
        <v>0</v>
      </c>
    </row>
    <row r="413" spans="1:22" x14ac:dyDescent="0.25">
      <c r="A413" s="116" t="str">
        <f t="shared" si="7"/>
        <v/>
      </c>
      <c r="K413" s="130">
        <f>SUMIFS(ТГ_ИД!$E:$E,ТГ_ИД!$B:$B,ТГ!$G$3,ТГ_ИД!$D:$D,ТГ!$A414)</f>
        <v>0</v>
      </c>
      <c r="L413" s="130">
        <f>SUMIFS(ТГ_ИД!$E:$E,ТГ_ИД!$B:$B,ТГ!$G$4,ТГ_ИД!$D:$D,ТГ!$A414)</f>
        <v>0</v>
      </c>
      <c r="M413" s="130">
        <f>SUMIFS(ТГ_ИД!$E:$E,ТГ_ИД!$B:$B,ТГ!$G$5,ТГ_ИД!$D:$D,ТГ!$A414)</f>
        <v>0</v>
      </c>
      <c r="N413" s="130">
        <f>SUMIFS(ТГ_ИД!$E:$E,ТГ_ИД!$B:$B,ТГ!$G$6,ТГ_ИД!$D:$D,ТГ!$A414)</f>
        <v>0</v>
      </c>
      <c r="O413" s="130">
        <f>SUMIFS(ТГ_ИД!$E:$E,ТГ_ИД!$B:$B,ТГ!$G$7,ТГ_ИД!$D:$D,ТГ!$A414)</f>
        <v>0</v>
      </c>
      <c r="P413" s="130">
        <f>SUMIFS(ТГ_ИД!$E:$E,ТГ_ИД!$B:$B,ТГ!$G$8,ТГ_ИД!$D:$D,ТГ!$A414)</f>
        <v>0</v>
      </c>
      <c r="Q413" s="130">
        <f>SUMIFS(ТГ_ИД!$E:$E,ТГ_ИД!$B:$B,ТГ!$G$9,ТГ_ИД!$D:$D,ТГ!$A414)</f>
        <v>0</v>
      </c>
      <c r="R413" s="130">
        <f>SUMIFS(ТГ_ИД!$E:$E,ТГ_ИД!$B:$B,ТГ!$G$10,ТГ_ИД!$D:$D,ТГ!$A414)</f>
        <v>0</v>
      </c>
      <c r="S413" s="130">
        <f>SUMIFS(ТГ_ИД!$E:$E,ТГ_ИД!$B:$B,ТГ!$G$11,ТГ_ИД!$D:$D,ТГ!$A414)</f>
        <v>0</v>
      </c>
      <c r="T413" s="130">
        <f>SUMIFS(ТГ_ИД!$E:$E,ТГ_ИД!$B:$B,ТГ!$G$12,ТГ_ИД!$D:$D,ТГ!$A414)</f>
        <v>0</v>
      </c>
      <c r="U413" s="130">
        <f>SUMIFS(ТГ_ИД!$E:$E,ТГ_ИД!$B:$B,ТГ!$G$13,ТГ_ИД!$D:$D,ТГ!$A414)</f>
        <v>0</v>
      </c>
      <c r="V413" s="130">
        <f>SUMIFS(ТГ_ИД!$E:$E,ТГ_ИД!$B:$B,ТГ!$G$14,ТГ_ИД!$D:$D,ТГ!$A414)</f>
        <v>0</v>
      </c>
    </row>
    <row r="414" spans="1:22" x14ac:dyDescent="0.25">
      <c r="A414" s="116" t="str">
        <f t="shared" si="7"/>
        <v/>
      </c>
      <c r="K414" s="130">
        <f>SUMIFS(ТГ_ИД!$E:$E,ТГ_ИД!$B:$B,ТГ!$G$3,ТГ_ИД!$D:$D,ТГ!$A415)</f>
        <v>0</v>
      </c>
      <c r="L414" s="130">
        <f>SUMIFS(ТГ_ИД!$E:$E,ТГ_ИД!$B:$B,ТГ!$G$4,ТГ_ИД!$D:$D,ТГ!$A415)</f>
        <v>0</v>
      </c>
      <c r="M414" s="130">
        <f>SUMIFS(ТГ_ИД!$E:$E,ТГ_ИД!$B:$B,ТГ!$G$5,ТГ_ИД!$D:$D,ТГ!$A415)</f>
        <v>0</v>
      </c>
      <c r="N414" s="130">
        <f>SUMIFS(ТГ_ИД!$E:$E,ТГ_ИД!$B:$B,ТГ!$G$6,ТГ_ИД!$D:$D,ТГ!$A415)</f>
        <v>0</v>
      </c>
      <c r="O414" s="130">
        <f>SUMIFS(ТГ_ИД!$E:$E,ТГ_ИД!$B:$B,ТГ!$G$7,ТГ_ИД!$D:$D,ТГ!$A415)</f>
        <v>0</v>
      </c>
      <c r="P414" s="130">
        <f>SUMIFS(ТГ_ИД!$E:$E,ТГ_ИД!$B:$B,ТГ!$G$8,ТГ_ИД!$D:$D,ТГ!$A415)</f>
        <v>0</v>
      </c>
      <c r="Q414" s="130">
        <f>SUMIFS(ТГ_ИД!$E:$E,ТГ_ИД!$B:$B,ТГ!$G$9,ТГ_ИД!$D:$D,ТГ!$A415)</f>
        <v>0</v>
      </c>
      <c r="R414" s="130">
        <f>SUMIFS(ТГ_ИД!$E:$E,ТГ_ИД!$B:$B,ТГ!$G$10,ТГ_ИД!$D:$D,ТГ!$A415)</f>
        <v>0</v>
      </c>
      <c r="S414" s="130">
        <f>SUMIFS(ТГ_ИД!$E:$E,ТГ_ИД!$B:$B,ТГ!$G$11,ТГ_ИД!$D:$D,ТГ!$A415)</f>
        <v>0</v>
      </c>
      <c r="T414" s="130">
        <f>SUMIFS(ТГ_ИД!$E:$E,ТГ_ИД!$B:$B,ТГ!$G$12,ТГ_ИД!$D:$D,ТГ!$A415)</f>
        <v>0</v>
      </c>
      <c r="U414" s="130">
        <f>SUMIFS(ТГ_ИД!$E:$E,ТГ_ИД!$B:$B,ТГ!$G$13,ТГ_ИД!$D:$D,ТГ!$A415)</f>
        <v>0</v>
      </c>
      <c r="V414" s="130">
        <f>SUMIFS(ТГ_ИД!$E:$E,ТГ_ИД!$B:$B,ТГ!$G$14,ТГ_ИД!$D:$D,ТГ!$A415)</f>
        <v>0</v>
      </c>
    </row>
    <row r="415" spans="1:22" x14ac:dyDescent="0.25">
      <c r="A415" s="116" t="str">
        <f t="shared" si="7"/>
        <v/>
      </c>
      <c r="K415" s="130">
        <f>SUMIFS(ТГ_ИД!$E:$E,ТГ_ИД!$B:$B,ТГ!$G$3,ТГ_ИД!$D:$D,ТГ!$A416)</f>
        <v>0</v>
      </c>
      <c r="L415" s="130">
        <f>SUMIFS(ТГ_ИД!$E:$E,ТГ_ИД!$B:$B,ТГ!$G$4,ТГ_ИД!$D:$D,ТГ!$A416)</f>
        <v>0</v>
      </c>
      <c r="M415" s="130">
        <f>SUMIFS(ТГ_ИД!$E:$E,ТГ_ИД!$B:$B,ТГ!$G$5,ТГ_ИД!$D:$D,ТГ!$A416)</f>
        <v>0</v>
      </c>
      <c r="N415" s="130">
        <f>SUMIFS(ТГ_ИД!$E:$E,ТГ_ИД!$B:$B,ТГ!$G$6,ТГ_ИД!$D:$D,ТГ!$A416)</f>
        <v>0</v>
      </c>
      <c r="O415" s="130">
        <f>SUMIFS(ТГ_ИД!$E:$E,ТГ_ИД!$B:$B,ТГ!$G$7,ТГ_ИД!$D:$D,ТГ!$A416)</f>
        <v>0</v>
      </c>
      <c r="P415" s="130">
        <f>SUMIFS(ТГ_ИД!$E:$E,ТГ_ИД!$B:$B,ТГ!$G$8,ТГ_ИД!$D:$D,ТГ!$A416)</f>
        <v>0</v>
      </c>
      <c r="Q415" s="130">
        <f>SUMIFS(ТГ_ИД!$E:$E,ТГ_ИД!$B:$B,ТГ!$G$9,ТГ_ИД!$D:$D,ТГ!$A416)</f>
        <v>0</v>
      </c>
      <c r="R415" s="130">
        <f>SUMIFS(ТГ_ИД!$E:$E,ТГ_ИД!$B:$B,ТГ!$G$10,ТГ_ИД!$D:$D,ТГ!$A416)</f>
        <v>0</v>
      </c>
      <c r="S415" s="130">
        <f>SUMIFS(ТГ_ИД!$E:$E,ТГ_ИД!$B:$B,ТГ!$G$11,ТГ_ИД!$D:$D,ТГ!$A416)</f>
        <v>0</v>
      </c>
      <c r="T415" s="130">
        <f>SUMIFS(ТГ_ИД!$E:$E,ТГ_ИД!$B:$B,ТГ!$G$12,ТГ_ИД!$D:$D,ТГ!$A416)</f>
        <v>0</v>
      </c>
      <c r="U415" s="130">
        <f>SUMIFS(ТГ_ИД!$E:$E,ТГ_ИД!$B:$B,ТГ!$G$13,ТГ_ИД!$D:$D,ТГ!$A416)</f>
        <v>0</v>
      </c>
      <c r="V415" s="130">
        <f>SUMIFS(ТГ_ИД!$E:$E,ТГ_ИД!$B:$B,ТГ!$G$14,ТГ_ИД!$D:$D,ТГ!$A416)</f>
        <v>0</v>
      </c>
    </row>
    <row r="416" spans="1:22" x14ac:dyDescent="0.25">
      <c r="A416" s="116" t="str">
        <f t="shared" si="7"/>
        <v/>
      </c>
      <c r="K416" s="130">
        <f>SUMIFS(ТГ_ИД!$E:$E,ТГ_ИД!$B:$B,ТГ!$G$3,ТГ_ИД!$D:$D,ТГ!$A417)</f>
        <v>0</v>
      </c>
      <c r="L416" s="130">
        <f>SUMIFS(ТГ_ИД!$E:$E,ТГ_ИД!$B:$B,ТГ!$G$4,ТГ_ИД!$D:$D,ТГ!$A417)</f>
        <v>0</v>
      </c>
      <c r="M416" s="130">
        <f>SUMIFS(ТГ_ИД!$E:$E,ТГ_ИД!$B:$B,ТГ!$G$5,ТГ_ИД!$D:$D,ТГ!$A417)</f>
        <v>0</v>
      </c>
      <c r="N416" s="130">
        <f>SUMIFS(ТГ_ИД!$E:$E,ТГ_ИД!$B:$B,ТГ!$G$6,ТГ_ИД!$D:$D,ТГ!$A417)</f>
        <v>0</v>
      </c>
      <c r="O416" s="130">
        <f>SUMIFS(ТГ_ИД!$E:$E,ТГ_ИД!$B:$B,ТГ!$G$7,ТГ_ИД!$D:$D,ТГ!$A417)</f>
        <v>0</v>
      </c>
      <c r="P416" s="130">
        <f>SUMIFS(ТГ_ИД!$E:$E,ТГ_ИД!$B:$B,ТГ!$G$8,ТГ_ИД!$D:$D,ТГ!$A417)</f>
        <v>0</v>
      </c>
      <c r="Q416" s="130">
        <f>SUMIFS(ТГ_ИД!$E:$E,ТГ_ИД!$B:$B,ТГ!$G$9,ТГ_ИД!$D:$D,ТГ!$A417)</f>
        <v>0</v>
      </c>
      <c r="R416" s="130">
        <f>SUMIFS(ТГ_ИД!$E:$E,ТГ_ИД!$B:$B,ТГ!$G$10,ТГ_ИД!$D:$D,ТГ!$A417)</f>
        <v>0</v>
      </c>
      <c r="S416" s="130">
        <f>SUMIFS(ТГ_ИД!$E:$E,ТГ_ИД!$B:$B,ТГ!$G$11,ТГ_ИД!$D:$D,ТГ!$A417)</f>
        <v>0</v>
      </c>
      <c r="T416" s="130">
        <f>SUMIFS(ТГ_ИД!$E:$E,ТГ_ИД!$B:$B,ТГ!$G$12,ТГ_ИД!$D:$D,ТГ!$A417)</f>
        <v>0</v>
      </c>
      <c r="U416" s="130">
        <f>SUMIFS(ТГ_ИД!$E:$E,ТГ_ИД!$B:$B,ТГ!$G$13,ТГ_ИД!$D:$D,ТГ!$A417)</f>
        <v>0</v>
      </c>
      <c r="V416" s="130">
        <f>SUMIFS(ТГ_ИД!$E:$E,ТГ_ИД!$B:$B,ТГ!$G$14,ТГ_ИД!$D:$D,ТГ!$A417)</f>
        <v>0</v>
      </c>
    </row>
    <row r="417" spans="1:22" x14ac:dyDescent="0.25">
      <c r="A417" s="116" t="str">
        <f t="shared" si="7"/>
        <v/>
      </c>
      <c r="K417" s="130">
        <f>SUMIFS(ТГ_ИД!$E:$E,ТГ_ИД!$B:$B,ТГ!$G$3,ТГ_ИД!$D:$D,ТГ!$A418)</f>
        <v>0</v>
      </c>
      <c r="L417" s="130">
        <f>SUMIFS(ТГ_ИД!$E:$E,ТГ_ИД!$B:$B,ТГ!$G$4,ТГ_ИД!$D:$D,ТГ!$A418)</f>
        <v>0</v>
      </c>
      <c r="M417" s="130">
        <f>SUMIFS(ТГ_ИД!$E:$E,ТГ_ИД!$B:$B,ТГ!$G$5,ТГ_ИД!$D:$D,ТГ!$A418)</f>
        <v>0</v>
      </c>
      <c r="N417" s="130">
        <f>SUMIFS(ТГ_ИД!$E:$E,ТГ_ИД!$B:$B,ТГ!$G$6,ТГ_ИД!$D:$D,ТГ!$A418)</f>
        <v>0</v>
      </c>
      <c r="O417" s="130">
        <f>SUMIFS(ТГ_ИД!$E:$E,ТГ_ИД!$B:$B,ТГ!$G$7,ТГ_ИД!$D:$D,ТГ!$A418)</f>
        <v>0</v>
      </c>
      <c r="P417" s="130">
        <f>SUMIFS(ТГ_ИД!$E:$E,ТГ_ИД!$B:$B,ТГ!$G$8,ТГ_ИД!$D:$D,ТГ!$A418)</f>
        <v>0</v>
      </c>
      <c r="Q417" s="130">
        <f>SUMIFS(ТГ_ИД!$E:$E,ТГ_ИД!$B:$B,ТГ!$G$9,ТГ_ИД!$D:$D,ТГ!$A418)</f>
        <v>0</v>
      </c>
      <c r="R417" s="130">
        <f>SUMIFS(ТГ_ИД!$E:$E,ТГ_ИД!$B:$B,ТГ!$G$10,ТГ_ИД!$D:$D,ТГ!$A418)</f>
        <v>0</v>
      </c>
      <c r="S417" s="130">
        <f>SUMIFS(ТГ_ИД!$E:$E,ТГ_ИД!$B:$B,ТГ!$G$11,ТГ_ИД!$D:$D,ТГ!$A418)</f>
        <v>0</v>
      </c>
      <c r="T417" s="130">
        <f>SUMIFS(ТГ_ИД!$E:$E,ТГ_ИД!$B:$B,ТГ!$G$12,ТГ_ИД!$D:$D,ТГ!$A418)</f>
        <v>0</v>
      </c>
      <c r="U417" s="130">
        <f>SUMIFS(ТГ_ИД!$E:$E,ТГ_ИД!$B:$B,ТГ!$G$13,ТГ_ИД!$D:$D,ТГ!$A418)</f>
        <v>0</v>
      </c>
      <c r="V417" s="130">
        <f>SUMIFS(ТГ_ИД!$E:$E,ТГ_ИД!$B:$B,ТГ!$G$14,ТГ_ИД!$D:$D,ТГ!$A418)</f>
        <v>0</v>
      </c>
    </row>
    <row r="418" spans="1:22" x14ac:dyDescent="0.25">
      <c r="A418" s="116" t="str">
        <f t="shared" si="7"/>
        <v/>
      </c>
      <c r="K418" s="130">
        <f>SUMIFS(ТГ_ИД!$E:$E,ТГ_ИД!$B:$B,ТГ!$G$3,ТГ_ИД!$D:$D,ТГ!$A419)</f>
        <v>0</v>
      </c>
      <c r="L418" s="130">
        <f>SUMIFS(ТГ_ИД!$E:$E,ТГ_ИД!$B:$B,ТГ!$G$4,ТГ_ИД!$D:$D,ТГ!$A419)</f>
        <v>0</v>
      </c>
      <c r="M418" s="130">
        <f>SUMIFS(ТГ_ИД!$E:$E,ТГ_ИД!$B:$B,ТГ!$G$5,ТГ_ИД!$D:$D,ТГ!$A419)</f>
        <v>0</v>
      </c>
      <c r="N418" s="130">
        <f>SUMIFS(ТГ_ИД!$E:$E,ТГ_ИД!$B:$B,ТГ!$G$6,ТГ_ИД!$D:$D,ТГ!$A419)</f>
        <v>0</v>
      </c>
      <c r="O418" s="130">
        <f>SUMIFS(ТГ_ИД!$E:$E,ТГ_ИД!$B:$B,ТГ!$G$7,ТГ_ИД!$D:$D,ТГ!$A419)</f>
        <v>0</v>
      </c>
      <c r="P418" s="130">
        <f>SUMIFS(ТГ_ИД!$E:$E,ТГ_ИД!$B:$B,ТГ!$G$8,ТГ_ИД!$D:$D,ТГ!$A419)</f>
        <v>0</v>
      </c>
      <c r="Q418" s="130">
        <f>SUMIFS(ТГ_ИД!$E:$E,ТГ_ИД!$B:$B,ТГ!$G$9,ТГ_ИД!$D:$D,ТГ!$A419)</f>
        <v>0</v>
      </c>
      <c r="R418" s="130">
        <f>SUMIFS(ТГ_ИД!$E:$E,ТГ_ИД!$B:$B,ТГ!$G$10,ТГ_ИД!$D:$D,ТГ!$A419)</f>
        <v>0</v>
      </c>
      <c r="S418" s="130">
        <f>SUMIFS(ТГ_ИД!$E:$E,ТГ_ИД!$B:$B,ТГ!$G$11,ТГ_ИД!$D:$D,ТГ!$A419)</f>
        <v>0</v>
      </c>
      <c r="T418" s="130">
        <f>SUMIFS(ТГ_ИД!$E:$E,ТГ_ИД!$B:$B,ТГ!$G$12,ТГ_ИД!$D:$D,ТГ!$A419)</f>
        <v>0</v>
      </c>
      <c r="U418" s="130">
        <f>SUMIFS(ТГ_ИД!$E:$E,ТГ_ИД!$B:$B,ТГ!$G$13,ТГ_ИД!$D:$D,ТГ!$A419)</f>
        <v>0</v>
      </c>
      <c r="V418" s="130">
        <f>SUMIFS(ТГ_ИД!$E:$E,ТГ_ИД!$B:$B,ТГ!$G$14,ТГ_ИД!$D:$D,ТГ!$A419)</f>
        <v>0</v>
      </c>
    </row>
    <row r="419" spans="1:22" x14ac:dyDescent="0.25">
      <c r="A419" s="116" t="str">
        <f t="shared" si="7"/>
        <v/>
      </c>
      <c r="K419" s="130">
        <f>SUMIFS(ТГ_ИД!$E:$E,ТГ_ИД!$B:$B,ТГ!$G$3,ТГ_ИД!$D:$D,ТГ!$A420)</f>
        <v>0</v>
      </c>
      <c r="L419" s="130">
        <f>SUMIFS(ТГ_ИД!$E:$E,ТГ_ИД!$B:$B,ТГ!$G$4,ТГ_ИД!$D:$D,ТГ!$A420)</f>
        <v>0</v>
      </c>
      <c r="M419" s="130">
        <f>SUMIFS(ТГ_ИД!$E:$E,ТГ_ИД!$B:$B,ТГ!$G$5,ТГ_ИД!$D:$D,ТГ!$A420)</f>
        <v>0</v>
      </c>
      <c r="N419" s="130">
        <f>SUMIFS(ТГ_ИД!$E:$E,ТГ_ИД!$B:$B,ТГ!$G$6,ТГ_ИД!$D:$D,ТГ!$A420)</f>
        <v>0</v>
      </c>
      <c r="O419" s="130">
        <f>SUMIFS(ТГ_ИД!$E:$E,ТГ_ИД!$B:$B,ТГ!$G$7,ТГ_ИД!$D:$D,ТГ!$A420)</f>
        <v>0</v>
      </c>
      <c r="P419" s="130">
        <f>SUMIFS(ТГ_ИД!$E:$E,ТГ_ИД!$B:$B,ТГ!$G$8,ТГ_ИД!$D:$D,ТГ!$A420)</f>
        <v>0</v>
      </c>
      <c r="Q419" s="130">
        <f>SUMIFS(ТГ_ИД!$E:$E,ТГ_ИД!$B:$B,ТГ!$G$9,ТГ_ИД!$D:$D,ТГ!$A420)</f>
        <v>0</v>
      </c>
      <c r="R419" s="130">
        <f>SUMIFS(ТГ_ИД!$E:$E,ТГ_ИД!$B:$B,ТГ!$G$10,ТГ_ИД!$D:$D,ТГ!$A420)</f>
        <v>0</v>
      </c>
      <c r="S419" s="130">
        <f>SUMIFS(ТГ_ИД!$E:$E,ТГ_ИД!$B:$B,ТГ!$G$11,ТГ_ИД!$D:$D,ТГ!$A420)</f>
        <v>0</v>
      </c>
      <c r="T419" s="130">
        <f>SUMIFS(ТГ_ИД!$E:$E,ТГ_ИД!$B:$B,ТГ!$G$12,ТГ_ИД!$D:$D,ТГ!$A420)</f>
        <v>0</v>
      </c>
      <c r="U419" s="130">
        <f>SUMIFS(ТГ_ИД!$E:$E,ТГ_ИД!$B:$B,ТГ!$G$13,ТГ_ИД!$D:$D,ТГ!$A420)</f>
        <v>0</v>
      </c>
      <c r="V419" s="130">
        <f>SUMIFS(ТГ_ИД!$E:$E,ТГ_ИД!$B:$B,ТГ!$G$14,ТГ_ИД!$D:$D,ТГ!$A420)</f>
        <v>0</v>
      </c>
    </row>
    <row r="420" spans="1:22" x14ac:dyDescent="0.25">
      <c r="A420" s="116" t="str">
        <f t="shared" si="7"/>
        <v/>
      </c>
      <c r="K420" s="130">
        <f>SUMIFS(ТГ_ИД!$E:$E,ТГ_ИД!$B:$B,ТГ!$G$3,ТГ_ИД!$D:$D,ТГ!$A421)</f>
        <v>0</v>
      </c>
      <c r="L420" s="130">
        <f>SUMIFS(ТГ_ИД!$E:$E,ТГ_ИД!$B:$B,ТГ!$G$4,ТГ_ИД!$D:$D,ТГ!$A421)</f>
        <v>0</v>
      </c>
      <c r="M420" s="130">
        <f>SUMIFS(ТГ_ИД!$E:$E,ТГ_ИД!$B:$B,ТГ!$G$5,ТГ_ИД!$D:$D,ТГ!$A421)</f>
        <v>0</v>
      </c>
      <c r="N420" s="130">
        <f>SUMIFS(ТГ_ИД!$E:$E,ТГ_ИД!$B:$B,ТГ!$G$6,ТГ_ИД!$D:$D,ТГ!$A421)</f>
        <v>0</v>
      </c>
      <c r="O420" s="130">
        <f>SUMIFS(ТГ_ИД!$E:$E,ТГ_ИД!$B:$B,ТГ!$G$7,ТГ_ИД!$D:$D,ТГ!$A421)</f>
        <v>0</v>
      </c>
      <c r="P420" s="130">
        <f>SUMIFS(ТГ_ИД!$E:$E,ТГ_ИД!$B:$B,ТГ!$G$8,ТГ_ИД!$D:$D,ТГ!$A421)</f>
        <v>0</v>
      </c>
      <c r="Q420" s="130">
        <f>SUMIFS(ТГ_ИД!$E:$E,ТГ_ИД!$B:$B,ТГ!$G$9,ТГ_ИД!$D:$D,ТГ!$A421)</f>
        <v>0</v>
      </c>
      <c r="R420" s="130">
        <f>SUMIFS(ТГ_ИД!$E:$E,ТГ_ИД!$B:$B,ТГ!$G$10,ТГ_ИД!$D:$D,ТГ!$A421)</f>
        <v>0</v>
      </c>
      <c r="S420" s="130">
        <f>SUMIFS(ТГ_ИД!$E:$E,ТГ_ИД!$B:$B,ТГ!$G$11,ТГ_ИД!$D:$D,ТГ!$A421)</f>
        <v>0</v>
      </c>
      <c r="T420" s="130">
        <f>SUMIFS(ТГ_ИД!$E:$E,ТГ_ИД!$B:$B,ТГ!$G$12,ТГ_ИД!$D:$D,ТГ!$A421)</f>
        <v>0</v>
      </c>
      <c r="U420" s="130">
        <f>SUMIFS(ТГ_ИД!$E:$E,ТГ_ИД!$B:$B,ТГ!$G$13,ТГ_ИД!$D:$D,ТГ!$A421)</f>
        <v>0</v>
      </c>
      <c r="V420" s="130">
        <f>SUMIFS(ТГ_ИД!$E:$E,ТГ_ИД!$B:$B,ТГ!$G$14,ТГ_ИД!$D:$D,ТГ!$A421)</f>
        <v>0</v>
      </c>
    </row>
    <row r="421" spans="1:22" x14ac:dyDescent="0.25">
      <c r="A421" s="116" t="str">
        <f t="shared" si="7"/>
        <v/>
      </c>
      <c r="K421" s="130">
        <f>SUMIFS(ТГ_ИД!$E:$E,ТГ_ИД!$B:$B,ТГ!$G$3,ТГ_ИД!$D:$D,ТГ!$A422)</f>
        <v>0</v>
      </c>
      <c r="L421" s="130">
        <f>SUMIFS(ТГ_ИД!$E:$E,ТГ_ИД!$B:$B,ТГ!$G$4,ТГ_ИД!$D:$D,ТГ!$A422)</f>
        <v>0</v>
      </c>
      <c r="M421" s="130">
        <f>SUMIFS(ТГ_ИД!$E:$E,ТГ_ИД!$B:$B,ТГ!$G$5,ТГ_ИД!$D:$D,ТГ!$A422)</f>
        <v>0</v>
      </c>
      <c r="N421" s="130">
        <f>SUMIFS(ТГ_ИД!$E:$E,ТГ_ИД!$B:$B,ТГ!$G$6,ТГ_ИД!$D:$D,ТГ!$A422)</f>
        <v>0</v>
      </c>
      <c r="O421" s="130">
        <f>SUMIFS(ТГ_ИД!$E:$E,ТГ_ИД!$B:$B,ТГ!$G$7,ТГ_ИД!$D:$D,ТГ!$A422)</f>
        <v>0</v>
      </c>
      <c r="P421" s="130">
        <f>SUMIFS(ТГ_ИД!$E:$E,ТГ_ИД!$B:$B,ТГ!$G$8,ТГ_ИД!$D:$D,ТГ!$A422)</f>
        <v>0</v>
      </c>
      <c r="Q421" s="130">
        <f>SUMIFS(ТГ_ИД!$E:$E,ТГ_ИД!$B:$B,ТГ!$G$9,ТГ_ИД!$D:$D,ТГ!$A422)</f>
        <v>0</v>
      </c>
      <c r="R421" s="130">
        <f>SUMIFS(ТГ_ИД!$E:$E,ТГ_ИД!$B:$B,ТГ!$G$10,ТГ_ИД!$D:$D,ТГ!$A422)</f>
        <v>0</v>
      </c>
      <c r="S421" s="130">
        <f>SUMIFS(ТГ_ИД!$E:$E,ТГ_ИД!$B:$B,ТГ!$G$11,ТГ_ИД!$D:$D,ТГ!$A422)</f>
        <v>0</v>
      </c>
      <c r="T421" s="130">
        <f>SUMIFS(ТГ_ИД!$E:$E,ТГ_ИД!$B:$B,ТГ!$G$12,ТГ_ИД!$D:$D,ТГ!$A422)</f>
        <v>0</v>
      </c>
      <c r="U421" s="130">
        <f>SUMIFS(ТГ_ИД!$E:$E,ТГ_ИД!$B:$B,ТГ!$G$13,ТГ_ИД!$D:$D,ТГ!$A422)</f>
        <v>0</v>
      </c>
      <c r="V421" s="130">
        <f>SUMIFS(ТГ_ИД!$E:$E,ТГ_ИД!$B:$B,ТГ!$G$14,ТГ_ИД!$D:$D,ТГ!$A422)</f>
        <v>0</v>
      </c>
    </row>
    <row r="422" spans="1:22" x14ac:dyDescent="0.25">
      <c r="A422" s="116" t="str">
        <f t="shared" si="7"/>
        <v/>
      </c>
      <c r="K422" s="130">
        <f>SUMIFS(ТГ_ИД!$E:$E,ТГ_ИД!$B:$B,ТГ!$G$3,ТГ_ИД!$D:$D,ТГ!$A423)</f>
        <v>0</v>
      </c>
      <c r="L422" s="130">
        <f>SUMIFS(ТГ_ИД!$E:$E,ТГ_ИД!$B:$B,ТГ!$G$4,ТГ_ИД!$D:$D,ТГ!$A423)</f>
        <v>0</v>
      </c>
      <c r="M422" s="130">
        <f>SUMIFS(ТГ_ИД!$E:$E,ТГ_ИД!$B:$B,ТГ!$G$5,ТГ_ИД!$D:$D,ТГ!$A423)</f>
        <v>0</v>
      </c>
      <c r="N422" s="130">
        <f>SUMIFS(ТГ_ИД!$E:$E,ТГ_ИД!$B:$B,ТГ!$G$6,ТГ_ИД!$D:$D,ТГ!$A423)</f>
        <v>0</v>
      </c>
      <c r="O422" s="130">
        <f>SUMIFS(ТГ_ИД!$E:$E,ТГ_ИД!$B:$B,ТГ!$G$7,ТГ_ИД!$D:$D,ТГ!$A423)</f>
        <v>0</v>
      </c>
      <c r="P422" s="130">
        <f>SUMIFS(ТГ_ИД!$E:$E,ТГ_ИД!$B:$B,ТГ!$G$8,ТГ_ИД!$D:$D,ТГ!$A423)</f>
        <v>0</v>
      </c>
      <c r="Q422" s="130">
        <f>SUMIFS(ТГ_ИД!$E:$E,ТГ_ИД!$B:$B,ТГ!$G$9,ТГ_ИД!$D:$D,ТГ!$A423)</f>
        <v>0</v>
      </c>
      <c r="R422" s="130">
        <f>SUMIFS(ТГ_ИД!$E:$E,ТГ_ИД!$B:$B,ТГ!$G$10,ТГ_ИД!$D:$D,ТГ!$A423)</f>
        <v>0</v>
      </c>
      <c r="S422" s="130">
        <f>SUMIFS(ТГ_ИД!$E:$E,ТГ_ИД!$B:$B,ТГ!$G$11,ТГ_ИД!$D:$D,ТГ!$A423)</f>
        <v>0</v>
      </c>
      <c r="T422" s="130">
        <f>SUMIFS(ТГ_ИД!$E:$E,ТГ_ИД!$B:$B,ТГ!$G$12,ТГ_ИД!$D:$D,ТГ!$A423)</f>
        <v>0</v>
      </c>
      <c r="U422" s="130">
        <f>SUMIFS(ТГ_ИД!$E:$E,ТГ_ИД!$B:$B,ТГ!$G$13,ТГ_ИД!$D:$D,ТГ!$A423)</f>
        <v>0</v>
      </c>
      <c r="V422" s="130">
        <f>SUMIFS(ТГ_ИД!$E:$E,ТГ_ИД!$B:$B,ТГ!$G$14,ТГ_ИД!$D:$D,ТГ!$A423)</f>
        <v>0</v>
      </c>
    </row>
    <row r="423" spans="1:22" x14ac:dyDescent="0.25">
      <c r="A423" s="116" t="str">
        <f t="shared" si="7"/>
        <v/>
      </c>
      <c r="K423" s="130">
        <f>SUMIFS(ТГ_ИД!$E:$E,ТГ_ИД!$B:$B,ТГ!$G$3,ТГ_ИД!$D:$D,ТГ!$A424)</f>
        <v>0</v>
      </c>
      <c r="L423" s="130">
        <f>SUMIFS(ТГ_ИД!$E:$E,ТГ_ИД!$B:$B,ТГ!$G$4,ТГ_ИД!$D:$D,ТГ!$A424)</f>
        <v>0</v>
      </c>
      <c r="M423" s="130">
        <f>SUMIFS(ТГ_ИД!$E:$E,ТГ_ИД!$B:$B,ТГ!$G$5,ТГ_ИД!$D:$D,ТГ!$A424)</f>
        <v>0</v>
      </c>
      <c r="N423" s="130">
        <f>SUMIFS(ТГ_ИД!$E:$E,ТГ_ИД!$B:$B,ТГ!$G$6,ТГ_ИД!$D:$D,ТГ!$A424)</f>
        <v>0</v>
      </c>
      <c r="O423" s="130">
        <f>SUMIFS(ТГ_ИД!$E:$E,ТГ_ИД!$B:$B,ТГ!$G$7,ТГ_ИД!$D:$D,ТГ!$A424)</f>
        <v>0</v>
      </c>
      <c r="P423" s="130">
        <f>SUMIFS(ТГ_ИД!$E:$E,ТГ_ИД!$B:$B,ТГ!$G$8,ТГ_ИД!$D:$D,ТГ!$A424)</f>
        <v>0</v>
      </c>
      <c r="Q423" s="130">
        <f>SUMIFS(ТГ_ИД!$E:$E,ТГ_ИД!$B:$B,ТГ!$G$9,ТГ_ИД!$D:$D,ТГ!$A424)</f>
        <v>0</v>
      </c>
      <c r="R423" s="130">
        <f>SUMIFS(ТГ_ИД!$E:$E,ТГ_ИД!$B:$B,ТГ!$G$10,ТГ_ИД!$D:$D,ТГ!$A424)</f>
        <v>0</v>
      </c>
      <c r="S423" s="130">
        <f>SUMIFS(ТГ_ИД!$E:$E,ТГ_ИД!$B:$B,ТГ!$G$11,ТГ_ИД!$D:$D,ТГ!$A424)</f>
        <v>0</v>
      </c>
      <c r="T423" s="130">
        <f>SUMIFS(ТГ_ИД!$E:$E,ТГ_ИД!$B:$B,ТГ!$G$12,ТГ_ИД!$D:$D,ТГ!$A424)</f>
        <v>0</v>
      </c>
      <c r="U423" s="130">
        <f>SUMIFS(ТГ_ИД!$E:$E,ТГ_ИД!$B:$B,ТГ!$G$13,ТГ_ИД!$D:$D,ТГ!$A424)</f>
        <v>0</v>
      </c>
      <c r="V423" s="130">
        <f>SUMIFS(ТГ_ИД!$E:$E,ТГ_ИД!$B:$B,ТГ!$G$14,ТГ_ИД!$D:$D,ТГ!$A424)</f>
        <v>0</v>
      </c>
    </row>
    <row r="424" spans="1:22" x14ac:dyDescent="0.25">
      <c r="A424" s="116" t="str">
        <f t="shared" si="7"/>
        <v/>
      </c>
      <c r="K424" s="130">
        <f>SUMIFS(ТГ_ИД!$E:$E,ТГ_ИД!$B:$B,ТГ!$G$3,ТГ_ИД!$D:$D,ТГ!$A425)</f>
        <v>0</v>
      </c>
      <c r="L424" s="130">
        <f>SUMIFS(ТГ_ИД!$E:$E,ТГ_ИД!$B:$B,ТГ!$G$4,ТГ_ИД!$D:$D,ТГ!$A425)</f>
        <v>0</v>
      </c>
      <c r="M424" s="130">
        <f>SUMIFS(ТГ_ИД!$E:$E,ТГ_ИД!$B:$B,ТГ!$G$5,ТГ_ИД!$D:$D,ТГ!$A425)</f>
        <v>0</v>
      </c>
      <c r="N424" s="130">
        <f>SUMIFS(ТГ_ИД!$E:$E,ТГ_ИД!$B:$B,ТГ!$G$6,ТГ_ИД!$D:$D,ТГ!$A425)</f>
        <v>0</v>
      </c>
      <c r="O424" s="130">
        <f>SUMIFS(ТГ_ИД!$E:$E,ТГ_ИД!$B:$B,ТГ!$G$7,ТГ_ИД!$D:$D,ТГ!$A425)</f>
        <v>0</v>
      </c>
      <c r="P424" s="130">
        <f>SUMIFS(ТГ_ИД!$E:$E,ТГ_ИД!$B:$B,ТГ!$G$8,ТГ_ИД!$D:$D,ТГ!$A425)</f>
        <v>0</v>
      </c>
      <c r="Q424" s="130">
        <f>SUMIFS(ТГ_ИД!$E:$E,ТГ_ИД!$B:$B,ТГ!$G$9,ТГ_ИД!$D:$D,ТГ!$A425)</f>
        <v>0</v>
      </c>
      <c r="R424" s="130">
        <f>SUMIFS(ТГ_ИД!$E:$E,ТГ_ИД!$B:$B,ТГ!$G$10,ТГ_ИД!$D:$D,ТГ!$A425)</f>
        <v>0</v>
      </c>
      <c r="S424" s="130">
        <f>SUMIFS(ТГ_ИД!$E:$E,ТГ_ИД!$B:$B,ТГ!$G$11,ТГ_ИД!$D:$D,ТГ!$A425)</f>
        <v>0</v>
      </c>
      <c r="T424" s="130">
        <f>SUMIFS(ТГ_ИД!$E:$E,ТГ_ИД!$B:$B,ТГ!$G$12,ТГ_ИД!$D:$D,ТГ!$A425)</f>
        <v>0</v>
      </c>
      <c r="U424" s="130">
        <f>SUMIFS(ТГ_ИД!$E:$E,ТГ_ИД!$B:$B,ТГ!$G$13,ТГ_ИД!$D:$D,ТГ!$A425)</f>
        <v>0</v>
      </c>
      <c r="V424" s="130">
        <f>SUMIFS(ТГ_ИД!$E:$E,ТГ_ИД!$B:$B,ТГ!$G$14,ТГ_ИД!$D:$D,ТГ!$A425)</f>
        <v>0</v>
      </c>
    </row>
    <row r="425" spans="1:22" x14ac:dyDescent="0.25">
      <c r="A425" s="116" t="str">
        <f t="shared" si="7"/>
        <v/>
      </c>
      <c r="K425" s="130">
        <f>SUMIFS(ТГ_ИД!$E:$E,ТГ_ИД!$B:$B,ТГ!$G$3,ТГ_ИД!$D:$D,ТГ!$A426)</f>
        <v>0</v>
      </c>
      <c r="L425" s="130">
        <f>SUMIFS(ТГ_ИД!$E:$E,ТГ_ИД!$B:$B,ТГ!$G$4,ТГ_ИД!$D:$D,ТГ!$A426)</f>
        <v>0</v>
      </c>
      <c r="M425" s="130">
        <f>SUMIFS(ТГ_ИД!$E:$E,ТГ_ИД!$B:$B,ТГ!$G$5,ТГ_ИД!$D:$D,ТГ!$A426)</f>
        <v>0</v>
      </c>
      <c r="N425" s="130">
        <f>SUMIFS(ТГ_ИД!$E:$E,ТГ_ИД!$B:$B,ТГ!$G$6,ТГ_ИД!$D:$D,ТГ!$A426)</f>
        <v>0</v>
      </c>
      <c r="O425" s="130">
        <f>SUMIFS(ТГ_ИД!$E:$E,ТГ_ИД!$B:$B,ТГ!$G$7,ТГ_ИД!$D:$D,ТГ!$A426)</f>
        <v>0</v>
      </c>
      <c r="P425" s="130">
        <f>SUMIFS(ТГ_ИД!$E:$E,ТГ_ИД!$B:$B,ТГ!$G$8,ТГ_ИД!$D:$D,ТГ!$A426)</f>
        <v>0</v>
      </c>
      <c r="Q425" s="130">
        <f>SUMIFS(ТГ_ИД!$E:$E,ТГ_ИД!$B:$B,ТГ!$G$9,ТГ_ИД!$D:$D,ТГ!$A426)</f>
        <v>0</v>
      </c>
      <c r="R425" s="130">
        <f>SUMIFS(ТГ_ИД!$E:$E,ТГ_ИД!$B:$B,ТГ!$G$10,ТГ_ИД!$D:$D,ТГ!$A426)</f>
        <v>0</v>
      </c>
      <c r="S425" s="130">
        <f>SUMIFS(ТГ_ИД!$E:$E,ТГ_ИД!$B:$B,ТГ!$G$11,ТГ_ИД!$D:$D,ТГ!$A426)</f>
        <v>0</v>
      </c>
      <c r="T425" s="130">
        <f>SUMIFS(ТГ_ИД!$E:$E,ТГ_ИД!$B:$B,ТГ!$G$12,ТГ_ИД!$D:$D,ТГ!$A426)</f>
        <v>0</v>
      </c>
      <c r="U425" s="130">
        <f>SUMIFS(ТГ_ИД!$E:$E,ТГ_ИД!$B:$B,ТГ!$G$13,ТГ_ИД!$D:$D,ТГ!$A426)</f>
        <v>0</v>
      </c>
      <c r="V425" s="130">
        <f>SUMIFS(ТГ_ИД!$E:$E,ТГ_ИД!$B:$B,ТГ!$G$14,ТГ_ИД!$D:$D,ТГ!$A426)</f>
        <v>0</v>
      </c>
    </row>
    <row r="426" spans="1:22" x14ac:dyDescent="0.25">
      <c r="A426" s="116" t="str">
        <f t="shared" si="7"/>
        <v/>
      </c>
      <c r="K426" s="130">
        <f>SUMIFS(ТГ_ИД!$E:$E,ТГ_ИД!$B:$B,ТГ!$G$3,ТГ_ИД!$D:$D,ТГ!$A427)</f>
        <v>0</v>
      </c>
      <c r="L426" s="130">
        <f>SUMIFS(ТГ_ИД!$E:$E,ТГ_ИД!$B:$B,ТГ!$G$4,ТГ_ИД!$D:$D,ТГ!$A427)</f>
        <v>0</v>
      </c>
      <c r="M426" s="130">
        <f>SUMIFS(ТГ_ИД!$E:$E,ТГ_ИД!$B:$B,ТГ!$G$5,ТГ_ИД!$D:$D,ТГ!$A427)</f>
        <v>0</v>
      </c>
      <c r="N426" s="130">
        <f>SUMIFS(ТГ_ИД!$E:$E,ТГ_ИД!$B:$B,ТГ!$G$6,ТГ_ИД!$D:$D,ТГ!$A427)</f>
        <v>0</v>
      </c>
      <c r="O426" s="130">
        <f>SUMIFS(ТГ_ИД!$E:$E,ТГ_ИД!$B:$B,ТГ!$G$7,ТГ_ИД!$D:$D,ТГ!$A427)</f>
        <v>0</v>
      </c>
      <c r="P426" s="130">
        <f>SUMIFS(ТГ_ИД!$E:$E,ТГ_ИД!$B:$B,ТГ!$G$8,ТГ_ИД!$D:$D,ТГ!$A427)</f>
        <v>0</v>
      </c>
      <c r="Q426" s="130">
        <f>SUMIFS(ТГ_ИД!$E:$E,ТГ_ИД!$B:$B,ТГ!$G$9,ТГ_ИД!$D:$D,ТГ!$A427)</f>
        <v>0</v>
      </c>
      <c r="R426" s="130">
        <f>SUMIFS(ТГ_ИД!$E:$E,ТГ_ИД!$B:$B,ТГ!$G$10,ТГ_ИД!$D:$D,ТГ!$A427)</f>
        <v>0</v>
      </c>
      <c r="S426" s="130">
        <f>SUMIFS(ТГ_ИД!$E:$E,ТГ_ИД!$B:$B,ТГ!$G$11,ТГ_ИД!$D:$D,ТГ!$A427)</f>
        <v>0</v>
      </c>
      <c r="T426" s="130">
        <f>SUMIFS(ТГ_ИД!$E:$E,ТГ_ИД!$B:$B,ТГ!$G$12,ТГ_ИД!$D:$D,ТГ!$A427)</f>
        <v>0</v>
      </c>
      <c r="U426" s="130">
        <f>SUMIFS(ТГ_ИД!$E:$E,ТГ_ИД!$B:$B,ТГ!$G$13,ТГ_ИД!$D:$D,ТГ!$A427)</f>
        <v>0</v>
      </c>
      <c r="V426" s="130">
        <f>SUMIFS(ТГ_ИД!$E:$E,ТГ_ИД!$B:$B,ТГ!$G$14,ТГ_ИД!$D:$D,ТГ!$A427)</f>
        <v>0</v>
      </c>
    </row>
    <row r="427" spans="1:22" x14ac:dyDescent="0.25">
      <c r="A427" s="116" t="str">
        <f t="shared" si="7"/>
        <v/>
      </c>
      <c r="K427" s="130">
        <f>SUMIFS(ТГ_ИД!$E:$E,ТГ_ИД!$B:$B,ТГ!$G$3,ТГ_ИД!$D:$D,ТГ!$A428)</f>
        <v>0</v>
      </c>
      <c r="L427" s="130">
        <f>SUMIFS(ТГ_ИД!$E:$E,ТГ_ИД!$B:$B,ТГ!$G$4,ТГ_ИД!$D:$D,ТГ!$A428)</f>
        <v>0</v>
      </c>
      <c r="M427" s="130">
        <f>SUMIFS(ТГ_ИД!$E:$E,ТГ_ИД!$B:$B,ТГ!$G$5,ТГ_ИД!$D:$D,ТГ!$A428)</f>
        <v>0</v>
      </c>
      <c r="N427" s="130">
        <f>SUMIFS(ТГ_ИД!$E:$E,ТГ_ИД!$B:$B,ТГ!$G$6,ТГ_ИД!$D:$D,ТГ!$A428)</f>
        <v>0</v>
      </c>
      <c r="O427" s="130">
        <f>SUMIFS(ТГ_ИД!$E:$E,ТГ_ИД!$B:$B,ТГ!$G$7,ТГ_ИД!$D:$D,ТГ!$A428)</f>
        <v>0</v>
      </c>
      <c r="P427" s="130">
        <f>SUMIFS(ТГ_ИД!$E:$E,ТГ_ИД!$B:$B,ТГ!$G$8,ТГ_ИД!$D:$D,ТГ!$A428)</f>
        <v>0</v>
      </c>
      <c r="Q427" s="130">
        <f>SUMIFS(ТГ_ИД!$E:$E,ТГ_ИД!$B:$B,ТГ!$G$9,ТГ_ИД!$D:$D,ТГ!$A428)</f>
        <v>0</v>
      </c>
      <c r="R427" s="130">
        <f>SUMIFS(ТГ_ИД!$E:$E,ТГ_ИД!$B:$B,ТГ!$G$10,ТГ_ИД!$D:$D,ТГ!$A428)</f>
        <v>0</v>
      </c>
      <c r="S427" s="130">
        <f>SUMIFS(ТГ_ИД!$E:$E,ТГ_ИД!$B:$B,ТГ!$G$11,ТГ_ИД!$D:$D,ТГ!$A428)</f>
        <v>0</v>
      </c>
      <c r="T427" s="130">
        <f>SUMIFS(ТГ_ИД!$E:$E,ТГ_ИД!$B:$B,ТГ!$G$12,ТГ_ИД!$D:$D,ТГ!$A428)</f>
        <v>0</v>
      </c>
      <c r="U427" s="130">
        <f>SUMIFS(ТГ_ИД!$E:$E,ТГ_ИД!$B:$B,ТГ!$G$13,ТГ_ИД!$D:$D,ТГ!$A428)</f>
        <v>0</v>
      </c>
      <c r="V427" s="130">
        <f>SUMIFS(ТГ_ИД!$E:$E,ТГ_ИД!$B:$B,ТГ!$G$14,ТГ_ИД!$D:$D,ТГ!$A428)</f>
        <v>0</v>
      </c>
    </row>
    <row r="428" spans="1:22" x14ac:dyDescent="0.25">
      <c r="A428" s="116" t="str">
        <f t="shared" si="7"/>
        <v/>
      </c>
      <c r="K428" s="130">
        <f>SUMIFS(ТГ_ИД!$E:$E,ТГ_ИД!$B:$B,ТГ!$G$3,ТГ_ИД!$D:$D,ТГ!$A429)</f>
        <v>0</v>
      </c>
      <c r="L428" s="130">
        <f>SUMIFS(ТГ_ИД!$E:$E,ТГ_ИД!$B:$B,ТГ!$G$4,ТГ_ИД!$D:$D,ТГ!$A429)</f>
        <v>0</v>
      </c>
      <c r="M428" s="130">
        <f>SUMIFS(ТГ_ИД!$E:$E,ТГ_ИД!$B:$B,ТГ!$G$5,ТГ_ИД!$D:$D,ТГ!$A429)</f>
        <v>0</v>
      </c>
      <c r="N428" s="130">
        <f>SUMIFS(ТГ_ИД!$E:$E,ТГ_ИД!$B:$B,ТГ!$G$6,ТГ_ИД!$D:$D,ТГ!$A429)</f>
        <v>0</v>
      </c>
      <c r="O428" s="130">
        <f>SUMIFS(ТГ_ИД!$E:$E,ТГ_ИД!$B:$B,ТГ!$G$7,ТГ_ИД!$D:$D,ТГ!$A429)</f>
        <v>0</v>
      </c>
      <c r="P428" s="130">
        <f>SUMIFS(ТГ_ИД!$E:$E,ТГ_ИД!$B:$B,ТГ!$G$8,ТГ_ИД!$D:$D,ТГ!$A429)</f>
        <v>0</v>
      </c>
      <c r="Q428" s="130">
        <f>SUMIFS(ТГ_ИД!$E:$E,ТГ_ИД!$B:$B,ТГ!$G$9,ТГ_ИД!$D:$D,ТГ!$A429)</f>
        <v>0</v>
      </c>
      <c r="R428" s="130">
        <f>SUMIFS(ТГ_ИД!$E:$E,ТГ_ИД!$B:$B,ТГ!$G$10,ТГ_ИД!$D:$D,ТГ!$A429)</f>
        <v>0</v>
      </c>
      <c r="S428" s="130">
        <f>SUMIFS(ТГ_ИД!$E:$E,ТГ_ИД!$B:$B,ТГ!$G$11,ТГ_ИД!$D:$D,ТГ!$A429)</f>
        <v>0</v>
      </c>
      <c r="T428" s="130">
        <f>SUMIFS(ТГ_ИД!$E:$E,ТГ_ИД!$B:$B,ТГ!$G$12,ТГ_ИД!$D:$D,ТГ!$A429)</f>
        <v>0</v>
      </c>
      <c r="U428" s="130">
        <f>SUMIFS(ТГ_ИД!$E:$E,ТГ_ИД!$B:$B,ТГ!$G$13,ТГ_ИД!$D:$D,ТГ!$A429)</f>
        <v>0</v>
      </c>
      <c r="V428" s="130">
        <f>SUMIFS(ТГ_ИД!$E:$E,ТГ_ИД!$B:$B,ТГ!$G$14,ТГ_ИД!$D:$D,ТГ!$A429)</f>
        <v>0</v>
      </c>
    </row>
    <row r="429" spans="1:22" x14ac:dyDescent="0.25">
      <c r="A429" s="116" t="str">
        <f t="shared" si="7"/>
        <v/>
      </c>
      <c r="K429" s="130">
        <f>SUMIFS(ТГ_ИД!$E:$E,ТГ_ИД!$B:$B,ТГ!$G$3,ТГ_ИД!$D:$D,ТГ!$A430)</f>
        <v>0</v>
      </c>
      <c r="L429" s="130">
        <f>SUMIFS(ТГ_ИД!$E:$E,ТГ_ИД!$B:$B,ТГ!$G$4,ТГ_ИД!$D:$D,ТГ!$A430)</f>
        <v>0</v>
      </c>
      <c r="M429" s="130">
        <f>SUMIFS(ТГ_ИД!$E:$E,ТГ_ИД!$B:$B,ТГ!$G$5,ТГ_ИД!$D:$D,ТГ!$A430)</f>
        <v>0</v>
      </c>
      <c r="N429" s="130">
        <f>SUMIFS(ТГ_ИД!$E:$E,ТГ_ИД!$B:$B,ТГ!$G$6,ТГ_ИД!$D:$D,ТГ!$A430)</f>
        <v>0</v>
      </c>
      <c r="O429" s="130">
        <f>SUMIFS(ТГ_ИД!$E:$E,ТГ_ИД!$B:$B,ТГ!$G$7,ТГ_ИД!$D:$D,ТГ!$A430)</f>
        <v>0</v>
      </c>
      <c r="P429" s="130">
        <f>SUMIFS(ТГ_ИД!$E:$E,ТГ_ИД!$B:$B,ТГ!$G$8,ТГ_ИД!$D:$D,ТГ!$A430)</f>
        <v>0</v>
      </c>
      <c r="Q429" s="130">
        <f>SUMIFS(ТГ_ИД!$E:$E,ТГ_ИД!$B:$B,ТГ!$G$9,ТГ_ИД!$D:$D,ТГ!$A430)</f>
        <v>0</v>
      </c>
      <c r="R429" s="130">
        <f>SUMIFS(ТГ_ИД!$E:$E,ТГ_ИД!$B:$B,ТГ!$G$10,ТГ_ИД!$D:$D,ТГ!$A430)</f>
        <v>0</v>
      </c>
      <c r="S429" s="130">
        <f>SUMIFS(ТГ_ИД!$E:$E,ТГ_ИД!$B:$B,ТГ!$G$11,ТГ_ИД!$D:$D,ТГ!$A430)</f>
        <v>0</v>
      </c>
      <c r="T429" s="130">
        <f>SUMIFS(ТГ_ИД!$E:$E,ТГ_ИД!$B:$B,ТГ!$G$12,ТГ_ИД!$D:$D,ТГ!$A430)</f>
        <v>0</v>
      </c>
      <c r="U429" s="130">
        <f>SUMIFS(ТГ_ИД!$E:$E,ТГ_ИД!$B:$B,ТГ!$G$13,ТГ_ИД!$D:$D,ТГ!$A430)</f>
        <v>0</v>
      </c>
      <c r="V429" s="130">
        <f>SUMIFS(ТГ_ИД!$E:$E,ТГ_ИД!$B:$B,ТГ!$G$14,ТГ_ИД!$D:$D,ТГ!$A430)</f>
        <v>0</v>
      </c>
    </row>
    <row r="430" spans="1:22" x14ac:dyDescent="0.25">
      <c r="A430" s="116" t="str">
        <f t="shared" si="7"/>
        <v/>
      </c>
      <c r="K430" s="130">
        <f>SUMIFS(ТГ_ИД!$E:$E,ТГ_ИД!$B:$B,ТГ!$G$3,ТГ_ИД!$D:$D,ТГ!$A431)</f>
        <v>0</v>
      </c>
      <c r="L430" s="130">
        <f>SUMIFS(ТГ_ИД!$E:$E,ТГ_ИД!$B:$B,ТГ!$G$4,ТГ_ИД!$D:$D,ТГ!$A431)</f>
        <v>0</v>
      </c>
      <c r="M430" s="130">
        <f>SUMIFS(ТГ_ИД!$E:$E,ТГ_ИД!$B:$B,ТГ!$G$5,ТГ_ИД!$D:$D,ТГ!$A431)</f>
        <v>0</v>
      </c>
      <c r="N430" s="130">
        <f>SUMIFS(ТГ_ИД!$E:$E,ТГ_ИД!$B:$B,ТГ!$G$6,ТГ_ИД!$D:$D,ТГ!$A431)</f>
        <v>0</v>
      </c>
      <c r="O430" s="130">
        <f>SUMIFS(ТГ_ИД!$E:$E,ТГ_ИД!$B:$B,ТГ!$G$7,ТГ_ИД!$D:$D,ТГ!$A431)</f>
        <v>0</v>
      </c>
      <c r="P430" s="130">
        <f>SUMIFS(ТГ_ИД!$E:$E,ТГ_ИД!$B:$B,ТГ!$G$8,ТГ_ИД!$D:$D,ТГ!$A431)</f>
        <v>0</v>
      </c>
      <c r="Q430" s="130">
        <f>SUMIFS(ТГ_ИД!$E:$E,ТГ_ИД!$B:$B,ТГ!$G$9,ТГ_ИД!$D:$D,ТГ!$A431)</f>
        <v>0</v>
      </c>
      <c r="R430" s="130">
        <f>SUMIFS(ТГ_ИД!$E:$E,ТГ_ИД!$B:$B,ТГ!$G$10,ТГ_ИД!$D:$D,ТГ!$A431)</f>
        <v>0</v>
      </c>
      <c r="S430" s="130">
        <f>SUMIFS(ТГ_ИД!$E:$E,ТГ_ИД!$B:$B,ТГ!$G$11,ТГ_ИД!$D:$D,ТГ!$A431)</f>
        <v>0</v>
      </c>
      <c r="T430" s="130">
        <f>SUMIFS(ТГ_ИД!$E:$E,ТГ_ИД!$B:$B,ТГ!$G$12,ТГ_ИД!$D:$D,ТГ!$A431)</f>
        <v>0</v>
      </c>
      <c r="U430" s="130">
        <f>SUMIFS(ТГ_ИД!$E:$E,ТГ_ИД!$B:$B,ТГ!$G$13,ТГ_ИД!$D:$D,ТГ!$A431)</f>
        <v>0</v>
      </c>
      <c r="V430" s="130">
        <f>SUMIFS(ТГ_ИД!$E:$E,ТГ_ИД!$B:$B,ТГ!$G$14,ТГ_ИД!$D:$D,ТГ!$A431)</f>
        <v>0</v>
      </c>
    </row>
    <row r="431" spans="1:22" x14ac:dyDescent="0.25">
      <c r="A431" s="116" t="str">
        <f t="shared" si="7"/>
        <v/>
      </c>
      <c r="K431" s="130">
        <f>SUMIFS(ТГ_ИД!$E:$E,ТГ_ИД!$B:$B,ТГ!$G$3,ТГ_ИД!$D:$D,ТГ!$A432)</f>
        <v>0</v>
      </c>
      <c r="L431" s="130">
        <f>SUMIFS(ТГ_ИД!$E:$E,ТГ_ИД!$B:$B,ТГ!$G$4,ТГ_ИД!$D:$D,ТГ!$A432)</f>
        <v>0</v>
      </c>
      <c r="M431" s="130">
        <f>SUMIFS(ТГ_ИД!$E:$E,ТГ_ИД!$B:$B,ТГ!$G$5,ТГ_ИД!$D:$D,ТГ!$A432)</f>
        <v>0</v>
      </c>
      <c r="N431" s="130">
        <f>SUMIFS(ТГ_ИД!$E:$E,ТГ_ИД!$B:$B,ТГ!$G$6,ТГ_ИД!$D:$D,ТГ!$A432)</f>
        <v>0</v>
      </c>
      <c r="O431" s="130">
        <f>SUMIFS(ТГ_ИД!$E:$E,ТГ_ИД!$B:$B,ТГ!$G$7,ТГ_ИД!$D:$D,ТГ!$A432)</f>
        <v>0</v>
      </c>
      <c r="P431" s="130">
        <f>SUMIFS(ТГ_ИД!$E:$E,ТГ_ИД!$B:$B,ТГ!$G$8,ТГ_ИД!$D:$D,ТГ!$A432)</f>
        <v>0</v>
      </c>
      <c r="Q431" s="130">
        <f>SUMIFS(ТГ_ИД!$E:$E,ТГ_ИД!$B:$B,ТГ!$G$9,ТГ_ИД!$D:$D,ТГ!$A432)</f>
        <v>0</v>
      </c>
      <c r="R431" s="130">
        <f>SUMIFS(ТГ_ИД!$E:$E,ТГ_ИД!$B:$B,ТГ!$G$10,ТГ_ИД!$D:$D,ТГ!$A432)</f>
        <v>0</v>
      </c>
      <c r="S431" s="130">
        <f>SUMIFS(ТГ_ИД!$E:$E,ТГ_ИД!$B:$B,ТГ!$G$11,ТГ_ИД!$D:$D,ТГ!$A432)</f>
        <v>0</v>
      </c>
      <c r="T431" s="130">
        <f>SUMIFS(ТГ_ИД!$E:$E,ТГ_ИД!$B:$B,ТГ!$G$12,ТГ_ИД!$D:$D,ТГ!$A432)</f>
        <v>0</v>
      </c>
      <c r="U431" s="130">
        <f>SUMIFS(ТГ_ИД!$E:$E,ТГ_ИД!$B:$B,ТГ!$G$13,ТГ_ИД!$D:$D,ТГ!$A432)</f>
        <v>0</v>
      </c>
      <c r="V431" s="130">
        <f>SUMIFS(ТГ_ИД!$E:$E,ТГ_ИД!$B:$B,ТГ!$G$14,ТГ_ИД!$D:$D,ТГ!$A432)</f>
        <v>0</v>
      </c>
    </row>
    <row r="432" spans="1:22" x14ac:dyDescent="0.25">
      <c r="A432" s="116" t="str">
        <f t="shared" si="7"/>
        <v/>
      </c>
      <c r="K432" s="130">
        <f>SUMIFS(ТГ_ИД!$E:$E,ТГ_ИД!$B:$B,ТГ!$G$3,ТГ_ИД!$D:$D,ТГ!$A433)</f>
        <v>0</v>
      </c>
      <c r="L432" s="130">
        <f>SUMIFS(ТГ_ИД!$E:$E,ТГ_ИД!$B:$B,ТГ!$G$4,ТГ_ИД!$D:$D,ТГ!$A433)</f>
        <v>0</v>
      </c>
      <c r="M432" s="130">
        <f>SUMIFS(ТГ_ИД!$E:$E,ТГ_ИД!$B:$B,ТГ!$G$5,ТГ_ИД!$D:$D,ТГ!$A433)</f>
        <v>0</v>
      </c>
      <c r="N432" s="130">
        <f>SUMIFS(ТГ_ИД!$E:$E,ТГ_ИД!$B:$B,ТГ!$G$6,ТГ_ИД!$D:$D,ТГ!$A433)</f>
        <v>0</v>
      </c>
      <c r="O432" s="130">
        <f>SUMIFS(ТГ_ИД!$E:$E,ТГ_ИД!$B:$B,ТГ!$G$7,ТГ_ИД!$D:$D,ТГ!$A433)</f>
        <v>0</v>
      </c>
      <c r="P432" s="130">
        <f>SUMIFS(ТГ_ИД!$E:$E,ТГ_ИД!$B:$B,ТГ!$G$8,ТГ_ИД!$D:$D,ТГ!$A433)</f>
        <v>0</v>
      </c>
      <c r="Q432" s="130">
        <f>SUMIFS(ТГ_ИД!$E:$E,ТГ_ИД!$B:$B,ТГ!$G$9,ТГ_ИД!$D:$D,ТГ!$A433)</f>
        <v>0</v>
      </c>
      <c r="R432" s="130">
        <f>SUMIFS(ТГ_ИД!$E:$E,ТГ_ИД!$B:$B,ТГ!$G$10,ТГ_ИД!$D:$D,ТГ!$A433)</f>
        <v>0</v>
      </c>
      <c r="S432" s="130">
        <f>SUMIFS(ТГ_ИД!$E:$E,ТГ_ИД!$B:$B,ТГ!$G$11,ТГ_ИД!$D:$D,ТГ!$A433)</f>
        <v>0</v>
      </c>
      <c r="T432" s="130">
        <f>SUMIFS(ТГ_ИД!$E:$E,ТГ_ИД!$B:$B,ТГ!$G$12,ТГ_ИД!$D:$D,ТГ!$A433)</f>
        <v>0</v>
      </c>
      <c r="U432" s="130">
        <f>SUMIFS(ТГ_ИД!$E:$E,ТГ_ИД!$B:$B,ТГ!$G$13,ТГ_ИД!$D:$D,ТГ!$A433)</f>
        <v>0</v>
      </c>
      <c r="V432" s="130">
        <f>SUMIFS(ТГ_ИД!$E:$E,ТГ_ИД!$B:$B,ТГ!$G$14,ТГ_ИД!$D:$D,ТГ!$A433)</f>
        <v>0</v>
      </c>
    </row>
    <row r="433" spans="1:22" x14ac:dyDescent="0.25">
      <c r="A433" s="116" t="str">
        <f t="shared" si="7"/>
        <v/>
      </c>
      <c r="K433" s="130">
        <f>SUMIFS(ТГ_ИД!$E:$E,ТГ_ИД!$B:$B,ТГ!$G$3,ТГ_ИД!$D:$D,ТГ!$A434)</f>
        <v>0</v>
      </c>
      <c r="L433" s="130">
        <f>SUMIFS(ТГ_ИД!$E:$E,ТГ_ИД!$B:$B,ТГ!$G$4,ТГ_ИД!$D:$D,ТГ!$A434)</f>
        <v>0</v>
      </c>
      <c r="M433" s="130">
        <f>SUMIFS(ТГ_ИД!$E:$E,ТГ_ИД!$B:$B,ТГ!$G$5,ТГ_ИД!$D:$D,ТГ!$A434)</f>
        <v>0</v>
      </c>
      <c r="N433" s="130">
        <f>SUMIFS(ТГ_ИД!$E:$E,ТГ_ИД!$B:$B,ТГ!$G$6,ТГ_ИД!$D:$D,ТГ!$A434)</f>
        <v>0</v>
      </c>
      <c r="O433" s="130">
        <f>SUMIFS(ТГ_ИД!$E:$E,ТГ_ИД!$B:$B,ТГ!$G$7,ТГ_ИД!$D:$D,ТГ!$A434)</f>
        <v>0</v>
      </c>
      <c r="P433" s="130">
        <f>SUMIFS(ТГ_ИД!$E:$E,ТГ_ИД!$B:$B,ТГ!$G$8,ТГ_ИД!$D:$D,ТГ!$A434)</f>
        <v>0</v>
      </c>
      <c r="Q433" s="130">
        <f>SUMIFS(ТГ_ИД!$E:$E,ТГ_ИД!$B:$B,ТГ!$G$9,ТГ_ИД!$D:$D,ТГ!$A434)</f>
        <v>0</v>
      </c>
      <c r="R433" s="130">
        <f>SUMIFS(ТГ_ИД!$E:$E,ТГ_ИД!$B:$B,ТГ!$G$10,ТГ_ИД!$D:$D,ТГ!$A434)</f>
        <v>0</v>
      </c>
      <c r="S433" s="130">
        <f>SUMIFS(ТГ_ИД!$E:$E,ТГ_ИД!$B:$B,ТГ!$G$11,ТГ_ИД!$D:$D,ТГ!$A434)</f>
        <v>0</v>
      </c>
      <c r="T433" s="130">
        <f>SUMIFS(ТГ_ИД!$E:$E,ТГ_ИД!$B:$B,ТГ!$G$12,ТГ_ИД!$D:$D,ТГ!$A434)</f>
        <v>0</v>
      </c>
      <c r="U433" s="130">
        <f>SUMIFS(ТГ_ИД!$E:$E,ТГ_ИД!$B:$B,ТГ!$G$13,ТГ_ИД!$D:$D,ТГ!$A434)</f>
        <v>0</v>
      </c>
      <c r="V433" s="130">
        <f>SUMIFS(ТГ_ИД!$E:$E,ТГ_ИД!$B:$B,ТГ!$G$14,ТГ_ИД!$D:$D,ТГ!$A434)</f>
        <v>0</v>
      </c>
    </row>
    <row r="434" spans="1:22" x14ac:dyDescent="0.25">
      <c r="A434" s="116" t="str">
        <f t="shared" si="7"/>
        <v/>
      </c>
      <c r="K434" s="130">
        <f>SUMIFS(ТГ_ИД!$E:$E,ТГ_ИД!$B:$B,ТГ!$G$3,ТГ_ИД!$D:$D,ТГ!$A435)</f>
        <v>0</v>
      </c>
      <c r="L434" s="130">
        <f>SUMIFS(ТГ_ИД!$E:$E,ТГ_ИД!$B:$B,ТГ!$G$4,ТГ_ИД!$D:$D,ТГ!$A435)</f>
        <v>0</v>
      </c>
      <c r="M434" s="130">
        <f>SUMIFS(ТГ_ИД!$E:$E,ТГ_ИД!$B:$B,ТГ!$G$5,ТГ_ИД!$D:$D,ТГ!$A435)</f>
        <v>0</v>
      </c>
      <c r="N434" s="130">
        <f>SUMIFS(ТГ_ИД!$E:$E,ТГ_ИД!$B:$B,ТГ!$G$6,ТГ_ИД!$D:$D,ТГ!$A435)</f>
        <v>0</v>
      </c>
      <c r="O434" s="130">
        <f>SUMIFS(ТГ_ИД!$E:$E,ТГ_ИД!$B:$B,ТГ!$G$7,ТГ_ИД!$D:$D,ТГ!$A435)</f>
        <v>0</v>
      </c>
      <c r="P434" s="130">
        <f>SUMIFS(ТГ_ИД!$E:$E,ТГ_ИД!$B:$B,ТГ!$G$8,ТГ_ИД!$D:$D,ТГ!$A435)</f>
        <v>0</v>
      </c>
      <c r="Q434" s="130">
        <f>SUMIFS(ТГ_ИД!$E:$E,ТГ_ИД!$B:$B,ТГ!$G$9,ТГ_ИД!$D:$D,ТГ!$A435)</f>
        <v>0</v>
      </c>
      <c r="R434" s="130">
        <f>SUMIFS(ТГ_ИД!$E:$E,ТГ_ИД!$B:$B,ТГ!$G$10,ТГ_ИД!$D:$D,ТГ!$A435)</f>
        <v>0</v>
      </c>
      <c r="S434" s="130">
        <f>SUMIFS(ТГ_ИД!$E:$E,ТГ_ИД!$B:$B,ТГ!$G$11,ТГ_ИД!$D:$D,ТГ!$A435)</f>
        <v>0</v>
      </c>
      <c r="T434" s="130">
        <f>SUMIFS(ТГ_ИД!$E:$E,ТГ_ИД!$B:$B,ТГ!$G$12,ТГ_ИД!$D:$D,ТГ!$A435)</f>
        <v>0</v>
      </c>
      <c r="U434" s="130">
        <f>SUMIFS(ТГ_ИД!$E:$E,ТГ_ИД!$B:$B,ТГ!$G$13,ТГ_ИД!$D:$D,ТГ!$A435)</f>
        <v>0</v>
      </c>
      <c r="V434" s="130">
        <f>SUMIFS(ТГ_ИД!$E:$E,ТГ_ИД!$B:$B,ТГ!$G$14,ТГ_ИД!$D:$D,ТГ!$A435)</f>
        <v>0</v>
      </c>
    </row>
    <row r="435" spans="1:22" x14ac:dyDescent="0.25">
      <c r="A435" s="116" t="str">
        <f t="shared" si="7"/>
        <v/>
      </c>
      <c r="K435" s="130">
        <f>SUMIFS(ТГ_ИД!$E:$E,ТГ_ИД!$B:$B,ТГ!$G$3,ТГ_ИД!$D:$D,ТГ!$A436)</f>
        <v>0</v>
      </c>
      <c r="L435" s="130">
        <f>SUMIFS(ТГ_ИД!$E:$E,ТГ_ИД!$B:$B,ТГ!$G$4,ТГ_ИД!$D:$D,ТГ!$A436)</f>
        <v>0</v>
      </c>
      <c r="M435" s="130">
        <f>SUMIFS(ТГ_ИД!$E:$E,ТГ_ИД!$B:$B,ТГ!$G$5,ТГ_ИД!$D:$D,ТГ!$A436)</f>
        <v>0</v>
      </c>
      <c r="N435" s="130">
        <f>SUMIFS(ТГ_ИД!$E:$E,ТГ_ИД!$B:$B,ТГ!$G$6,ТГ_ИД!$D:$D,ТГ!$A436)</f>
        <v>0</v>
      </c>
      <c r="O435" s="130">
        <f>SUMIFS(ТГ_ИД!$E:$E,ТГ_ИД!$B:$B,ТГ!$G$7,ТГ_ИД!$D:$D,ТГ!$A436)</f>
        <v>0</v>
      </c>
      <c r="P435" s="130">
        <f>SUMIFS(ТГ_ИД!$E:$E,ТГ_ИД!$B:$B,ТГ!$G$8,ТГ_ИД!$D:$D,ТГ!$A436)</f>
        <v>0</v>
      </c>
      <c r="Q435" s="130">
        <f>SUMIFS(ТГ_ИД!$E:$E,ТГ_ИД!$B:$B,ТГ!$G$9,ТГ_ИД!$D:$D,ТГ!$A436)</f>
        <v>0</v>
      </c>
      <c r="R435" s="130">
        <f>SUMIFS(ТГ_ИД!$E:$E,ТГ_ИД!$B:$B,ТГ!$G$10,ТГ_ИД!$D:$D,ТГ!$A436)</f>
        <v>0</v>
      </c>
      <c r="S435" s="130">
        <f>SUMIFS(ТГ_ИД!$E:$E,ТГ_ИД!$B:$B,ТГ!$G$11,ТГ_ИД!$D:$D,ТГ!$A436)</f>
        <v>0</v>
      </c>
      <c r="T435" s="130">
        <f>SUMIFS(ТГ_ИД!$E:$E,ТГ_ИД!$B:$B,ТГ!$G$12,ТГ_ИД!$D:$D,ТГ!$A436)</f>
        <v>0</v>
      </c>
      <c r="U435" s="130">
        <f>SUMIFS(ТГ_ИД!$E:$E,ТГ_ИД!$B:$B,ТГ!$G$13,ТГ_ИД!$D:$D,ТГ!$A436)</f>
        <v>0</v>
      </c>
      <c r="V435" s="130">
        <f>SUMIFS(ТГ_ИД!$E:$E,ТГ_ИД!$B:$B,ТГ!$G$14,ТГ_ИД!$D:$D,ТГ!$A436)</f>
        <v>0</v>
      </c>
    </row>
    <row r="436" spans="1:22" x14ac:dyDescent="0.25">
      <c r="A436" s="116" t="str">
        <f t="shared" si="7"/>
        <v/>
      </c>
      <c r="K436" s="130">
        <f>SUMIFS(ТГ_ИД!$E:$E,ТГ_ИД!$B:$B,ТГ!$G$3,ТГ_ИД!$D:$D,ТГ!$A437)</f>
        <v>0</v>
      </c>
      <c r="L436" s="130">
        <f>SUMIFS(ТГ_ИД!$E:$E,ТГ_ИД!$B:$B,ТГ!$G$4,ТГ_ИД!$D:$D,ТГ!$A437)</f>
        <v>0</v>
      </c>
      <c r="M436" s="130">
        <f>SUMIFS(ТГ_ИД!$E:$E,ТГ_ИД!$B:$B,ТГ!$G$5,ТГ_ИД!$D:$D,ТГ!$A437)</f>
        <v>0</v>
      </c>
      <c r="N436" s="130">
        <f>SUMIFS(ТГ_ИД!$E:$E,ТГ_ИД!$B:$B,ТГ!$G$6,ТГ_ИД!$D:$D,ТГ!$A437)</f>
        <v>0</v>
      </c>
      <c r="O436" s="130">
        <f>SUMIFS(ТГ_ИД!$E:$E,ТГ_ИД!$B:$B,ТГ!$G$7,ТГ_ИД!$D:$D,ТГ!$A437)</f>
        <v>0</v>
      </c>
      <c r="P436" s="130">
        <f>SUMIFS(ТГ_ИД!$E:$E,ТГ_ИД!$B:$B,ТГ!$G$8,ТГ_ИД!$D:$D,ТГ!$A437)</f>
        <v>0</v>
      </c>
      <c r="Q436" s="130">
        <f>SUMIFS(ТГ_ИД!$E:$E,ТГ_ИД!$B:$B,ТГ!$G$9,ТГ_ИД!$D:$D,ТГ!$A437)</f>
        <v>0</v>
      </c>
      <c r="R436" s="130">
        <f>SUMIFS(ТГ_ИД!$E:$E,ТГ_ИД!$B:$B,ТГ!$G$10,ТГ_ИД!$D:$D,ТГ!$A437)</f>
        <v>0</v>
      </c>
      <c r="S436" s="130">
        <f>SUMIFS(ТГ_ИД!$E:$E,ТГ_ИД!$B:$B,ТГ!$G$11,ТГ_ИД!$D:$D,ТГ!$A437)</f>
        <v>0</v>
      </c>
      <c r="T436" s="130">
        <f>SUMIFS(ТГ_ИД!$E:$E,ТГ_ИД!$B:$B,ТГ!$G$12,ТГ_ИД!$D:$D,ТГ!$A437)</f>
        <v>0</v>
      </c>
      <c r="U436" s="130">
        <f>SUMIFS(ТГ_ИД!$E:$E,ТГ_ИД!$B:$B,ТГ!$G$13,ТГ_ИД!$D:$D,ТГ!$A437)</f>
        <v>0</v>
      </c>
      <c r="V436" s="130">
        <f>SUMIFS(ТГ_ИД!$E:$E,ТГ_ИД!$B:$B,ТГ!$G$14,ТГ_ИД!$D:$D,ТГ!$A437)</f>
        <v>0</v>
      </c>
    </row>
    <row r="437" spans="1:22" x14ac:dyDescent="0.25">
      <c r="A437" s="116" t="str">
        <f t="shared" si="7"/>
        <v/>
      </c>
      <c r="K437" s="130">
        <f>SUMIFS(ТГ_ИД!$E:$E,ТГ_ИД!$B:$B,ТГ!$G$3,ТГ_ИД!$D:$D,ТГ!$A438)</f>
        <v>0</v>
      </c>
      <c r="L437" s="130">
        <f>SUMIFS(ТГ_ИД!$E:$E,ТГ_ИД!$B:$B,ТГ!$G$4,ТГ_ИД!$D:$D,ТГ!$A438)</f>
        <v>0</v>
      </c>
      <c r="M437" s="130">
        <f>SUMIFS(ТГ_ИД!$E:$E,ТГ_ИД!$B:$B,ТГ!$G$5,ТГ_ИД!$D:$D,ТГ!$A438)</f>
        <v>0</v>
      </c>
      <c r="N437" s="130">
        <f>SUMIFS(ТГ_ИД!$E:$E,ТГ_ИД!$B:$B,ТГ!$G$6,ТГ_ИД!$D:$D,ТГ!$A438)</f>
        <v>0</v>
      </c>
      <c r="O437" s="130">
        <f>SUMIFS(ТГ_ИД!$E:$E,ТГ_ИД!$B:$B,ТГ!$G$7,ТГ_ИД!$D:$D,ТГ!$A438)</f>
        <v>0</v>
      </c>
      <c r="P437" s="130">
        <f>SUMIFS(ТГ_ИД!$E:$E,ТГ_ИД!$B:$B,ТГ!$G$8,ТГ_ИД!$D:$D,ТГ!$A438)</f>
        <v>0</v>
      </c>
      <c r="Q437" s="130">
        <f>SUMIFS(ТГ_ИД!$E:$E,ТГ_ИД!$B:$B,ТГ!$G$9,ТГ_ИД!$D:$D,ТГ!$A438)</f>
        <v>0</v>
      </c>
      <c r="R437" s="130">
        <f>SUMIFS(ТГ_ИД!$E:$E,ТГ_ИД!$B:$B,ТГ!$G$10,ТГ_ИД!$D:$D,ТГ!$A438)</f>
        <v>0</v>
      </c>
      <c r="S437" s="130">
        <f>SUMIFS(ТГ_ИД!$E:$E,ТГ_ИД!$B:$B,ТГ!$G$11,ТГ_ИД!$D:$D,ТГ!$A438)</f>
        <v>0</v>
      </c>
      <c r="T437" s="130">
        <f>SUMIFS(ТГ_ИД!$E:$E,ТГ_ИД!$B:$B,ТГ!$G$12,ТГ_ИД!$D:$D,ТГ!$A438)</f>
        <v>0</v>
      </c>
      <c r="U437" s="130">
        <f>SUMIFS(ТГ_ИД!$E:$E,ТГ_ИД!$B:$B,ТГ!$G$13,ТГ_ИД!$D:$D,ТГ!$A438)</f>
        <v>0</v>
      </c>
      <c r="V437" s="130">
        <f>SUMIFS(ТГ_ИД!$E:$E,ТГ_ИД!$B:$B,ТГ!$G$14,ТГ_ИД!$D:$D,ТГ!$A438)</f>
        <v>0</v>
      </c>
    </row>
    <row r="438" spans="1:22" x14ac:dyDescent="0.25">
      <c r="A438" s="116" t="str">
        <f t="shared" si="7"/>
        <v/>
      </c>
      <c r="K438" s="130">
        <f>SUMIFS(ТГ_ИД!$E:$E,ТГ_ИД!$B:$B,ТГ!$G$3,ТГ_ИД!$D:$D,ТГ!$A439)</f>
        <v>0</v>
      </c>
      <c r="L438" s="130">
        <f>SUMIFS(ТГ_ИД!$E:$E,ТГ_ИД!$B:$B,ТГ!$G$4,ТГ_ИД!$D:$D,ТГ!$A439)</f>
        <v>0</v>
      </c>
      <c r="M438" s="130">
        <f>SUMIFS(ТГ_ИД!$E:$E,ТГ_ИД!$B:$B,ТГ!$G$5,ТГ_ИД!$D:$D,ТГ!$A439)</f>
        <v>0</v>
      </c>
      <c r="N438" s="130">
        <f>SUMIFS(ТГ_ИД!$E:$E,ТГ_ИД!$B:$B,ТГ!$G$6,ТГ_ИД!$D:$D,ТГ!$A439)</f>
        <v>0</v>
      </c>
      <c r="O438" s="130">
        <f>SUMIFS(ТГ_ИД!$E:$E,ТГ_ИД!$B:$B,ТГ!$G$7,ТГ_ИД!$D:$D,ТГ!$A439)</f>
        <v>0</v>
      </c>
      <c r="P438" s="130">
        <f>SUMIFS(ТГ_ИД!$E:$E,ТГ_ИД!$B:$B,ТГ!$G$8,ТГ_ИД!$D:$D,ТГ!$A439)</f>
        <v>0</v>
      </c>
      <c r="Q438" s="130">
        <f>SUMIFS(ТГ_ИД!$E:$E,ТГ_ИД!$B:$B,ТГ!$G$9,ТГ_ИД!$D:$D,ТГ!$A439)</f>
        <v>0</v>
      </c>
      <c r="R438" s="130">
        <f>SUMIFS(ТГ_ИД!$E:$E,ТГ_ИД!$B:$B,ТГ!$G$10,ТГ_ИД!$D:$D,ТГ!$A439)</f>
        <v>0</v>
      </c>
      <c r="S438" s="130">
        <f>SUMIFS(ТГ_ИД!$E:$E,ТГ_ИД!$B:$B,ТГ!$G$11,ТГ_ИД!$D:$D,ТГ!$A439)</f>
        <v>0</v>
      </c>
      <c r="T438" s="130">
        <f>SUMIFS(ТГ_ИД!$E:$E,ТГ_ИД!$B:$B,ТГ!$G$12,ТГ_ИД!$D:$D,ТГ!$A439)</f>
        <v>0</v>
      </c>
      <c r="U438" s="130">
        <f>SUMIFS(ТГ_ИД!$E:$E,ТГ_ИД!$B:$B,ТГ!$G$13,ТГ_ИД!$D:$D,ТГ!$A439)</f>
        <v>0</v>
      </c>
      <c r="V438" s="130">
        <f>SUMIFS(ТГ_ИД!$E:$E,ТГ_ИД!$B:$B,ТГ!$G$14,ТГ_ИД!$D:$D,ТГ!$A439)</f>
        <v>0</v>
      </c>
    </row>
    <row r="439" spans="1:22" x14ac:dyDescent="0.25">
      <c r="A439" s="116" t="str">
        <f t="shared" si="7"/>
        <v/>
      </c>
      <c r="K439" s="130">
        <f>SUMIFS(ТГ_ИД!$E:$E,ТГ_ИД!$B:$B,ТГ!$G$3,ТГ_ИД!$D:$D,ТГ!$A440)</f>
        <v>0</v>
      </c>
      <c r="L439" s="130">
        <f>SUMIFS(ТГ_ИД!$E:$E,ТГ_ИД!$B:$B,ТГ!$G$4,ТГ_ИД!$D:$D,ТГ!$A440)</f>
        <v>0</v>
      </c>
      <c r="M439" s="130">
        <f>SUMIFS(ТГ_ИД!$E:$E,ТГ_ИД!$B:$B,ТГ!$G$5,ТГ_ИД!$D:$D,ТГ!$A440)</f>
        <v>0</v>
      </c>
      <c r="N439" s="130">
        <f>SUMIFS(ТГ_ИД!$E:$E,ТГ_ИД!$B:$B,ТГ!$G$6,ТГ_ИД!$D:$D,ТГ!$A440)</f>
        <v>0</v>
      </c>
      <c r="O439" s="130">
        <f>SUMIFS(ТГ_ИД!$E:$E,ТГ_ИД!$B:$B,ТГ!$G$7,ТГ_ИД!$D:$D,ТГ!$A440)</f>
        <v>0</v>
      </c>
      <c r="P439" s="130">
        <f>SUMIFS(ТГ_ИД!$E:$E,ТГ_ИД!$B:$B,ТГ!$G$8,ТГ_ИД!$D:$D,ТГ!$A440)</f>
        <v>0</v>
      </c>
      <c r="Q439" s="130">
        <f>SUMIFS(ТГ_ИД!$E:$E,ТГ_ИД!$B:$B,ТГ!$G$9,ТГ_ИД!$D:$D,ТГ!$A440)</f>
        <v>0</v>
      </c>
      <c r="R439" s="130">
        <f>SUMIFS(ТГ_ИД!$E:$E,ТГ_ИД!$B:$B,ТГ!$G$10,ТГ_ИД!$D:$D,ТГ!$A440)</f>
        <v>0</v>
      </c>
      <c r="S439" s="130">
        <f>SUMIFS(ТГ_ИД!$E:$E,ТГ_ИД!$B:$B,ТГ!$G$11,ТГ_ИД!$D:$D,ТГ!$A440)</f>
        <v>0</v>
      </c>
      <c r="T439" s="130">
        <f>SUMIFS(ТГ_ИД!$E:$E,ТГ_ИД!$B:$B,ТГ!$G$12,ТГ_ИД!$D:$D,ТГ!$A440)</f>
        <v>0</v>
      </c>
      <c r="U439" s="130">
        <f>SUMIFS(ТГ_ИД!$E:$E,ТГ_ИД!$B:$B,ТГ!$G$13,ТГ_ИД!$D:$D,ТГ!$A440)</f>
        <v>0</v>
      </c>
      <c r="V439" s="130">
        <f>SUMIFS(ТГ_ИД!$E:$E,ТГ_ИД!$B:$B,ТГ!$G$14,ТГ_ИД!$D:$D,ТГ!$A440)</f>
        <v>0</v>
      </c>
    </row>
    <row r="440" spans="1:22" x14ac:dyDescent="0.25">
      <c r="A440" s="116" t="str">
        <f t="shared" si="7"/>
        <v/>
      </c>
      <c r="K440" s="130">
        <f>SUMIFS(ТГ_ИД!$E:$E,ТГ_ИД!$B:$B,ТГ!$G$3,ТГ_ИД!$D:$D,ТГ!$A441)</f>
        <v>0</v>
      </c>
      <c r="L440" s="130">
        <f>SUMIFS(ТГ_ИД!$E:$E,ТГ_ИД!$B:$B,ТГ!$G$4,ТГ_ИД!$D:$D,ТГ!$A441)</f>
        <v>0</v>
      </c>
      <c r="M440" s="130">
        <f>SUMIFS(ТГ_ИД!$E:$E,ТГ_ИД!$B:$B,ТГ!$G$5,ТГ_ИД!$D:$D,ТГ!$A441)</f>
        <v>0</v>
      </c>
      <c r="N440" s="130">
        <f>SUMIFS(ТГ_ИД!$E:$E,ТГ_ИД!$B:$B,ТГ!$G$6,ТГ_ИД!$D:$D,ТГ!$A441)</f>
        <v>0</v>
      </c>
      <c r="O440" s="130">
        <f>SUMIFS(ТГ_ИД!$E:$E,ТГ_ИД!$B:$B,ТГ!$G$7,ТГ_ИД!$D:$D,ТГ!$A441)</f>
        <v>0</v>
      </c>
      <c r="P440" s="130">
        <f>SUMIFS(ТГ_ИД!$E:$E,ТГ_ИД!$B:$B,ТГ!$G$8,ТГ_ИД!$D:$D,ТГ!$A441)</f>
        <v>0</v>
      </c>
      <c r="Q440" s="130">
        <f>SUMIFS(ТГ_ИД!$E:$E,ТГ_ИД!$B:$B,ТГ!$G$9,ТГ_ИД!$D:$D,ТГ!$A441)</f>
        <v>0</v>
      </c>
      <c r="R440" s="130">
        <f>SUMIFS(ТГ_ИД!$E:$E,ТГ_ИД!$B:$B,ТГ!$G$10,ТГ_ИД!$D:$D,ТГ!$A441)</f>
        <v>0</v>
      </c>
      <c r="S440" s="130">
        <f>SUMIFS(ТГ_ИД!$E:$E,ТГ_ИД!$B:$B,ТГ!$G$11,ТГ_ИД!$D:$D,ТГ!$A441)</f>
        <v>0</v>
      </c>
      <c r="T440" s="130">
        <f>SUMIFS(ТГ_ИД!$E:$E,ТГ_ИД!$B:$B,ТГ!$G$12,ТГ_ИД!$D:$D,ТГ!$A441)</f>
        <v>0</v>
      </c>
      <c r="U440" s="130">
        <f>SUMIFS(ТГ_ИД!$E:$E,ТГ_ИД!$B:$B,ТГ!$G$13,ТГ_ИД!$D:$D,ТГ!$A441)</f>
        <v>0</v>
      </c>
      <c r="V440" s="130">
        <f>SUMIFS(ТГ_ИД!$E:$E,ТГ_ИД!$B:$B,ТГ!$G$14,ТГ_ИД!$D:$D,ТГ!$A441)</f>
        <v>0</v>
      </c>
    </row>
    <row r="441" spans="1:22" x14ac:dyDescent="0.25">
      <c r="A441" s="116" t="str">
        <f t="shared" si="7"/>
        <v/>
      </c>
      <c r="K441" s="130">
        <f>SUMIFS(ТГ_ИД!$E:$E,ТГ_ИД!$B:$B,ТГ!$G$3,ТГ_ИД!$D:$D,ТГ!$A442)</f>
        <v>0</v>
      </c>
      <c r="L441" s="130">
        <f>SUMIFS(ТГ_ИД!$E:$E,ТГ_ИД!$B:$B,ТГ!$G$4,ТГ_ИД!$D:$D,ТГ!$A442)</f>
        <v>0</v>
      </c>
      <c r="M441" s="130">
        <f>SUMIFS(ТГ_ИД!$E:$E,ТГ_ИД!$B:$B,ТГ!$G$5,ТГ_ИД!$D:$D,ТГ!$A442)</f>
        <v>0</v>
      </c>
      <c r="N441" s="130">
        <f>SUMIFS(ТГ_ИД!$E:$E,ТГ_ИД!$B:$B,ТГ!$G$6,ТГ_ИД!$D:$D,ТГ!$A442)</f>
        <v>0</v>
      </c>
      <c r="O441" s="130">
        <f>SUMIFS(ТГ_ИД!$E:$E,ТГ_ИД!$B:$B,ТГ!$G$7,ТГ_ИД!$D:$D,ТГ!$A442)</f>
        <v>0</v>
      </c>
      <c r="P441" s="130">
        <f>SUMIFS(ТГ_ИД!$E:$E,ТГ_ИД!$B:$B,ТГ!$G$8,ТГ_ИД!$D:$D,ТГ!$A442)</f>
        <v>0</v>
      </c>
      <c r="Q441" s="130">
        <f>SUMIFS(ТГ_ИД!$E:$E,ТГ_ИД!$B:$B,ТГ!$G$9,ТГ_ИД!$D:$D,ТГ!$A442)</f>
        <v>0</v>
      </c>
      <c r="R441" s="130">
        <f>SUMIFS(ТГ_ИД!$E:$E,ТГ_ИД!$B:$B,ТГ!$G$10,ТГ_ИД!$D:$D,ТГ!$A442)</f>
        <v>0</v>
      </c>
      <c r="S441" s="130">
        <f>SUMIFS(ТГ_ИД!$E:$E,ТГ_ИД!$B:$B,ТГ!$G$11,ТГ_ИД!$D:$D,ТГ!$A442)</f>
        <v>0</v>
      </c>
      <c r="T441" s="130">
        <f>SUMIFS(ТГ_ИД!$E:$E,ТГ_ИД!$B:$B,ТГ!$G$12,ТГ_ИД!$D:$D,ТГ!$A442)</f>
        <v>0</v>
      </c>
      <c r="U441" s="130">
        <f>SUMIFS(ТГ_ИД!$E:$E,ТГ_ИД!$B:$B,ТГ!$G$13,ТГ_ИД!$D:$D,ТГ!$A442)</f>
        <v>0</v>
      </c>
      <c r="V441" s="130">
        <f>SUMIFS(ТГ_ИД!$E:$E,ТГ_ИД!$B:$B,ТГ!$G$14,ТГ_ИД!$D:$D,ТГ!$A442)</f>
        <v>0</v>
      </c>
    </row>
    <row r="442" spans="1:22" x14ac:dyDescent="0.25">
      <c r="A442" s="116" t="str">
        <f t="shared" si="7"/>
        <v/>
      </c>
      <c r="K442" s="130">
        <f>SUMIFS(ТГ_ИД!$E:$E,ТГ_ИД!$B:$B,ТГ!$G$3,ТГ_ИД!$D:$D,ТГ!$A443)</f>
        <v>0</v>
      </c>
      <c r="L442" s="130">
        <f>SUMIFS(ТГ_ИД!$E:$E,ТГ_ИД!$B:$B,ТГ!$G$4,ТГ_ИД!$D:$D,ТГ!$A443)</f>
        <v>0</v>
      </c>
      <c r="M442" s="130">
        <f>SUMIFS(ТГ_ИД!$E:$E,ТГ_ИД!$B:$B,ТГ!$G$5,ТГ_ИД!$D:$D,ТГ!$A443)</f>
        <v>0</v>
      </c>
      <c r="N442" s="130">
        <f>SUMIFS(ТГ_ИД!$E:$E,ТГ_ИД!$B:$B,ТГ!$G$6,ТГ_ИД!$D:$D,ТГ!$A443)</f>
        <v>0</v>
      </c>
      <c r="O442" s="130">
        <f>SUMIFS(ТГ_ИД!$E:$E,ТГ_ИД!$B:$B,ТГ!$G$7,ТГ_ИД!$D:$D,ТГ!$A443)</f>
        <v>0</v>
      </c>
      <c r="P442" s="130">
        <f>SUMIFS(ТГ_ИД!$E:$E,ТГ_ИД!$B:$B,ТГ!$G$8,ТГ_ИД!$D:$D,ТГ!$A443)</f>
        <v>0</v>
      </c>
      <c r="Q442" s="130">
        <f>SUMIFS(ТГ_ИД!$E:$E,ТГ_ИД!$B:$B,ТГ!$G$9,ТГ_ИД!$D:$D,ТГ!$A443)</f>
        <v>0</v>
      </c>
      <c r="R442" s="130">
        <f>SUMIFS(ТГ_ИД!$E:$E,ТГ_ИД!$B:$B,ТГ!$G$10,ТГ_ИД!$D:$D,ТГ!$A443)</f>
        <v>0</v>
      </c>
      <c r="S442" s="130">
        <f>SUMIFS(ТГ_ИД!$E:$E,ТГ_ИД!$B:$B,ТГ!$G$11,ТГ_ИД!$D:$D,ТГ!$A443)</f>
        <v>0</v>
      </c>
      <c r="T442" s="130">
        <f>SUMIFS(ТГ_ИД!$E:$E,ТГ_ИД!$B:$B,ТГ!$G$12,ТГ_ИД!$D:$D,ТГ!$A443)</f>
        <v>0</v>
      </c>
      <c r="U442" s="130">
        <f>SUMIFS(ТГ_ИД!$E:$E,ТГ_ИД!$B:$B,ТГ!$G$13,ТГ_ИД!$D:$D,ТГ!$A443)</f>
        <v>0</v>
      </c>
      <c r="V442" s="130">
        <f>SUMIFS(ТГ_ИД!$E:$E,ТГ_ИД!$B:$B,ТГ!$G$14,ТГ_ИД!$D:$D,ТГ!$A443)</f>
        <v>0</v>
      </c>
    </row>
    <row r="443" spans="1:22" x14ac:dyDescent="0.25">
      <c r="A443" s="116" t="str">
        <f t="shared" si="7"/>
        <v/>
      </c>
      <c r="K443" s="130">
        <f>SUMIFS(ТГ_ИД!$E:$E,ТГ_ИД!$B:$B,ТГ!$G$3,ТГ_ИД!$D:$D,ТГ!$A444)</f>
        <v>0</v>
      </c>
      <c r="L443" s="130">
        <f>SUMIFS(ТГ_ИД!$E:$E,ТГ_ИД!$B:$B,ТГ!$G$4,ТГ_ИД!$D:$D,ТГ!$A444)</f>
        <v>0</v>
      </c>
      <c r="M443" s="130">
        <f>SUMIFS(ТГ_ИД!$E:$E,ТГ_ИД!$B:$B,ТГ!$G$5,ТГ_ИД!$D:$D,ТГ!$A444)</f>
        <v>0</v>
      </c>
      <c r="N443" s="130">
        <f>SUMIFS(ТГ_ИД!$E:$E,ТГ_ИД!$B:$B,ТГ!$G$6,ТГ_ИД!$D:$D,ТГ!$A444)</f>
        <v>0</v>
      </c>
      <c r="O443" s="130">
        <f>SUMIFS(ТГ_ИД!$E:$E,ТГ_ИД!$B:$B,ТГ!$G$7,ТГ_ИД!$D:$D,ТГ!$A444)</f>
        <v>0</v>
      </c>
      <c r="P443" s="130">
        <f>SUMIFS(ТГ_ИД!$E:$E,ТГ_ИД!$B:$B,ТГ!$G$8,ТГ_ИД!$D:$D,ТГ!$A444)</f>
        <v>0</v>
      </c>
      <c r="Q443" s="130">
        <f>SUMIFS(ТГ_ИД!$E:$E,ТГ_ИД!$B:$B,ТГ!$G$9,ТГ_ИД!$D:$D,ТГ!$A444)</f>
        <v>0</v>
      </c>
      <c r="R443" s="130">
        <f>SUMIFS(ТГ_ИД!$E:$E,ТГ_ИД!$B:$B,ТГ!$G$10,ТГ_ИД!$D:$D,ТГ!$A444)</f>
        <v>0</v>
      </c>
      <c r="S443" s="130">
        <f>SUMIFS(ТГ_ИД!$E:$E,ТГ_ИД!$B:$B,ТГ!$G$11,ТГ_ИД!$D:$D,ТГ!$A444)</f>
        <v>0</v>
      </c>
      <c r="T443" s="130">
        <f>SUMIFS(ТГ_ИД!$E:$E,ТГ_ИД!$B:$B,ТГ!$G$12,ТГ_ИД!$D:$D,ТГ!$A444)</f>
        <v>0</v>
      </c>
      <c r="U443" s="130">
        <f>SUMIFS(ТГ_ИД!$E:$E,ТГ_ИД!$B:$B,ТГ!$G$13,ТГ_ИД!$D:$D,ТГ!$A444)</f>
        <v>0</v>
      </c>
      <c r="V443" s="130">
        <f>SUMIFS(ТГ_ИД!$E:$E,ТГ_ИД!$B:$B,ТГ!$G$14,ТГ_ИД!$D:$D,ТГ!$A444)</f>
        <v>0</v>
      </c>
    </row>
    <row r="444" spans="1:22" x14ac:dyDescent="0.25">
      <c r="A444" s="116" t="str">
        <f t="shared" si="7"/>
        <v/>
      </c>
      <c r="K444" s="130">
        <f>SUMIFS(ТГ_ИД!$E:$E,ТГ_ИД!$B:$B,ТГ!$G$3,ТГ_ИД!$D:$D,ТГ!$A445)</f>
        <v>0</v>
      </c>
      <c r="L444" s="130">
        <f>SUMIFS(ТГ_ИД!$E:$E,ТГ_ИД!$B:$B,ТГ!$G$4,ТГ_ИД!$D:$D,ТГ!$A445)</f>
        <v>0</v>
      </c>
      <c r="M444" s="130">
        <f>SUMIFS(ТГ_ИД!$E:$E,ТГ_ИД!$B:$B,ТГ!$G$5,ТГ_ИД!$D:$D,ТГ!$A445)</f>
        <v>0</v>
      </c>
      <c r="N444" s="130">
        <f>SUMIFS(ТГ_ИД!$E:$E,ТГ_ИД!$B:$B,ТГ!$G$6,ТГ_ИД!$D:$D,ТГ!$A445)</f>
        <v>0</v>
      </c>
      <c r="O444" s="130">
        <f>SUMIFS(ТГ_ИД!$E:$E,ТГ_ИД!$B:$B,ТГ!$G$7,ТГ_ИД!$D:$D,ТГ!$A445)</f>
        <v>0</v>
      </c>
      <c r="P444" s="130">
        <f>SUMIFS(ТГ_ИД!$E:$E,ТГ_ИД!$B:$B,ТГ!$G$8,ТГ_ИД!$D:$D,ТГ!$A445)</f>
        <v>0</v>
      </c>
      <c r="Q444" s="130">
        <f>SUMIFS(ТГ_ИД!$E:$E,ТГ_ИД!$B:$B,ТГ!$G$9,ТГ_ИД!$D:$D,ТГ!$A445)</f>
        <v>0</v>
      </c>
      <c r="R444" s="130">
        <f>SUMIFS(ТГ_ИД!$E:$E,ТГ_ИД!$B:$B,ТГ!$G$10,ТГ_ИД!$D:$D,ТГ!$A445)</f>
        <v>0</v>
      </c>
      <c r="S444" s="130">
        <f>SUMIFS(ТГ_ИД!$E:$E,ТГ_ИД!$B:$B,ТГ!$G$11,ТГ_ИД!$D:$D,ТГ!$A445)</f>
        <v>0</v>
      </c>
      <c r="T444" s="130">
        <f>SUMIFS(ТГ_ИД!$E:$E,ТГ_ИД!$B:$B,ТГ!$G$12,ТГ_ИД!$D:$D,ТГ!$A445)</f>
        <v>0</v>
      </c>
      <c r="U444" s="130">
        <f>SUMIFS(ТГ_ИД!$E:$E,ТГ_ИД!$B:$B,ТГ!$G$13,ТГ_ИД!$D:$D,ТГ!$A445)</f>
        <v>0</v>
      </c>
      <c r="V444" s="130">
        <f>SUMIFS(ТГ_ИД!$E:$E,ТГ_ИД!$B:$B,ТГ!$G$14,ТГ_ИД!$D:$D,ТГ!$A445)</f>
        <v>0</v>
      </c>
    </row>
    <row r="445" spans="1:22" x14ac:dyDescent="0.25">
      <c r="A445" s="116" t="str">
        <f t="shared" si="7"/>
        <v/>
      </c>
      <c r="K445" s="130">
        <f>SUMIFS(ТГ_ИД!$E:$E,ТГ_ИД!$B:$B,ТГ!$G$3,ТГ_ИД!$D:$D,ТГ!$A446)</f>
        <v>0</v>
      </c>
      <c r="L445" s="130">
        <f>SUMIFS(ТГ_ИД!$E:$E,ТГ_ИД!$B:$B,ТГ!$G$4,ТГ_ИД!$D:$D,ТГ!$A446)</f>
        <v>0</v>
      </c>
      <c r="M445" s="130">
        <f>SUMIFS(ТГ_ИД!$E:$E,ТГ_ИД!$B:$B,ТГ!$G$5,ТГ_ИД!$D:$D,ТГ!$A446)</f>
        <v>0</v>
      </c>
      <c r="N445" s="130">
        <f>SUMIFS(ТГ_ИД!$E:$E,ТГ_ИД!$B:$B,ТГ!$G$6,ТГ_ИД!$D:$D,ТГ!$A446)</f>
        <v>0</v>
      </c>
      <c r="O445" s="130">
        <f>SUMIFS(ТГ_ИД!$E:$E,ТГ_ИД!$B:$B,ТГ!$G$7,ТГ_ИД!$D:$D,ТГ!$A446)</f>
        <v>0</v>
      </c>
      <c r="P445" s="130">
        <f>SUMIFS(ТГ_ИД!$E:$E,ТГ_ИД!$B:$B,ТГ!$G$8,ТГ_ИД!$D:$D,ТГ!$A446)</f>
        <v>0</v>
      </c>
      <c r="Q445" s="130">
        <f>SUMIFS(ТГ_ИД!$E:$E,ТГ_ИД!$B:$B,ТГ!$G$9,ТГ_ИД!$D:$D,ТГ!$A446)</f>
        <v>0</v>
      </c>
      <c r="R445" s="130">
        <f>SUMIFS(ТГ_ИД!$E:$E,ТГ_ИД!$B:$B,ТГ!$G$10,ТГ_ИД!$D:$D,ТГ!$A446)</f>
        <v>0</v>
      </c>
      <c r="S445" s="130">
        <f>SUMIFS(ТГ_ИД!$E:$E,ТГ_ИД!$B:$B,ТГ!$G$11,ТГ_ИД!$D:$D,ТГ!$A446)</f>
        <v>0</v>
      </c>
      <c r="T445" s="130">
        <f>SUMIFS(ТГ_ИД!$E:$E,ТГ_ИД!$B:$B,ТГ!$G$12,ТГ_ИД!$D:$D,ТГ!$A446)</f>
        <v>0</v>
      </c>
      <c r="U445" s="130">
        <f>SUMIFS(ТГ_ИД!$E:$E,ТГ_ИД!$B:$B,ТГ!$G$13,ТГ_ИД!$D:$D,ТГ!$A446)</f>
        <v>0</v>
      </c>
      <c r="V445" s="130">
        <f>SUMIFS(ТГ_ИД!$E:$E,ТГ_ИД!$B:$B,ТГ!$G$14,ТГ_ИД!$D:$D,ТГ!$A446)</f>
        <v>0</v>
      </c>
    </row>
    <row r="446" spans="1:22" x14ac:dyDescent="0.25">
      <c r="A446" s="116" t="str">
        <f t="shared" si="7"/>
        <v/>
      </c>
      <c r="K446" s="130">
        <f>SUMIFS(ТГ_ИД!$E:$E,ТГ_ИД!$B:$B,ТГ!$G$3,ТГ_ИД!$D:$D,ТГ!$A447)</f>
        <v>0</v>
      </c>
      <c r="L446" s="130">
        <f>SUMIFS(ТГ_ИД!$E:$E,ТГ_ИД!$B:$B,ТГ!$G$4,ТГ_ИД!$D:$D,ТГ!$A447)</f>
        <v>0</v>
      </c>
      <c r="M446" s="130">
        <f>SUMIFS(ТГ_ИД!$E:$E,ТГ_ИД!$B:$B,ТГ!$G$5,ТГ_ИД!$D:$D,ТГ!$A447)</f>
        <v>0</v>
      </c>
      <c r="N446" s="130">
        <f>SUMIFS(ТГ_ИД!$E:$E,ТГ_ИД!$B:$B,ТГ!$G$6,ТГ_ИД!$D:$D,ТГ!$A447)</f>
        <v>0</v>
      </c>
      <c r="O446" s="130">
        <f>SUMIFS(ТГ_ИД!$E:$E,ТГ_ИД!$B:$B,ТГ!$G$7,ТГ_ИД!$D:$D,ТГ!$A447)</f>
        <v>0</v>
      </c>
      <c r="P446" s="130">
        <f>SUMIFS(ТГ_ИД!$E:$E,ТГ_ИД!$B:$B,ТГ!$G$8,ТГ_ИД!$D:$D,ТГ!$A447)</f>
        <v>0</v>
      </c>
      <c r="Q446" s="130">
        <f>SUMIFS(ТГ_ИД!$E:$E,ТГ_ИД!$B:$B,ТГ!$G$9,ТГ_ИД!$D:$D,ТГ!$A447)</f>
        <v>0</v>
      </c>
      <c r="R446" s="130">
        <f>SUMIFS(ТГ_ИД!$E:$E,ТГ_ИД!$B:$B,ТГ!$G$10,ТГ_ИД!$D:$D,ТГ!$A447)</f>
        <v>0</v>
      </c>
      <c r="S446" s="130">
        <f>SUMIFS(ТГ_ИД!$E:$E,ТГ_ИД!$B:$B,ТГ!$G$11,ТГ_ИД!$D:$D,ТГ!$A447)</f>
        <v>0</v>
      </c>
      <c r="T446" s="130">
        <f>SUMIFS(ТГ_ИД!$E:$E,ТГ_ИД!$B:$B,ТГ!$G$12,ТГ_ИД!$D:$D,ТГ!$A447)</f>
        <v>0</v>
      </c>
      <c r="U446" s="130">
        <f>SUMIFS(ТГ_ИД!$E:$E,ТГ_ИД!$B:$B,ТГ!$G$13,ТГ_ИД!$D:$D,ТГ!$A447)</f>
        <v>0</v>
      </c>
      <c r="V446" s="130">
        <f>SUMIFS(ТГ_ИД!$E:$E,ТГ_ИД!$B:$B,ТГ!$G$14,ТГ_ИД!$D:$D,ТГ!$A447)</f>
        <v>0</v>
      </c>
    </row>
    <row r="447" spans="1:22" x14ac:dyDescent="0.25">
      <c r="A447" s="116" t="str">
        <f t="shared" si="7"/>
        <v/>
      </c>
      <c r="K447" s="130">
        <f>SUMIFS(ТГ_ИД!$E:$E,ТГ_ИД!$B:$B,ТГ!$G$3,ТГ_ИД!$D:$D,ТГ!$A448)</f>
        <v>0</v>
      </c>
      <c r="L447" s="130">
        <f>SUMIFS(ТГ_ИД!$E:$E,ТГ_ИД!$B:$B,ТГ!$G$4,ТГ_ИД!$D:$D,ТГ!$A448)</f>
        <v>0</v>
      </c>
      <c r="M447" s="130">
        <f>SUMIFS(ТГ_ИД!$E:$E,ТГ_ИД!$B:$B,ТГ!$G$5,ТГ_ИД!$D:$D,ТГ!$A448)</f>
        <v>0</v>
      </c>
      <c r="N447" s="130">
        <f>SUMIFS(ТГ_ИД!$E:$E,ТГ_ИД!$B:$B,ТГ!$G$6,ТГ_ИД!$D:$D,ТГ!$A448)</f>
        <v>0</v>
      </c>
      <c r="O447" s="130">
        <f>SUMIFS(ТГ_ИД!$E:$E,ТГ_ИД!$B:$B,ТГ!$G$7,ТГ_ИД!$D:$D,ТГ!$A448)</f>
        <v>0</v>
      </c>
      <c r="P447" s="130">
        <f>SUMIFS(ТГ_ИД!$E:$E,ТГ_ИД!$B:$B,ТГ!$G$8,ТГ_ИД!$D:$D,ТГ!$A448)</f>
        <v>0</v>
      </c>
      <c r="Q447" s="130">
        <f>SUMIFS(ТГ_ИД!$E:$E,ТГ_ИД!$B:$B,ТГ!$G$9,ТГ_ИД!$D:$D,ТГ!$A448)</f>
        <v>0</v>
      </c>
      <c r="R447" s="130">
        <f>SUMIFS(ТГ_ИД!$E:$E,ТГ_ИД!$B:$B,ТГ!$G$10,ТГ_ИД!$D:$D,ТГ!$A448)</f>
        <v>0</v>
      </c>
      <c r="S447" s="130">
        <f>SUMIFS(ТГ_ИД!$E:$E,ТГ_ИД!$B:$B,ТГ!$G$11,ТГ_ИД!$D:$D,ТГ!$A448)</f>
        <v>0</v>
      </c>
      <c r="T447" s="130">
        <f>SUMIFS(ТГ_ИД!$E:$E,ТГ_ИД!$B:$B,ТГ!$G$12,ТГ_ИД!$D:$D,ТГ!$A448)</f>
        <v>0</v>
      </c>
      <c r="U447" s="130">
        <f>SUMIFS(ТГ_ИД!$E:$E,ТГ_ИД!$B:$B,ТГ!$G$13,ТГ_ИД!$D:$D,ТГ!$A448)</f>
        <v>0</v>
      </c>
      <c r="V447" s="130">
        <f>SUMIFS(ТГ_ИД!$E:$E,ТГ_ИД!$B:$B,ТГ!$G$14,ТГ_ИД!$D:$D,ТГ!$A448)</f>
        <v>0</v>
      </c>
    </row>
    <row r="448" spans="1:22" x14ac:dyDescent="0.25">
      <c r="A448" s="116" t="str">
        <f t="shared" si="7"/>
        <v/>
      </c>
      <c r="K448" s="130">
        <f>SUMIFS(ТГ_ИД!$E:$E,ТГ_ИД!$B:$B,ТГ!$G$3,ТГ_ИД!$D:$D,ТГ!$A449)</f>
        <v>0</v>
      </c>
      <c r="L448" s="130">
        <f>SUMIFS(ТГ_ИД!$E:$E,ТГ_ИД!$B:$B,ТГ!$G$4,ТГ_ИД!$D:$D,ТГ!$A449)</f>
        <v>0</v>
      </c>
      <c r="M448" s="130">
        <f>SUMIFS(ТГ_ИД!$E:$E,ТГ_ИД!$B:$B,ТГ!$G$5,ТГ_ИД!$D:$D,ТГ!$A449)</f>
        <v>0</v>
      </c>
      <c r="N448" s="130">
        <f>SUMIFS(ТГ_ИД!$E:$E,ТГ_ИД!$B:$B,ТГ!$G$6,ТГ_ИД!$D:$D,ТГ!$A449)</f>
        <v>0</v>
      </c>
      <c r="O448" s="130">
        <f>SUMIFS(ТГ_ИД!$E:$E,ТГ_ИД!$B:$B,ТГ!$G$7,ТГ_ИД!$D:$D,ТГ!$A449)</f>
        <v>0</v>
      </c>
      <c r="P448" s="130">
        <f>SUMIFS(ТГ_ИД!$E:$E,ТГ_ИД!$B:$B,ТГ!$G$8,ТГ_ИД!$D:$D,ТГ!$A449)</f>
        <v>0</v>
      </c>
      <c r="Q448" s="130">
        <f>SUMIFS(ТГ_ИД!$E:$E,ТГ_ИД!$B:$B,ТГ!$G$9,ТГ_ИД!$D:$D,ТГ!$A449)</f>
        <v>0</v>
      </c>
      <c r="R448" s="130">
        <f>SUMIFS(ТГ_ИД!$E:$E,ТГ_ИД!$B:$B,ТГ!$G$10,ТГ_ИД!$D:$D,ТГ!$A449)</f>
        <v>0</v>
      </c>
      <c r="S448" s="130">
        <f>SUMIFS(ТГ_ИД!$E:$E,ТГ_ИД!$B:$B,ТГ!$G$11,ТГ_ИД!$D:$D,ТГ!$A449)</f>
        <v>0</v>
      </c>
      <c r="T448" s="130">
        <f>SUMIFS(ТГ_ИД!$E:$E,ТГ_ИД!$B:$B,ТГ!$G$12,ТГ_ИД!$D:$D,ТГ!$A449)</f>
        <v>0</v>
      </c>
      <c r="U448" s="130">
        <f>SUMIFS(ТГ_ИД!$E:$E,ТГ_ИД!$B:$B,ТГ!$G$13,ТГ_ИД!$D:$D,ТГ!$A449)</f>
        <v>0</v>
      </c>
      <c r="V448" s="130">
        <f>SUMIFS(ТГ_ИД!$E:$E,ТГ_ИД!$B:$B,ТГ!$G$14,ТГ_ИД!$D:$D,ТГ!$A449)</f>
        <v>0</v>
      </c>
    </row>
    <row r="449" spans="1:22" x14ac:dyDescent="0.25">
      <c r="A449" s="116" t="str">
        <f t="shared" si="7"/>
        <v/>
      </c>
      <c r="K449" s="130">
        <f>SUMIFS(ТГ_ИД!$E:$E,ТГ_ИД!$B:$B,ТГ!$G$3,ТГ_ИД!$D:$D,ТГ!$A450)</f>
        <v>0</v>
      </c>
      <c r="L449" s="130">
        <f>SUMIFS(ТГ_ИД!$E:$E,ТГ_ИД!$B:$B,ТГ!$G$4,ТГ_ИД!$D:$D,ТГ!$A450)</f>
        <v>0</v>
      </c>
      <c r="M449" s="130">
        <f>SUMIFS(ТГ_ИД!$E:$E,ТГ_ИД!$B:$B,ТГ!$G$5,ТГ_ИД!$D:$D,ТГ!$A450)</f>
        <v>0</v>
      </c>
      <c r="N449" s="130">
        <f>SUMIFS(ТГ_ИД!$E:$E,ТГ_ИД!$B:$B,ТГ!$G$6,ТГ_ИД!$D:$D,ТГ!$A450)</f>
        <v>0</v>
      </c>
      <c r="O449" s="130">
        <f>SUMIFS(ТГ_ИД!$E:$E,ТГ_ИД!$B:$B,ТГ!$G$7,ТГ_ИД!$D:$D,ТГ!$A450)</f>
        <v>0</v>
      </c>
      <c r="P449" s="130">
        <f>SUMIFS(ТГ_ИД!$E:$E,ТГ_ИД!$B:$B,ТГ!$G$8,ТГ_ИД!$D:$D,ТГ!$A450)</f>
        <v>0</v>
      </c>
      <c r="Q449" s="130">
        <f>SUMIFS(ТГ_ИД!$E:$E,ТГ_ИД!$B:$B,ТГ!$G$9,ТГ_ИД!$D:$D,ТГ!$A450)</f>
        <v>0</v>
      </c>
      <c r="R449" s="130">
        <f>SUMIFS(ТГ_ИД!$E:$E,ТГ_ИД!$B:$B,ТГ!$G$10,ТГ_ИД!$D:$D,ТГ!$A450)</f>
        <v>0</v>
      </c>
      <c r="S449" s="130">
        <f>SUMIFS(ТГ_ИД!$E:$E,ТГ_ИД!$B:$B,ТГ!$G$11,ТГ_ИД!$D:$D,ТГ!$A450)</f>
        <v>0</v>
      </c>
      <c r="T449" s="130">
        <f>SUMIFS(ТГ_ИД!$E:$E,ТГ_ИД!$B:$B,ТГ!$G$12,ТГ_ИД!$D:$D,ТГ!$A450)</f>
        <v>0</v>
      </c>
      <c r="U449" s="130">
        <f>SUMIFS(ТГ_ИД!$E:$E,ТГ_ИД!$B:$B,ТГ!$G$13,ТГ_ИД!$D:$D,ТГ!$A450)</f>
        <v>0</v>
      </c>
      <c r="V449" s="130">
        <f>SUMIFS(ТГ_ИД!$E:$E,ТГ_ИД!$B:$B,ТГ!$G$14,ТГ_ИД!$D:$D,ТГ!$A450)</f>
        <v>0</v>
      </c>
    </row>
    <row r="450" spans="1:22" x14ac:dyDescent="0.25">
      <c r="A450" s="116" t="str">
        <f t="shared" si="7"/>
        <v/>
      </c>
      <c r="K450" s="130">
        <f>SUMIFS(ТГ_ИД!$E:$E,ТГ_ИД!$B:$B,ТГ!$G$3,ТГ_ИД!$D:$D,ТГ!$A451)</f>
        <v>0</v>
      </c>
      <c r="L450" s="130">
        <f>SUMIFS(ТГ_ИД!$E:$E,ТГ_ИД!$B:$B,ТГ!$G$4,ТГ_ИД!$D:$D,ТГ!$A451)</f>
        <v>0</v>
      </c>
      <c r="M450" s="130">
        <f>SUMIFS(ТГ_ИД!$E:$E,ТГ_ИД!$B:$B,ТГ!$G$5,ТГ_ИД!$D:$D,ТГ!$A451)</f>
        <v>0</v>
      </c>
      <c r="N450" s="130">
        <f>SUMIFS(ТГ_ИД!$E:$E,ТГ_ИД!$B:$B,ТГ!$G$6,ТГ_ИД!$D:$D,ТГ!$A451)</f>
        <v>0</v>
      </c>
      <c r="O450" s="130">
        <f>SUMIFS(ТГ_ИД!$E:$E,ТГ_ИД!$B:$B,ТГ!$G$7,ТГ_ИД!$D:$D,ТГ!$A451)</f>
        <v>0</v>
      </c>
      <c r="P450" s="130">
        <f>SUMIFS(ТГ_ИД!$E:$E,ТГ_ИД!$B:$B,ТГ!$G$8,ТГ_ИД!$D:$D,ТГ!$A451)</f>
        <v>0</v>
      </c>
      <c r="Q450" s="130">
        <f>SUMIFS(ТГ_ИД!$E:$E,ТГ_ИД!$B:$B,ТГ!$G$9,ТГ_ИД!$D:$D,ТГ!$A451)</f>
        <v>0</v>
      </c>
      <c r="R450" s="130">
        <f>SUMIFS(ТГ_ИД!$E:$E,ТГ_ИД!$B:$B,ТГ!$G$10,ТГ_ИД!$D:$D,ТГ!$A451)</f>
        <v>0</v>
      </c>
      <c r="S450" s="130">
        <f>SUMIFS(ТГ_ИД!$E:$E,ТГ_ИД!$B:$B,ТГ!$G$11,ТГ_ИД!$D:$D,ТГ!$A451)</f>
        <v>0</v>
      </c>
      <c r="T450" s="130">
        <f>SUMIFS(ТГ_ИД!$E:$E,ТГ_ИД!$B:$B,ТГ!$G$12,ТГ_ИД!$D:$D,ТГ!$A451)</f>
        <v>0</v>
      </c>
      <c r="U450" s="130">
        <f>SUMIFS(ТГ_ИД!$E:$E,ТГ_ИД!$B:$B,ТГ!$G$13,ТГ_ИД!$D:$D,ТГ!$A451)</f>
        <v>0</v>
      </c>
      <c r="V450" s="130">
        <f>SUMIFS(ТГ_ИД!$E:$E,ТГ_ИД!$B:$B,ТГ!$G$14,ТГ_ИД!$D:$D,ТГ!$A451)</f>
        <v>0</v>
      </c>
    </row>
    <row r="451" spans="1:22" x14ac:dyDescent="0.25">
      <c r="A451" s="116" t="str">
        <f t="shared" si="7"/>
        <v/>
      </c>
      <c r="K451" s="130">
        <f>SUMIFS(ТГ_ИД!$E:$E,ТГ_ИД!$B:$B,ТГ!$G$3,ТГ_ИД!$D:$D,ТГ!$A452)</f>
        <v>0</v>
      </c>
      <c r="L451" s="130">
        <f>SUMIFS(ТГ_ИД!$E:$E,ТГ_ИД!$B:$B,ТГ!$G$4,ТГ_ИД!$D:$D,ТГ!$A452)</f>
        <v>0</v>
      </c>
      <c r="M451" s="130">
        <f>SUMIFS(ТГ_ИД!$E:$E,ТГ_ИД!$B:$B,ТГ!$G$5,ТГ_ИД!$D:$D,ТГ!$A452)</f>
        <v>0</v>
      </c>
      <c r="N451" s="130">
        <f>SUMIFS(ТГ_ИД!$E:$E,ТГ_ИД!$B:$B,ТГ!$G$6,ТГ_ИД!$D:$D,ТГ!$A452)</f>
        <v>0</v>
      </c>
      <c r="O451" s="130">
        <f>SUMIFS(ТГ_ИД!$E:$E,ТГ_ИД!$B:$B,ТГ!$G$7,ТГ_ИД!$D:$D,ТГ!$A452)</f>
        <v>0</v>
      </c>
      <c r="P451" s="130">
        <f>SUMIFS(ТГ_ИД!$E:$E,ТГ_ИД!$B:$B,ТГ!$G$8,ТГ_ИД!$D:$D,ТГ!$A452)</f>
        <v>0</v>
      </c>
      <c r="Q451" s="130">
        <f>SUMIFS(ТГ_ИД!$E:$E,ТГ_ИД!$B:$B,ТГ!$G$9,ТГ_ИД!$D:$D,ТГ!$A452)</f>
        <v>0</v>
      </c>
      <c r="R451" s="130">
        <f>SUMIFS(ТГ_ИД!$E:$E,ТГ_ИД!$B:$B,ТГ!$G$10,ТГ_ИД!$D:$D,ТГ!$A452)</f>
        <v>0</v>
      </c>
      <c r="S451" s="130">
        <f>SUMIFS(ТГ_ИД!$E:$E,ТГ_ИД!$B:$B,ТГ!$G$11,ТГ_ИД!$D:$D,ТГ!$A452)</f>
        <v>0</v>
      </c>
      <c r="T451" s="130">
        <f>SUMIFS(ТГ_ИД!$E:$E,ТГ_ИД!$B:$B,ТГ!$G$12,ТГ_ИД!$D:$D,ТГ!$A452)</f>
        <v>0</v>
      </c>
      <c r="U451" s="130">
        <f>SUMIFS(ТГ_ИД!$E:$E,ТГ_ИД!$B:$B,ТГ!$G$13,ТГ_ИД!$D:$D,ТГ!$A452)</f>
        <v>0</v>
      </c>
      <c r="V451" s="130">
        <f>SUMIFS(ТГ_ИД!$E:$E,ТГ_ИД!$B:$B,ТГ!$G$14,ТГ_ИД!$D:$D,ТГ!$A452)</f>
        <v>0</v>
      </c>
    </row>
    <row r="452" spans="1:22" x14ac:dyDescent="0.25">
      <c r="A452" s="116" t="str">
        <f t="shared" si="7"/>
        <v/>
      </c>
      <c r="K452" s="130">
        <f>SUMIFS(ТГ_ИД!$E:$E,ТГ_ИД!$B:$B,ТГ!$G$3,ТГ_ИД!$D:$D,ТГ!$A453)</f>
        <v>0</v>
      </c>
      <c r="L452" s="130">
        <f>SUMIFS(ТГ_ИД!$E:$E,ТГ_ИД!$B:$B,ТГ!$G$4,ТГ_ИД!$D:$D,ТГ!$A453)</f>
        <v>0</v>
      </c>
      <c r="M452" s="130">
        <f>SUMIFS(ТГ_ИД!$E:$E,ТГ_ИД!$B:$B,ТГ!$G$5,ТГ_ИД!$D:$D,ТГ!$A453)</f>
        <v>0</v>
      </c>
      <c r="N452" s="130">
        <f>SUMIFS(ТГ_ИД!$E:$E,ТГ_ИД!$B:$B,ТГ!$G$6,ТГ_ИД!$D:$D,ТГ!$A453)</f>
        <v>0</v>
      </c>
      <c r="O452" s="130">
        <f>SUMIFS(ТГ_ИД!$E:$E,ТГ_ИД!$B:$B,ТГ!$G$7,ТГ_ИД!$D:$D,ТГ!$A453)</f>
        <v>0</v>
      </c>
      <c r="P452" s="130">
        <f>SUMIFS(ТГ_ИД!$E:$E,ТГ_ИД!$B:$B,ТГ!$G$8,ТГ_ИД!$D:$D,ТГ!$A453)</f>
        <v>0</v>
      </c>
      <c r="Q452" s="130">
        <f>SUMIFS(ТГ_ИД!$E:$E,ТГ_ИД!$B:$B,ТГ!$G$9,ТГ_ИД!$D:$D,ТГ!$A453)</f>
        <v>0</v>
      </c>
      <c r="R452" s="130">
        <f>SUMIFS(ТГ_ИД!$E:$E,ТГ_ИД!$B:$B,ТГ!$G$10,ТГ_ИД!$D:$D,ТГ!$A453)</f>
        <v>0</v>
      </c>
      <c r="S452" s="130">
        <f>SUMIFS(ТГ_ИД!$E:$E,ТГ_ИД!$B:$B,ТГ!$G$11,ТГ_ИД!$D:$D,ТГ!$A453)</f>
        <v>0</v>
      </c>
      <c r="T452" s="130">
        <f>SUMIFS(ТГ_ИД!$E:$E,ТГ_ИД!$B:$B,ТГ!$G$12,ТГ_ИД!$D:$D,ТГ!$A453)</f>
        <v>0</v>
      </c>
      <c r="U452" s="130">
        <f>SUMIFS(ТГ_ИД!$E:$E,ТГ_ИД!$B:$B,ТГ!$G$13,ТГ_ИД!$D:$D,ТГ!$A453)</f>
        <v>0</v>
      </c>
      <c r="V452" s="130">
        <f>SUMIFS(ТГ_ИД!$E:$E,ТГ_ИД!$B:$B,ТГ!$G$14,ТГ_ИД!$D:$D,ТГ!$A453)</f>
        <v>0</v>
      </c>
    </row>
    <row r="453" spans="1:22" x14ac:dyDescent="0.25">
      <c r="A453" s="116" t="str">
        <f t="shared" ref="A453:A516" si="8">IF(B453="","",TEXT(B453,"00000"))</f>
        <v/>
      </c>
      <c r="K453" s="130">
        <f>SUMIFS(ТГ_ИД!$E:$E,ТГ_ИД!$B:$B,ТГ!$G$3,ТГ_ИД!$D:$D,ТГ!$A454)</f>
        <v>0</v>
      </c>
      <c r="L453" s="130">
        <f>SUMIFS(ТГ_ИД!$E:$E,ТГ_ИД!$B:$B,ТГ!$G$4,ТГ_ИД!$D:$D,ТГ!$A454)</f>
        <v>0</v>
      </c>
      <c r="M453" s="130">
        <f>SUMIFS(ТГ_ИД!$E:$E,ТГ_ИД!$B:$B,ТГ!$G$5,ТГ_ИД!$D:$D,ТГ!$A454)</f>
        <v>0</v>
      </c>
      <c r="N453" s="130">
        <f>SUMIFS(ТГ_ИД!$E:$E,ТГ_ИД!$B:$B,ТГ!$G$6,ТГ_ИД!$D:$D,ТГ!$A454)</f>
        <v>0</v>
      </c>
      <c r="O453" s="130">
        <f>SUMIFS(ТГ_ИД!$E:$E,ТГ_ИД!$B:$B,ТГ!$G$7,ТГ_ИД!$D:$D,ТГ!$A454)</f>
        <v>0</v>
      </c>
      <c r="P453" s="130">
        <f>SUMIFS(ТГ_ИД!$E:$E,ТГ_ИД!$B:$B,ТГ!$G$8,ТГ_ИД!$D:$D,ТГ!$A454)</f>
        <v>0</v>
      </c>
      <c r="Q453" s="130">
        <f>SUMIFS(ТГ_ИД!$E:$E,ТГ_ИД!$B:$B,ТГ!$G$9,ТГ_ИД!$D:$D,ТГ!$A454)</f>
        <v>0</v>
      </c>
      <c r="R453" s="130">
        <f>SUMIFS(ТГ_ИД!$E:$E,ТГ_ИД!$B:$B,ТГ!$G$10,ТГ_ИД!$D:$D,ТГ!$A454)</f>
        <v>0</v>
      </c>
      <c r="S453" s="130">
        <f>SUMIFS(ТГ_ИД!$E:$E,ТГ_ИД!$B:$B,ТГ!$G$11,ТГ_ИД!$D:$D,ТГ!$A454)</f>
        <v>0</v>
      </c>
      <c r="T453" s="130">
        <f>SUMIFS(ТГ_ИД!$E:$E,ТГ_ИД!$B:$B,ТГ!$G$12,ТГ_ИД!$D:$D,ТГ!$A454)</f>
        <v>0</v>
      </c>
      <c r="U453" s="130">
        <f>SUMIFS(ТГ_ИД!$E:$E,ТГ_ИД!$B:$B,ТГ!$G$13,ТГ_ИД!$D:$D,ТГ!$A454)</f>
        <v>0</v>
      </c>
      <c r="V453" s="130">
        <f>SUMIFS(ТГ_ИД!$E:$E,ТГ_ИД!$B:$B,ТГ!$G$14,ТГ_ИД!$D:$D,ТГ!$A454)</f>
        <v>0</v>
      </c>
    </row>
    <row r="454" spans="1:22" x14ac:dyDescent="0.25">
      <c r="A454" s="116" t="str">
        <f t="shared" si="8"/>
        <v/>
      </c>
      <c r="K454" s="130">
        <f>SUMIFS(ТГ_ИД!$E:$E,ТГ_ИД!$B:$B,ТГ!$G$3,ТГ_ИД!$D:$D,ТГ!$A455)</f>
        <v>0</v>
      </c>
      <c r="L454" s="130">
        <f>SUMIFS(ТГ_ИД!$E:$E,ТГ_ИД!$B:$B,ТГ!$G$4,ТГ_ИД!$D:$D,ТГ!$A455)</f>
        <v>0</v>
      </c>
      <c r="M454" s="130">
        <f>SUMIFS(ТГ_ИД!$E:$E,ТГ_ИД!$B:$B,ТГ!$G$5,ТГ_ИД!$D:$D,ТГ!$A455)</f>
        <v>0</v>
      </c>
      <c r="N454" s="130">
        <f>SUMIFS(ТГ_ИД!$E:$E,ТГ_ИД!$B:$B,ТГ!$G$6,ТГ_ИД!$D:$D,ТГ!$A455)</f>
        <v>0</v>
      </c>
      <c r="O454" s="130">
        <f>SUMIFS(ТГ_ИД!$E:$E,ТГ_ИД!$B:$B,ТГ!$G$7,ТГ_ИД!$D:$D,ТГ!$A455)</f>
        <v>0</v>
      </c>
      <c r="P454" s="130">
        <f>SUMIFS(ТГ_ИД!$E:$E,ТГ_ИД!$B:$B,ТГ!$G$8,ТГ_ИД!$D:$D,ТГ!$A455)</f>
        <v>0</v>
      </c>
      <c r="Q454" s="130">
        <f>SUMIFS(ТГ_ИД!$E:$E,ТГ_ИД!$B:$B,ТГ!$G$9,ТГ_ИД!$D:$D,ТГ!$A455)</f>
        <v>0</v>
      </c>
      <c r="R454" s="130">
        <f>SUMIFS(ТГ_ИД!$E:$E,ТГ_ИД!$B:$B,ТГ!$G$10,ТГ_ИД!$D:$D,ТГ!$A455)</f>
        <v>0</v>
      </c>
      <c r="S454" s="130">
        <f>SUMIFS(ТГ_ИД!$E:$E,ТГ_ИД!$B:$B,ТГ!$G$11,ТГ_ИД!$D:$D,ТГ!$A455)</f>
        <v>0</v>
      </c>
      <c r="T454" s="130">
        <f>SUMIFS(ТГ_ИД!$E:$E,ТГ_ИД!$B:$B,ТГ!$G$12,ТГ_ИД!$D:$D,ТГ!$A455)</f>
        <v>0</v>
      </c>
      <c r="U454" s="130">
        <f>SUMIFS(ТГ_ИД!$E:$E,ТГ_ИД!$B:$B,ТГ!$G$13,ТГ_ИД!$D:$D,ТГ!$A455)</f>
        <v>0</v>
      </c>
      <c r="V454" s="130">
        <f>SUMIFS(ТГ_ИД!$E:$E,ТГ_ИД!$B:$B,ТГ!$G$14,ТГ_ИД!$D:$D,ТГ!$A455)</f>
        <v>0</v>
      </c>
    </row>
    <row r="455" spans="1:22" x14ac:dyDescent="0.25">
      <c r="A455" s="116" t="str">
        <f t="shared" si="8"/>
        <v/>
      </c>
      <c r="K455" s="130">
        <f>SUMIFS(ТГ_ИД!$E:$E,ТГ_ИД!$B:$B,ТГ!$G$3,ТГ_ИД!$D:$D,ТГ!$A456)</f>
        <v>0</v>
      </c>
      <c r="L455" s="130">
        <f>SUMIFS(ТГ_ИД!$E:$E,ТГ_ИД!$B:$B,ТГ!$G$4,ТГ_ИД!$D:$D,ТГ!$A456)</f>
        <v>0</v>
      </c>
      <c r="M455" s="130">
        <f>SUMIFS(ТГ_ИД!$E:$E,ТГ_ИД!$B:$B,ТГ!$G$5,ТГ_ИД!$D:$D,ТГ!$A456)</f>
        <v>0</v>
      </c>
      <c r="N455" s="130">
        <f>SUMIFS(ТГ_ИД!$E:$E,ТГ_ИД!$B:$B,ТГ!$G$6,ТГ_ИД!$D:$D,ТГ!$A456)</f>
        <v>0</v>
      </c>
      <c r="O455" s="130">
        <f>SUMIFS(ТГ_ИД!$E:$E,ТГ_ИД!$B:$B,ТГ!$G$7,ТГ_ИД!$D:$D,ТГ!$A456)</f>
        <v>0</v>
      </c>
      <c r="P455" s="130">
        <f>SUMIFS(ТГ_ИД!$E:$E,ТГ_ИД!$B:$B,ТГ!$G$8,ТГ_ИД!$D:$D,ТГ!$A456)</f>
        <v>0</v>
      </c>
      <c r="Q455" s="130">
        <f>SUMIFS(ТГ_ИД!$E:$E,ТГ_ИД!$B:$B,ТГ!$G$9,ТГ_ИД!$D:$D,ТГ!$A456)</f>
        <v>0</v>
      </c>
      <c r="R455" s="130">
        <f>SUMIFS(ТГ_ИД!$E:$E,ТГ_ИД!$B:$B,ТГ!$G$10,ТГ_ИД!$D:$D,ТГ!$A456)</f>
        <v>0</v>
      </c>
      <c r="S455" s="130">
        <f>SUMIFS(ТГ_ИД!$E:$E,ТГ_ИД!$B:$B,ТГ!$G$11,ТГ_ИД!$D:$D,ТГ!$A456)</f>
        <v>0</v>
      </c>
      <c r="T455" s="130">
        <f>SUMIFS(ТГ_ИД!$E:$E,ТГ_ИД!$B:$B,ТГ!$G$12,ТГ_ИД!$D:$D,ТГ!$A456)</f>
        <v>0</v>
      </c>
      <c r="U455" s="130">
        <f>SUMIFS(ТГ_ИД!$E:$E,ТГ_ИД!$B:$B,ТГ!$G$13,ТГ_ИД!$D:$D,ТГ!$A456)</f>
        <v>0</v>
      </c>
      <c r="V455" s="130">
        <f>SUMIFS(ТГ_ИД!$E:$E,ТГ_ИД!$B:$B,ТГ!$G$14,ТГ_ИД!$D:$D,ТГ!$A456)</f>
        <v>0</v>
      </c>
    </row>
    <row r="456" spans="1:22" x14ac:dyDescent="0.25">
      <c r="A456" s="116" t="str">
        <f t="shared" si="8"/>
        <v/>
      </c>
      <c r="K456" s="130">
        <f>SUMIFS(ТГ_ИД!$E:$E,ТГ_ИД!$B:$B,ТГ!$G$3,ТГ_ИД!$D:$D,ТГ!$A457)</f>
        <v>0</v>
      </c>
      <c r="L456" s="130">
        <f>SUMIFS(ТГ_ИД!$E:$E,ТГ_ИД!$B:$B,ТГ!$G$4,ТГ_ИД!$D:$D,ТГ!$A457)</f>
        <v>0</v>
      </c>
      <c r="M456" s="130">
        <f>SUMIFS(ТГ_ИД!$E:$E,ТГ_ИД!$B:$B,ТГ!$G$5,ТГ_ИД!$D:$D,ТГ!$A457)</f>
        <v>0</v>
      </c>
      <c r="N456" s="130">
        <f>SUMIFS(ТГ_ИД!$E:$E,ТГ_ИД!$B:$B,ТГ!$G$6,ТГ_ИД!$D:$D,ТГ!$A457)</f>
        <v>0</v>
      </c>
      <c r="O456" s="130">
        <f>SUMIFS(ТГ_ИД!$E:$E,ТГ_ИД!$B:$B,ТГ!$G$7,ТГ_ИД!$D:$D,ТГ!$A457)</f>
        <v>0</v>
      </c>
      <c r="P456" s="130">
        <f>SUMIFS(ТГ_ИД!$E:$E,ТГ_ИД!$B:$B,ТГ!$G$8,ТГ_ИД!$D:$D,ТГ!$A457)</f>
        <v>0</v>
      </c>
      <c r="Q456" s="130">
        <f>SUMIFS(ТГ_ИД!$E:$E,ТГ_ИД!$B:$B,ТГ!$G$9,ТГ_ИД!$D:$D,ТГ!$A457)</f>
        <v>0</v>
      </c>
      <c r="R456" s="130">
        <f>SUMIFS(ТГ_ИД!$E:$E,ТГ_ИД!$B:$B,ТГ!$G$10,ТГ_ИД!$D:$D,ТГ!$A457)</f>
        <v>0</v>
      </c>
      <c r="S456" s="130">
        <f>SUMIFS(ТГ_ИД!$E:$E,ТГ_ИД!$B:$B,ТГ!$G$11,ТГ_ИД!$D:$D,ТГ!$A457)</f>
        <v>0</v>
      </c>
      <c r="T456" s="130">
        <f>SUMIFS(ТГ_ИД!$E:$E,ТГ_ИД!$B:$B,ТГ!$G$12,ТГ_ИД!$D:$D,ТГ!$A457)</f>
        <v>0</v>
      </c>
      <c r="U456" s="130">
        <f>SUMIFS(ТГ_ИД!$E:$E,ТГ_ИД!$B:$B,ТГ!$G$13,ТГ_ИД!$D:$D,ТГ!$A457)</f>
        <v>0</v>
      </c>
      <c r="V456" s="130">
        <f>SUMIFS(ТГ_ИД!$E:$E,ТГ_ИД!$B:$B,ТГ!$G$14,ТГ_ИД!$D:$D,ТГ!$A457)</f>
        <v>0</v>
      </c>
    </row>
    <row r="457" spans="1:22" x14ac:dyDescent="0.25">
      <c r="A457" s="116" t="str">
        <f t="shared" si="8"/>
        <v/>
      </c>
      <c r="K457" s="130">
        <f>SUMIFS(ТГ_ИД!$E:$E,ТГ_ИД!$B:$B,ТГ!$G$3,ТГ_ИД!$D:$D,ТГ!$A458)</f>
        <v>0</v>
      </c>
      <c r="L457" s="130">
        <f>SUMIFS(ТГ_ИД!$E:$E,ТГ_ИД!$B:$B,ТГ!$G$4,ТГ_ИД!$D:$D,ТГ!$A458)</f>
        <v>0</v>
      </c>
      <c r="M457" s="130">
        <f>SUMIFS(ТГ_ИД!$E:$E,ТГ_ИД!$B:$B,ТГ!$G$5,ТГ_ИД!$D:$D,ТГ!$A458)</f>
        <v>0</v>
      </c>
      <c r="N457" s="130">
        <f>SUMIFS(ТГ_ИД!$E:$E,ТГ_ИД!$B:$B,ТГ!$G$6,ТГ_ИД!$D:$D,ТГ!$A458)</f>
        <v>0</v>
      </c>
      <c r="O457" s="130">
        <f>SUMIFS(ТГ_ИД!$E:$E,ТГ_ИД!$B:$B,ТГ!$G$7,ТГ_ИД!$D:$D,ТГ!$A458)</f>
        <v>0</v>
      </c>
      <c r="P457" s="130">
        <f>SUMIFS(ТГ_ИД!$E:$E,ТГ_ИД!$B:$B,ТГ!$G$8,ТГ_ИД!$D:$D,ТГ!$A458)</f>
        <v>0</v>
      </c>
      <c r="Q457" s="130">
        <f>SUMIFS(ТГ_ИД!$E:$E,ТГ_ИД!$B:$B,ТГ!$G$9,ТГ_ИД!$D:$D,ТГ!$A458)</f>
        <v>0</v>
      </c>
      <c r="R457" s="130">
        <f>SUMIFS(ТГ_ИД!$E:$E,ТГ_ИД!$B:$B,ТГ!$G$10,ТГ_ИД!$D:$D,ТГ!$A458)</f>
        <v>0</v>
      </c>
      <c r="S457" s="130">
        <f>SUMIFS(ТГ_ИД!$E:$E,ТГ_ИД!$B:$B,ТГ!$G$11,ТГ_ИД!$D:$D,ТГ!$A458)</f>
        <v>0</v>
      </c>
      <c r="T457" s="130">
        <f>SUMIFS(ТГ_ИД!$E:$E,ТГ_ИД!$B:$B,ТГ!$G$12,ТГ_ИД!$D:$D,ТГ!$A458)</f>
        <v>0</v>
      </c>
      <c r="U457" s="130">
        <f>SUMIFS(ТГ_ИД!$E:$E,ТГ_ИД!$B:$B,ТГ!$G$13,ТГ_ИД!$D:$D,ТГ!$A458)</f>
        <v>0</v>
      </c>
      <c r="V457" s="130">
        <f>SUMIFS(ТГ_ИД!$E:$E,ТГ_ИД!$B:$B,ТГ!$G$14,ТГ_ИД!$D:$D,ТГ!$A458)</f>
        <v>0</v>
      </c>
    </row>
    <row r="458" spans="1:22" x14ac:dyDescent="0.25">
      <c r="A458" s="116" t="str">
        <f t="shared" si="8"/>
        <v/>
      </c>
      <c r="K458" s="130">
        <f>SUMIFS(ТГ_ИД!$E:$E,ТГ_ИД!$B:$B,ТГ!$G$3,ТГ_ИД!$D:$D,ТГ!$A459)</f>
        <v>0</v>
      </c>
      <c r="L458" s="130">
        <f>SUMIFS(ТГ_ИД!$E:$E,ТГ_ИД!$B:$B,ТГ!$G$4,ТГ_ИД!$D:$D,ТГ!$A459)</f>
        <v>0</v>
      </c>
      <c r="M458" s="130">
        <f>SUMIFS(ТГ_ИД!$E:$E,ТГ_ИД!$B:$B,ТГ!$G$5,ТГ_ИД!$D:$D,ТГ!$A459)</f>
        <v>0</v>
      </c>
      <c r="N458" s="130">
        <f>SUMIFS(ТГ_ИД!$E:$E,ТГ_ИД!$B:$B,ТГ!$G$6,ТГ_ИД!$D:$D,ТГ!$A459)</f>
        <v>0</v>
      </c>
      <c r="O458" s="130">
        <f>SUMIFS(ТГ_ИД!$E:$E,ТГ_ИД!$B:$B,ТГ!$G$7,ТГ_ИД!$D:$D,ТГ!$A459)</f>
        <v>0</v>
      </c>
      <c r="P458" s="130">
        <f>SUMIFS(ТГ_ИД!$E:$E,ТГ_ИД!$B:$B,ТГ!$G$8,ТГ_ИД!$D:$D,ТГ!$A459)</f>
        <v>0</v>
      </c>
      <c r="Q458" s="130">
        <f>SUMIFS(ТГ_ИД!$E:$E,ТГ_ИД!$B:$B,ТГ!$G$9,ТГ_ИД!$D:$D,ТГ!$A459)</f>
        <v>0</v>
      </c>
      <c r="R458" s="130">
        <f>SUMIFS(ТГ_ИД!$E:$E,ТГ_ИД!$B:$B,ТГ!$G$10,ТГ_ИД!$D:$D,ТГ!$A459)</f>
        <v>0</v>
      </c>
      <c r="S458" s="130">
        <f>SUMIFS(ТГ_ИД!$E:$E,ТГ_ИД!$B:$B,ТГ!$G$11,ТГ_ИД!$D:$D,ТГ!$A459)</f>
        <v>0</v>
      </c>
      <c r="T458" s="130">
        <f>SUMIFS(ТГ_ИД!$E:$E,ТГ_ИД!$B:$B,ТГ!$G$12,ТГ_ИД!$D:$D,ТГ!$A459)</f>
        <v>0</v>
      </c>
      <c r="U458" s="130">
        <f>SUMIFS(ТГ_ИД!$E:$E,ТГ_ИД!$B:$B,ТГ!$G$13,ТГ_ИД!$D:$D,ТГ!$A459)</f>
        <v>0</v>
      </c>
      <c r="V458" s="130">
        <f>SUMIFS(ТГ_ИД!$E:$E,ТГ_ИД!$B:$B,ТГ!$G$14,ТГ_ИД!$D:$D,ТГ!$A459)</f>
        <v>0</v>
      </c>
    </row>
    <row r="459" spans="1:22" x14ac:dyDescent="0.25">
      <c r="A459" s="116" t="str">
        <f t="shared" si="8"/>
        <v/>
      </c>
      <c r="K459" s="130">
        <f>SUMIFS(ТГ_ИД!$E:$E,ТГ_ИД!$B:$B,ТГ!$G$3,ТГ_ИД!$D:$D,ТГ!$A460)</f>
        <v>0</v>
      </c>
      <c r="L459" s="130">
        <f>SUMIFS(ТГ_ИД!$E:$E,ТГ_ИД!$B:$B,ТГ!$G$4,ТГ_ИД!$D:$D,ТГ!$A460)</f>
        <v>0</v>
      </c>
      <c r="M459" s="130">
        <f>SUMIFS(ТГ_ИД!$E:$E,ТГ_ИД!$B:$B,ТГ!$G$5,ТГ_ИД!$D:$D,ТГ!$A460)</f>
        <v>0</v>
      </c>
      <c r="N459" s="130">
        <f>SUMIFS(ТГ_ИД!$E:$E,ТГ_ИД!$B:$B,ТГ!$G$6,ТГ_ИД!$D:$D,ТГ!$A460)</f>
        <v>0</v>
      </c>
      <c r="O459" s="130">
        <f>SUMIFS(ТГ_ИД!$E:$E,ТГ_ИД!$B:$B,ТГ!$G$7,ТГ_ИД!$D:$D,ТГ!$A460)</f>
        <v>0</v>
      </c>
      <c r="P459" s="130">
        <f>SUMIFS(ТГ_ИД!$E:$E,ТГ_ИД!$B:$B,ТГ!$G$8,ТГ_ИД!$D:$D,ТГ!$A460)</f>
        <v>0</v>
      </c>
      <c r="Q459" s="130">
        <f>SUMIFS(ТГ_ИД!$E:$E,ТГ_ИД!$B:$B,ТГ!$G$9,ТГ_ИД!$D:$D,ТГ!$A460)</f>
        <v>0</v>
      </c>
      <c r="R459" s="130">
        <f>SUMIFS(ТГ_ИД!$E:$E,ТГ_ИД!$B:$B,ТГ!$G$10,ТГ_ИД!$D:$D,ТГ!$A460)</f>
        <v>0</v>
      </c>
      <c r="S459" s="130">
        <f>SUMIFS(ТГ_ИД!$E:$E,ТГ_ИД!$B:$B,ТГ!$G$11,ТГ_ИД!$D:$D,ТГ!$A460)</f>
        <v>0</v>
      </c>
      <c r="T459" s="130">
        <f>SUMIFS(ТГ_ИД!$E:$E,ТГ_ИД!$B:$B,ТГ!$G$12,ТГ_ИД!$D:$D,ТГ!$A460)</f>
        <v>0</v>
      </c>
      <c r="U459" s="130">
        <f>SUMIFS(ТГ_ИД!$E:$E,ТГ_ИД!$B:$B,ТГ!$G$13,ТГ_ИД!$D:$D,ТГ!$A460)</f>
        <v>0</v>
      </c>
      <c r="V459" s="130">
        <f>SUMIFS(ТГ_ИД!$E:$E,ТГ_ИД!$B:$B,ТГ!$G$14,ТГ_ИД!$D:$D,ТГ!$A460)</f>
        <v>0</v>
      </c>
    </row>
    <row r="460" spans="1:22" x14ac:dyDescent="0.25">
      <c r="A460" s="116" t="str">
        <f t="shared" si="8"/>
        <v/>
      </c>
      <c r="K460" s="130">
        <f>SUMIFS(ТГ_ИД!$E:$E,ТГ_ИД!$B:$B,ТГ!$G$3,ТГ_ИД!$D:$D,ТГ!$A461)</f>
        <v>0</v>
      </c>
      <c r="L460" s="130">
        <f>SUMIFS(ТГ_ИД!$E:$E,ТГ_ИД!$B:$B,ТГ!$G$4,ТГ_ИД!$D:$D,ТГ!$A461)</f>
        <v>0</v>
      </c>
      <c r="M460" s="130">
        <f>SUMIFS(ТГ_ИД!$E:$E,ТГ_ИД!$B:$B,ТГ!$G$5,ТГ_ИД!$D:$D,ТГ!$A461)</f>
        <v>0</v>
      </c>
      <c r="N460" s="130">
        <f>SUMIFS(ТГ_ИД!$E:$E,ТГ_ИД!$B:$B,ТГ!$G$6,ТГ_ИД!$D:$D,ТГ!$A461)</f>
        <v>0</v>
      </c>
      <c r="O460" s="130">
        <f>SUMIFS(ТГ_ИД!$E:$E,ТГ_ИД!$B:$B,ТГ!$G$7,ТГ_ИД!$D:$D,ТГ!$A461)</f>
        <v>0</v>
      </c>
      <c r="P460" s="130">
        <f>SUMIFS(ТГ_ИД!$E:$E,ТГ_ИД!$B:$B,ТГ!$G$8,ТГ_ИД!$D:$D,ТГ!$A461)</f>
        <v>0</v>
      </c>
      <c r="Q460" s="130">
        <f>SUMIFS(ТГ_ИД!$E:$E,ТГ_ИД!$B:$B,ТГ!$G$9,ТГ_ИД!$D:$D,ТГ!$A461)</f>
        <v>0</v>
      </c>
      <c r="R460" s="130">
        <f>SUMIFS(ТГ_ИД!$E:$E,ТГ_ИД!$B:$B,ТГ!$G$10,ТГ_ИД!$D:$D,ТГ!$A461)</f>
        <v>0</v>
      </c>
      <c r="S460" s="130">
        <f>SUMIFS(ТГ_ИД!$E:$E,ТГ_ИД!$B:$B,ТГ!$G$11,ТГ_ИД!$D:$D,ТГ!$A461)</f>
        <v>0</v>
      </c>
      <c r="T460" s="130">
        <f>SUMIFS(ТГ_ИД!$E:$E,ТГ_ИД!$B:$B,ТГ!$G$12,ТГ_ИД!$D:$D,ТГ!$A461)</f>
        <v>0</v>
      </c>
      <c r="U460" s="130">
        <f>SUMIFS(ТГ_ИД!$E:$E,ТГ_ИД!$B:$B,ТГ!$G$13,ТГ_ИД!$D:$D,ТГ!$A461)</f>
        <v>0</v>
      </c>
      <c r="V460" s="130">
        <f>SUMIFS(ТГ_ИД!$E:$E,ТГ_ИД!$B:$B,ТГ!$G$14,ТГ_ИД!$D:$D,ТГ!$A461)</f>
        <v>0</v>
      </c>
    </row>
    <row r="461" spans="1:22" x14ac:dyDescent="0.25">
      <c r="A461" s="116" t="str">
        <f t="shared" si="8"/>
        <v/>
      </c>
      <c r="K461" s="130">
        <f>SUMIFS(ТГ_ИД!$E:$E,ТГ_ИД!$B:$B,ТГ!$G$3,ТГ_ИД!$D:$D,ТГ!$A462)</f>
        <v>0</v>
      </c>
      <c r="L461" s="130">
        <f>SUMIFS(ТГ_ИД!$E:$E,ТГ_ИД!$B:$B,ТГ!$G$4,ТГ_ИД!$D:$D,ТГ!$A462)</f>
        <v>0</v>
      </c>
      <c r="M461" s="130">
        <f>SUMIFS(ТГ_ИД!$E:$E,ТГ_ИД!$B:$B,ТГ!$G$5,ТГ_ИД!$D:$D,ТГ!$A462)</f>
        <v>0</v>
      </c>
      <c r="N461" s="130">
        <f>SUMIFS(ТГ_ИД!$E:$E,ТГ_ИД!$B:$B,ТГ!$G$6,ТГ_ИД!$D:$D,ТГ!$A462)</f>
        <v>0</v>
      </c>
      <c r="O461" s="130">
        <f>SUMIFS(ТГ_ИД!$E:$E,ТГ_ИД!$B:$B,ТГ!$G$7,ТГ_ИД!$D:$D,ТГ!$A462)</f>
        <v>0</v>
      </c>
      <c r="P461" s="130">
        <f>SUMIFS(ТГ_ИД!$E:$E,ТГ_ИД!$B:$B,ТГ!$G$8,ТГ_ИД!$D:$D,ТГ!$A462)</f>
        <v>0</v>
      </c>
      <c r="Q461" s="130">
        <f>SUMIFS(ТГ_ИД!$E:$E,ТГ_ИД!$B:$B,ТГ!$G$9,ТГ_ИД!$D:$D,ТГ!$A462)</f>
        <v>0</v>
      </c>
      <c r="R461" s="130">
        <f>SUMIFS(ТГ_ИД!$E:$E,ТГ_ИД!$B:$B,ТГ!$G$10,ТГ_ИД!$D:$D,ТГ!$A462)</f>
        <v>0</v>
      </c>
      <c r="S461" s="130">
        <f>SUMIFS(ТГ_ИД!$E:$E,ТГ_ИД!$B:$B,ТГ!$G$11,ТГ_ИД!$D:$D,ТГ!$A462)</f>
        <v>0</v>
      </c>
      <c r="T461" s="130">
        <f>SUMIFS(ТГ_ИД!$E:$E,ТГ_ИД!$B:$B,ТГ!$G$12,ТГ_ИД!$D:$D,ТГ!$A462)</f>
        <v>0</v>
      </c>
      <c r="U461" s="130">
        <f>SUMIFS(ТГ_ИД!$E:$E,ТГ_ИД!$B:$B,ТГ!$G$13,ТГ_ИД!$D:$D,ТГ!$A462)</f>
        <v>0</v>
      </c>
      <c r="V461" s="130">
        <f>SUMIFS(ТГ_ИД!$E:$E,ТГ_ИД!$B:$B,ТГ!$G$14,ТГ_ИД!$D:$D,ТГ!$A462)</f>
        <v>0</v>
      </c>
    </row>
    <row r="462" spans="1:22" x14ac:dyDescent="0.25">
      <c r="A462" s="116" t="str">
        <f t="shared" si="8"/>
        <v/>
      </c>
      <c r="K462" s="130">
        <f>SUMIFS(ТГ_ИД!$E:$E,ТГ_ИД!$B:$B,ТГ!$G$3,ТГ_ИД!$D:$D,ТГ!$A463)</f>
        <v>0</v>
      </c>
      <c r="L462" s="130">
        <f>SUMIFS(ТГ_ИД!$E:$E,ТГ_ИД!$B:$B,ТГ!$G$4,ТГ_ИД!$D:$D,ТГ!$A463)</f>
        <v>0</v>
      </c>
      <c r="M462" s="130">
        <f>SUMIFS(ТГ_ИД!$E:$E,ТГ_ИД!$B:$B,ТГ!$G$5,ТГ_ИД!$D:$D,ТГ!$A463)</f>
        <v>0</v>
      </c>
      <c r="N462" s="130">
        <f>SUMIFS(ТГ_ИД!$E:$E,ТГ_ИД!$B:$B,ТГ!$G$6,ТГ_ИД!$D:$D,ТГ!$A463)</f>
        <v>0</v>
      </c>
      <c r="O462" s="130">
        <f>SUMIFS(ТГ_ИД!$E:$E,ТГ_ИД!$B:$B,ТГ!$G$7,ТГ_ИД!$D:$D,ТГ!$A463)</f>
        <v>0</v>
      </c>
      <c r="P462" s="130">
        <f>SUMIFS(ТГ_ИД!$E:$E,ТГ_ИД!$B:$B,ТГ!$G$8,ТГ_ИД!$D:$D,ТГ!$A463)</f>
        <v>0</v>
      </c>
      <c r="Q462" s="130">
        <f>SUMIFS(ТГ_ИД!$E:$E,ТГ_ИД!$B:$B,ТГ!$G$9,ТГ_ИД!$D:$D,ТГ!$A463)</f>
        <v>0</v>
      </c>
      <c r="R462" s="130">
        <f>SUMIFS(ТГ_ИД!$E:$E,ТГ_ИД!$B:$B,ТГ!$G$10,ТГ_ИД!$D:$D,ТГ!$A463)</f>
        <v>0</v>
      </c>
      <c r="S462" s="130">
        <f>SUMIFS(ТГ_ИД!$E:$E,ТГ_ИД!$B:$B,ТГ!$G$11,ТГ_ИД!$D:$D,ТГ!$A463)</f>
        <v>0</v>
      </c>
      <c r="T462" s="130">
        <f>SUMIFS(ТГ_ИД!$E:$E,ТГ_ИД!$B:$B,ТГ!$G$12,ТГ_ИД!$D:$D,ТГ!$A463)</f>
        <v>0</v>
      </c>
      <c r="U462" s="130">
        <f>SUMIFS(ТГ_ИД!$E:$E,ТГ_ИД!$B:$B,ТГ!$G$13,ТГ_ИД!$D:$D,ТГ!$A463)</f>
        <v>0</v>
      </c>
      <c r="V462" s="130">
        <f>SUMIFS(ТГ_ИД!$E:$E,ТГ_ИД!$B:$B,ТГ!$G$14,ТГ_ИД!$D:$D,ТГ!$A463)</f>
        <v>0</v>
      </c>
    </row>
    <row r="463" spans="1:22" x14ac:dyDescent="0.25">
      <c r="A463" s="116" t="str">
        <f t="shared" si="8"/>
        <v/>
      </c>
      <c r="K463" s="130">
        <f>SUMIFS(ТГ_ИД!$E:$E,ТГ_ИД!$B:$B,ТГ!$G$3,ТГ_ИД!$D:$D,ТГ!$A464)</f>
        <v>0</v>
      </c>
      <c r="L463" s="130">
        <f>SUMIFS(ТГ_ИД!$E:$E,ТГ_ИД!$B:$B,ТГ!$G$4,ТГ_ИД!$D:$D,ТГ!$A464)</f>
        <v>0</v>
      </c>
      <c r="M463" s="130">
        <f>SUMIFS(ТГ_ИД!$E:$E,ТГ_ИД!$B:$B,ТГ!$G$5,ТГ_ИД!$D:$D,ТГ!$A464)</f>
        <v>0</v>
      </c>
      <c r="N463" s="130">
        <f>SUMIFS(ТГ_ИД!$E:$E,ТГ_ИД!$B:$B,ТГ!$G$6,ТГ_ИД!$D:$D,ТГ!$A464)</f>
        <v>0</v>
      </c>
      <c r="O463" s="130">
        <f>SUMIFS(ТГ_ИД!$E:$E,ТГ_ИД!$B:$B,ТГ!$G$7,ТГ_ИД!$D:$D,ТГ!$A464)</f>
        <v>0</v>
      </c>
      <c r="P463" s="130">
        <f>SUMIFS(ТГ_ИД!$E:$E,ТГ_ИД!$B:$B,ТГ!$G$8,ТГ_ИД!$D:$D,ТГ!$A464)</f>
        <v>0</v>
      </c>
      <c r="Q463" s="130">
        <f>SUMIFS(ТГ_ИД!$E:$E,ТГ_ИД!$B:$B,ТГ!$G$9,ТГ_ИД!$D:$D,ТГ!$A464)</f>
        <v>0</v>
      </c>
      <c r="R463" s="130">
        <f>SUMIFS(ТГ_ИД!$E:$E,ТГ_ИД!$B:$B,ТГ!$G$10,ТГ_ИД!$D:$D,ТГ!$A464)</f>
        <v>0</v>
      </c>
      <c r="S463" s="130">
        <f>SUMIFS(ТГ_ИД!$E:$E,ТГ_ИД!$B:$B,ТГ!$G$11,ТГ_ИД!$D:$D,ТГ!$A464)</f>
        <v>0</v>
      </c>
      <c r="T463" s="130">
        <f>SUMIFS(ТГ_ИД!$E:$E,ТГ_ИД!$B:$B,ТГ!$G$12,ТГ_ИД!$D:$D,ТГ!$A464)</f>
        <v>0</v>
      </c>
      <c r="U463" s="130">
        <f>SUMIFS(ТГ_ИД!$E:$E,ТГ_ИД!$B:$B,ТГ!$G$13,ТГ_ИД!$D:$D,ТГ!$A464)</f>
        <v>0</v>
      </c>
      <c r="V463" s="130">
        <f>SUMIFS(ТГ_ИД!$E:$E,ТГ_ИД!$B:$B,ТГ!$G$14,ТГ_ИД!$D:$D,ТГ!$A464)</f>
        <v>0</v>
      </c>
    </row>
    <row r="464" spans="1:22" x14ac:dyDescent="0.25">
      <c r="A464" s="116" t="str">
        <f t="shared" si="8"/>
        <v/>
      </c>
      <c r="K464" s="130">
        <f>SUMIFS(ТГ_ИД!$E:$E,ТГ_ИД!$B:$B,ТГ!$G$3,ТГ_ИД!$D:$D,ТГ!$A465)</f>
        <v>0</v>
      </c>
      <c r="L464" s="130">
        <f>SUMIFS(ТГ_ИД!$E:$E,ТГ_ИД!$B:$B,ТГ!$G$4,ТГ_ИД!$D:$D,ТГ!$A465)</f>
        <v>0</v>
      </c>
      <c r="M464" s="130">
        <f>SUMIFS(ТГ_ИД!$E:$E,ТГ_ИД!$B:$B,ТГ!$G$5,ТГ_ИД!$D:$D,ТГ!$A465)</f>
        <v>0</v>
      </c>
      <c r="N464" s="130">
        <f>SUMIFS(ТГ_ИД!$E:$E,ТГ_ИД!$B:$B,ТГ!$G$6,ТГ_ИД!$D:$D,ТГ!$A465)</f>
        <v>0</v>
      </c>
      <c r="O464" s="130">
        <f>SUMIFS(ТГ_ИД!$E:$E,ТГ_ИД!$B:$B,ТГ!$G$7,ТГ_ИД!$D:$D,ТГ!$A465)</f>
        <v>0</v>
      </c>
      <c r="P464" s="130">
        <f>SUMIFS(ТГ_ИД!$E:$E,ТГ_ИД!$B:$B,ТГ!$G$8,ТГ_ИД!$D:$D,ТГ!$A465)</f>
        <v>0</v>
      </c>
      <c r="Q464" s="130">
        <f>SUMIFS(ТГ_ИД!$E:$E,ТГ_ИД!$B:$B,ТГ!$G$9,ТГ_ИД!$D:$D,ТГ!$A465)</f>
        <v>0</v>
      </c>
      <c r="R464" s="130">
        <f>SUMIFS(ТГ_ИД!$E:$E,ТГ_ИД!$B:$B,ТГ!$G$10,ТГ_ИД!$D:$D,ТГ!$A465)</f>
        <v>0</v>
      </c>
      <c r="S464" s="130">
        <f>SUMIFS(ТГ_ИД!$E:$E,ТГ_ИД!$B:$B,ТГ!$G$11,ТГ_ИД!$D:$D,ТГ!$A465)</f>
        <v>0</v>
      </c>
      <c r="T464" s="130">
        <f>SUMIFS(ТГ_ИД!$E:$E,ТГ_ИД!$B:$B,ТГ!$G$12,ТГ_ИД!$D:$D,ТГ!$A465)</f>
        <v>0</v>
      </c>
      <c r="U464" s="130">
        <f>SUMIFS(ТГ_ИД!$E:$E,ТГ_ИД!$B:$B,ТГ!$G$13,ТГ_ИД!$D:$D,ТГ!$A465)</f>
        <v>0</v>
      </c>
      <c r="V464" s="130">
        <f>SUMIFS(ТГ_ИД!$E:$E,ТГ_ИД!$B:$B,ТГ!$G$14,ТГ_ИД!$D:$D,ТГ!$A465)</f>
        <v>0</v>
      </c>
    </row>
    <row r="465" spans="1:22" x14ac:dyDescent="0.25">
      <c r="A465" s="116" t="str">
        <f t="shared" si="8"/>
        <v/>
      </c>
      <c r="K465" s="130">
        <f>SUMIFS(ТГ_ИД!$E:$E,ТГ_ИД!$B:$B,ТГ!$G$3,ТГ_ИД!$D:$D,ТГ!$A466)</f>
        <v>0</v>
      </c>
      <c r="L465" s="130">
        <f>SUMIFS(ТГ_ИД!$E:$E,ТГ_ИД!$B:$B,ТГ!$G$4,ТГ_ИД!$D:$D,ТГ!$A466)</f>
        <v>0</v>
      </c>
      <c r="M465" s="130">
        <f>SUMIFS(ТГ_ИД!$E:$E,ТГ_ИД!$B:$B,ТГ!$G$5,ТГ_ИД!$D:$D,ТГ!$A466)</f>
        <v>0</v>
      </c>
      <c r="N465" s="130">
        <f>SUMIFS(ТГ_ИД!$E:$E,ТГ_ИД!$B:$B,ТГ!$G$6,ТГ_ИД!$D:$D,ТГ!$A466)</f>
        <v>0</v>
      </c>
      <c r="O465" s="130">
        <f>SUMIFS(ТГ_ИД!$E:$E,ТГ_ИД!$B:$B,ТГ!$G$7,ТГ_ИД!$D:$D,ТГ!$A466)</f>
        <v>0</v>
      </c>
      <c r="P465" s="130">
        <f>SUMIFS(ТГ_ИД!$E:$E,ТГ_ИД!$B:$B,ТГ!$G$8,ТГ_ИД!$D:$D,ТГ!$A466)</f>
        <v>0</v>
      </c>
      <c r="Q465" s="130">
        <f>SUMIFS(ТГ_ИД!$E:$E,ТГ_ИД!$B:$B,ТГ!$G$9,ТГ_ИД!$D:$D,ТГ!$A466)</f>
        <v>0</v>
      </c>
      <c r="R465" s="130">
        <f>SUMIFS(ТГ_ИД!$E:$E,ТГ_ИД!$B:$B,ТГ!$G$10,ТГ_ИД!$D:$D,ТГ!$A466)</f>
        <v>0</v>
      </c>
      <c r="S465" s="130">
        <f>SUMIFS(ТГ_ИД!$E:$E,ТГ_ИД!$B:$B,ТГ!$G$11,ТГ_ИД!$D:$D,ТГ!$A466)</f>
        <v>0</v>
      </c>
      <c r="T465" s="130">
        <f>SUMIFS(ТГ_ИД!$E:$E,ТГ_ИД!$B:$B,ТГ!$G$12,ТГ_ИД!$D:$D,ТГ!$A466)</f>
        <v>0</v>
      </c>
      <c r="U465" s="130">
        <f>SUMIFS(ТГ_ИД!$E:$E,ТГ_ИД!$B:$B,ТГ!$G$13,ТГ_ИД!$D:$D,ТГ!$A466)</f>
        <v>0</v>
      </c>
      <c r="V465" s="130">
        <f>SUMIFS(ТГ_ИД!$E:$E,ТГ_ИД!$B:$B,ТГ!$G$14,ТГ_ИД!$D:$D,ТГ!$A466)</f>
        <v>0</v>
      </c>
    </row>
    <row r="466" spans="1:22" x14ac:dyDescent="0.25">
      <c r="A466" s="116" t="str">
        <f t="shared" si="8"/>
        <v/>
      </c>
      <c r="K466" s="130">
        <f>SUMIFS(ТГ_ИД!$E:$E,ТГ_ИД!$B:$B,ТГ!$G$3,ТГ_ИД!$D:$D,ТГ!$A467)</f>
        <v>0</v>
      </c>
      <c r="L466" s="130">
        <f>SUMIFS(ТГ_ИД!$E:$E,ТГ_ИД!$B:$B,ТГ!$G$4,ТГ_ИД!$D:$D,ТГ!$A467)</f>
        <v>0</v>
      </c>
      <c r="M466" s="130">
        <f>SUMIFS(ТГ_ИД!$E:$E,ТГ_ИД!$B:$B,ТГ!$G$5,ТГ_ИД!$D:$D,ТГ!$A467)</f>
        <v>0</v>
      </c>
      <c r="N466" s="130">
        <f>SUMIFS(ТГ_ИД!$E:$E,ТГ_ИД!$B:$B,ТГ!$G$6,ТГ_ИД!$D:$D,ТГ!$A467)</f>
        <v>0</v>
      </c>
      <c r="O466" s="130">
        <f>SUMIFS(ТГ_ИД!$E:$E,ТГ_ИД!$B:$B,ТГ!$G$7,ТГ_ИД!$D:$D,ТГ!$A467)</f>
        <v>0</v>
      </c>
      <c r="P466" s="130">
        <f>SUMIFS(ТГ_ИД!$E:$E,ТГ_ИД!$B:$B,ТГ!$G$8,ТГ_ИД!$D:$D,ТГ!$A467)</f>
        <v>0</v>
      </c>
      <c r="Q466" s="130">
        <f>SUMIFS(ТГ_ИД!$E:$E,ТГ_ИД!$B:$B,ТГ!$G$9,ТГ_ИД!$D:$D,ТГ!$A467)</f>
        <v>0</v>
      </c>
      <c r="R466" s="130">
        <f>SUMIFS(ТГ_ИД!$E:$E,ТГ_ИД!$B:$B,ТГ!$G$10,ТГ_ИД!$D:$D,ТГ!$A467)</f>
        <v>0</v>
      </c>
      <c r="S466" s="130">
        <f>SUMIFS(ТГ_ИД!$E:$E,ТГ_ИД!$B:$B,ТГ!$G$11,ТГ_ИД!$D:$D,ТГ!$A467)</f>
        <v>0</v>
      </c>
      <c r="T466" s="130">
        <f>SUMIFS(ТГ_ИД!$E:$E,ТГ_ИД!$B:$B,ТГ!$G$12,ТГ_ИД!$D:$D,ТГ!$A467)</f>
        <v>0</v>
      </c>
      <c r="U466" s="130">
        <f>SUMIFS(ТГ_ИД!$E:$E,ТГ_ИД!$B:$B,ТГ!$G$13,ТГ_ИД!$D:$D,ТГ!$A467)</f>
        <v>0</v>
      </c>
      <c r="V466" s="130">
        <f>SUMIFS(ТГ_ИД!$E:$E,ТГ_ИД!$B:$B,ТГ!$G$14,ТГ_ИД!$D:$D,ТГ!$A467)</f>
        <v>0</v>
      </c>
    </row>
    <row r="467" spans="1:22" x14ac:dyDescent="0.25">
      <c r="A467" s="116" t="str">
        <f t="shared" si="8"/>
        <v/>
      </c>
      <c r="K467" s="130">
        <f>SUMIFS(ТГ_ИД!$E:$E,ТГ_ИД!$B:$B,ТГ!$G$3,ТГ_ИД!$D:$D,ТГ!$A468)</f>
        <v>0</v>
      </c>
      <c r="L467" s="130">
        <f>SUMIFS(ТГ_ИД!$E:$E,ТГ_ИД!$B:$B,ТГ!$G$4,ТГ_ИД!$D:$D,ТГ!$A468)</f>
        <v>0</v>
      </c>
      <c r="M467" s="130">
        <f>SUMIFS(ТГ_ИД!$E:$E,ТГ_ИД!$B:$B,ТГ!$G$5,ТГ_ИД!$D:$D,ТГ!$A468)</f>
        <v>0</v>
      </c>
      <c r="N467" s="130">
        <f>SUMIFS(ТГ_ИД!$E:$E,ТГ_ИД!$B:$B,ТГ!$G$6,ТГ_ИД!$D:$D,ТГ!$A468)</f>
        <v>0</v>
      </c>
      <c r="O467" s="130">
        <f>SUMIFS(ТГ_ИД!$E:$E,ТГ_ИД!$B:$B,ТГ!$G$7,ТГ_ИД!$D:$D,ТГ!$A468)</f>
        <v>0</v>
      </c>
      <c r="P467" s="130">
        <f>SUMIFS(ТГ_ИД!$E:$E,ТГ_ИД!$B:$B,ТГ!$G$8,ТГ_ИД!$D:$D,ТГ!$A468)</f>
        <v>0</v>
      </c>
      <c r="Q467" s="130">
        <f>SUMIFS(ТГ_ИД!$E:$E,ТГ_ИД!$B:$B,ТГ!$G$9,ТГ_ИД!$D:$D,ТГ!$A468)</f>
        <v>0</v>
      </c>
      <c r="R467" s="130">
        <f>SUMIFS(ТГ_ИД!$E:$E,ТГ_ИД!$B:$B,ТГ!$G$10,ТГ_ИД!$D:$D,ТГ!$A468)</f>
        <v>0</v>
      </c>
      <c r="S467" s="130">
        <f>SUMIFS(ТГ_ИД!$E:$E,ТГ_ИД!$B:$B,ТГ!$G$11,ТГ_ИД!$D:$D,ТГ!$A468)</f>
        <v>0</v>
      </c>
      <c r="T467" s="130">
        <f>SUMIFS(ТГ_ИД!$E:$E,ТГ_ИД!$B:$B,ТГ!$G$12,ТГ_ИД!$D:$D,ТГ!$A468)</f>
        <v>0</v>
      </c>
      <c r="U467" s="130">
        <f>SUMIFS(ТГ_ИД!$E:$E,ТГ_ИД!$B:$B,ТГ!$G$13,ТГ_ИД!$D:$D,ТГ!$A468)</f>
        <v>0</v>
      </c>
      <c r="V467" s="130">
        <f>SUMIFS(ТГ_ИД!$E:$E,ТГ_ИД!$B:$B,ТГ!$G$14,ТГ_ИД!$D:$D,ТГ!$A468)</f>
        <v>0</v>
      </c>
    </row>
    <row r="468" spans="1:22" x14ac:dyDescent="0.25">
      <c r="A468" s="116" t="str">
        <f t="shared" si="8"/>
        <v/>
      </c>
      <c r="K468" s="130">
        <f>SUMIFS(ТГ_ИД!$E:$E,ТГ_ИД!$B:$B,ТГ!$G$3,ТГ_ИД!$D:$D,ТГ!$A469)</f>
        <v>0</v>
      </c>
      <c r="L468" s="130">
        <f>SUMIFS(ТГ_ИД!$E:$E,ТГ_ИД!$B:$B,ТГ!$G$4,ТГ_ИД!$D:$D,ТГ!$A469)</f>
        <v>0</v>
      </c>
      <c r="M468" s="130">
        <f>SUMIFS(ТГ_ИД!$E:$E,ТГ_ИД!$B:$B,ТГ!$G$5,ТГ_ИД!$D:$D,ТГ!$A469)</f>
        <v>0</v>
      </c>
      <c r="N468" s="130">
        <f>SUMIFS(ТГ_ИД!$E:$E,ТГ_ИД!$B:$B,ТГ!$G$6,ТГ_ИД!$D:$D,ТГ!$A469)</f>
        <v>0</v>
      </c>
      <c r="O468" s="130">
        <f>SUMIFS(ТГ_ИД!$E:$E,ТГ_ИД!$B:$B,ТГ!$G$7,ТГ_ИД!$D:$D,ТГ!$A469)</f>
        <v>0</v>
      </c>
      <c r="P468" s="130">
        <f>SUMIFS(ТГ_ИД!$E:$E,ТГ_ИД!$B:$B,ТГ!$G$8,ТГ_ИД!$D:$D,ТГ!$A469)</f>
        <v>0</v>
      </c>
      <c r="Q468" s="130">
        <f>SUMIFS(ТГ_ИД!$E:$E,ТГ_ИД!$B:$B,ТГ!$G$9,ТГ_ИД!$D:$D,ТГ!$A469)</f>
        <v>0</v>
      </c>
      <c r="R468" s="130">
        <f>SUMIFS(ТГ_ИД!$E:$E,ТГ_ИД!$B:$B,ТГ!$G$10,ТГ_ИД!$D:$D,ТГ!$A469)</f>
        <v>0</v>
      </c>
      <c r="S468" s="130">
        <f>SUMIFS(ТГ_ИД!$E:$E,ТГ_ИД!$B:$B,ТГ!$G$11,ТГ_ИД!$D:$D,ТГ!$A469)</f>
        <v>0</v>
      </c>
      <c r="T468" s="130">
        <f>SUMIFS(ТГ_ИД!$E:$E,ТГ_ИД!$B:$B,ТГ!$G$12,ТГ_ИД!$D:$D,ТГ!$A469)</f>
        <v>0</v>
      </c>
      <c r="U468" s="130">
        <f>SUMIFS(ТГ_ИД!$E:$E,ТГ_ИД!$B:$B,ТГ!$G$13,ТГ_ИД!$D:$D,ТГ!$A469)</f>
        <v>0</v>
      </c>
      <c r="V468" s="130">
        <f>SUMIFS(ТГ_ИД!$E:$E,ТГ_ИД!$B:$B,ТГ!$G$14,ТГ_ИД!$D:$D,ТГ!$A469)</f>
        <v>0</v>
      </c>
    </row>
    <row r="469" spans="1:22" x14ac:dyDescent="0.25">
      <c r="A469" s="116" t="str">
        <f t="shared" si="8"/>
        <v/>
      </c>
      <c r="K469" s="130">
        <f>SUMIFS(ТГ_ИД!$E:$E,ТГ_ИД!$B:$B,ТГ!$G$3,ТГ_ИД!$D:$D,ТГ!$A470)</f>
        <v>0</v>
      </c>
      <c r="L469" s="130">
        <f>SUMIFS(ТГ_ИД!$E:$E,ТГ_ИД!$B:$B,ТГ!$G$4,ТГ_ИД!$D:$D,ТГ!$A470)</f>
        <v>0</v>
      </c>
      <c r="M469" s="130">
        <f>SUMIFS(ТГ_ИД!$E:$E,ТГ_ИД!$B:$B,ТГ!$G$5,ТГ_ИД!$D:$D,ТГ!$A470)</f>
        <v>0</v>
      </c>
      <c r="N469" s="130">
        <f>SUMIFS(ТГ_ИД!$E:$E,ТГ_ИД!$B:$B,ТГ!$G$6,ТГ_ИД!$D:$D,ТГ!$A470)</f>
        <v>0</v>
      </c>
      <c r="O469" s="130">
        <f>SUMIFS(ТГ_ИД!$E:$E,ТГ_ИД!$B:$B,ТГ!$G$7,ТГ_ИД!$D:$D,ТГ!$A470)</f>
        <v>0</v>
      </c>
      <c r="P469" s="130">
        <f>SUMIFS(ТГ_ИД!$E:$E,ТГ_ИД!$B:$B,ТГ!$G$8,ТГ_ИД!$D:$D,ТГ!$A470)</f>
        <v>0</v>
      </c>
      <c r="Q469" s="130">
        <f>SUMIFS(ТГ_ИД!$E:$E,ТГ_ИД!$B:$B,ТГ!$G$9,ТГ_ИД!$D:$D,ТГ!$A470)</f>
        <v>0</v>
      </c>
      <c r="R469" s="130">
        <f>SUMIFS(ТГ_ИД!$E:$E,ТГ_ИД!$B:$B,ТГ!$G$10,ТГ_ИД!$D:$D,ТГ!$A470)</f>
        <v>0</v>
      </c>
      <c r="S469" s="130">
        <f>SUMIFS(ТГ_ИД!$E:$E,ТГ_ИД!$B:$B,ТГ!$G$11,ТГ_ИД!$D:$D,ТГ!$A470)</f>
        <v>0</v>
      </c>
      <c r="T469" s="130">
        <f>SUMIFS(ТГ_ИД!$E:$E,ТГ_ИД!$B:$B,ТГ!$G$12,ТГ_ИД!$D:$D,ТГ!$A470)</f>
        <v>0</v>
      </c>
      <c r="U469" s="130">
        <f>SUMIFS(ТГ_ИД!$E:$E,ТГ_ИД!$B:$B,ТГ!$G$13,ТГ_ИД!$D:$D,ТГ!$A470)</f>
        <v>0</v>
      </c>
      <c r="V469" s="130">
        <f>SUMIFS(ТГ_ИД!$E:$E,ТГ_ИД!$B:$B,ТГ!$G$14,ТГ_ИД!$D:$D,ТГ!$A470)</f>
        <v>0</v>
      </c>
    </row>
    <row r="470" spans="1:22" x14ac:dyDescent="0.25">
      <c r="A470" s="116" t="str">
        <f t="shared" si="8"/>
        <v/>
      </c>
      <c r="K470" s="130">
        <f>SUMIFS(ТГ_ИД!$E:$E,ТГ_ИД!$B:$B,ТГ!$G$3,ТГ_ИД!$D:$D,ТГ!$A471)</f>
        <v>0</v>
      </c>
      <c r="L470" s="130">
        <f>SUMIFS(ТГ_ИД!$E:$E,ТГ_ИД!$B:$B,ТГ!$G$4,ТГ_ИД!$D:$D,ТГ!$A471)</f>
        <v>0</v>
      </c>
      <c r="M470" s="130">
        <f>SUMIFS(ТГ_ИД!$E:$E,ТГ_ИД!$B:$B,ТГ!$G$5,ТГ_ИД!$D:$D,ТГ!$A471)</f>
        <v>0</v>
      </c>
      <c r="N470" s="130">
        <f>SUMIFS(ТГ_ИД!$E:$E,ТГ_ИД!$B:$B,ТГ!$G$6,ТГ_ИД!$D:$D,ТГ!$A471)</f>
        <v>0</v>
      </c>
      <c r="O470" s="130">
        <f>SUMIFS(ТГ_ИД!$E:$E,ТГ_ИД!$B:$B,ТГ!$G$7,ТГ_ИД!$D:$D,ТГ!$A471)</f>
        <v>0</v>
      </c>
      <c r="P470" s="130">
        <f>SUMIFS(ТГ_ИД!$E:$E,ТГ_ИД!$B:$B,ТГ!$G$8,ТГ_ИД!$D:$D,ТГ!$A471)</f>
        <v>0</v>
      </c>
      <c r="Q470" s="130">
        <f>SUMIFS(ТГ_ИД!$E:$E,ТГ_ИД!$B:$B,ТГ!$G$9,ТГ_ИД!$D:$D,ТГ!$A471)</f>
        <v>0</v>
      </c>
      <c r="R470" s="130">
        <f>SUMIFS(ТГ_ИД!$E:$E,ТГ_ИД!$B:$B,ТГ!$G$10,ТГ_ИД!$D:$D,ТГ!$A471)</f>
        <v>0</v>
      </c>
      <c r="S470" s="130">
        <f>SUMIFS(ТГ_ИД!$E:$E,ТГ_ИД!$B:$B,ТГ!$G$11,ТГ_ИД!$D:$D,ТГ!$A471)</f>
        <v>0</v>
      </c>
      <c r="T470" s="130">
        <f>SUMIFS(ТГ_ИД!$E:$E,ТГ_ИД!$B:$B,ТГ!$G$12,ТГ_ИД!$D:$D,ТГ!$A471)</f>
        <v>0</v>
      </c>
      <c r="U470" s="130">
        <f>SUMIFS(ТГ_ИД!$E:$E,ТГ_ИД!$B:$B,ТГ!$G$13,ТГ_ИД!$D:$D,ТГ!$A471)</f>
        <v>0</v>
      </c>
      <c r="V470" s="130">
        <f>SUMIFS(ТГ_ИД!$E:$E,ТГ_ИД!$B:$B,ТГ!$G$14,ТГ_ИД!$D:$D,ТГ!$A471)</f>
        <v>0</v>
      </c>
    </row>
    <row r="471" spans="1:22" x14ac:dyDescent="0.25">
      <c r="A471" s="116" t="str">
        <f t="shared" si="8"/>
        <v/>
      </c>
      <c r="K471" s="130">
        <f>SUMIFS(ТГ_ИД!$E:$E,ТГ_ИД!$B:$B,ТГ!$G$3,ТГ_ИД!$D:$D,ТГ!$A472)</f>
        <v>0</v>
      </c>
      <c r="L471" s="130">
        <f>SUMIFS(ТГ_ИД!$E:$E,ТГ_ИД!$B:$B,ТГ!$G$4,ТГ_ИД!$D:$D,ТГ!$A472)</f>
        <v>0</v>
      </c>
      <c r="M471" s="130">
        <f>SUMIFS(ТГ_ИД!$E:$E,ТГ_ИД!$B:$B,ТГ!$G$5,ТГ_ИД!$D:$D,ТГ!$A472)</f>
        <v>0</v>
      </c>
      <c r="N471" s="130">
        <f>SUMIFS(ТГ_ИД!$E:$E,ТГ_ИД!$B:$B,ТГ!$G$6,ТГ_ИД!$D:$D,ТГ!$A472)</f>
        <v>0</v>
      </c>
      <c r="O471" s="130">
        <f>SUMIFS(ТГ_ИД!$E:$E,ТГ_ИД!$B:$B,ТГ!$G$7,ТГ_ИД!$D:$D,ТГ!$A472)</f>
        <v>0</v>
      </c>
      <c r="P471" s="130">
        <f>SUMIFS(ТГ_ИД!$E:$E,ТГ_ИД!$B:$B,ТГ!$G$8,ТГ_ИД!$D:$D,ТГ!$A472)</f>
        <v>0</v>
      </c>
      <c r="Q471" s="130">
        <f>SUMIFS(ТГ_ИД!$E:$E,ТГ_ИД!$B:$B,ТГ!$G$9,ТГ_ИД!$D:$D,ТГ!$A472)</f>
        <v>0</v>
      </c>
      <c r="R471" s="130">
        <f>SUMIFS(ТГ_ИД!$E:$E,ТГ_ИД!$B:$B,ТГ!$G$10,ТГ_ИД!$D:$D,ТГ!$A472)</f>
        <v>0</v>
      </c>
      <c r="S471" s="130">
        <f>SUMIFS(ТГ_ИД!$E:$E,ТГ_ИД!$B:$B,ТГ!$G$11,ТГ_ИД!$D:$D,ТГ!$A472)</f>
        <v>0</v>
      </c>
      <c r="T471" s="130">
        <f>SUMIFS(ТГ_ИД!$E:$E,ТГ_ИД!$B:$B,ТГ!$G$12,ТГ_ИД!$D:$D,ТГ!$A472)</f>
        <v>0</v>
      </c>
      <c r="U471" s="130">
        <f>SUMIFS(ТГ_ИД!$E:$E,ТГ_ИД!$B:$B,ТГ!$G$13,ТГ_ИД!$D:$D,ТГ!$A472)</f>
        <v>0</v>
      </c>
      <c r="V471" s="130">
        <f>SUMIFS(ТГ_ИД!$E:$E,ТГ_ИД!$B:$B,ТГ!$G$14,ТГ_ИД!$D:$D,ТГ!$A472)</f>
        <v>0</v>
      </c>
    </row>
    <row r="472" spans="1:22" x14ac:dyDescent="0.25">
      <c r="A472" s="116" t="str">
        <f t="shared" si="8"/>
        <v/>
      </c>
      <c r="K472" s="130">
        <f>SUMIFS(ТГ_ИД!$E:$E,ТГ_ИД!$B:$B,ТГ!$G$3,ТГ_ИД!$D:$D,ТГ!$A473)</f>
        <v>0</v>
      </c>
      <c r="L472" s="130">
        <f>SUMIFS(ТГ_ИД!$E:$E,ТГ_ИД!$B:$B,ТГ!$G$4,ТГ_ИД!$D:$D,ТГ!$A473)</f>
        <v>0</v>
      </c>
      <c r="M472" s="130">
        <f>SUMIFS(ТГ_ИД!$E:$E,ТГ_ИД!$B:$B,ТГ!$G$5,ТГ_ИД!$D:$D,ТГ!$A473)</f>
        <v>0</v>
      </c>
      <c r="N472" s="130">
        <f>SUMIFS(ТГ_ИД!$E:$E,ТГ_ИД!$B:$B,ТГ!$G$6,ТГ_ИД!$D:$D,ТГ!$A473)</f>
        <v>0</v>
      </c>
      <c r="O472" s="130">
        <f>SUMIFS(ТГ_ИД!$E:$E,ТГ_ИД!$B:$B,ТГ!$G$7,ТГ_ИД!$D:$D,ТГ!$A473)</f>
        <v>0</v>
      </c>
      <c r="P472" s="130">
        <f>SUMIFS(ТГ_ИД!$E:$E,ТГ_ИД!$B:$B,ТГ!$G$8,ТГ_ИД!$D:$D,ТГ!$A473)</f>
        <v>0</v>
      </c>
      <c r="Q472" s="130">
        <f>SUMIFS(ТГ_ИД!$E:$E,ТГ_ИД!$B:$B,ТГ!$G$9,ТГ_ИД!$D:$D,ТГ!$A473)</f>
        <v>0</v>
      </c>
      <c r="R472" s="130">
        <f>SUMIFS(ТГ_ИД!$E:$E,ТГ_ИД!$B:$B,ТГ!$G$10,ТГ_ИД!$D:$D,ТГ!$A473)</f>
        <v>0</v>
      </c>
      <c r="S472" s="130">
        <f>SUMIFS(ТГ_ИД!$E:$E,ТГ_ИД!$B:$B,ТГ!$G$11,ТГ_ИД!$D:$D,ТГ!$A473)</f>
        <v>0</v>
      </c>
      <c r="T472" s="130">
        <f>SUMIFS(ТГ_ИД!$E:$E,ТГ_ИД!$B:$B,ТГ!$G$12,ТГ_ИД!$D:$D,ТГ!$A473)</f>
        <v>0</v>
      </c>
      <c r="U472" s="130">
        <f>SUMIFS(ТГ_ИД!$E:$E,ТГ_ИД!$B:$B,ТГ!$G$13,ТГ_ИД!$D:$D,ТГ!$A473)</f>
        <v>0</v>
      </c>
      <c r="V472" s="130">
        <f>SUMIFS(ТГ_ИД!$E:$E,ТГ_ИД!$B:$B,ТГ!$G$14,ТГ_ИД!$D:$D,ТГ!$A473)</f>
        <v>0</v>
      </c>
    </row>
    <row r="473" spans="1:22" x14ac:dyDescent="0.25">
      <c r="A473" s="116" t="str">
        <f t="shared" si="8"/>
        <v/>
      </c>
      <c r="K473" s="130">
        <f>SUMIFS(ТГ_ИД!$E:$E,ТГ_ИД!$B:$B,ТГ!$G$3,ТГ_ИД!$D:$D,ТГ!$A474)</f>
        <v>0</v>
      </c>
      <c r="L473" s="130">
        <f>SUMIFS(ТГ_ИД!$E:$E,ТГ_ИД!$B:$B,ТГ!$G$4,ТГ_ИД!$D:$D,ТГ!$A474)</f>
        <v>0</v>
      </c>
      <c r="M473" s="130">
        <f>SUMIFS(ТГ_ИД!$E:$E,ТГ_ИД!$B:$B,ТГ!$G$5,ТГ_ИД!$D:$D,ТГ!$A474)</f>
        <v>0</v>
      </c>
      <c r="N473" s="130">
        <f>SUMIFS(ТГ_ИД!$E:$E,ТГ_ИД!$B:$B,ТГ!$G$6,ТГ_ИД!$D:$D,ТГ!$A474)</f>
        <v>0</v>
      </c>
      <c r="O473" s="130">
        <f>SUMIFS(ТГ_ИД!$E:$E,ТГ_ИД!$B:$B,ТГ!$G$7,ТГ_ИД!$D:$D,ТГ!$A474)</f>
        <v>0</v>
      </c>
      <c r="P473" s="130">
        <f>SUMIFS(ТГ_ИД!$E:$E,ТГ_ИД!$B:$B,ТГ!$G$8,ТГ_ИД!$D:$D,ТГ!$A474)</f>
        <v>0</v>
      </c>
      <c r="Q473" s="130">
        <f>SUMIFS(ТГ_ИД!$E:$E,ТГ_ИД!$B:$B,ТГ!$G$9,ТГ_ИД!$D:$D,ТГ!$A474)</f>
        <v>0</v>
      </c>
      <c r="R473" s="130">
        <f>SUMIFS(ТГ_ИД!$E:$E,ТГ_ИД!$B:$B,ТГ!$G$10,ТГ_ИД!$D:$D,ТГ!$A474)</f>
        <v>0</v>
      </c>
      <c r="S473" s="130">
        <f>SUMIFS(ТГ_ИД!$E:$E,ТГ_ИД!$B:$B,ТГ!$G$11,ТГ_ИД!$D:$D,ТГ!$A474)</f>
        <v>0</v>
      </c>
      <c r="T473" s="130">
        <f>SUMIFS(ТГ_ИД!$E:$E,ТГ_ИД!$B:$B,ТГ!$G$12,ТГ_ИД!$D:$D,ТГ!$A474)</f>
        <v>0</v>
      </c>
      <c r="U473" s="130">
        <f>SUMIFS(ТГ_ИД!$E:$E,ТГ_ИД!$B:$B,ТГ!$G$13,ТГ_ИД!$D:$D,ТГ!$A474)</f>
        <v>0</v>
      </c>
      <c r="V473" s="130">
        <f>SUMIFS(ТГ_ИД!$E:$E,ТГ_ИД!$B:$B,ТГ!$G$14,ТГ_ИД!$D:$D,ТГ!$A474)</f>
        <v>0</v>
      </c>
    </row>
    <row r="474" spans="1:22" x14ac:dyDescent="0.25">
      <c r="A474" s="116" t="str">
        <f t="shared" si="8"/>
        <v/>
      </c>
      <c r="K474" s="130">
        <f>SUMIFS(ТГ_ИД!$E:$E,ТГ_ИД!$B:$B,ТГ!$G$3,ТГ_ИД!$D:$D,ТГ!$A475)</f>
        <v>0</v>
      </c>
      <c r="L474" s="130">
        <f>SUMIFS(ТГ_ИД!$E:$E,ТГ_ИД!$B:$B,ТГ!$G$4,ТГ_ИД!$D:$D,ТГ!$A475)</f>
        <v>0</v>
      </c>
      <c r="M474" s="130">
        <f>SUMIFS(ТГ_ИД!$E:$E,ТГ_ИД!$B:$B,ТГ!$G$5,ТГ_ИД!$D:$D,ТГ!$A475)</f>
        <v>0</v>
      </c>
      <c r="N474" s="130">
        <f>SUMIFS(ТГ_ИД!$E:$E,ТГ_ИД!$B:$B,ТГ!$G$6,ТГ_ИД!$D:$D,ТГ!$A475)</f>
        <v>0</v>
      </c>
      <c r="O474" s="130">
        <f>SUMIFS(ТГ_ИД!$E:$E,ТГ_ИД!$B:$B,ТГ!$G$7,ТГ_ИД!$D:$D,ТГ!$A475)</f>
        <v>0</v>
      </c>
      <c r="P474" s="130">
        <f>SUMIFS(ТГ_ИД!$E:$E,ТГ_ИД!$B:$B,ТГ!$G$8,ТГ_ИД!$D:$D,ТГ!$A475)</f>
        <v>0</v>
      </c>
      <c r="Q474" s="130">
        <f>SUMIFS(ТГ_ИД!$E:$E,ТГ_ИД!$B:$B,ТГ!$G$9,ТГ_ИД!$D:$D,ТГ!$A475)</f>
        <v>0</v>
      </c>
      <c r="R474" s="130">
        <f>SUMIFS(ТГ_ИД!$E:$E,ТГ_ИД!$B:$B,ТГ!$G$10,ТГ_ИД!$D:$D,ТГ!$A475)</f>
        <v>0</v>
      </c>
      <c r="S474" s="130">
        <f>SUMIFS(ТГ_ИД!$E:$E,ТГ_ИД!$B:$B,ТГ!$G$11,ТГ_ИД!$D:$D,ТГ!$A475)</f>
        <v>0</v>
      </c>
      <c r="T474" s="130">
        <f>SUMIFS(ТГ_ИД!$E:$E,ТГ_ИД!$B:$B,ТГ!$G$12,ТГ_ИД!$D:$D,ТГ!$A475)</f>
        <v>0</v>
      </c>
      <c r="U474" s="130">
        <f>SUMIFS(ТГ_ИД!$E:$E,ТГ_ИД!$B:$B,ТГ!$G$13,ТГ_ИД!$D:$D,ТГ!$A475)</f>
        <v>0</v>
      </c>
      <c r="V474" s="130">
        <f>SUMIFS(ТГ_ИД!$E:$E,ТГ_ИД!$B:$B,ТГ!$G$14,ТГ_ИД!$D:$D,ТГ!$A475)</f>
        <v>0</v>
      </c>
    </row>
    <row r="475" spans="1:22" x14ac:dyDescent="0.25">
      <c r="A475" s="116" t="str">
        <f t="shared" si="8"/>
        <v/>
      </c>
      <c r="K475" s="130">
        <f>SUMIFS(ТГ_ИД!$E:$E,ТГ_ИД!$B:$B,ТГ!$G$3,ТГ_ИД!$D:$D,ТГ!$A476)</f>
        <v>0</v>
      </c>
      <c r="L475" s="130">
        <f>SUMIFS(ТГ_ИД!$E:$E,ТГ_ИД!$B:$B,ТГ!$G$4,ТГ_ИД!$D:$D,ТГ!$A476)</f>
        <v>0</v>
      </c>
      <c r="M475" s="130">
        <f>SUMIFS(ТГ_ИД!$E:$E,ТГ_ИД!$B:$B,ТГ!$G$5,ТГ_ИД!$D:$D,ТГ!$A476)</f>
        <v>0</v>
      </c>
      <c r="N475" s="130">
        <f>SUMIFS(ТГ_ИД!$E:$E,ТГ_ИД!$B:$B,ТГ!$G$6,ТГ_ИД!$D:$D,ТГ!$A476)</f>
        <v>0</v>
      </c>
      <c r="O475" s="130">
        <f>SUMIFS(ТГ_ИД!$E:$E,ТГ_ИД!$B:$B,ТГ!$G$7,ТГ_ИД!$D:$D,ТГ!$A476)</f>
        <v>0</v>
      </c>
      <c r="P475" s="130">
        <f>SUMIFS(ТГ_ИД!$E:$E,ТГ_ИД!$B:$B,ТГ!$G$8,ТГ_ИД!$D:$D,ТГ!$A476)</f>
        <v>0</v>
      </c>
      <c r="Q475" s="130">
        <f>SUMIFS(ТГ_ИД!$E:$E,ТГ_ИД!$B:$B,ТГ!$G$9,ТГ_ИД!$D:$D,ТГ!$A476)</f>
        <v>0</v>
      </c>
      <c r="R475" s="130">
        <f>SUMIFS(ТГ_ИД!$E:$E,ТГ_ИД!$B:$B,ТГ!$G$10,ТГ_ИД!$D:$D,ТГ!$A476)</f>
        <v>0</v>
      </c>
      <c r="S475" s="130">
        <f>SUMIFS(ТГ_ИД!$E:$E,ТГ_ИД!$B:$B,ТГ!$G$11,ТГ_ИД!$D:$D,ТГ!$A476)</f>
        <v>0</v>
      </c>
      <c r="T475" s="130">
        <f>SUMIFS(ТГ_ИД!$E:$E,ТГ_ИД!$B:$B,ТГ!$G$12,ТГ_ИД!$D:$D,ТГ!$A476)</f>
        <v>0</v>
      </c>
      <c r="U475" s="130">
        <f>SUMIFS(ТГ_ИД!$E:$E,ТГ_ИД!$B:$B,ТГ!$G$13,ТГ_ИД!$D:$D,ТГ!$A476)</f>
        <v>0</v>
      </c>
      <c r="V475" s="130">
        <f>SUMIFS(ТГ_ИД!$E:$E,ТГ_ИД!$B:$B,ТГ!$G$14,ТГ_ИД!$D:$D,ТГ!$A476)</f>
        <v>0</v>
      </c>
    </row>
    <row r="476" spans="1:22" x14ac:dyDescent="0.25">
      <c r="A476" s="116" t="str">
        <f t="shared" si="8"/>
        <v/>
      </c>
      <c r="K476" s="130">
        <f>SUMIFS(ТГ_ИД!$E:$E,ТГ_ИД!$B:$B,ТГ!$G$3,ТГ_ИД!$D:$D,ТГ!$A477)</f>
        <v>0</v>
      </c>
      <c r="L476" s="130">
        <f>SUMIFS(ТГ_ИД!$E:$E,ТГ_ИД!$B:$B,ТГ!$G$4,ТГ_ИД!$D:$D,ТГ!$A477)</f>
        <v>0</v>
      </c>
      <c r="M476" s="130">
        <f>SUMIFS(ТГ_ИД!$E:$E,ТГ_ИД!$B:$B,ТГ!$G$5,ТГ_ИД!$D:$D,ТГ!$A477)</f>
        <v>0</v>
      </c>
      <c r="N476" s="130">
        <f>SUMIFS(ТГ_ИД!$E:$E,ТГ_ИД!$B:$B,ТГ!$G$6,ТГ_ИД!$D:$D,ТГ!$A477)</f>
        <v>0</v>
      </c>
      <c r="O476" s="130">
        <f>SUMIFS(ТГ_ИД!$E:$E,ТГ_ИД!$B:$B,ТГ!$G$7,ТГ_ИД!$D:$D,ТГ!$A477)</f>
        <v>0</v>
      </c>
      <c r="P476" s="130">
        <f>SUMIFS(ТГ_ИД!$E:$E,ТГ_ИД!$B:$B,ТГ!$G$8,ТГ_ИД!$D:$D,ТГ!$A477)</f>
        <v>0</v>
      </c>
      <c r="Q476" s="130">
        <f>SUMIFS(ТГ_ИД!$E:$E,ТГ_ИД!$B:$B,ТГ!$G$9,ТГ_ИД!$D:$D,ТГ!$A477)</f>
        <v>0</v>
      </c>
      <c r="R476" s="130">
        <f>SUMIFS(ТГ_ИД!$E:$E,ТГ_ИД!$B:$B,ТГ!$G$10,ТГ_ИД!$D:$D,ТГ!$A477)</f>
        <v>0</v>
      </c>
      <c r="S476" s="130">
        <f>SUMIFS(ТГ_ИД!$E:$E,ТГ_ИД!$B:$B,ТГ!$G$11,ТГ_ИД!$D:$D,ТГ!$A477)</f>
        <v>0</v>
      </c>
      <c r="T476" s="130">
        <f>SUMIFS(ТГ_ИД!$E:$E,ТГ_ИД!$B:$B,ТГ!$G$12,ТГ_ИД!$D:$D,ТГ!$A477)</f>
        <v>0</v>
      </c>
      <c r="U476" s="130">
        <f>SUMIFS(ТГ_ИД!$E:$E,ТГ_ИД!$B:$B,ТГ!$G$13,ТГ_ИД!$D:$D,ТГ!$A477)</f>
        <v>0</v>
      </c>
      <c r="V476" s="130">
        <f>SUMIFS(ТГ_ИД!$E:$E,ТГ_ИД!$B:$B,ТГ!$G$14,ТГ_ИД!$D:$D,ТГ!$A477)</f>
        <v>0</v>
      </c>
    </row>
    <row r="477" spans="1:22" x14ac:dyDescent="0.25">
      <c r="A477" s="116" t="str">
        <f t="shared" si="8"/>
        <v/>
      </c>
      <c r="K477" s="130">
        <f>SUMIFS(ТГ_ИД!$E:$E,ТГ_ИД!$B:$B,ТГ!$G$3,ТГ_ИД!$D:$D,ТГ!$A478)</f>
        <v>0</v>
      </c>
      <c r="L477" s="130">
        <f>SUMIFS(ТГ_ИД!$E:$E,ТГ_ИД!$B:$B,ТГ!$G$4,ТГ_ИД!$D:$D,ТГ!$A478)</f>
        <v>0</v>
      </c>
      <c r="M477" s="130">
        <f>SUMIFS(ТГ_ИД!$E:$E,ТГ_ИД!$B:$B,ТГ!$G$5,ТГ_ИД!$D:$D,ТГ!$A478)</f>
        <v>0</v>
      </c>
      <c r="N477" s="130">
        <f>SUMIFS(ТГ_ИД!$E:$E,ТГ_ИД!$B:$B,ТГ!$G$6,ТГ_ИД!$D:$D,ТГ!$A478)</f>
        <v>0</v>
      </c>
      <c r="O477" s="130">
        <f>SUMIFS(ТГ_ИД!$E:$E,ТГ_ИД!$B:$B,ТГ!$G$7,ТГ_ИД!$D:$D,ТГ!$A478)</f>
        <v>0</v>
      </c>
      <c r="P477" s="130">
        <f>SUMIFS(ТГ_ИД!$E:$E,ТГ_ИД!$B:$B,ТГ!$G$8,ТГ_ИД!$D:$D,ТГ!$A478)</f>
        <v>0</v>
      </c>
      <c r="Q477" s="130">
        <f>SUMIFS(ТГ_ИД!$E:$E,ТГ_ИД!$B:$B,ТГ!$G$9,ТГ_ИД!$D:$D,ТГ!$A478)</f>
        <v>0</v>
      </c>
      <c r="R477" s="130">
        <f>SUMIFS(ТГ_ИД!$E:$E,ТГ_ИД!$B:$B,ТГ!$G$10,ТГ_ИД!$D:$D,ТГ!$A478)</f>
        <v>0</v>
      </c>
      <c r="S477" s="130">
        <f>SUMIFS(ТГ_ИД!$E:$E,ТГ_ИД!$B:$B,ТГ!$G$11,ТГ_ИД!$D:$D,ТГ!$A478)</f>
        <v>0</v>
      </c>
      <c r="T477" s="130">
        <f>SUMIFS(ТГ_ИД!$E:$E,ТГ_ИД!$B:$B,ТГ!$G$12,ТГ_ИД!$D:$D,ТГ!$A478)</f>
        <v>0</v>
      </c>
      <c r="U477" s="130">
        <f>SUMIFS(ТГ_ИД!$E:$E,ТГ_ИД!$B:$B,ТГ!$G$13,ТГ_ИД!$D:$D,ТГ!$A478)</f>
        <v>0</v>
      </c>
      <c r="V477" s="130">
        <f>SUMIFS(ТГ_ИД!$E:$E,ТГ_ИД!$B:$B,ТГ!$G$14,ТГ_ИД!$D:$D,ТГ!$A478)</f>
        <v>0</v>
      </c>
    </row>
    <row r="478" spans="1:22" x14ac:dyDescent="0.25">
      <c r="A478" s="116" t="str">
        <f t="shared" si="8"/>
        <v/>
      </c>
      <c r="K478" s="130">
        <f>SUMIFS(ТГ_ИД!$E:$E,ТГ_ИД!$B:$B,ТГ!$G$3,ТГ_ИД!$D:$D,ТГ!$A479)</f>
        <v>0</v>
      </c>
      <c r="L478" s="130">
        <f>SUMIFS(ТГ_ИД!$E:$E,ТГ_ИД!$B:$B,ТГ!$G$4,ТГ_ИД!$D:$D,ТГ!$A479)</f>
        <v>0</v>
      </c>
      <c r="M478" s="130">
        <f>SUMIFS(ТГ_ИД!$E:$E,ТГ_ИД!$B:$B,ТГ!$G$5,ТГ_ИД!$D:$D,ТГ!$A479)</f>
        <v>0</v>
      </c>
      <c r="N478" s="130">
        <f>SUMIFS(ТГ_ИД!$E:$E,ТГ_ИД!$B:$B,ТГ!$G$6,ТГ_ИД!$D:$D,ТГ!$A479)</f>
        <v>0</v>
      </c>
      <c r="O478" s="130">
        <f>SUMIFS(ТГ_ИД!$E:$E,ТГ_ИД!$B:$B,ТГ!$G$7,ТГ_ИД!$D:$D,ТГ!$A479)</f>
        <v>0</v>
      </c>
      <c r="P478" s="130">
        <f>SUMIFS(ТГ_ИД!$E:$E,ТГ_ИД!$B:$B,ТГ!$G$8,ТГ_ИД!$D:$D,ТГ!$A479)</f>
        <v>0</v>
      </c>
      <c r="Q478" s="130">
        <f>SUMIFS(ТГ_ИД!$E:$E,ТГ_ИД!$B:$B,ТГ!$G$9,ТГ_ИД!$D:$D,ТГ!$A479)</f>
        <v>0</v>
      </c>
      <c r="R478" s="130">
        <f>SUMIFS(ТГ_ИД!$E:$E,ТГ_ИД!$B:$B,ТГ!$G$10,ТГ_ИД!$D:$D,ТГ!$A479)</f>
        <v>0</v>
      </c>
      <c r="S478" s="130">
        <f>SUMIFS(ТГ_ИД!$E:$E,ТГ_ИД!$B:$B,ТГ!$G$11,ТГ_ИД!$D:$D,ТГ!$A479)</f>
        <v>0</v>
      </c>
      <c r="T478" s="130">
        <f>SUMIFS(ТГ_ИД!$E:$E,ТГ_ИД!$B:$B,ТГ!$G$12,ТГ_ИД!$D:$D,ТГ!$A479)</f>
        <v>0</v>
      </c>
      <c r="U478" s="130">
        <f>SUMIFS(ТГ_ИД!$E:$E,ТГ_ИД!$B:$B,ТГ!$G$13,ТГ_ИД!$D:$D,ТГ!$A479)</f>
        <v>0</v>
      </c>
      <c r="V478" s="130">
        <f>SUMIFS(ТГ_ИД!$E:$E,ТГ_ИД!$B:$B,ТГ!$G$14,ТГ_ИД!$D:$D,ТГ!$A479)</f>
        <v>0</v>
      </c>
    </row>
    <row r="479" spans="1:22" x14ac:dyDescent="0.25">
      <c r="A479" s="116" t="str">
        <f t="shared" si="8"/>
        <v/>
      </c>
      <c r="K479" s="130">
        <f>SUMIFS(ТГ_ИД!$E:$E,ТГ_ИД!$B:$B,ТГ!$G$3,ТГ_ИД!$D:$D,ТГ!$A480)</f>
        <v>0</v>
      </c>
      <c r="L479" s="130">
        <f>SUMIFS(ТГ_ИД!$E:$E,ТГ_ИД!$B:$B,ТГ!$G$4,ТГ_ИД!$D:$D,ТГ!$A480)</f>
        <v>0</v>
      </c>
      <c r="M479" s="130">
        <f>SUMIFS(ТГ_ИД!$E:$E,ТГ_ИД!$B:$B,ТГ!$G$5,ТГ_ИД!$D:$D,ТГ!$A480)</f>
        <v>0</v>
      </c>
      <c r="N479" s="130">
        <f>SUMIFS(ТГ_ИД!$E:$E,ТГ_ИД!$B:$B,ТГ!$G$6,ТГ_ИД!$D:$D,ТГ!$A480)</f>
        <v>0</v>
      </c>
      <c r="O479" s="130">
        <f>SUMIFS(ТГ_ИД!$E:$E,ТГ_ИД!$B:$B,ТГ!$G$7,ТГ_ИД!$D:$D,ТГ!$A480)</f>
        <v>0</v>
      </c>
      <c r="P479" s="130">
        <f>SUMIFS(ТГ_ИД!$E:$E,ТГ_ИД!$B:$B,ТГ!$G$8,ТГ_ИД!$D:$D,ТГ!$A480)</f>
        <v>0</v>
      </c>
      <c r="Q479" s="130">
        <f>SUMIFS(ТГ_ИД!$E:$E,ТГ_ИД!$B:$B,ТГ!$G$9,ТГ_ИД!$D:$D,ТГ!$A480)</f>
        <v>0</v>
      </c>
      <c r="R479" s="130">
        <f>SUMIFS(ТГ_ИД!$E:$E,ТГ_ИД!$B:$B,ТГ!$G$10,ТГ_ИД!$D:$D,ТГ!$A480)</f>
        <v>0</v>
      </c>
      <c r="S479" s="130">
        <f>SUMIFS(ТГ_ИД!$E:$E,ТГ_ИД!$B:$B,ТГ!$G$11,ТГ_ИД!$D:$D,ТГ!$A480)</f>
        <v>0</v>
      </c>
      <c r="T479" s="130">
        <f>SUMIFS(ТГ_ИД!$E:$E,ТГ_ИД!$B:$B,ТГ!$G$12,ТГ_ИД!$D:$D,ТГ!$A480)</f>
        <v>0</v>
      </c>
      <c r="U479" s="130">
        <f>SUMIFS(ТГ_ИД!$E:$E,ТГ_ИД!$B:$B,ТГ!$G$13,ТГ_ИД!$D:$D,ТГ!$A480)</f>
        <v>0</v>
      </c>
      <c r="V479" s="130">
        <f>SUMIFS(ТГ_ИД!$E:$E,ТГ_ИД!$B:$B,ТГ!$G$14,ТГ_ИД!$D:$D,ТГ!$A480)</f>
        <v>0</v>
      </c>
    </row>
    <row r="480" spans="1:22" x14ac:dyDescent="0.25">
      <c r="A480" s="116" t="str">
        <f t="shared" si="8"/>
        <v/>
      </c>
      <c r="K480" s="130">
        <f>SUMIFS(ТГ_ИД!$E:$E,ТГ_ИД!$B:$B,ТГ!$G$3,ТГ_ИД!$D:$D,ТГ!$A481)</f>
        <v>0</v>
      </c>
      <c r="L480" s="130">
        <f>SUMIFS(ТГ_ИД!$E:$E,ТГ_ИД!$B:$B,ТГ!$G$4,ТГ_ИД!$D:$D,ТГ!$A481)</f>
        <v>0</v>
      </c>
      <c r="M480" s="130">
        <f>SUMIFS(ТГ_ИД!$E:$E,ТГ_ИД!$B:$B,ТГ!$G$5,ТГ_ИД!$D:$D,ТГ!$A481)</f>
        <v>0</v>
      </c>
      <c r="N480" s="130">
        <f>SUMIFS(ТГ_ИД!$E:$E,ТГ_ИД!$B:$B,ТГ!$G$6,ТГ_ИД!$D:$D,ТГ!$A481)</f>
        <v>0</v>
      </c>
      <c r="O480" s="130">
        <f>SUMIFS(ТГ_ИД!$E:$E,ТГ_ИД!$B:$B,ТГ!$G$7,ТГ_ИД!$D:$D,ТГ!$A481)</f>
        <v>0</v>
      </c>
      <c r="P480" s="130">
        <f>SUMIFS(ТГ_ИД!$E:$E,ТГ_ИД!$B:$B,ТГ!$G$8,ТГ_ИД!$D:$D,ТГ!$A481)</f>
        <v>0</v>
      </c>
      <c r="Q480" s="130">
        <f>SUMIFS(ТГ_ИД!$E:$E,ТГ_ИД!$B:$B,ТГ!$G$9,ТГ_ИД!$D:$D,ТГ!$A481)</f>
        <v>0</v>
      </c>
      <c r="R480" s="130">
        <f>SUMIFS(ТГ_ИД!$E:$E,ТГ_ИД!$B:$B,ТГ!$G$10,ТГ_ИД!$D:$D,ТГ!$A481)</f>
        <v>0</v>
      </c>
      <c r="S480" s="130">
        <f>SUMIFS(ТГ_ИД!$E:$E,ТГ_ИД!$B:$B,ТГ!$G$11,ТГ_ИД!$D:$D,ТГ!$A481)</f>
        <v>0</v>
      </c>
      <c r="T480" s="130">
        <f>SUMIFS(ТГ_ИД!$E:$E,ТГ_ИД!$B:$B,ТГ!$G$12,ТГ_ИД!$D:$D,ТГ!$A481)</f>
        <v>0</v>
      </c>
      <c r="U480" s="130">
        <f>SUMIFS(ТГ_ИД!$E:$E,ТГ_ИД!$B:$B,ТГ!$G$13,ТГ_ИД!$D:$D,ТГ!$A481)</f>
        <v>0</v>
      </c>
      <c r="V480" s="130">
        <f>SUMIFS(ТГ_ИД!$E:$E,ТГ_ИД!$B:$B,ТГ!$G$14,ТГ_ИД!$D:$D,ТГ!$A481)</f>
        <v>0</v>
      </c>
    </row>
    <row r="481" spans="1:22" x14ac:dyDescent="0.25">
      <c r="A481" s="116" t="str">
        <f t="shared" si="8"/>
        <v/>
      </c>
      <c r="K481" s="130">
        <f>SUMIFS(ТГ_ИД!$E:$E,ТГ_ИД!$B:$B,ТГ!$G$3,ТГ_ИД!$D:$D,ТГ!$A482)</f>
        <v>0</v>
      </c>
      <c r="L481" s="130">
        <f>SUMIFS(ТГ_ИД!$E:$E,ТГ_ИД!$B:$B,ТГ!$G$4,ТГ_ИД!$D:$D,ТГ!$A482)</f>
        <v>0</v>
      </c>
      <c r="M481" s="130">
        <f>SUMIFS(ТГ_ИД!$E:$E,ТГ_ИД!$B:$B,ТГ!$G$5,ТГ_ИД!$D:$D,ТГ!$A482)</f>
        <v>0</v>
      </c>
      <c r="N481" s="130">
        <f>SUMIFS(ТГ_ИД!$E:$E,ТГ_ИД!$B:$B,ТГ!$G$6,ТГ_ИД!$D:$D,ТГ!$A482)</f>
        <v>0</v>
      </c>
      <c r="O481" s="130">
        <f>SUMIFS(ТГ_ИД!$E:$E,ТГ_ИД!$B:$B,ТГ!$G$7,ТГ_ИД!$D:$D,ТГ!$A482)</f>
        <v>0</v>
      </c>
      <c r="P481" s="130">
        <f>SUMIFS(ТГ_ИД!$E:$E,ТГ_ИД!$B:$B,ТГ!$G$8,ТГ_ИД!$D:$D,ТГ!$A482)</f>
        <v>0</v>
      </c>
      <c r="Q481" s="130">
        <f>SUMIFS(ТГ_ИД!$E:$E,ТГ_ИД!$B:$B,ТГ!$G$9,ТГ_ИД!$D:$D,ТГ!$A482)</f>
        <v>0</v>
      </c>
      <c r="R481" s="130">
        <f>SUMIFS(ТГ_ИД!$E:$E,ТГ_ИД!$B:$B,ТГ!$G$10,ТГ_ИД!$D:$D,ТГ!$A482)</f>
        <v>0</v>
      </c>
      <c r="S481" s="130">
        <f>SUMIFS(ТГ_ИД!$E:$E,ТГ_ИД!$B:$B,ТГ!$G$11,ТГ_ИД!$D:$D,ТГ!$A482)</f>
        <v>0</v>
      </c>
      <c r="T481" s="130">
        <f>SUMIFS(ТГ_ИД!$E:$E,ТГ_ИД!$B:$B,ТГ!$G$12,ТГ_ИД!$D:$D,ТГ!$A482)</f>
        <v>0</v>
      </c>
      <c r="U481" s="130">
        <f>SUMIFS(ТГ_ИД!$E:$E,ТГ_ИД!$B:$B,ТГ!$G$13,ТГ_ИД!$D:$D,ТГ!$A482)</f>
        <v>0</v>
      </c>
      <c r="V481" s="130">
        <f>SUMIFS(ТГ_ИД!$E:$E,ТГ_ИД!$B:$B,ТГ!$G$14,ТГ_ИД!$D:$D,ТГ!$A482)</f>
        <v>0</v>
      </c>
    </row>
    <row r="482" spans="1:22" x14ac:dyDescent="0.25">
      <c r="A482" s="116" t="str">
        <f t="shared" si="8"/>
        <v/>
      </c>
      <c r="K482" s="130">
        <f>SUMIFS(ТГ_ИД!$E:$E,ТГ_ИД!$B:$B,ТГ!$G$3,ТГ_ИД!$D:$D,ТГ!$A483)</f>
        <v>0</v>
      </c>
      <c r="L482" s="130">
        <f>SUMIFS(ТГ_ИД!$E:$E,ТГ_ИД!$B:$B,ТГ!$G$4,ТГ_ИД!$D:$D,ТГ!$A483)</f>
        <v>0</v>
      </c>
      <c r="M482" s="130">
        <f>SUMIFS(ТГ_ИД!$E:$E,ТГ_ИД!$B:$B,ТГ!$G$5,ТГ_ИД!$D:$D,ТГ!$A483)</f>
        <v>0</v>
      </c>
      <c r="N482" s="130">
        <f>SUMIFS(ТГ_ИД!$E:$E,ТГ_ИД!$B:$B,ТГ!$G$6,ТГ_ИД!$D:$D,ТГ!$A483)</f>
        <v>0</v>
      </c>
      <c r="O482" s="130">
        <f>SUMIFS(ТГ_ИД!$E:$E,ТГ_ИД!$B:$B,ТГ!$G$7,ТГ_ИД!$D:$D,ТГ!$A483)</f>
        <v>0</v>
      </c>
      <c r="P482" s="130">
        <f>SUMIFS(ТГ_ИД!$E:$E,ТГ_ИД!$B:$B,ТГ!$G$8,ТГ_ИД!$D:$D,ТГ!$A483)</f>
        <v>0</v>
      </c>
      <c r="Q482" s="130">
        <f>SUMIFS(ТГ_ИД!$E:$E,ТГ_ИД!$B:$B,ТГ!$G$9,ТГ_ИД!$D:$D,ТГ!$A483)</f>
        <v>0</v>
      </c>
      <c r="R482" s="130">
        <f>SUMIFS(ТГ_ИД!$E:$E,ТГ_ИД!$B:$B,ТГ!$G$10,ТГ_ИД!$D:$D,ТГ!$A483)</f>
        <v>0</v>
      </c>
      <c r="S482" s="130">
        <f>SUMIFS(ТГ_ИД!$E:$E,ТГ_ИД!$B:$B,ТГ!$G$11,ТГ_ИД!$D:$D,ТГ!$A483)</f>
        <v>0</v>
      </c>
      <c r="T482" s="130">
        <f>SUMIFS(ТГ_ИД!$E:$E,ТГ_ИД!$B:$B,ТГ!$G$12,ТГ_ИД!$D:$D,ТГ!$A483)</f>
        <v>0</v>
      </c>
      <c r="U482" s="130">
        <f>SUMIFS(ТГ_ИД!$E:$E,ТГ_ИД!$B:$B,ТГ!$G$13,ТГ_ИД!$D:$D,ТГ!$A483)</f>
        <v>0</v>
      </c>
      <c r="V482" s="130">
        <f>SUMIFS(ТГ_ИД!$E:$E,ТГ_ИД!$B:$B,ТГ!$G$14,ТГ_ИД!$D:$D,ТГ!$A483)</f>
        <v>0</v>
      </c>
    </row>
    <row r="483" spans="1:22" x14ac:dyDescent="0.25">
      <c r="A483" s="116" t="str">
        <f t="shared" si="8"/>
        <v/>
      </c>
      <c r="K483" s="130">
        <f>SUMIFS(ТГ_ИД!$E:$E,ТГ_ИД!$B:$B,ТГ!$G$3,ТГ_ИД!$D:$D,ТГ!$A484)</f>
        <v>0</v>
      </c>
      <c r="L483" s="130">
        <f>SUMIFS(ТГ_ИД!$E:$E,ТГ_ИД!$B:$B,ТГ!$G$4,ТГ_ИД!$D:$D,ТГ!$A484)</f>
        <v>0</v>
      </c>
      <c r="M483" s="130">
        <f>SUMIFS(ТГ_ИД!$E:$E,ТГ_ИД!$B:$B,ТГ!$G$5,ТГ_ИД!$D:$D,ТГ!$A484)</f>
        <v>0</v>
      </c>
      <c r="N483" s="130">
        <f>SUMIFS(ТГ_ИД!$E:$E,ТГ_ИД!$B:$B,ТГ!$G$6,ТГ_ИД!$D:$D,ТГ!$A484)</f>
        <v>0</v>
      </c>
      <c r="O483" s="130">
        <f>SUMIFS(ТГ_ИД!$E:$E,ТГ_ИД!$B:$B,ТГ!$G$7,ТГ_ИД!$D:$D,ТГ!$A484)</f>
        <v>0</v>
      </c>
      <c r="P483" s="130">
        <f>SUMIFS(ТГ_ИД!$E:$E,ТГ_ИД!$B:$B,ТГ!$G$8,ТГ_ИД!$D:$D,ТГ!$A484)</f>
        <v>0</v>
      </c>
      <c r="Q483" s="130">
        <f>SUMIFS(ТГ_ИД!$E:$E,ТГ_ИД!$B:$B,ТГ!$G$9,ТГ_ИД!$D:$D,ТГ!$A484)</f>
        <v>0</v>
      </c>
      <c r="R483" s="130">
        <f>SUMIFS(ТГ_ИД!$E:$E,ТГ_ИД!$B:$B,ТГ!$G$10,ТГ_ИД!$D:$D,ТГ!$A484)</f>
        <v>0</v>
      </c>
      <c r="S483" s="130">
        <f>SUMIFS(ТГ_ИД!$E:$E,ТГ_ИД!$B:$B,ТГ!$G$11,ТГ_ИД!$D:$D,ТГ!$A484)</f>
        <v>0</v>
      </c>
      <c r="T483" s="130">
        <f>SUMIFS(ТГ_ИД!$E:$E,ТГ_ИД!$B:$B,ТГ!$G$12,ТГ_ИД!$D:$D,ТГ!$A484)</f>
        <v>0</v>
      </c>
      <c r="U483" s="130">
        <f>SUMIFS(ТГ_ИД!$E:$E,ТГ_ИД!$B:$B,ТГ!$G$13,ТГ_ИД!$D:$D,ТГ!$A484)</f>
        <v>0</v>
      </c>
      <c r="V483" s="130">
        <f>SUMIFS(ТГ_ИД!$E:$E,ТГ_ИД!$B:$B,ТГ!$G$14,ТГ_ИД!$D:$D,ТГ!$A484)</f>
        <v>0</v>
      </c>
    </row>
    <row r="484" spans="1:22" x14ac:dyDescent="0.25">
      <c r="A484" s="116" t="str">
        <f t="shared" si="8"/>
        <v/>
      </c>
      <c r="K484" s="130">
        <f>SUMIFS(ТГ_ИД!$E:$E,ТГ_ИД!$B:$B,ТГ!$G$3,ТГ_ИД!$D:$D,ТГ!$A485)</f>
        <v>0</v>
      </c>
      <c r="L484" s="130">
        <f>SUMIFS(ТГ_ИД!$E:$E,ТГ_ИД!$B:$B,ТГ!$G$4,ТГ_ИД!$D:$D,ТГ!$A485)</f>
        <v>0</v>
      </c>
      <c r="M484" s="130">
        <f>SUMIFS(ТГ_ИД!$E:$E,ТГ_ИД!$B:$B,ТГ!$G$5,ТГ_ИД!$D:$D,ТГ!$A485)</f>
        <v>0</v>
      </c>
      <c r="N484" s="130">
        <f>SUMIFS(ТГ_ИД!$E:$E,ТГ_ИД!$B:$B,ТГ!$G$6,ТГ_ИД!$D:$D,ТГ!$A485)</f>
        <v>0</v>
      </c>
      <c r="O484" s="130">
        <f>SUMIFS(ТГ_ИД!$E:$E,ТГ_ИД!$B:$B,ТГ!$G$7,ТГ_ИД!$D:$D,ТГ!$A485)</f>
        <v>0</v>
      </c>
      <c r="P484" s="130">
        <f>SUMIFS(ТГ_ИД!$E:$E,ТГ_ИД!$B:$B,ТГ!$G$8,ТГ_ИД!$D:$D,ТГ!$A485)</f>
        <v>0</v>
      </c>
      <c r="Q484" s="130">
        <f>SUMIFS(ТГ_ИД!$E:$E,ТГ_ИД!$B:$B,ТГ!$G$9,ТГ_ИД!$D:$D,ТГ!$A485)</f>
        <v>0</v>
      </c>
      <c r="R484" s="130">
        <f>SUMIFS(ТГ_ИД!$E:$E,ТГ_ИД!$B:$B,ТГ!$G$10,ТГ_ИД!$D:$D,ТГ!$A485)</f>
        <v>0</v>
      </c>
      <c r="S484" s="130">
        <f>SUMIFS(ТГ_ИД!$E:$E,ТГ_ИД!$B:$B,ТГ!$G$11,ТГ_ИД!$D:$D,ТГ!$A485)</f>
        <v>0</v>
      </c>
      <c r="T484" s="130">
        <f>SUMIFS(ТГ_ИД!$E:$E,ТГ_ИД!$B:$B,ТГ!$G$12,ТГ_ИД!$D:$D,ТГ!$A485)</f>
        <v>0</v>
      </c>
      <c r="U484" s="130">
        <f>SUMIFS(ТГ_ИД!$E:$E,ТГ_ИД!$B:$B,ТГ!$G$13,ТГ_ИД!$D:$D,ТГ!$A485)</f>
        <v>0</v>
      </c>
      <c r="V484" s="130">
        <f>SUMIFS(ТГ_ИД!$E:$E,ТГ_ИД!$B:$B,ТГ!$G$14,ТГ_ИД!$D:$D,ТГ!$A485)</f>
        <v>0</v>
      </c>
    </row>
    <row r="485" spans="1:22" x14ac:dyDescent="0.25">
      <c r="A485" s="116" t="str">
        <f t="shared" si="8"/>
        <v/>
      </c>
      <c r="K485" s="130">
        <f>SUMIFS(ТГ_ИД!$E:$E,ТГ_ИД!$B:$B,ТГ!$G$3,ТГ_ИД!$D:$D,ТГ!$A486)</f>
        <v>0</v>
      </c>
      <c r="L485" s="130">
        <f>SUMIFS(ТГ_ИД!$E:$E,ТГ_ИД!$B:$B,ТГ!$G$4,ТГ_ИД!$D:$D,ТГ!$A486)</f>
        <v>0</v>
      </c>
      <c r="M485" s="130">
        <f>SUMIFS(ТГ_ИД!$E:$E,ТГ_ИД!$B:$B,ТГ!$G$5,ТГ_ИД!$D:$D,ТГ!$A486)</f>
        <v>0</v>
      </c>
      <c r="N485" s="130">
        <f>SUMIFS(ТГ_ИД!$E:$E,ТГ_ИД!$B:$B,ТГ!$G$6,ТГ_ИД!$D:$D,ТГ!$A486)</f>
        <v>0</v>
      </c>
      <c r="O485" s="130">
        <f>SUMIFS(ТГ_ИД!$E:$E,ТГ_ИД!$B:$B,ТГ!$G$7,ТГ_ИД!$D:$D,ТГ!$A486)</f>
        <v>0</v>
      </c>
      <c r="P485" s="130">
        <f>SUMIFS(ТГ_ИД!$E:$E,ТГ_ИД!$B:$B,ТГ!$G$8,ТГ_ИД!$D:$D,ТГ!$A486)</f>
        <v>0</v>
      </c>
      <c r="Q485" s="130">
        <f>SUMIFS(ТГ_ИД!$E:$E,ТГ_ИД!$B:$B,ТГ!$G$9,ТГ_ИД!$D:$D,ТГ!$A486)</f>
        <v>0</v>
      </c>
      <c r="R485" s="130">
        <f>SUMIFS(ТГ_ИД!$E:$E,ТГ_ИД!$B:$B,ТГ!$G$10,ТГ_ИД!$D:$D,ТГ!$A486)</f>
        <v>0</v>
      </c>
      <c r="S485" s="130">
        <f>SUMIFS(ТГ_ИД!$E:$E,ТГ_ИД!$B:$B,ТГ!$G$11,ТГ_ИД!$D:$D,ТГ!$A486)</f>
        <v>0</v>
      </c>
      <c r="T485" s="130">
        <f>SUMIFS(ТГ_ИД!$E:$E,ТГ_ИД!$B:$B,ТГ!$G$12,ТГ_ИД!$D:$D,ТГ!$A486)</f>
        <v>0</v>
      </c>
      <c r="U485" s="130">
        <f>SUMIFS(ТГ_ИД!$E:$E,ТГ_ИД!$B:$B,ТГ!$G$13,ТГ_ИД!$D:$D,ТГ!$A486)</f>
        <v>0</v>
      </c>
      <c r="V485" s="130">
        <f>SUMIFS(ТГ_ИД!$E:$E,ТГ_ИД!$B:$B,ТГ!$G$14,ТГ_ИД!$D:$D,ТГ!$A486)</f>
        <v>0</v>
      </c>
    </row>
    <row r="486" spans="1:22" x14ac:dyDescent="0.25">
      <c r="A486" s="116" t="str">
        <f t="shared" si="8"/>
        <v/>
      </c>
      <c r="K486" s="130">
        <f>SUMIFS(ТГ_ИД!$E:$E,ТГ_ИД!$B:$B,ТГ!$G$3,ТГ_ИД!$D:$D,ТГ!$A487)</f>
        <v>0</v>
      </c>
      <c r="L486" s="130">
        <f>SUMIFS(ТГ_ИД!$E:$E,ТГ_ИД!$B:$B,ТГ!$G$4,ТГ_ИД!$D:$D,ТГ!$A487)</f>
        <v>0</v>
      </c>
      <c r="M486" s="130">
        <f>SUMIFS(ТГ_ИД!$E:$E,ТГ_ИД!$B:$B,ТГ!$G$5,ТГ_ИД!$D:$D,ТГ!$A487)</f>
        <v>0</v>
      </c>
      <c r="N486" s="130">
        <f>SUMIFS(ТГ_ИД!$E:$E,ТГ_ИД!$B:$B,ТГ!$G$6,ТГ_ИД!$D:$D,ТГ!$A487)</f>
        <v>0</v>
      </c>
      <c r="O486" s="130">
        <f>SUMIFS(ТГ_ИД!$E:$E,ТГ_ИД!$B:$B,ТГ!$G$7,ТГ_ИД!$D:$D,ТГ!$A487)</f>
        <v>0</v>
      </c>
      <c r="P486" s="130">
        <f>SUMIFS(ТГ_ИД!$E:$E,ТГ_ИД!$B:$B,ТГ!$G$8,ТГ_ИД!$D:$D,ТГ!$A487)</f>
        <v>0</v>
      </c>
      <c r="Q486" s="130">
        <f>SUMIFS(ТГ_ИД!$E:$E,ТГ_ИД!$B:$B,ТГ!$G$9,ТГ_ИД!$D:$D,ТГ!$A487)</f>
        <v>0</v>
      </c>
      <c r="R486" s="130">
        <f>SUMIFS(ТГ_ИД!$E:$E,ТГ_ИД!$B:$B,ТГ!$G$10,ТГ_ИД!$D:$D,ТГ!$A487)</f>
        <v>0</v>
      </c>
      <c r="S486" s="130">
        <f>SUMIFS(ТГ_ИД!$E:$E,ТГ_ИД!$B:$B,ТГ!$G$11,ТГ_ИД!$D:$D,ТГ!$A487)</f>
        <v>0</v>
      </c>
      <c r="T486" s="130">
        <f>SUMIFS(ТГ_ИД!$E:$E,ТГ_ИД!$B:$B,ТГ!$G$12,ТГ_ИД!$D:$D,ТГ!$A487)</f>
        <v>0</v>
      </c>
      <c r="U486" s="130">
        <f>SUMIFS(ТГ_ИД!$E:$E,ТГ_ИД!$B:$B,ТГ!$G$13,ТГ_ИД!$D:$D,ТГ!$A487)</f>
        <v>0</v>
      </c>
      <c r="V486" s="130">
        <f>SUMIFS(ТГ_ИД!$E:$E,ТГ_ИД!$B:$B,ТГ!$G$14,ТГ_ИД!$D:$D,ТГ!$A487)</f>
        <v>0</v>
      </c>
    </row>
    <row r="487" spans="1:22" x14ac:dyDescent="0.25">
      <c r="A487" s="116" t="str">
        <f t="shared" si="8"/>
        <v/>
      </c>
      <c r="K487" s="130">
        <f>SUMIFS(ТГ_ИД!$E:$E,ТГ_ИД!$B:$B,ТГ!$G$3,ТГ_ИД!$D:$D,ТГ!$A488)</f>
        <v>0</v>
      </c>
      <c r="L487" s="130">
        <f>SUMIFS(ТГ_ИД!$E:$E,ТГ_ИД!$B:$B,ТГ!$G$4,ТГ_ИД!$D:$D,ТГ!$A488)</f>
        <v>0</v>
      </c>
      <c r="M487" s="130">
        <f>SUMIFS(ТГ_ИД!$E:$E,ТГ_ИД!$B:$B,ТГ!$G$5,ТГ_ИД!$D:$D,ТГ!$A488)</f>
        <v>0</v>
      </c>
      <c r="N487" s="130">
        <f>SUMIFS(ТГ_ИД!$E:$E,ТГ_ИД!$B:$B,ТГ!$G$6,ТГ_ИД!$D:$D,ТГ!$A488)</f>
        <v>0</v>
      </c>
      <c r="O487" s="130">
        <f>SUMIFS(ТГ_ИД!$E:$E,ТГ_ИД!$B:$B,ТГ!$G$7,ТГ_ИД!$D:$D,ТГ!$A488)</f>
        <v>0</v>
      </c>
      <c r="P487" s="130">
        <f>SUMIFS(ТГ_ИД!$E:$E,ТГ_ИД!$B:$B,ТГ!$G$8,ТГ_ИД!$D:$D,ТГ!$A488)</f>
        <v>0</v>
      </c>
      <c r="Q487" s="130">
        <f>SUMIFS(ТГ_ИД!$E:$E,ТГ_ИД!$B:$B,ТГ!$G$9,ТГ_ИД!$D:$D,ТГ!$A488)</f>
        <v>0</v>
      </c>
      <c r="R487" s="130">
        <f>SUMIFS(ТГ_ИД!$E:$E,ТГ_ИД!$B:$B,ТГ!$G$10,ТГ_ИД!$D:$D,ТГ!$A488)</f>
        <v>0</v>
      </c>
      <c r="S487" s="130">
        <f>SUMIFS(ТГ_ИД!$E:$E,ТГ_ИД!$B:$B,ТГ!$G$11,ТГ_ИД!$D:$D,ТГ!$A488)</f>
        <v>0</v>
      </c>
      <c r="T487" s="130">
        <f>SUMIFS(ТГ_ИД!$E:$E,ТГ_ИД!$B:$B,ТГ!$G$12,ТГ_ИД!$D:$D,ТГ!$A488)</f>
        <v>0</v>
      </c>
      <c r="U487" s="130">
        <f>SUMIFS(ТГ_ИД!$E:$E,ТГ_ИД!$B:$B,ТГ!$G$13,ТГ_ИД!$D:$D,ТГ!$A488)</f>
        <v>0</v>
      </c>
      <c r="V487" s="130">
        <f>SUMIFS(ТГ_ИД!$E:$E,ТГ_ИД!$B:$B,ТГ!$G$14,ТГ_ИД!$D:$D,ТГ!$A488)</f>
        <v>0</v>
      </c>
    </row>
    <row r="488" spans="1:22" x14ac:dyDescent="0.25">
      <c r="A488" s="116" t="str">
        <f t="shared" si="8"/>
        <v/>
      </c>
      <c r="K488" s="130">
        <f>SUMIFS(ТГ_ИД!$E:$E,ТГ_ИД!$B:$B,ТГ!$G$3,ТГ_ИД!$D:$D,ТГ!$A489)</f>
        <v>0</v>
      </c>
      <c r="L488" s="130">
        <f>SUMIFS(ТГ_ИД!$E:$E,ТГ_ИД!$B:$B,ТГ!$G$4,ТГ_ИД!$D:$D,ТГ!$A489)</f>
        <v>0</v>
      </c>
      <c r="M488" s="130">
        <f>SUMIFS(ТГ_ИД!$E:$E,ТГ_ИД!$B:$B,ТГ!$G$5,ТГ_ИД!$D:$D,ТГ!$A489)</f>
        <v>0</v>
      </c>
      <c r="N488" s="130">
        <f>SUMIFS(ТГ_ИД!$E:$E,ТГ_ИД!$B:$B,ТГ!$G$6,ТГ_ИД!$D:$D,ТГ!$A489)</f>
        <v>0</v>
      </c>
      <c r="O488" s="130">
        <f>SUMIFS(ТГ_ИД!$E:$E,ТГ_ИД!$B:$B,ТГ!$G$7,ТГ_ИД!$D:$D,ТГ!$A489)</f>
        <v>0</v>
      </c>
      <c r="P488" s="130">
        <f>SUMIFS(ТГ_ИД!$E:$E,ТГ_ИД!$B:$B,ТГ!$G$8,ТГ_ИД!$D:$D,ТГ!$A489)</f>
        <v>0</v>
      </c>
      <c r="Q488" s="130">
        <f>SUMIFS(ТГ_ИД!$E:$E,ТГ_ИД!$B:$B,ТГ!$G$9,ТГ_ИД!$D:$D,ТГ!$A489)</f>
        <v>0</v>
      </c>
      <c r="R488" s="130">
        <f>SUMIFS(ТГ_ИД!$E:$E,ТГ_ИД!$B:$B,ТГ!$G$10,ТГ_ИД!$D:$D,ТГ!$A489)</f>
        <v>0</v>
      </c>
      <c r="S488" s="130">
        <f>SUMIFS(ТГ_ИД!$E:$E,ТГ_ИД!$B:$B,ТГ!$G$11,ТГ_ИД!$D:$D,ТГ!$A489)</f>
        <v>0</v>
      </c>
      <c r="T488" s="130">
        <f>SUMIFS(ТГ_ИД!$E:$E,ТГ_ИД!$B:$B,ТГ!$G$12,ТГ_ИД!$D:$D,ТГ!$A489)</f>
        <v>0</v>
      </c>
      <c r="U488" s="130">
        <f>SUMIFS(ТГ_ИД!$E:$E,ТГ_ИД!$B:$B,ТГ!$G$13,ТГ_ИД!$D:$D,ТГ!$A489)</f>
        <v>0</v>
      </c>
      <c r="V488" s="130">
        <f>SUMIFS(ТГ_ИД!$E:$E,ТГ_ИД!$B:$B,ТГ!$G$14,ТГ_ИД!$D:$D,ТГ!$A489)</f>
        <v>0</v>
      </c>
    </row>
    <row r="489" spans="1:22" x14ac:dyDescent="0.25">
      <c r="A489" s="116" t="str">
        <f t="shared" si="8"/>
        <v/>
      </c>
      <c r="K489" s="130">
        <f>SUMIFS(ТГ_ИД!$E:$E,ТГ_ИД!$B:$B,ТГ!$G$3,ТГ_ИД!$D:$D,ТГ!$A490)</f>
        <v>0</v>
      </c>
      <c r="L489" s="130">
        <f>SUMIFS(ТГ_ИД!$E:$E,ТГ_ИД!$B:$B,ТГ!$G$4,ТГ_ИД!$D:$D,ТГ!$A490)</f>
        <v>0</v>
      </c>
      <c r="M489" s="130">
        <f>SUMIFS(ТГ_ИД!$E:$E,ТГ_ИД!$B:$B,ТГ!$G$5,ТГ_ИД!$D:$D,ТГ!$A490)</f>
        <v>0</v>
      </c>
      <c r="N489" s="130">
        <f>SUMIFS(ТГ_ИД!$E:$E,ТГ_ИД!$B:$B,ТГ!$G$6,ТГ_ИД!$D:$D,ТГ!$A490)</f>
        <v>0</v>
      </c>
      <c r="O489" s="130">
        <f>SUMIFS(ТГ_ИД!$E:$E,ТГ_ИД!$B:$B,ТГ!$G$7,ТГ_ИД!$D:$D,ТГ!$A490)</f>
        <v>0</v>
      </c>
      <c r="P489" s="130">
        <f>SUMIFS(ТГ_ИД!$E:$E,ТГ_ИД!$B:$B,ТГ!$G$8,ТГ_ИД!$D:$D,ТГ!$A490)</f>
        <v>0</v>
      </c>
      <c r="Q489" s="130">
        <f>SUMIFS(ТГ_ИД!$E:$E,ТГ_ИД!$B:$B,ТГ!$G$9,ТГ_ИД!$D:$D,ТГ!$A490)</f>
        <v>0</v>
      </c>
      <c r="R489" s="130">
        <f>SUMIFS(ТГ_ИД!$E:$E,ТГ_ИД!$B:$B,ТГ!$G$10,ТГ_ИД!$D:$D,ТГ!$A490)</f>
        <v>0</v>
      </c>
      <c r="S489" s="130">
        <f>SUMIFS(ТГ_ИД!$E:$E,ТГ_ИД!$B:$B,ТГ!$G$11,ТГ_ИД!$D:$D,ТГ!$A490)</f>
        <v>0</v>
      </c>
      <c r="T489" s="130">
        <f>SUMIFS(ТГ_ИД!$E:$E,ТГ_ИД!$B:$B,ТГ!$G$12,ТГ_ИД!$D:$D,ТГ!$A490)</f>
        <v>0</v>
      </c>
      <c r="U489" s="130">
        <f>SUMIFS(ТГ_ИД!$E:$E,ТГ_ИД!$B:$B,ТГ!$G$13,ТГ_ИД!$D:$D,ТГ!$A490)</f>
        <v>0</v>
      </c>
      <c r="V489" s="130">
        <f>SUMIFS(ТГ_ИД!$E:$E,ТГ_ИД!$B:$B,ТГ!$G$14,ТГ_ИД!$D:$D,ТГ!$A490)</f>
        <v>0</v>
      </c>
    </row>
    <row r="490" spans="1:22" x14ac:dyDescent="0.25">
      <c r="A490" s="116" t="str">
        <f t="shared" si="8"/>
        <v/>
      </c>
      <c r="K490" s="130">
        <f>SUMIFS(ТГ_ИД!$E:$E,ТГ_ИД!$B:$B,ТГ!$G$3,ТГ_ИД!$D:$D,ТГ!$A491)</f>
        <v>0</v>
      </c>
      <c r="L490" s="130">
        <f>SUMIFS(ТГ_ИД!$E:$E,ТГ_ИД!$B:$B,ТГ!$G$4,ТГ_ИД!$D:$D,ТГ!$A491)</f>
        <v>0</v>
      </c>
      <c r="M490" s="130">
        <f>SUMIFS(ТГ_ИД!$E:$E,ТГ_ИД!$B:$B,ТГ!$G$5,ТГ_ИД!$D:$D,ТГ!$A491)</f>
        <v>0</v>
      </c>
      <c r="N490" s="130">
        <f>SUMIFS(ТГ_ИД!$E:$E,ТГ_ИД!$B:$B,ТГ!$G$6,ТГ_ИД!$D:$D,ТГ!$A491)</f>
        <v>0</v>
      </c>
      <c r="O490" s="130">
        <f>SUMIFS(ТГ_ИД!$E:$E,ТГ_ИД!$B:$B,ТГ!$G$7,ТГ_ИД!$D:$D,ТГ!$A491)</f>
        <v>0</v>
      </c>
      <c r="P490" s="130">
        <f>SUMIFS(ТГ_ИД!$E:$E,ТГ_ИД!$B:$B,ТГ!$G$8,ТГ_ИД!$D:$D,ТГ!$A491)</f>
        <v>0</v>
      </c>
      <c r="Q490" s="130">
        <f>SUMIFS(ТГ_ИД!$E:$E,ТГ_ИД!$B:$B,ТГ!$G$9,ТГ_ИД!$D:$D,ТГ!$A491)</f>
        <v>0</v>
      </c>
      <c r="R490" s="130">
        <f>SUMIFS(ТГ_ИД!$E:$E,ТГ_ИД!$B:$B,ТГ!$G$10,ТГ_ИД!$D:$D,ТГ!$A491)</f>
        <v>0</v>
      </c>
      <c r="S490" s="130">
        <f>SUMIFS(ТГ_ИД!$E:$E,ТГ_ИД!$B:$B,ТГ!$G$11,ТГ_ИД!$D:$D,ТГ!$A491)</f>
        <v>0</v>
      </c>
      <c r="T490" s="130">
        <f>SUMIFS(ТГ_ИД!$E:$E,ТГ_ИД!$B:$B,ТГ!$G$12,ТГ_ИД!$D:$D,ТГ!$A491)</f>
        <v>0</v>
      </c>
      <c r="U490" s="130">
        <f>SUMIFS(ТГ_ИД!$E:$E,ТГ_ИД!$B:$B,ТГ!$G$13,ТГ_ИД!$D:$D,ТГ!$A491)</f>
        <v>0</v>
      </c>
      <c r="V490" s="130">
        <f>SUMIFS(ТГ_ИД!$E:$E,ТГ_ИД!$B:$B,ТГ!$G$14,ТГ_ИД!$D:$D,ТГ!$A491)</f>
        <v>0</v>
      </c>
    </row>
    <row r="491" spans="1:22" x14ac:dyDescent="0.25">
      <c r="A491" s="116" t="str">
        <f t="shared" si="8"/>
        <v/>
      </c>
      <c r="K491" s="130">
        <f>SUMIFS(ТГ_ИД!$E:$E,ТГ_ИД!$B:$B,ТГ!$G$3,ТГ_ИД!$D:$D,ТГ!$A492)</f>
        <v>0</v>
      </c>
      <c r="L491" s="130">
        <f>SUMIFS(ТГ_ИД!$E:$E,ТГ_ИД!$B:$B,ТГ!$G$4,ТГ_ИД!$D:$D,ТГ!$A492)</f>
        <v>0</v>
      </c>
      <c r="M491" s="130">
        <f>SUMIFS(ТГ_ИД!$E:$E,ТГ_ИД!$B:$B,ТГ!$G$5,ТГ_ИД!$D:$D,ТГ!$A492)</f>
        <v>0</v>
      </c>
      <c r="N491" s="130">
        <f>SUMIFS(ТГ_ИД!$E:$E,ТГ_ИД!$B:$B,ТГ!$G$6,ТГ_ИД!$D:$D,ТГ!$A492)</f>
        <v>0</v>
      </c>
      <c r="O491" s="130">
        <f>SUMIFS(ТГ_ИД!$E:$E,ТГ_ИД!$B:$B,ТГ!$G$7,ТГ_ИД!$D:$D,ТГ!$A492)</f>
        <v>0</v>
      </c>
      <c r="P491" s="130">
        <f>SUMIFS(ТГ_ИД!$E:$E,ТГ_ИД!$B:$B,ТГ!$G$8,ТГ_ИД!$D:$D,ТГ!$A492)</f>
        <v>0</v>
      </c>
      <c r="Q491" s="130">
        <f>SUMIFS(ТГ_ИД!$E:$E,ТГ_ИД!$B:$B,ТГ!$G$9,ТГ_ИД!$D:$D,ТГ!$A492)</f>
        <v>0</v>
      </c>
      <c r="R491" s="130">
        <f>SUMIFS(ТГ_ИД!$E:$E,ТГ_ИД!$B:$B,ТГ!$G$10,ТГ_ИД!$D:$D,ТГ!$A492)</f>
        <v>0</v>
      </c>
      <c r="S491" s="130">
        <f>SUMIFS(ТГ_ИД!$E:$E,ТГ_ИД!$B:$B,ТГ!$G$11,ТГ_ИД!$D:$D,ТГ!$A492)</f>
        <v>0</v>
      </c>
      <c r="T491" s="130">
        <f>SUMIFS(ТГ_ИД!$E:$E,ТГ_ИД!$B:$B,ТГ!$G$12,ТГ_ИД!$D:$D,ТГ!$A492)</f>
        <v>0</v>
      </c>
      <c r="U491" s="130">
        <f>SUMIFS(ТГ_ИД!$E:$E,ТГ_ИД!$B:$B,ТГ!$G$13,ТГ_ИД!$D:$D,ТГ!$A492)</f>
        <v>0</v>
      </c>
      <c r="V491" s="130">
        <f>SUMIFS(ТГ_ИД!$E:$E,ТГ_ИД!$B:$B,ТГ!$G$14,ТГ_ИД!$D:$D,ТГ!$A492)</f>
        <v>0</v>
      </c>
    </row>
    <row r="492" spans="1:22" x14ac:dyDescent="0.25">
      <c r="A492" s="116" t="str">
        <f t="shared" si="8"/>
        <v/>
      </c>
      <c r="K492" s="130">
        <f>SUMIFS(ТГ_ИД!$E:$E,ТГ_ИД!$B:$B,ТГ!$G$3,ТГ_ИД!$D:$D,ТГ!$A493)</f>
        <v>0</v>
      </c>
      <c r="L492" s="130">
        <f>SUMIFS(ТГ_ИД!$E:$E,ТГ_ИД!$B:$B,ТГ!$G$4,ТГ_ИД!$D:$D,ТГ!$A493)</f>
        <v>0</v>
      </c>
      <c r="M492" s="130">
        <f>SUMIFS(ТГ_ИД!$E:$E,ТГ_ИД!$B:$B,ТГ!$G$5,ТГ_ИД!$D:$D,ТГ!$A493)</f>
        <v>0</v>
      </c>
      <c r="N492" s="130">
        <f>SUMIFS(ТГ_ИД!$E:$E,ТГ_ИД!$B:$B,ТГ!$G$6,ТГ_ИД!$D:$D,ТГ!$A493)</f>
        <v>0</v>
      </c>
      <c r="O492" s="130">
        <f>SUMIFS(ТГ_ИД!$E:$E,ТГ_ИД!$B:$B,ТГ!$G$7,ТГ_ИД!$D:$D,ТГ!$A493)</f>
        <v>0</v>
      </c>
      <c r="P492" s="130">
        <f>SUMIFS(ТГ_ИД!$E:$E,ТГ_ИД!$B:$B,ТГ!$G$8,ТГ_ИД!$D:$D,ТГ!$A493)</f>
        <v>0</v>
      </c>
      <c r="Q492" s="130">
        <f>SUMIFS(ТГ_ИД!$E:$E,ТГ_ИД!$B:$B,ТГ!$G$9,ТГ_ИД!$D:$D,ТГ!$A493)</f>
        <v>0</v>
      </c>
      <c r="R492" s="130">
        <f>SUMIFS(ТГ_ИД!$E:$E,ТГ_ИД!$B:$B,ТГ!$G$10,ТГ_ИД!$D:$D,ТГ!$A493)</f>
        <v>0</v>
      </c>
      <c r="S492" s="130">
        <f>SUMIFS(ТГ_ИД!$E:$E,ТГ_ИД!$B:$B,ТГ!$G$11,ТГ_ИД!$D:$D,ТГ!$A493)</f>
        <v>0</v>
      </c>
      <c r="T492" s="130">
        <f>SUMIFS(ТГ_ИД!$E:$E,ТГ_ИД!$B:$B,ТГ!$G$12,ТГ_ИД!$D:$D,ТГ!$A493)</f>
        <v>0</v>
      </c>
      <c r="U492" s="130">
        <f>SUMIFS(ТГ_ИД!$E:$E,ТГ_ИД!$B:$B,ТГ!$G$13,ТГ_ИД!$D:$D,ТГ!$A493)</f>
        <v>0</v>
      </c>
      <c r="V492" s="130">
        <f>SUMIFS(ТГ_ИД!$E:$E,ТГ_ИД!$B:$B,ТГ!$G$14,ТГ_ИД!$D:$D,ТГ!$A493)</f>
        <v>0</v>
      </c>
    </row>
    <row r="493" spans="1:22" x14ac:dyDescent="0.25">
      <c r="A493" s="116" t="str">
        <f t="shared" si="8"/>
        <v/>
      </c>
      <c r="K493" s="130">
        <f>SUMIFS(ТГ_ИД!$E:$E,ТГ_ИД!$B:$B,ТГ!$G$3,ТГ_ИД!$D:$D,ТГ!$A494)</f>
        <v>0</v>
      </c>
      <c r="L493" s="130">
        <f>SUMIFS(ТГ_ИД!$E:$E,ТГ_ИД!$B:$B,ТГ!$G$4,ТГ_ИД!$D:$D,ТГ!$A494)</f>
        <v>0</v>
      </c>
      <c r="M493" s="130">
        <f>SUMIFS(ТГ_ИД!$E:$E,ТГ_ИД!$B:$B,ТГ!$G$5,ТГ_ИД!$D:$D,ТГ!$A494)</f>
        <v>0</v>
      </c>
      <c r="N493" s="130">
        <f>SUMIFS(ТГ_ИД!$E:$E,ТГ_ИД!$B:$B,ТГ!$G$6,ТГ_ИД!$D:$D,ТГ!$A494)</f>
        <v>0</v>
      </c>
      <c r="O493" s="130">
        <f>SUMIFS(ТГ_ИД!$E:$E,ТГ_ИД!$B:$B,ТГ!$G$7,ТГ_ИД!$D:$D,ТГ!$A494)</f>
        <v>0</v>
      </c>
      <c r="P493" s="130">
        <f>SUMIFS(ТГ_ИД!$E:$E,ТГ_ИД!$B:$B,ТГ!$G$8,ТГ_ИД!$D:$D,ТГ!$A494)</f>
        <v>0</v>
      </c>
      <c r="Q493" s="130">
        <f>SUMIFS(ТГ_ИД!$E:$E,ТГ_ИД!$B:$B,ТГ!$G$9,ТГ_ИД!$D:$D,ТГ!$A494)</f>
        <v>0</v>
      </c>
      <c r="R493" s="130">
        <f>SUMIFS(ТГ_ИД!$E:$E,ТГ_ИД!$B:$B,ТГ!$G$10,ТГ_ИД!$D:$D,ТГ!$A494)</f>
        <v>0</v>
      </c>
      <c r="S493" s="130">
        <f>SUMIFS(ТГ_ИД!$E:$E,ТГ_ИД!$B:$B,ТГ!$G$11,ТГ_ИД!$D:$D,ТГ!$A494)</f>
        <v>0</v>
      </c>
      <c r="T493" s="130">
        <f>SUMIFS(ТГ_ИД!$E:$E,ТГ_ИД!$B:$B,ТГ!$G$12,ТГ_ИД!$D:$D,ТГ!$A494)</f>
        <v>0</v>
      </c>
      <c r="U493" s="130">
        <f>SUMIFS(ТГ_ИД!$E:$E,ТГ_ИД!$B:$B,ТГ!$G$13,ТГ_ИД!$D:$D,ТГ!$A494)</f>
        <v>0</v>
      </c>
      <c r="V493" s="130">
        <f>SUMIFS(ТГ_ИД!$E:$E,ТГ_ИД!$B:$B,ТГ!$G$14,ТГ_ИД!$D:$D,ТГ!$A494)</f>
        <v>0</v>
      </c>
    </row>
    <row r="494" spans="1:22" x14ac:dyDescent="0.25">
      <c r="A494" s="116" t="str">
        <f t="shared" si="8"/>
        <v/>
      </c>
      <c r="K494" s="130">
        <f>SUMIFS(ТГ_ИД!$E:$E,ТГ_ИД!$B:$B,ТГ!$G$3,ТГ_ИД!$D:$D,ТГ!$A495)</f>
        <v>0</v>
      </c>
      <c r="L494" s="130">
        <f>SUMIFS(ТГ_ИД!$E:$E,ТГ_ИД!$B:$B,ТГ!$G$4,ТГ_ИД!$D:$D,ТГ!$A495)</f>
        <v>0</v>
      </c>
      <c r="M494" s="130">
        <f>SUMIFS(ТГ_ИД!$E:$E,ТГ_ИД!$B:$B,ТГ!$G$5,ТГ_ИД!$D:$D,ТГ!$A495)</f>
        <v>0</v>
      </c>
      <c r="N494" s="130">
        <f>SUMIFS(ТГ_ИД!$E:$E,ТГ_ИД!$B:$B,ТГ!$G$6,ТГ_ИД!$D:$D,ТГ!$A495)</f>
        <v>0</v>
      </c>
      <c r="O494" s="130">
        <f>SUMIFS(ТГ_ИД!$E:$E,ТГ_ИД!$B:$B,ТГ!$G$7,ТГ_ИД!$D:$D,ТГ!$A495)</f>
        <v>0</v>
      </c>
      <c r="P494" s="130">
        <f>SUMIFS(ТГ_ИД!$E:$E,ТГ_ИД!$B:$B,ТГ!$G$8,ТГ_ИД!$D:$D,ТГ!$A495)</f>
        <v>0</v>
      </c>
      <c r="Q494" s="130">
        <f>SUMIFS(ТГ_ИД!$E:$E,ТГ_ИД!$B:$B,ТГ!$G$9,ТГ_ИД!$D:$D,ТГ!$A495)</f>
        <v>0</v>
      </c>
      <c r="R494" s="130">
        <f>SUMIFS(ТГ_ИД!$E:$E,ТГ_ИД!$B:$B,ТГ!$G$10,ТГ_ИД!$D:$D,ТГ!$A495)</f>
        <v>0</v>
      </c>
      <c r="S494" s="130">
        <f>SUMIFS(ТГ_ИД!$E:$E,ТГ_ИД!$B:$B,ТГ!$G$11,ТГ_ИД!$D:$D,ТГ!$A495)</f>
        <v>0</v>
      </c>
      <c r="T494" s="130">
        <f>SUMIFS(ТГ_ИД!$E:$E,ТГ_ИД!$B:$B,ТГ!$G$12,ТГ_ИД!$D:$D,ТГ!$A495)</f>
        <v>0</v>
      </c>
      <c r="U494" s="130">
        <f>SUMIFS(ТГ_ИД!$E:$E,ТГ_ИД!$B:$B,ТГ!$G$13,ТГ_ИД!$D:$D,ТГ!$A495)</f>
        <v>0</v>
      </c>
      <c r="V494" s="130">
        <f>SUMIFS(ТГ_ИД!$E:$E,ТГ_ИД!$B:$B,ТГ!$G$14,ТГ_ИД!$D:$D,ТГ!$A495)</f>
        <v>0</v>
      </c>
    </row>
    <row r="495" spans="1:22" x14ac:dyDescent="0.25">
      <c r="A495" s="116" t="str">
        <f t="shared" si="8"/>
        <v/>
      </c>
      <c r="K495" s="130">
        <f>SUMIFS(ТГ_ИД!$E:$E,ТГ_ИД!$B:$B,ТГ!$G$3,ТГ_ИД!$D:$D,ТГ!$A496)</f>
        <v>0</v>
      </c>
      <c r="L495" s="130">
        <f>SUMIFS(ТГ_ИД!$E:$E,ТГ_ИД!$B:$B,ТГ!$G$4,ТГ_ИД!$D:$D,ТГ!$A496)</f>
        <v>0</v>
      </c>
      <c r="M495" s="130">
        <f>SUMIFS(ТГ_ИД!$E:$E,ТГ_ИД!$B:$B,ТГ!$G$5,ТГ_ИД!$D:$D,ТГ!$A496)</f>
        <v>0</v>
      </c>
      <c r="N495" s="130">
        <f>SUMIFS(ТГ_ИД!$E:$E,ТГ_ИД!$B:$B,ТГ!$G$6,ТГ_ИД!$D:$D,ТГ!$A496)</f>
        <v>0</v>
      </c>
      <c r="O495" s="130">
        <f>SUMIFS(ТГ_ИД!$E:$E,ТГ_ИД!$B:$B,ТГ!$G$7,ТГ_ИД!$D:$D,ТГ!$A496)</f>
        <v>0</v>
      </c>
      <c r="P495" s="130">
        <f>SUMIFS(ТГ_ИД!$E:$E,ТГ_ИД!$B:$B,ТГ!$G$8,ТГ_ИД!$D:$D,ТГ!$A496)</f>
        <v>0</v>
      </c>
      <c r="Q495" s="130">
        <f>SUMIFS(ТГ_ИД!$E:$E,ТГ_ИД!$B:$B,ТГ!$G$9,ТГ_ИД!$D:$D,ТГ!$A496)</f>
        <v>0</v>
      </c>
      <c r="R495" s="130">
        <f>SUMIFS(ТГ_ИД!$E:$E,ТГ_ИД!$B:$B,ТГ!$G$10,ТГ_ИД!$D:$D,ТГ!$A496)</f>
        <v>0</v>
      </c>
      <c r="S495" s="130">
        <f>SUMIFS(ТГ_ИД!$E:$E,ТГ_ИД!$B:$B,ТГ!$G$11,ТГ_ИД!$D:$D,ТГ!$A496)</f>
        <v>0</v>
      </c>
      <c r="T495" s="130">
        <f>SUMIFS(ТГ_ИД!$E:$E,ТГ_ИД!$B:$B,ТГ!$G$12,ТГ_ИД!$D:$D,ТГ!$A496)</f>
        <v>0</v>
      </c>
      <c r="U495" s="130">
        <f>SUMIFS(ТГ_ИД!$E:$E,ТГ_ИД!$B:$B,ТГ!$G$13,ТГ_ИД!$D:$D,ТГ!$A496)</f>
        <v>0</v>
      </c>
      <c r="V495" s="130">
        <f>SUMIFS(ТГ_ИД!$E:$E,ТГ_ИД!$B:$B,ТГ!$G$14,ТГ_ИД!$D:$D,ТГ!$A496)</f>
        <v>0</v>
      </c>
    </row>
    <row r="496" spans="1:22" x14ac:dyDescent="0.25">
      <c r="A496" s="116" t="str">
        <f t="shared" si="8"/>
        <v/>
      </c>
      <c r="K496" s="130">
        <f>SUMIFS(ТГ_ИД!$E:$E,ТГ_ИД!$B:$B,ТГ!$G$3,ТГ_ИД!$D:$D,ТГ!$A497)</f>
        <v>0</v>
      </c>
      <c r="L496" s="130">
        <f>SUMIFS(ТГ_ИД!$E:$E,ТГ_ИД!$B:$B,ТГ!$G$4,ТГ_ИД!$D:$D,ТГ!$A497)</f>
        <v>0</v>
      </c>
      <c r="M496" s="130">
        <f>SUMIFS(ТГ_ИД!$E:$E,ТГ_ИД!$B:$B,ТГ!$G$5,ТГ_ИД!$D:$D,ТГ!$A497)</f>
        <v>0</v>
      </c>
      <c r="N496" s="130">
        <f>SUMIFS(ТГ_ИД!$E:$E,ТГ_ИД!$B:$B,ТГ!$G$6,ТГ_ИД!$D:$D,ТГ!$A497)</f>
        <v>0</v>
      </c>
      <c r="O496" s="130">
        <f>SUMIFS(ТГ_ИД!$E:$E,ТГ_ИД!$B:$B,ТГ!$G$7,ТГ_ИД!$D:$D,ТГ!$A497)</f>
        <v>0</v>
      </c>
      <c r="P496" s="130">
        <f>SUMIFS(ТГ_ИД!$E:$E,ТГ_ИД!$B:$B,ТГ!$G$8,ТГ_ИД!$D:$D,ТГ!$A497)</f>
        <v>0</v>
      </c>
      <c r="Q496" s="130">
        <f>SUMIFS(ТГ_ИД!$E:$E,ТГ_ИД!$B:$B,ТГ!$G$9,ТГ_ИД!$D:$D,ТГ!$A497)</f>
        <v>0</v>
      </c>
      <c r="R496" s="130">
        <f>SUMIFS(ТГ_ИД!$E:$E,ТГ_ИД!$B:$B,ТГ!$G$10,ТГ_ИД!$D:$D,ТГ!$A497)</f>
        <v>0</v>
      </c>
      <c r="S496" s="130">
        <f>SUMIFS(ТГ_ИД!$E:$E,ТГ_ИД!$B:$B,ТГ!$G$11,ТГ_ИД!$D:$D,ТГ!$A497)</f>
        <v>0</v>
      </c>
      <c r="T496" s="130">
        <f>SUMIFS(ТГ_ИД!$E:$E,ТГ_ИД!$B:$B,ТГ!$G$12,ТГ_ИД!$D:$D,ТГ!$A497)</f>
        <v>0</v>
      </c>
      <c r="U496" s="130">
        <f>SUMIFS(ТГ_ИД!$E:$E,ТГ_ИД!$B:$B,ТГ!$G$13,ТГ_ИД!$D:$D,ТГ!$A497)</f>
        <v>0</v>
      </c>
      <c r="V496" s="130">
        <f>SUMIFS(ТГ_ИД!$E:$E,ТГ_ИД!$B:$B,ТГ!$G$14,ТГ_ИД!$D:$D,ТГ!$A497)</f>
        <v>0</v>
      </c>
    </row>
    <row r="497" spans="1:22" x14ac:dyDescent="0.25">
      <c r="A497" s="116" t="str">
        <f t="shared" si="8"/>
        <v/>
      </c>
      <c r="K497" s="130">
        <f>SUMIFS(ТГ_ИД!$E:$E,ТГ_ИД!$B:$B,ТГ!$G$3,ТГ_ИД!$D:$D,ТГ!$A498)</f>
        <v>0</v>
      </c>
      <c r="L497" s="130">
        <f>SUMIFS(ТГ_ИД!$E:$E,ТГ_ИД!$B:$B,ТГ!$G$4,ТГ_ИД!$D:$D,ТГ!$A498)</f>
        <v>0</v>
      </c>
      <c r="M497" s="130">
        <f>SUMIFS(ТГ_ИД!$E:$E,ТГ_ИД!$B:$B,ТГ!$G$5,ТГ_ИД!$D:$D,ТГ!$A498)</f>
        <v>0</v>
      </c>
      <c r="N497" s="130">
        <f>SUMIFS(ТГ_ИД!$E:$E,ТГ_ИД!$B:$B,ТГ!$G$6,ТГ_ИД!$D:$D,ТГ!$A498)</f>
        <v>0</v>
      </c>
      <c r="O497" s="130">
        <f>SUMIFS(ТГ_ИД!$E:$E,ТГ_ИД!$B:$B,ТГ!$G$7,ТГ_ИД!$D:$D,ТГ!$A498)</f>
        <v>0</v>
      </c>
      <c r="P497" s="130">
        <f>SUMIFS(ТГ_ИД!$E:$E,ТГ_ИД!$B:$B,ТГ!$G$8,ТГ_ИД!$D:$D,ТГ!$A498)</f>
        <v>0</v>
      </c>
      <c r="Q497" s="130">
        <f>SUMIFS(ТГ_ИД!$E:$E,ТГ_ИД!$B:$B,ТГ!$G$9,ТГ_ИД!$D:$D,ТГ!$A498)</f>
        <v>0</v>
      </c>
      <c r="R497" s="130">
        <f>SUMIFS(ТГ_ИД!$E:$E,ТГ_ИД!$B:$B,ТГ!$G$10,ТГ_ИД!$D:$D,ТГ!$A498)</f>
        <v>0</v>
      </c>
      <c r="S497" s="130">
        <f>SUMIFS(ТГ_ИД!$E:$E,ТГ_ИД!$B:$B,ТГ!$G$11,ТГ_ИД!$D:$D,ТГ!$A498)</f>
        <v>0</v>
      </c>
      <c r="T497" s="130">
        <f>SUMIFS(ТГ_ИД!$E:$E,ТГ_ИД!$B:$B,ТГ!$G$12,ТГ_ИД!$D:$D,ТГ!$A498)</f>
        <v>0</v>
      </c>
      <c r="U497" s="130">
        <f>SUMIFS(ТГ_ИД!$E:$E,ТГ_ИД!$B:$B,ТГ!$G$13,ТГ_ИД!$D:$D,ТГ!$A498)</f>
        <v>0</v>
      </c>
      <c r="V497" s="130">
        <f>SUMIFS(ТГ_ИД!$E:$E,ТГ_ИД!$B:$B,ТГ!$G$14,ТГ_ИД!$D:$D,ТГ!$A498)</f>
        <v>0</v>
      </c>
    </row>
    <row r="498" spans="1:22" x14ac:dyDescent="0.25">
      <c r="A498" s="116" t="str">
        <f t="shared" si="8"/>
        <v/>
      </c>
      <c r="K498" s="130">
        <f>SUMIFS(ТГ_ИД!$E:$E,ТГ_ИД!$B:$B,ТГ!$G$3,ТГ_ИД!$D:$D,ТГ!$A499)</f>
        <v>0</v>
      </c>
      <c r="L498" s="130">
        <f>SUMIFS(ТГ_ИД!$E:$E,ТГ_ИД!$B:$B,ТГ!$G$4,ТГ_ИД!$D:$D,ТГ!$A499)</f>
        <v>0</v>
      </c>
      <c r="M498" s="130">
        <f>SUMIFS(ТГ_ИД!$E:$E,ТГ_ИД!$B:$B,ТГ!$G$5,ТГ_ИД!$D:$D,ТГ!$A499)</f>
        <v>0</v>
      </c>
      <c r="N498" s="130">
        <f>SUMIFS(ТГ_ИД!$E:$E,ТГ_ИД!$B:$B,ТГ!$G$6,ТГ_ИД!$D:$D,ТГ!$A499)</f>
        <v>0</v>
      </c>
      <c r="O498" s="130">
        <f>SUMIFS(ТГ_ИД!$E:$E,ТГ_ИД!$B:$B,ТГ!$G$7,ТГ_ИД!$D:$D,ТГ!$A499)</f>
        <v>0</v>
      </c>
      <c r="P498" s="130">
        <f>SUMIFS(ТГ_ИД!$E:$E,ТГ_ИД!$B:$B,ТГ!$G$8,ТГ_ИД!$D:$D,ТГ!$A499)</f>
        <v>0</v>
      </c>
      <c r="Q498" s="130">
        <f>SUMIFS(ТГ_ИД!$E:$E,ТГ_ИД!$B:$B,ТГ!$G$9,ТГ_ИД!$D:$D,ТГ!$A499)</f>
        <v>0</v>
      </c>
      <c r="R498" s="130">
        <f>SUMIFS(ТГ_ИД!$E:$E,ТГ_ИД!$B:$B,ТГ!$G$10,ТГ_ИД!$D:$D,ТГ!$A499)</f>
        <v>0</v>
      </c>
      <c r="S498" s="130">
        <f>SUMIFS(ТГ_ИД!$E:$E,ТГ_ИД!$B:$B,ТГ!$G$11,ТГ_ИД!$D:$D,ТГ!$A499)</f>
        <v>0</v>
      </c>
      <c r="T498" s="130">
        <f>SUMIFS(ТГ_ИД!$E:$E,ТГ_ИД!$B:$B,ТГ!$G$12,ТГ_ИД!$D:$D,ТГ!$A499)</f>
        <v>0</v>
      </c>
      <c r="U498" s="130">
        <f>SUMIFS(ТГ_ИД!$E:$E,ТГ_ИД!$B:$B,ТГ!$G$13,ТГ_ИД!$D:$D,ТГ!$A499)</f>
        <v>0</v>
      </c>
      <c r="V498" s="130">
        <f>SUMIFS(ТГ_ИД!$E:$E,ТГ_ИД!$B:$B,ТГ!$G$14,ТГ_ИД!$D:$D,ТГ!$A499)</f>
        <v>0</v>
      </c>
    </row>
    <row r="499" spans="1:22" x14ac:dyDescent="0.25">
      <c r="A499" s="116" t="str">
        <f t="shared" si="8"/>
        <v/>
      </c>
      <c r="K499" s="130">
        <f>SUMIFS(ТГ_ИД!$E:$E,ТГ_ИД!$B:$B,ТГ!$G$3,ТГ_ИД!$D:$D,ТГ!$A500)</f>
        <v>0</v>
      </c>
      <c r="L499" s="130">
        <f>SUMIFS(ТГ_ИД!$E:$E,ТГ_ИД!$B:$B,ТГ!$G$4,ТГ_ИД!$D:$D,ТГ!$A500)</f>
        <v>0</v>
      </c>
      <c r="M499" s="130">
        <f>SUMIFS(ТГ_ИД!$E:$E,ТГ_ИД!$B:$B,ТГ!$G$5,ТГ_ИД!$D:$D,ТГ!$A500)</f>
        <v>0</v>
      </c>
      <c r="N499" s="130">
        <f>SUMIFS(ТГ_ИД!$E:$E,ТГ_ИД!$B:$B,ТГ!$G$6,ТГ_ИД!$D:$D,ТГ!$A500)</f>
        <v>0</v>
      </c>
      <c r="O499" s="130">
        <f>SUMIFS(ТГ_ИД!$E:$E,ТГ_ИД!$B:$B,ТГ!$G$7,ТГ_ИД!$D:$D,ТГ!$A500)</f>
        <v>0</v>
      </c>
      <c r="P499" s="130">
        <f>SUMIFS(ТГ_ИД!$E:$E,ТГ_ИД!$B:$B,ТГ!$G$8,ТГ_ИД!$D:$D,ТГ!$A500)</f>
        <v>0</v>
      </c>
      <c r="Q499" s="130">
        <f>SUMIFS(ТГ_ИД!$E:$E,ТГ_ИД!$B:$B,ТГ!$G$9,ТГ_ИД!$D:$D,ТГ!$A500)</f>
        <v>0</v>
      </c>
      <c r="R499" s="130">
        <f>SUMIFS(ТГ_ИД!$E:$E,ТГ_ИД!$B:$B,ТГ!$G$10,ТГ_ИД!$D:$D,ТГ!$A500)</f>
        <v>0</v>
      </c>
      <c r="S499" s="130">
        <f>SUMIFS(ТГ_ИД!$E:$E,ТГ_ИД!$B:$B,ТГ!$G$11,ТГ_ИД!$D:$D,ТГ!$A500)</f>
        <v>0</v>
      </c>
      <c r="T499" s="130">
        <f>SUMIFS(ТГ_ИД!$E:$E,ТГ_ИД!$B:$B,ТГ!$G$12,ТГ_ИД!$D:$D,ТГ!$A500)</f>
        <v>0</v>
      </c>
      <c r="U499" s="130">
        <f>SUMIFS(ТГ_ИД!$E:$E,ТГ_ИД!$B:$B,ТГ!$G$13,ТГ_ИД!$D:$D,ТГ!$A500)</f>
        <v>0</v>
      </c>
      <c r="V499" s="130">
        <f>SUMIFS(ТГ_ИД!$E:$E,ТГ_ИД!$B:$B,ТГ!$G$14,ТГ_ИД!$D:$D,ТГ!$A500)</f>
        <v>0</v>
      </c>
    </row>
    <row r="500" spans="1:22" x14ac:dyDescent="0.25">
      <c r="A500" s="116" t="str">
        <f t="shared" si="8"/>
        <v/>
      </c>
      <c r="K500" s="130">
        <f>SUMIFS(ТГ_ИД!$E:$E,ТГ_ИД!$B:$B,ТГ!$G$3,ТГ_ИД!$D:$D,ТГ!$A501)</f>
        <v>0</v>
      </c>
      <c r="L500" s="130">
        <f>SUMIFS(ТГ_ИД!$E:$E,ТГ_ИД!$B:$B,ТГ!$G$4,ТГ_ИД!$D:$D,ТГ!$A501)</f>
        <v>0</v>
      </c>
      <c r="M500" s="130">
        <f>SUMIFS(ТГ_ИД!$E:$E,ТГ_ИД!$B:$B,ТГ!$G$5,ТГ_ИД!$D:$D,ТГ!$A501)</f>
        <v>0</v>
      </c>
      <c r="N500" s="130">
        <f>SUMIFS(ТГ_ИД!$E:$E,ТГ_ИД!$B:$B,ТГ!$G$6,ТГ_ИД!$D:$D,ТГ!$A501)</f>
        <v>0</v>
      </c>
      <c r="O500" s="130">
        <f>SUMIFS(ТГ_ИД!$E:$E,ТГ_ИД!$B:$B,ТГ!$G$7,ТГ_ИД!$D:$D,ТГ!$A501)</f>
        <v>0</v>
      </c>
      <c r="P500" s="130">
        <f>SUMIFS(ТГ_ИД!$E:$E,ТГ_ИД!$B:$B,ТГ!$G$8,ТГ_ИД!$D:$D,ТГ!$A501)</f>
        <v>0</v>
      </c>
      <c r="Q500" s="130">
        <f>SUMIFS(ТГ_ИД!$E:$E,ТГ_ИД!$B:$B,ТГ!$G$9,ТГ_ИД!$D:$D,ТГ!$A501)</f>
        <v>0</v>
      </c>
      <c r="R500" s="130">
        <f>SUMIFS(ТГ_ИД!$E:$E,ТГ_ИД!$B:$B,ТГ!$G$10,ТГ_ИД!$D:$D,ТГ!$A501)</f>
        <v>0</v>
      </c>
      <c r="S500" s="130">
        <f>SUMIFS(ТГ_ИД!$E:$E,ТГ_ИД!$B:$B,ТГ!$G$11,ТГ_ИД!$D:$D,ТГ!$A501)</f>
        <v>0</v>
      </c>
      <c r="T500" s="130">
        <f>SUMIFS(ТГ_ИД!$E:$E,ТГ_ИД!$B:$B,ТГ!$G$12,ТГ_ИД!$D:$D,ТГ!$A501)</f>
        <v>0</v>
      </c>
      <c r="U500" s="130">
        <f>SUMIFS(ТГ_ИД!$E:$E,ТГ_ИД!$B:$B,ТГ!$G$13,ТГ_ИД!$D:$D,ТГ!$A501)</f>
        <v>0</v>
      </c>
      <c r="V500" s="130">
        <f>SUMIFS(ТГ_ИД!$E:$E,ТГ_ИД!$B:$B,ТГ!$G$14,ТГ_ИД!$D:$D,ТГ!$A501)</f>
        <v>0</v>
      </c>
    </row>
    <row r="501" spans="1:22" x14ac:dyDescent="0.25">
      <c r="A501" s="116" t="str">
        <f t="shared" si="8"/>
        <v/>
      </c>
      <c r="K501" s="130">
        <f>SUMIFS(ТГ_ИД!$E:$E,ТГ_ИД!$B:$B,ТГ!$G$3,ТГ_ИД!$D:$D,ТГ!$A502)</f>
        <v>0</v>
      </c>
      <c r="L501" s="130">
        <f>SUMIFS(ТГ_ИД!$E:$E,ТГ_ИД!$B:$B,ТГ!$G$4,ТГ_ИД!$D:$D,ТГ!$A502)</f>
        <v>0</v>
      </c>
      <c r="M501" s="130">
        <f>SUMIFS(ТГ_ИД!$E:$E,ТГ_ИД!$B:$B,ТГ!$G$5,ТГ_ИД!$D:$D,ТГ!$A502)</f>
        <v>0</v>
      </c>
      <c r="N501" s="130">
        <f>SUMIFS(ТГ_ИД!$E:$E,ТГ_ИД!$B:$B,ТГ!$G$6,ТГ_ИД!$D:$D,ТГ!$A502)</f>
        <v>0</v>
      </c>
      <c r="O501" s="130">
        <f>SUMIFS(ТГ_ИД!$E:$E,ТГ_ИД!$B:$B,ТГ!$G$7,ТГ_ИД!$D:$D,ТГ!$A502)</f>
        <v>0</v>
      </c>
      <c r="P501" s="130">
        <f>SUMIFS(ТГ_ИД!$E:$E,ТГ_ИД!$B:$B,ТГ!$G$8,ТГ_ИД!$D:$D,ТГ!$A502)</f>
        <v>0</v>
      </c>
      <c r="Q501" s="130">
        <f>SUMIFS(ТГ_ИД!$E:$E,ТГ_ИД!$B:$B,ТГ!$G$9,ТГ_ИД!$D:$D,ТГ!$A502)</f>
        <v>0</v>
      </c>
      <c r="R501" s="130">
        <f>SUMIFS(ТГ_ИД!$E:$E,ТГ_ИД!$B:$B,ТГ!$G$10,ТГ_ИД!$D:$D,ТГ!$A502)</f>
        <v>0</v>
      </c>
      <c r="S501" s="130">
        <f>SUMIFS(ТГ_ИД!$E:$E,ТГ_ИД!$B:$B,ТГ!$G$11,ТГ_ИД!$D:$D,ТГ!$A502)</f>
        <v>0</v>
      </c>
      <c r="T501" s="130">
        <f>SUMIFS(ТГ_ИД!$E:$E,ТГ_ИД!$B:$B,ТГ!$G$12,ТГ_ИД!$D:$D,ТГ!$A502)</f>
        <v>0</v>
      </c>
      <c r="U501" s="130">
        <f>SUMIFS(ТГ_ИД!$E:$E,ТГ_ИД!$B:$B,ТГ!$G$13,ТГ_ИД!$D:$D,ТГ!$A502)</f>
        <v>0</v>
      </c>
      <c r="V501" s="130">
        <f>SUMIFS(ТГ_ИД!$E:$E,ТГ_ИД!$B:$B,ТГ!$G$14,ТГ_ИД!$D:$D,ТГ!$A502)</f>
        <v>0</v>
      </c>
    </row>
    <row r="502" spans="1:22" x14ac:dyDescent="0.25">
      <c r="A502" s="116" t="str">
        <f t="shared" si="8"/>
        <v/>
      </c>
      <c r="K502" s="130">
        <f>SUMIFS(ТГ_ИД!$E:$E,ТГ_ИД!$B:$B,ТГ!$G$3,ТГ_ИД!$D:$D,ТГ!$A503)</f>
        <v>0</v>
      </c>
      <c r="L502" s="130">
        <f>SUMIFS(ТГ_ИД!$E:$E,ТГ_ИД!$B:$B,ТГ!$G$4,ТГ_ИД!$D:$D,ТГ!$A503)</f>
        <v>0</v>
      </c>
      <c r="M502" s="130">
        <f>SUMIFS(ТГ_ИД!$E:$E,ТГ_ИД!$B:$B,ТГ!$G$5,ТГ_ИД!$D:$D,ТГ!$A503)</f>
        <v>0</v>
      </c>
      <c r="N502" s="130">
        <f>SUMIFS(ТГ_ИД!$E:$E,ТГ_ИД!$B:$B,ТГ!$G$6,ТГ_ИД!$D:$D,ТГ!$A503)</f>
        <v>0</v>
      </c>
      <c r="O502" s="130">
        <f>SUMIFS(ТГ_ИД!$E:$E,ТГ_ИД!$B:$B,ТГ!$G$7,ТГ_ИД!$D:$D,ТГ!$A503)</f>
        <v>0</v>
      </c>
      <c r="P502" s="130">
        <f>SUMIFS(ТГ_ИД!$E:$E,ТГ_ИД!$B:$B,ТГ!$G$8,ТГ_ИД!$D:$D,ТГ!$A503)</f>
        <v>0</v>
      </c>
      <c r="Q502" s="130">
        <f>SUMIFS(ТГ_ИД!$E:$E,ТГ_ИД!$B:$B,ТГ!$G$9,ТГ_ИД!$D:$D,ТГ!$A503)</f>
        <v>0</v>
      </c>
      <c r="R502" s="130">
        <f>SUMIFS(ТГ_ИД!$E:$E,ТГ_ИД!$B:$B,ТГ!$G$10,ТГ_ИД!$D:$D,ТГ!$A503)</f>
        <v>0</v>
      </c>
      <c r="S502" s="130">
        <f>SUMIFS(ТГ_ИД!$E:$E,ТГ_ИД!$B:$B,ТГ!$G$11,ТГ_ИД!$D:$D,ТГ!$A503)</f>
        <v>0</v>
      </c>
      <c r="T502" s="130">
        <f>SUMIFS(ТГ_ИД!$E:$E,ТГ_ИД!$B:$B,ТГ!$G$12,ТГ_ИД!$D:$D,ТГ!$A503)</f>
        <v>0</v>
      </c>
      <c r="U502" s="130">
        <f>SUMIFS(ТГ_ИД!$E:$E,ТГ_ИД!$B:$B,ТГ!$G$13,ТГ_ИД!$D:$D,ТГ!$A503)</f>
        <v>0</v>
      </c>
      <c r="V502" s="130">
        <f>SUMIFS(ТГ_ИД!$E:$E,ТГ_ИД!$B:$B,ТГ!$G$14,ТГ_ИД!$D:$D,ТГ!$A503)</f>
        <v>0</v>
      </c>
    </row>
    <row r="503" spans="1:22" x14ac:dyDescent="0.25">
      <c r="A503" s="116" t="str">
        <f t="shared" si="8"/>
        <v/>
      </c>
      <c r="K503" s="130">
        <f>SUMIFS(ТГ_ИД!$E:$E,ТГ_ИД!$B:$B,ТГ!$G$3,ТГ_ИД!$D:$D,ТГ!$A504)</f>
        <v>0</v>
      </c>
      <c r="L503" s="130">
        <f>SUMIFS(ТГ_ИД!$E:$E,ТГ_ИД!$B:$B,ТГ!$G$4,ТГ_ИД!$D:$D,ТГ!$A504)</f>
        <v>0</v>
      </c>
      <c r="M503" s="130">
        <f>SUMIFS(ТГ_ИД!$E:$E,ТГ_ИД!$B:$B,ТГ!$G$5,ТГ_ИД!$D:$D,ТГ!$A504)</f>
        <v>0</v>
      </c>
      <c r="N503" s="130">
        <f>SUMIFS(ТГ_ИД!$E:$E,ТГ_ИД!$B:$B,ТГ!$G$6,ТГ_ИД!$D:$D,ТГ!$A504)</f>
        <v>0</v>
      </c>
      <c r="O503" s="130">
        <f>SUMIFS(ТГ_ИД!$E:$E,ТГ_ИД!$B:$B,ТГ!$G$7,ТГ_ИД!$D:$D,ТГ!$A504)</f>
        <v>0</v>
      </c>
      <c r="P503" s="130">
        <f>SUMIFS(ТГ_ИД!$E:$E,ТГ_ИД!$B:$B,ТГ!$G$8,ТГ_ИД!$D:$D,ТГ!$A504)</f>
        <v>0</v>
      </c>
      <c r="Q503" s="130">
        <f>SUMIFS(ТГ_ИД!$E:$E,ТГ_ИД!$B:$B,ТГ!$G$9,ТГ_ИД!$D:$D,ТГ!$A504)</f>
        <v>0</v>
      </c>
      <c r="R503" s="130">
        <f>SUMIFS(ТГ_ИД!$E:$E,ТГ_ИД!$B:$B,ТГ!$G$10,ТГ_ИД!$D:$D,ТГ!$A504)</f>
        <v>0</v>
      </c>
      <c r="S503" s="130">
        <f>SUMIFS(ТГ_ИД!$E:$E,ТГ_ИД!$B:$B,ТГ!$G$11,ТГ_ИД!$D:$D,ТГ!$A504)</f>
        <v>0</v>
      </c>
      <c r="T503" s="130">
        <f>SUMIFS(ТГ_ИД!$E:$E,ТГ_ИД!$B:$B,ТГ!$G$12,ТГ_ИД!$D:$D,ТГ!$A504)</f>
        <v>0</v>
      </c>
      <c r="U503" s="130">
        <f>SUMIFS(ТГ_ИД!$E:$E,ТГ_ИД!$B:$B,ТГ!$G$13,ТГ_ИД!$D:$D,ТГ!$A504)</f>
        <v>0</v>
      </c>
      <c r="V503" s="130">
        <f>SUMIFS(ТГ_ИД!$E:$E,ТГ_ИД!$B:$B,ТГ!$G$14,ТГ_ИД!$D:$D,ТГ!$A504)</f>
        <v>0</v>
      </c>
    </row>
    <row r="504" spans="1:22" x14ac:dyDescent="0.25">
      <c r="A504" s="116" t="str">
        <f t="shared" si="8"/>
        <v/>
      </c>
      <c r="K504" s="130">
        <f>SUMIFS(ТГ_ИД!$E:$E,ТГ_ИД!$B:$B,ТГ!$G$3,ТГ_ИД!$D:$D,ТГ!$A505)</f>
        <v>0</v>
      </c>
      <c r="L504" s="130">
        <f>SUMIFS(ТГ_ИД!$E:$E,ТГ_ИД!$B:$B,ТГ!$G$4,ТГ_ИД!$D:$D,ТГ!$A505)</f>
        <v>0</v>
      </c>
      <c r="M504" s="130">
        <f>SUMIFS(ТГ_ИД!$E:$E,ТГ_ИД!$B:$B,ТГ!$G$5,ТГ_ИД!$D:$D,ТГ!$A505)</f>
        <v>0</v>
      </c>
      <c r="N504" s="130">
        <f>SUMIFS(ТГ_ИД!$E:$E,ТГ_ИД!$B:$B,ТГ!$G$6,ТГ_ИД!$D:$D,ТГ!$A505)</f>
        <v>0</v>
      </c>
      <c r="O504" s="130">
        <f>SUMIFS(ТГ_ИД!$E:$E,ТГ_ИД!$B:$B,ТГ!$G$7,ТГ_ИД!$D:$D,ТГ!$A505)</f>
        <v>0</v>
      </c>
      <c r="P504" s="130">
        <f>SUMIFS(ТГ_ИД!$E:$E,ТГ_ИД!$B:$B,ТГ!$G$8,ТГ_ИД!$D:$D,ТГ!$A505)</f>
        <v>0</v>
      </c>
      <c r="Q504" s="130">
        <f>SUMIFS(ТГ_ИД!$E:$E,ТГ_ИД!$B:$B,ТГ!$G$9,ТГ_ИД!$D:$D,ТГ!$A505)</f>
        <v>0</v>
      </c>
      <c r="R504" s="130">
        <f>SUMIFS(ТГ_ИД!$E:$E,ТГ_ИД!$B:$B,ТГ!$G$10,ТГ_ИД!$D:$D,ТГ!$A505)</f>
        <v>0</v>
      </c>
      <c r="S504" s="130">
        <f>SUMIFS(ТГ_ИД!$E:$E,ТГ_ИД!$B:$B,ТГ!$G$11,ТГ_ИД!$D:$D,ТГ!$A505)</f>
        <v>0</v>
      </c>
      <c r="T504" s="130">
        <f>SUMIFS(ТГ_ИД!$E:$E,ТГ_ИД!$B:$B,ТГ!$G$12,ТГ_ИД!$D:$D,ТГ!$A505)</f>
        <v>0</v>
      </c>
      <c r="U504" s="130">
        <f>SUMIFS(ТГ_ИД!$E:$E,ТГ_ИД!$B:$B,ТГ!$G$13,ТГ_ИД!$D:$D,ТГ!$A505)</f>
        <v>0</v>
      </c>
      <c r="V504" s="130">
        <f>SUMIFS(ТГ_ИД!$E:$E,ТГ_ИД!$B:$B,ТГ!$G$14,ТГ_ИД!$D:$D,ТГ!$A505)</f>
        <v>0</v>
      </c>
    </row>
    <row r="505" spans="1:22" x14ac:dyDescent="0.25">
      <c r="A505" s="116" t="str">
        <f t="shared" si="8"/>
        <v/>
      </c>
      <c r="K505" s="130">
        <f>SUMIFS(ТГ_ИД!$E:$E,ТГ_ИД!$B:$B,ТГ!$G$3,ТГ_ИД!$D:$D,ТГ!$A506)</f>
        <v>0</v>
      </c>
      <c r="L505" s="130">
        <f>SUMIFS(ТГ_ИД!$E:$E,ТГ_ИД!$B:$B,ТГ!$G$4,ТГ_ИД!$D:$D,ТГ!$A506)</f>
        <v>0</v>
      </c>
      <c r="M505" s="130">
        <f>SUMIFS(ТГ_ИД!$E:$E,ТГ_ИД!$B:$B,ТГ!$G$5,ТГ_ИД!$D:$D,ТГ!$A506)</f>
        <v>0</v>
      </c>
      <c r="N505" s="130">
        <f>SUMIFS(ТГ_ИД!$E:$E,ТГ_ИД!$B:$B,ТГ!$G$6,ТГ_ИД!$D:$D,ТГ!$A506)</f>
        <v>0</v>
      </c>
      <c r="O505" s="130">
        <f>SUMIFS(ТГ_ИД!$E:$E,ТГ_ИД!$B:$B,ТГ!$G$7,ТГ_ИД!$D:$D,ТГ!$A506)</f>
        <v>0</v>
      </c>
      <c r="P505" s="130">
        <f>SUMIFS(ТГ_ИД!$E:$E,ТГ_ИД!$B:$B,ТГ!$G$8,ТГ_ИД!$D:$D,ТГ!$A506)</f>
        <v>0</v>
      </c>
      <c r="Q505" s="130">
        <f>SUMIFS(ТГ_ИД!$E:$E,ТГ_ИД!$B:$B,ТГ!$G$9,ТГ_ИД!$D:$D,ТГ!$A506)</f>
        <v>0</v>
      </c>
      <c r="R505" s="130">
        <f>SUMIFS(ТГ_ИД!$E:$E,ТГ_ИД!$B:$B,ТГ!$G$10,ТГ_ИД!$D:$D,ТГ!$A506)</f>
        <v>0</v>
      </c>
      <c r="S505" s="130">
        <f>SUMIFS(ТГ_ИД!$E:$E,ТГ_ИД!$B:$B,ТГ!$G$11,ТГ_ИД!$D:$D,ТГ!$A506)</f>
        <v>0</v>
      </c>
      <c r="T505" s="130">
        <f>SUMIFS(ТГ_ИД!$E:$E,ТГ_ИД!$B:$B,ТГ!$G$12,ТГ_ИД!$D:$D,ТГ!$A506)</f>
        <v>0</v>
      </c>
      <c r="U505" s="130">
        <f>SUMIFS(ТГ_ИД!$E:$E,ТГ_ИД!$B:$B,ТГ!$G$13,ТГ_ИД!$D:$D,ТГ!$A506)</f>
        <v>0</v>
      </c>
      <c r="V505" s="130">
        <f>SUMIFS(ТГ_ИД!$E:$E,ТГ_ИД!$B:$B,ТГ!$G$14,ТГ_ИД!$D:$D,ТГ!$A506)</f>
        <v>0</v>
      </c>
    </row>
    <row r="506" spans="1:22" x14ac:dyDescent="0.25">
      <c r="A506" s="116" t="str">
        <f t="shared" si="8"/>
        <v/>
      </c>
      <c r="K506" s="130">
        <f>SUMIFS(ТГ_ИД!$E:$E,ТГ_ИД!$B:$B,ТГ!$G$3,ТГ_ИД!$D:$D,ТГ!$A507)</f>
        <v>0</v>
      </c>
      <c r="L506" s="130">
        <f>SUMIFS(ТГ_ИД!$E:$E,ТГ_ИД!$B:$B,ТГ!$G$4,ТГ_ИД!$D:$D,ТГ!$A507)</f>
        <v>0</v>
      </c>
      <c r="M506" s="130">
        <f>SUMIFS(ТГ_ИД!$E:$E,ТГ_ИД!$B:$B,ТГ!$G$5,ТГ_ИД!$D:$D,ТГ!$A507)</f>
        <v>0</v>
      </c>
      <c r="N506" s="130">
        <f>SUMIFS(ТГ_ИД!$E:$E,ТГ_ИД!$B:$B,ТГ!$G$6,ТГ_ИД!$D:$D,ТГ!$A507)</f>
        <v>0</v>
      </c>
      <c r="O506" s="130">
        <f>SUMIFS(ТГ_ИД!$E:$E,ТГ_ИД!$B:$B,ТГ!$G$7,ТГ_ИД!$D:$D,ТГ!$A507)</f>
        <v>0</v>
      </c>
      <c r="P506" s="130">
        <f>SUMIFS(ТГ_ИД!$E:$E,ТГ_ИД!$B:$B,ТГ!$G$8,ТГ_ИД!$D:$D,ТГ!$A507)</f>
        <v>0</v>
      </c>
      <c r="Q506" s="130">
        <f>SUMIFS(ТГ_ИД!$E:$E,ТГ_ИД!$B:$B,ТГ!$G$9,ТГ_ИД!$D:$D,ТГ!$A507)</f>
        <v>0</v>
      </c>
      <c r="R506" s="130">
        <f>SUMIFS(ТГ_ИД!$E:$E,ТГ_ИД!$B:$B,ТГ!$G$10,ТГ_ИД!$D:$D,ТГ!$A507)</f>
        <v>0</v>
      </c>
      <c r="S506" s="130">
        <f>SUMIFS(ТГ_ИД!$E:$E,ТГ_ИД!$B:$B,ТГ!$G$11,ТГ_ИД!$D:$D,ТГ!$A507)</f>
        <v>0</v>
      </c>
      <c r="T506" s="130">
        <f>SUMIFS(ТГ_ИД!$E:$E,ТГ_ИД!$B:$B,ТГ!$G$12,ТГ_ИД!$D:$D,ТГ!$A507)</f>
        <v>0</v>
      </c>
      <c r="U506" s="130">
        <f>SUMIFS(ТГ_ИД!$E:$E,ТГ_ИД!$B:$B,ТГ!$G$13,ТГ_ИД!$D:$D,ТГ!$A507)</f>
        <v>0</v>
      </c>
      <c r="V506" s="130">
        <f>SUMIFS(ТГ_ИД!$E:$E,ТГ_ИД!$B:$B,ТГ!$G$14,ТГ_ИД!$D:$D,ТГ!$A507)</f>
        <v>0</v>
      </c>
    </row>
    <row r="507" spans="1:22" x14ac:dyDescent="0.25">
      <c r="A507" s="116" t="str">
        <f t="shared" si="8"/>
        <v/>
      </c>
      <c r="K507" s="130">
        <f>SUMIFS(ТГ_ИД!$E:$E,ТГ_ИД!$B:$B,ТГ!$G$3,ТГ_ИД!$D:$D,ТГ!$A508)</f>
        <v>0</v>
      </c>
      <c r="L507" s="130">
        <f>SUMIFS(ТГ_ИД!$E:$E,ТГ_ИД!$B:$B,ТГ!$G$4,ТГ_ИД!$D:$D,ТГ!$A508)</f>
        <v>0</v>
      </c>
      <c r="M507" s="130">
        <f>SUMIFS(ТГ_ИД!$E:$E,ТГ_ИД!$B:$B,ТГ!$G$5,ТГ_ИД!$D:$D,ТГ!$A508)</f>
        <v>0</v>
      </c>
      <c r="N507" s="130">
        <f>SUMIFS(ТГ_ИД!$E:$E,ТГ_ИД!$B:$B,ТГ!$G$6,ТГ_ИД!$D:$D,ТГ!$A508)</f>
        <v>0</v>
      </c>
      <c r="O507" s="130">
        <f>SUMIFS(ТГ_ИД!$E:$E,ТГ_ИД!$B:$B,ТГ!$G$7,ТГ_ИД!$D:$D,ТГ!$A508)</f>
        <v>0</v>
      </c>
      <c r="P507" s="130">
        <f>SUMIFS(ТГ_ИД!$E:$E,ТГ_ИД!$B:$B,ТГ!$G$8,ТГ_ИД!$D:$D,ТГ!$A508)</f>
        <v>0</v>
      </c>
      <c r="Q507" s="130">
        <f>SUMIFS(ТГ_ИД!$E:$E,ТГ_ИД!$B:$B,ТГ!$G$9,ТГ_ИД!$D:$D,ТГ!$A508)</f>
        <v>0</v>
      </c>
      <c r="R507" s="130">
        <f>SUMIFS(ТГ_ИД!$E:$E,ТГ_ИД!$B:$B,ТГ!$G$10,ТГ_ИД!$D:$D,ТГ!$A508)</f>
        <v>0</v>
      </c>
      <c r="S507" s="130">
        <f>SUMIFS(ТГ_ИД!$E:$E,ТГ_ИД!$B:$B,ТГ!$G$11,ТГ_ИД!$D:$D,ТГ!$A508)</f>
        <v>0</v>
      </c>
      <c r="T507" s="130">
        <f>SUMIFS(ТГ_ИД!$E:$E,ТГ_ИД!$B:$B,ТГ!$G$12,ТГ_ИД!$D:$D,ТГ!$A508)</f>
        <v>0</v>
      </c>
      <c r="U507" s="130">
        <f>SUMIFS(ТГ_ИД!$E:$E,ТГ_ИД!$B:$B,ТГ!$G$13,ТГ_ИД!$D:$D,ТГ!$A508)</f>
        <v>0</v>
      </c>
      <c r="V507" s="130">
        <f>SUMIFS(ТГ_ИД!$E:$E,ТГ_ИД!$B:$B,ТГ!$G$14,ТГ_ИД!$D:$D,ТГ!$A508)</f>
        <v>0</v>
      </c>
    </row>
    <row r="508" spans="1:22" x14ac:dyDescent="0.25">
      <c r="A508" s="116" t="str">
        <f t="shared" si="8"/>
        <v/>
      </c>
      <c r="K508" s="130">
        <f>SUMIFS(ТГ_ИД!$E:$E,ТГ_ИД!$B:$B,ТГ!$G$3,ТГ_ИД!$D:$D,ТГ!$A509)</f>
        <v>0</v>
      </c>
      <c r="L508" s="130">
        <f>SUMIFS(ТГ_ИД!$E:$E,ТГ_ИД!$B:$B,ТГ!$G$4,ТГ_ИД!$D:$D,ТГ!$A509)</f>
        <v>0</v>
      </c>
      <c r="M508" s="130">
        <f>SUMIFS(ТГ_ИД!$E:$E,ТГ_ИД!$B:$B,ТГ!$G$5,ТГ_ИД!$D:$D,ТГ!$A509)</f>
        <v>0</v>
      </c>
      <c r="N508" s="130">
        <f>SUMIFS(ТГ_ИД!$E:$E,ТГ_ИД!$B:$B,ТГ!$G$6,ТГ_ИД!$D:$D,ТГ!$A509)</f>
        <v>0</v>
      </c>
      <c r="O508" s="130">
        <f>SUMIFS(ТГ_ИД!$E:$E,ТГ_ИД!$B:$B,ТГ!$G$7,ТГ_ИД!$D:$D,ТГ!$A509)</f>
        <v>0</v>
      </c>
      <c r="P508" s="130">
        <f>SUMIFS(ТГ_ИД!$E:$E,ТГ_ИД!$B:$B,ТГ!$G$8,ТГ_ИД!$D:$D,ТГ!$A509)</f>
        <v>0</v>
      </c>
      <c r="Q508" s="130">
        <f>SUMIFS(ТГ_ИД!$E:$E,ТГ_ИД!$B:$B,ТГ!$G$9,ТГ_ИД!$D:$D,ТГ!$A509)</f>
        <v>0</v>
      </c>
      <c r="R508" s="130">
        <f>SUMIFS(ТГ_ИД!$E:$E,ТГ_ИД!$B:$B,ТГ!$G$10,ТГ_ИД!$D:$D,ТГ!$A509)</f>
        <v>0</v>
      </c>
      <c r="S508" s="130">
        <f>SUMIFS(ТГ_ИД!$E:$E,ТГ_ИД!$B:$B,ТГ!$G$11,ТГ_ИД!$D:$D,ТГ!$A509)</f>
        <v>0</v>
      </c>
      <c r="T508" s="130">
        <f>SUMIFS(ТГ_ИД!$E:$E,ТГ_ИД!$B:$B,ТГ!$G$12,ТГ_ИД!$D:$D,ТГ!$A509)</f>
        <v>0</v>
      </c>
      <c r="U508" s="130">
        <f>SUMIFS(ТГ_ИД!$E:$E,ТГ_ИД!$B:$B,ТГ!$G$13,ТГ_ИД!$D:$D,ТГ!$A509)</f>
        <v>0</v>
      </c>
      <c r="V508" s="130">
        <f>SUMIFS(ТГ_ИД!$E:$E,ТГ_ИД!$B:$B,ТГ!$G$14,ТГ_ИД!$D:$D,ТГ!$A509)</f>
        <v>0</v>
      </c>
    </row>
    <row r="509" spans="1:22" x14ac:dyDescent="0.25">
      <c r="A509" s="116" t="str">
        <f t="shared" si="8"/>
        <v/>
      </c>
      <c r="K509" s="130">
        <f>SUMIFS(ТГ_ИД!$E:$E,ТГ_ИД!$B:$B,ТГ!$G$3,ТГ_ИД!$D:$D,ТГ!$A510)</f>
        <v>0</v>
      </c>
      <c r="L509" s="130">
        <f>SUMIFS(ТГ_ИД!$E:$E,ТГ_ИД!$B:$B,ТГ!$G$4,ТГ_ИД!$D:$D,ТГ!$A510)</f>
        <v>0</v>
      </c>
      <c r="M509" s="130">
        <f>SUMIFS(ТГ_ИД!$E:$E,ТГ_ИД!$B:$B,ТГ!$G$5,ТГ_ИД!$D:$D,ТГ!$A510)</f>
        <v>0</v>
      </c>
      <c r="N509" s="130">
        <f>SUMIFS(ТГ_ИД!$E:$E,ТГ_ИД!$B:$B,ТГ!$G$6,ТГ_ИД!$D:$D,ТГ!$A510)</f>
        <v>0</v>
      </c>
      <c r="O509" s="130">
        <f>SUMIFS(ТГ_ИД!$E:$E,ТГ_ИД!$B:$B,ТГ!$G$7,ТГ_ИД!$D:$D,ТГ!$A510)</f>
        <v>0</v>
      </c>
      <c r="P509" s="130">
        <f>SUMIFS(ТГ_ИД!$E:$E,ТГ_ИД!$B:$B,ТГ!$G$8,ТГ_ИД!$D:$D,ТГ!$A510)</f>
        <v>0</v>
      </c>
      <c r="Q509" s="130">
        <f>SUMIFS(ТГ_ИД!$E:$E,ТГ_ИД!$B:$B,ТГ!$G$9,ТГ_ИД!$D:$D,ТГ!$A510)</f>
        <v>0</v>
      </c>
      <c r="R509" s="130">
        <f>SUMIFS(ТГ_ИД!$E:$E,ТГ_ИД!$B:$B,ТГ!$G$10,ТГ_ИД!$D:$D,ТГ!$A510)</f>
        <v>0</v>
      </c>
      <c r="S509" s="130">
        <f>SUMIFS(ТГ_ИД!$E:$E,ТГ_ИД!$B:$B,ТГ!$G$11,ТГ_ИД!$D:$D,ТГ!$A510)</f>
        <v>0</v>
      </c>
      <c r="T509" s="130">
        <f>SUMIFS(ТГ_ИД!$E:$E,ТГ_ИД!$B:$B,ТГ!$G$12,ТГ_ИД!$D:$D,ТГ!$A510)</f>
        <v>0</v>
      </c>
      <c r="U509" s="130">
        <f>SUMIFS(ТГ_ИД!$E:$E,ТГ_ИД!$B:$B,ТГ!$G$13,ТГ_ИД!$D:$D,ТГ!$A510)</f>
        <v>0</v>
      </c>
      <c r="V509" s="130">
        <f>SUMIFS(ТГ_ИД!$E:$E,ТГ_ИД!$B:$B,ТГ!$G$14,ТГ_ИД!$D:$D,ТГ!$A510)</f>
        <v>0</v>
      </c>
    </row>
    <row r="510" spans="1:22" x14ac:dyDescent="0.25">
      <c r="A510" s="116" t="str">
        <f t="shared" si="8"/>
        <v/>
      </c>
      <c r="K510" s="130">
        <f>SUMIFS(ТГ_ИД!$E:$E,ТГ_ИД!$B:$B,ТГ!$G$3,ТГ_ИД!$D:$D,ТГ!$A511)</f>
        <v>0</v>
      </c>
      <c r="L510" s="130">
        <f>SUMIFS(ТГ_ИД!$E:$E,ТГ_ИД!$B:$B,ТГ!$G$4,ТГ_ИД!$D:$D,ТГ!$A511)</f>
        <v>0</v>
      </c>
      <c r="M510" s="130">
        <f>SUMIFS(ТГ_ИД!$E:$E,ТГ_ИД!$B:$B,ТГ!$G$5,ТГ_ИД!$D:$D,ТГ!$A511)</f>
        <v>0</v>
      </c>
      <c r="N510" s="130">
        <f>SUMIFS(ТГ_ИД!$E:$E,ТГ_ИД!$B:$B,ТГ!$G$6,ТГ_ИД!$D:$D,ТГ!$A511)</f>
        <v>0</v>
      </c>
      <c r="O510" s="130">
        <f>SUMIFS(ТГ_ИД!$E:$E,ТГ_ИД!$B:$B,ТГ!$G$7,ТГ_ИД!$D:$D,ТГ!$A511)</f>
        <v>0</v>
      </c>
      <c r="P510" s="130">
        <f>SUMIFS(ТГ_ИД!$E:$E,ТГ_ИД!$B:$B,ТГ!$G$8,ТГ_ИД!$D:$D,ТГ!$A511)</f>
        <v>0</v>
      </c>
      <c r="Q510" s="130">
        <f>SUMIFS(ТГ_ИД!$E:$E,ТГ_ИД!$B:$B,ТГ!$G$9,ТГ_ИД!$D:$D,ТГ!$A511)</f>
        <v>0</v>
      </c>
      <c r="R510" s="130">
        <f>SUMIFS(ТГ_ИД!$E:$E,ТГ_ИД!$B:$B,ТГ!$G$10,ТГ_ИД!$D:$D,ТГ!$A511)</f>
        <v>0</v>
      </c>
      <c r="S510" s="130">
        <f>SUMIFS(ТГ_ИД!$E:$E,ТГ_ИД!$B:$B,ТГ!$G$11,ТГ_ИД!$D:$D,ТГ!$A511)</f>
        <v>0</v>
      </c>
      <c r="T510" s="130">
        <f>SUMIFS(ТГ_ИД!$E:$E,ТГ_ИД!$B:$B,ТГ!$G$12,ТГ_ИД!$D:$D,ТГ!$A511)</f>
        <v>0</v>
      </c>
      <c r="U510" s="130">
        <f>SUMIFS(ТГ_ИД!$E:$E,ТГ_ИД!$B:$B,ТГ!$G$13,ТГ_ИД!$D:$D,ТГ!$A511)</f>
        <v>0</v>
      </c>
      <c r="V510" s="130">
        <f>SUMIFS(ТГ_ИД!$E:$E,ТГ_ИД!$B:$B,ТГ!$G$14,ТГ_ИД!$D:$D,ТГ!$A511)</f>
        <v>0</v>
      </c>
    </row>
    <row r="511" spans="1:22" x14ac:dyDescent="0.25">
      <c r="A511" s="116" t="str">
        <f t="shared" si="8"/>
        <v/>
      </c>
      <c r="K511" s="130">
        <f>SUMIFS(ТГ_ИД!$E:$E,ТГ_ИД!$B:$B,ТГ!$G$3,ТГ_ИД!$D:$D,ТГ!$A512)</f>
        <v>0</v>
      </c>
      <c r="L511" s="130">
        <f>SUMIFS(ТГ_ИД!$E:$E,ТГ_ИД!$B:$B,ТГ!$G$4,ТГ_ИД!$D:$D,ТГ!$A512)</f>
        <v>0</v>
      </c>
      <c r="M511" s="130">
        <f>SUMIFS(ТГ_ИД!$E:$E,ТГ_ИД!$B:$B,ТГ!$G$5,ТГ_ИД!$D:$D,ТГ!$A512)</f>
        <v>0</v>
      </c>
      <c r="N511" s="130">
        <f>SUMIFS(ТГ_ИД!$E:$E,ТГ_ИД!$B:$B,ТГ!$G$6,ТГ_ИД!$D:$D,ТГ!$A512)</f>
        <v>0</v>
      </c>
      <c r="O511" s="130">
        <f>SUMIFS(ТГ_ИД!$E:$E,ТГ_ИД!$B:$B,ТГ!$G$7,ТГ_ИД!$D:$D,ТГ!$A512)</f>
        <v>0</v>
      </c>
      <c r="P511" s="130">
        <f>SUMIFS(ТГ_ИД!$E:$E,ТГ_ИД!$B:$B,ТГ!$G$8,ТГ_ИД!$D:$D,ТГ!$A512)</f>
        <v>0</v>
      </c>
      <c r="Q511" s="130">
        <f>SUMIFS(ТГ_ИД!$E:$E,ТГ_ИД!$B:$B,ТГ!$G$9,ТГ_ИД!$D:$D,ТГ!$A512)</f>
        <v>0</v>
      </c>
      <c r="R511" s="130">
        <f>SUMIFS(ТГ_ИД!$E:$E,ТГ_ИД!$B:$B,ТГ!$G$10,ТГ_ИД!$D:$D,ТГ!$A512)</f>
        <v>0</v>
      </c>
      <c r="S511" s="130">
        <f>SUMIFS(ТГ_ИД!$E:$E,ТГ_ИД!$B:$B,ТГ!$G$11,ТГ_ИД!$D:$D,ТГ!$A512)</f>
        <v>0</v>
      </c>
      <c r="T511" s="130">
        <f>SUMIFS(ТГ_ИД!$E:$E,ТГ_ИД!$B:$B,ТГ!$G$12,ТГ_ИД!$D:$D,ТГ!$A512)</f>
        <v>0</v>
      </c>
      <c r="U511" s="130">
        <f>SUMIFS(ТГ_ИД!$E:$E,ТГ_ИД!$B:$B,ТГ!$G$13,ТГ_ИД!$D:$D,ТГ!$A512)</f>
        <v>0</v>
      </c>
      <c r="V511" s="130">
        <f>SUMIFS(ТГ_ИД!$E:$E,ТГ_ИД!$B:$B,ТГ!$G$14,ТГ_ИД!$D:$D,ТГ!$A512)</f>
        <v>0</v>
      </c>
    </row>
    <row r="512" spans="1:22" x14ac:dyDescent="0.25">
      <c r="A512" s="116" t="str">
        <f t="shared" si="8"/>
        <v/>
      </c>
      <c r="K512" s="130">
        <f>SUMIFS(ТГ_ИД!$E:$E,ТГ_ИД!$B:$B,ТГ!$G$3,ТГ_ИД!$D:$D,ТГ!$A513)</f>
        <v>0</v>
      </c>
      <c r="L512" s="130">
        <f>SUMIFS(ТГ_ИД!$E:$E,ТГ_ИД!$B:$B,ТГ!$G$4,ТГ_ИД!$D:$D,ТГ!$A513)</f>
        <v>0</v>
      </c>
      <c r="M512" s="130">
        <f>SUMIFS(ТГ_ИД!$E:$E,ТГ_ИД!$B:$B,ТГ!$G$5,ТГ_ИД!$D:$D,ТГ!$A513)</f>
        <v>0</v>
      </c>
      <c r="N512" s="130">
        <f>SUMIFS(ТГ_ИД!$E:$E,ТГ_ИД!$B:$B,ТГ!$G$6,ТГ_ИД!$D:$D,ТГ!$A513)</f>
        <v>0</v>
      </c>
      <c r="O512" s="130">
        <f>SUMIFS(ТГ_ИД!$E:$E,ТГ_ИД!$B:$B,ТГ!$G$7,ТГ_ИД!$D:$D,ТГ!$A513)</f>
        <v>0</v>
      </c>
      <c r="P512" s="130">
        <f>SUMIFS(ТГ_ИД!$E:$E,ТГ_ИД!$B:$B,ТГ!$G$8,ТГ_ИД!$D:$D,ТГ!$A513)</f>
        <v>0</v>
      </c>
      <c r="Q512" s="130">
        <f>SUMIFS(ТГ_ИД!$E:$E,ТГ_ИД!$B:$B,ТГ!$G$9,ТГ_ИД!$D:$D,ТГ!$A513)</f>
        <v>0</v>
      </c>
      <c r="R512" s="130">
        <f>SUMIFS(ТГ_ИД!$E:$E,ТГ_ИД!$B:$B,ТГ!$G$10,ТГ_ИД!$D:$D,ТГ!$A513)</f>
        <v>0</v>
      </c>
      <c r="S512" s="130">
        <f>SUMIFS(ТГ_ИД!$E:$E,ТГ_ИД!$B:$B,ТГ!$G$11,ТГ_ИД!$D:$D,ТГ!$A513)</f>
        <v>0</v>
      </c>
      <c r="T512" s="130">
        <f>SUMIFS(ТГ_ИД!$E:$E,ТГ_ИД!$B:$B,ТГ!$G$12,ТГ_ИД!$D:$D,ТГ!$A513)</f>
        <v>0</v>
      </c>
      <c r="U512" s="130">
        <f>SUMIFS(ТГ_ИД!$E:$E,ТГ_ИД!$B:$B,ТГ!$G$13,ТГ_ИД!$D:$D,ТГ!$A513)</f>
        <v>0</v>
      </c>
      <c r="V512" s="130">
        <f>SUMIFS(ТГ_ИД!$E:$E,ТГ_ИД!$B:$B,ТГ!$G$14,ТГ_ИД!$D:$D,ТГ!$A513)</f>
        <v>0</v>
      </c>
    </row>
    <row r="513" spans="1:22" x14ac:dyDescent="0.25">
      <c r="A513" s="116" t="str">
        <f t="shared" si="8"/>
        <v/>
      </c>
      <c r="K513" s="130">
        <f>SUMIFS(ТГ_ИД!$E:$E,ТГ_ИД!$B:$B,ТГ!$G$3,ТГ_ИД!$D:$D,ТГ!$A514)</f>
        <v>0</v>
      </c>
      <c r="L513" s="130">
        <f>SUMIFS(ТГ_ИД!$E:$E,ТГ_ИД!$B:$B,ТГ!$G$4,ТГ_ИД!$D:$D,ТГ!$A514)</f>
        <v>0</v>
      </c>
      <c r="M513" s="130">
        <f>SUMIFS(ТГ_ИД!$E:$E,ТГ_ИД!$B:$B,ТГ!$G$5,ТГ_ИД!$D:$D,ТГ!$A514)</f>
        <v>0</v>
      </c>
      <c r="N513" s="130">
        <f>SUMIFS(ТГ_ИД!$E:$E,ТГ_ИД!$B:$B,ТГ!$G$6,ТГ_ИД!$D:$D,ТГ!$A514)</f>
        <v>0</v>
      </c>
      <c r="O513" s="130">
        <f>SUMIFS(ТГ_ИД!$E:$E,ТГ_ИД!$B:$B,ТГ!$G$7,ТГ_ИД!$D:$D,ТГ!$A514)</f>
        <v>0</v>
      </c>
      <c r="P513" s="130">
        <f>SUMIFS(ТГ_ИД!$E:$E,ТГ_ИД!$B:$B,ТГ!$G$8,ТГ_ИД!$D:$D,ТГ!$A514)</f>
        <v>0</v>
      </c>
      <c r="Q513" s="130">
        <f>SUMIFS(ТГ_ИД!$E:$E,ТГ_ИД!$B:$B,ТГ!$G$9,ТГ_ИД!$D:$D,ТГ!$A514)</f>
        <v>0</v>
      </c>
      <c r="R513" s="130">
        <f>SUMIFS(ТГ_ИД!$E:$E,ТГ_ИД!$B:$B,ТГ!$G$10,ТГ_ИД!$D:$D,ТГ!$A514)</f>
        <v>0</v>
      </c>
      <c r="S513" s="130">
        <f>SUMIFS(ТГ_ИД!$E:$E,ТГ_ИД!$B:$B,ТГ!$G$11,ТГ_ИД!$D:$D,ТГ!$A514)</f>
        <v>0</v>
      </c>
      <c r="T513" s="130">
        <f>SUMIFS(ТГ_ИД!$E:$E,ТГ_ИД!$B:$B,ТГ!$G$12,ТГ_ИД!$D:$D,ТГ!$A514)</f>
        <v>0</v>
      </c>
      <c r="U513" s="130">
        <f>SUMIFS(ТГ_ИД!$E:$E,ТГ_ИД!$B:$B,ТГ!$G$13,ТГ_ИД!$D:$D,ТГ!$A514)</f>
        <v>0</v>
      </c>
      <c r="V513" s="130">
        <f>SUMIFS(ТГ_ИД!$E:$E,ТГ_ИД!$B:$B,ТГ!$G$14,ТГ_ИД!$D:$D,ТГ!$A514)</f>
        <v>0</v>
      </c>
    </row>
    <row r="514" spans="1:22" x14ac:dyDescent="0.25">
      <c r="A514" s="116" t="str">
        <f t="shared" si="8"/>
        <v/>
      </c>
      <c r="K514" s="130">
        <f>SUMIFS(ТГ_ИД!$E:$E,ТГ_ИД!$B:$B,ТГ!$G$3,ТГ_ИД!$D:$D,ТГ!$A515)</f>
        <v>0</v>
      </c>
      <c r="L514" s="130">
        <f>SUMIFS(ТГ_ИД!$E:$E,ТГ_ИД!$B:$B,ТГ!$G$4,ТГ_ИД!$D:$D,ТГ!$A515)</f>
        <v>0</v>
      </c>
      <c r="M514" s="130">
        <f>SUMIFS(ТГ_ИД!$E:$E,ТГ_ИД!$B:$B,ТГ!$G$5,ТГ_ИД!$D:$D,ТГ!$A515)</f>
        <v>0</v>
      </c>
      <c r="N514" s="130">
        <f>SUMIFS(ТГ_ИД!$E:$E,ТГ_ИД!$B:$B,ТГ!$G$6,ТГ_ИД!$D:$D,ТГ!$A515)</f>
        <v>0</v>
      </c>
      <c r="O514" s="130">
        <f>SUMIFS(ТГ_ИД!$E:$E,ТГ_ИД!$B:$B,ТГ!$G$7,ТГ_ИД!$D:$D,ТГ!$A515)</f>
        <v>0</v>
      </c>
      <c r="P514" s="130">
        <f>SUMIFS(ТГ_ИД!$E:$E,ТГ_ИД!$B:$B,ТГ!$G$8,ТГ_ИД!$D:$D,ТГ!$A515)</f>
        <v>0</v>
      </c>
      <c r="Q514" s="130">
        <f>SUMIFS(ТГ_ИД!$E:$E,ТГ_ИД!$B:$B,ТГ!$G$9,ТГ_ИД!$D:$D,ТГ!$A515)</f>
        <v>0</v>
      </c>
      <c r="R514" s="130">
        <f>SUMIFS(ТГ_ИД!$E:$E,ТГ_ИД!$B:$B,ТГ!$G$10,ТГ_ИД!$D:$D,ТГ!$A515)</f>
        <v>0</v>
      </c>
      <c r="S514" s="130">
        <f>SUMIFS(ТГ_ИД!$E:$E,ТГ_ИД!$B:$B,ТГ!$G$11,ТГ_ИД!$D:$D,ТГ!$A515)</f>
        <v>0</v>
      </c>
      <c r="T514" s="130">
        <f>SUMIFS(ТГ_ИД!$E:$E,ТГ_ИД!$B:$B,ТГ!$G$12,ТГ_ИД!$D:$D,ТГ!$A515)</f>
        <v>0</v>
      </c>
      <c r="U514" s="130">
        <f>SUMIFS(ТГ_ИД!$E:$E,ТГ_ИД!$B:$B,ТГ!$G$13,ТГ_ИД!$D:$D,ТГ!$A515)</f>
        <v>0</v>
      </c>
      <c r="V514" s="130">
        <f>SUMIFS(ТГ_ИД!$E:$E,ТГ_ИД!$B:$B,ТГ!$G$14,ТГ_ИД!$D:$D,ТГ!$A515)</f>
        <v>0</v>
      </c>
    </row>
    <row r="515" spans="1:22" x14ac:dyDescent="0.25">
      <c r="A515" s="116" t="str">
        <f t="shared" si="8"/>
        <v/>
      </c>
      <c r="K515" s="130">
        <f>SUMIFS(ТГ_ИД!$E:$E,ТГ_ИД!$B:$B,ТГ!$G$3,ТГ_ИД!$D:$D,ТГ!$A516)</f>
        <v>0</v>
      </c>
      <c r="L515" s="130">
        <f>SUMIFS(ТГ_ИД!$E:$E,ТГ_ИД!$B:$B,ТГ!$G$4,ТГ_ИД!$D:$D,ТГ!$A516)</f>
        <v>0</v>
      </c>
      <c r="M515" s="130">
        <f>SUMIFS(ТГ_ИД!$E:$E,ТГ_ИД!$B:$B,ТГ!$G$5,ТГ_ИД!$D:$D,ТГ!$A516)</f>
        <v>0</v>
      </c>
      <c r="N515" s="130">
        <f>SUMIFS(ТГ_ИД!$E:$E,ТГ_ИД!$B:$B,ТГ!$G$6,ТГ_ИД!$D:$D,ТГ!$A516)</f>
        <v>0</v>
      </c>
      <c r="O515" s="130">
        <f>SUMIFS(ТГ_ИД!$E:$E,ТГ_ИД!$B:$B,ТГ!$G$7,ТГ_ИД!$D:$D,ТГ!$A516)</f>
        <v>0</v>
      </c>
      <c r="P515" s="130">
        <f>SUMIFS(ТГ_ИД!$E:$E,ТГ_ИД!$B:$B,ТГ!$G$8,ТГ_ИД!$D:$D,ТГ!$A516)</f>
        <v>0</v>
      </c>
      <c r="Q515" s="130">
        <f>SUMIFS(ТГ_ИД!$E:$E,ТГ_ИД!$B:$B,ТГ!$G$9,ТГ_ИД!$D:$D,ТГ!$A516)</f>
        <v>0</v>
      </c>
      <c r="R515" s="130">
        <f>SUMIFS(ТГ_ИД!$E:$E,ТГ_ИД!$B:$B,ТГ!$G$10,ТГ_ИД!$D:$D,ТГ!$A516)</f>
        <v>0</v>
      </c>
      <c r="S515" s="130">
        <f>SUMIFS(ТГ_ИД!$E:$E,ТГ_ИД!$B:$B,ТГ!$G$11,ТГ_ИД!$D:$D,ТГ!$A516)</f>
        <v>0</v>
      </c>
      <c r="T515" s="130">
        <f>SUMIFS(ТГ_ИД!$E:$E,ТГ_ИД!$B:$B,ТГ!$G$12,ТГ_ИД!$D:$D,ТГ!$A516)</f>
        <v>0</v>
      </c>
      <c r="U515" s="130">
        <f>SUMIFS(ТГ_ИД!$E:$E,ТГ_ИД!$B:$B,ТГ!$G$13,ТГ_ИД!$D:$D,ТГ!$A516)</f>
        <v>0</v>
      </c>
      <c r="V515" s="130">
        <f>SUMIFS(ТГ_ИД!$E:$E,ТГ_ИД!$B:$B,ТГ!$G$14,ТГ_ИД!$D:$D,ТГ!$A516)</f>
        <v>0</v>
      </c>
    </row>
    <row r="516" spans="1:22" x14ac:dyDescent="0.25">
      <c r="A516" s="116" t="str">
        <f t="shared" si="8"/>
        <v/>
      </c>
      <c r="K516" s="130">
        <f>SUMIFS(ТГ_ИД!$E:$E,ТГ_ИД!$B:$B,ТГ!$G$3,ТГ_ИД!$D:$D,ТГ!$A517)</f>
        <v>0</v>
      </c>
      <c r="L516" s="130">
        <f>SUMIFS(ТГ_ИД!$E:$E,ТГ_ИД!$B:$B,ТГ!$G$4,ТГ_ИД!$D:$D,ТГ!$A517)</f>
        <v>0</v>
      </c>
      <c r="M516" s="130">
        <f>SUMIFS(ТГ_ИД!$E:$E,ТГ_ИД!$B:$B,ТГ!$G$5,ТГ_ИД!$D:$D,ТГ!$A517)</f>
        <v>0</v>
      </c>
      <c r="N516" s="130">
        <f>SUMIFS(ТГ_ИД!$E:$E,ТГ_ИД!$B:$B,ТГ!$G$6,ТГ_ИД!$D:$D,ТГ!$A517)</f>
        <v>0</v>
      </c>
      <c r="O516" s="130">
        <f>SUMIFS(ТГ_ИД!$E:$E,ТГ_ИД!$B:$B,ТГ!$G$7,ТГ_ИД!$D:$D,ТГ!$A517)</f>
        <v>0</v>
      </c>
      <c r="P516" s="130">
        <f>SUMIFS(ТГ_ИД!$E:$E,ТГ_ИД!$B:$B,ТГ!$G$8,ТГ_ИД!$D:$D,ТГ!$A517)</f>
        <v>0</v>
      </c>
      <c r="Q516" s="130">
        <f>SUMIFS(ТГ_ИД!$E:$E,ТГ_ИД!$B:$B,ТГ!$G$9,ТГ_ИД!$D:$D,ТГ!$A517)</f>
        <v>0</v>
      </c>
      <c r="R516" s="130">
        <f>SUMIFS(ТГ_ИД!$E:$E,ТГ_ИД!$B:$B,ТГ!$G$10,ТГ_ИД!$D:$D,ТГ!$A517)</f>
        <v>0</v>
      </c>
      <c r="S516" s="130">
        <f>SUMIFS(ТГ_ИД!$E:$E,ТГ_ИД!$B:$B,ТГ!$G$11,ТГ_ИД!$D:$D,ТГ!$A517)</f>
        <v>0</v>
      </c>
      <c r="T516" s="130">
        <f>SUMIFS(ТГ_ИД!$E:$E,ТГ_ИД!$B:$B,ТГ!$G$12,ТГ_ИД!$D:$D,ТГ!$A517)</f>
        <v>0</v>
      </c>
      <c r="U516" s="130">
        <f>SUMIFS(ТГ_ИД!$E:$E,ТГ_ИД!$B:$B,ТГ!$G$13,ТГ_ИД!$D:$D,ТГ!$A517)</f>
        <v>0</v>
      </c>
      <c r="V516" s="130">
        <f>SUMIFS(ТГ_ИД!$E:$E,ТГ_ИД!$B:$B,ТГ!$G$14,ТГ_ИД!$D:$D,ТГ!$A517)</f>
        <v>0</v>
      </c>
    </row>
    <row r="517" spans="1:22" x14ac:dyDescent="0.25">
      <c r="A517" s="116" t="str">
        <f t="shared" ref="A517:A580" si="9">IF(B517="","",TEXT(B517,"00000"))</f>
        <v/>
      </c>
      <c r="K517" s="130">
        <f>SUMIFS(ТГ_ИД!$E:$E,ТГ_ИД!$B:$B,ТГ!$G$3,ТГ_ИД!$D:$D,ТГ!$A518)</f>
        <v>0</v>
      </c>
      <c r="L517" s="130">
        <f>SUMIFS(ТГ_ИД!$E:$E,ТГ_ИД!$B:$B,ТГ!$G$4,ТГ_ИД!$D:$D,ТГ!$A518)</f>
        <v>0</v>
      </c>
      <c r="M517" s="130">
        <f>SUMIFS(ТГ_ИД!$E:$E,ТГ_ИД!$B:$B,ТГ!$G$5,ТГ_ИД!$D:$D,ТГ!$A518)</f>
        <v>0</v>
      </c>
      <c r="N517" s="130">
        <f>SUMIFS(ТГ_ИД!$E:$E,ТГ_ИД!$B:$B,ТГ!$G$6,ТГ_ИД!$D:$D,ТГ!$A518)</f>
        <v>0</v>
      </c>
      <c r="O517" s="130">
        <f>SUMIFS(ТГ_ИД!$E:$E,ТГ_ИД!$B:$B,ТГ!$G$7,ТГ_ИД!$D:$D,ТГ!$A518)</f>
        <v>0</v>
      </c>
      <c r="P517" s="130">
        <f>SUMIFS(ТГ_ИД!$E:$E,ТГ_ИД!$B:$B,ТГ!$G$8,ТГ_ИД!$D:$D,ТГ!$A518)</f>
        <v>0</v>
      </c>
      <c r="Q517" s="130">
        <f>SUMIFS(ТГ_ИД!$E:$E,ТГ_ИД!$B:$B,ТГ!$G$9,ТГ_ИД!$D:$D,ТГ!$A518)</f>
        <v>0</v>
      </c>
      <c r="R517" s="130">
        <f>SUMIFS(ТГ_ИД!$E:$E,ТГ_ИД!$B:$B,ТГ!$G$10,ТГ_ИД!$D:$D,ТГ!$A518)</f>
        <v>0</v>
      </c>
      <c r="S517" s="130">
        <f>SUMIFS(ТГ_ИД!$E:$E,ТГ_ИД!$B:$B,ТГ!$G$11,ТГ_ИД!$D:$D,ТГ!$A518)</f>
        <v>0</v>
      </c>
      <c r="T517" s="130">
        <f>SUMIFS(ТГ_ИД!$E:$E,ТГ_ИД!$B:$B,ТГ!$G$12,ТГ_ИД!$D:$D,ТГ!$A518)</f>
        <v>0</v>
      </c>
      <c r="U517" s="130">
        <f>SUMIFS(ТГ_ИД!$E:$E,ТГ_ИД!$B:$B,ТГ!$G$13,ТГ_ИД!$D:$D,ТГ!$A518)</f>
        <v>0</v>
      </c>
      <c r="V517" s="130">
        <f>SUMIFS(ТГ_ИД!$E:$E,ТГ_ИД!$B:$B,ТГ!$G$14,ТГ_ИД!$D:$D,ТГ!$A518)</f>
        <v>0</v>
      </c>
    </row>
    <row r="518" spans="1:22" x14ac:dyDescent="0.25">
      <c r="A518" s="116" t="str">
        <f t="shared" si="9"/>
        <v/>
      </c>
      <c r="K518" s="130">
        <f>SUMIFS(ТГ_ИД!$E:$E,ТГ_ИД!$B:$B,ТГ!$G$3,ТГ_ИД!$D:$D,ТГ!$A519)</f>
        <v>0</v>
      </c>
      <c r="L518" s="130">
        <f>SUMIFS(ТГ_ИД!$E:$E,ТГ_ИД!$B:$B,ТГ!$G$4,ТГ_ИД!$D:$D,ТГ!$A519)</f>
        <v>0</v>
      </c>
      <c r="M518" s="130">
        <f>SUMIFS(ТГ_ИД!$E:$E,ТГ_ИД!$B:$B,ТГ!$G$5,ТГ_ИД!$D:$D,ТГ!$A519)</f>
        <v>0</v>
      </c>
      <c r="N518" s="130">
        <f>SUMIFS(ТГ_ИД!$E:$E,ТГ_ИД!$B:$B,ТГ!$G$6,ТГ_ИД!$D:$D,ТГ!$A519)</f>
        <v>0</v>
      </c>
      <c r="O518" s="130">
        <f>SUMIFS(ТГ_ИД!$E:$E,ТГ_ИД!$B:$B,ТГ!$G$7,ТГ_ИД!$D:$D,ТГ!$A519)</f>
        <v>0</v>
      </c>
      <c r="P518" s="130">
        <f>SUMIFS(ТГ_ИД!$E:$E,ТГ_ИД!$B:$B,ТГ!$G$8,ТГ_ИД!$D:$D,ТГ!$A519)</f>
        <v>0</v>
      </c>
      <c r="Q518" s="130">
        <f>SUMIFS(ТГ_ИД!$E:$E,ТГ_ИД!$B:$B,ТГ!$G$9,ТГ_ИД!$D:$D,ТГ!$A519)</f>
        <v>0</v>
      </c>
      <c r="R518" s="130">
        <f>SUMIFS(ТГ_ИД!$E:$E,ТГ_ИД!$B:$B,ТГ!$G$10,ТГ_ИД!$D:$D,ТГ!$A519)</f>
        <v>0</v>
      </c>
      <c r="S518" s="130">
        <f>SUMIFS(ТГ_ИД!$E:$E,ТГ_ИД!$B:$B,ТГ!$G$11,ТГ_ИД!$D:$D,ТГ!$A519)</f>
        <v>0</v>
      </c>
      <c r="T518" s="130">
        <f>SUMIFS(ТГ_ИД!$E:$E,ТГ_ИД!$B:$B,ТГ!$G$12,ТГ_ИД!$D:$D,ТГ!$A519)</f>
        <v>0</v>
      </c>
      <c r="U518" s="130">
        <f>SUMIFS(ТГ_ИД!$E:$E,ТГ_ИД!$B:$B,ТГ!$G$13,ТГ_ИД!$D:$D,ТГ!$A519)</f>
        <v>0</v>
      </c>
      <c r="V518" s="130">
        <f>SUMIFS(ТГ_ИД!$E:$E,ТГ_ИД!$B:$B,ТГ!$G$14,ТГ_ИД!$D:$D,ТГ!$A519)</f>
        <v>0</v>
      </c>
    </row>
    <row r="519" spans="1:22" x14ac:dyDescent="0.25">
      <c r="A519" s="116" t="str">
        <f t="shared" si="9"/>
        <v/>
      </c>
      <c r="K519" s="130">
        <f>SUMIFS(ТГ_ИД!$E:$E,ТГ_ИД!$B:$B,ТГ!$G$3,ТГ_ИД!$D:$D,ТГ!$A520)</f>
        <v>0</v>
      </c>
      <c r="L519" s="130">
        <f>SUMIFS(ТГ_ИД!$E:$E,ТГ_ИД!$B:$B,ТГ!$G$4,ТГ_ИД!$D:$D,ТГ!$A520)</f>
        <v>0</v>
      </c>
      <c r="M519" s="130">
        <f>SUMIFS(ТГ_ИД!$E:$E,ТГ_ИД!$B:$B,ТГ!$G$5,ТГ_ИД!$D:$D,ТГ!$A520)</f>
        <v>0</v>
      </c>
      <c r="N519" s="130">
        <f>SUMIFS(ТГ_ИД!$E:$E,ТГ_ИД!$B:$B,ТГ!$G$6,ТГ_ИД!$D:$D,ТГ!$A520)</f>
        <v>0</v>
      </c>
      <c r="O519" s="130">
        <f>SUMIFS(ТГ_ИД!$E:$E,ТГ_ИД!$B:$B,ТГ!$G$7,ТГ_ИД!$D:$D,ТГ!$A520)</f>
        <v>0</v>
      </c>
      <c r="P519" s="130">
        <f>SUMIFS(ТГ_ИД!$E:$E,ТГ_ИД!$B:$B,ТГ!$G$8,ТГ_ИД!$D:$D,ТГ!$A520)</f>
        <v>0</v>
      </c>
      <c r="Q519" s="130">
        <f>SUMIFS(ТГ_ИД!$E:$E,ТГ_ИД!$B:$B,ТГ!$G$9,ТГ_ИД!$D:$D,ТГ!$A520)</f>
        <v>0</v>
      </c>
      <c r="R519" s="130">
        <f>SUMIFS(ТГ_ИД!$E:$E,ТГ_ИД!$B:$B,ТГ!$G$10,ТГ_ИД!$D:$D,ТГ!$A520)</f>
        <v>0</v>
      </c>
      <c r="S519" s="130">
        <f>SUMIFS(ТГ_ИД!$E:$E,ТГ_ИД!$B:$B,ТГ!$G$11,ТГ_ИД!$D:$D,ТГ!$A520)</f>
        <v>0</v>
      </c>
      <c r="T519" s="130">
        <f>SUMIFS(ТГ_ИД!$E:$E,ТГ_ИД!$B:$B,ТГ!$G$12,ТГ_ИД!$D:$D,ТГ!$A520)</f>
        <v>0</v>
      </c>
      <c r="U519" s="130">
        <f>SUMIFS(ТГ_ИД!$E:$E,ТГ_ИД!$B:$B,ТГ!$G$13,ТГ_ИД!$D:$D,ТГ!$A520)</f>
        <v>0</v>
      </c>
      <c r="V519" s="130">
        <f>SUMIFS(ТГ_ИД!$E:$E,ТГ_ИД!$B:$B,ТГ!$G$14,ТГ_ИД!$D:$D,ТГ!$A520)</f>
        <v>0</v>
      </c>
    </row>
    <row r="520" spans="1:22" x14ac:dyDescent="0.25">
      <c r="A520" s="116" t="str">
        <f t="shared" si="9"/>
        <v/>
      </c>
      <c r="K520" s="130">
        <f>SUMIFS(ТГ_ИД!$E:$E,ТГ_ИД!$B:$B,ТГ!$G$3,ТГ_ИД!$D:$D,ТГ!$A521)</f>
        <v>0</v>
      </c>
      <c r="L520" s="130">
        <f>SUMIFS(ТГ_ИД!$E:$E,ТГ_ИД!$B:$B,ТГ!$G$4,ТГ_ИД!$D:$D,ТГ!$A521)</f>
        <v>0</v>
      </c>
      <c r="M520" s="130">
        <f>SUMIFS(ТГ_ИД!$E:$E,ТГ_ИД!$B:$B,ТГ!$G$5,ТГ_ИД!$D:$D,ТГ!$A521)</f>
        <v>0</v>
      </c>
      <c r="N520" s="130">
        <f>SUMIFS(ТГ_ИД!$E:$E,ТГ_ИД!$B:$B,ТГ!$G$6,ТГ_ИД!$D:$D,ТГ!$A521)</f>
        <v>0</v>
      </c>
      <c r="O520" s="130">
        <f>SUMIFS(ТГ_ИД!$E:$E,ТГ_ИД!$B:$B,ТГ!$G$7,ТГ_ИД!$D:$D,ТГ!$A521)</f>
        <v>0</v>
      </c>
      <c r="P520" s="130">
        <f>SUMIFS(ТГ_ИД!$E:$E,ТГ_ИД!$B:$B,ТГ!$G$8,ТГ_ИД!$D:$D,ТГ!$A521)</f>
        <v>0</v>
      </c>
      <c r="Q520" s="130">
        <f>SUMIFS(ТГ_ИД!$E:$E,ТГ_ИД!$B:$B,ТГ!$G$9,ТГ_ИД!$D:$D,ТГ!$A521)</f>
        <v>0</v>
      </c>
      <c r="R520" s="130">
        <f>SUMIFS(ТГ_ИД!$E:$E,ТГ_ИД!$B:$B,ТГ!$G$10,ТГ_ИД!$D:$D,ТГ!$A521)</f>
        <v>0</v>
      </c>
      <c r="S520" s="130">
        <f>SUMIFS(ТГ_ИД!$E:$E,ТГ_ИД!$B:$B,ТГ!$G$11,ТГ_ИД!$D:$D,ТГ!$A521)</f>
        <v>0</v>
      </c>
      <c r="T520" s="130">
        <f>SUMIFS(ТГ_ИД!$E:$E,ТГ_ИД!$B:$B,ТГ!$G$12,ТГ_ИД!$D:$D,ТГ!$A521)</f>
        <v>0</v>
      </c>
      <c r="U520" s="130">
        <f>SUMIFS(ТГ_ИД!$E:$E,ТГ_ИД!$B:$B,ТГ!$G$13,ТГ_ИД!$D:$D,ТГ!$A521)</f>
        <v>0</v>
      </c>
      <c r="V520" s="130">
        <f>SUMIFS(ТГ_ИД!$E:$E,ТГ_ИД!$B:$B,ТГ!$G$14,ТГ_ИД!$D:$D,ТГ!$A521)</f>
        <v>0</v>
      </c>
    </row>
    <row r="521" spans="1:22" x14ac:dyDescent="0.25">
      <c r="A521" s="116" t="str">
        <f t="shared" si="9"/>
        <v/>
      </c>
      <c r="K521" s="130">
        <f>SUMIFS(ТГ_ИД!$E:$E,ТГ_ИД!$B:$B,ТГ!$G$3,ТГ_ИД!$D:$D,ТГ!$A522)</f>
        <v>0</v>
      </c>
      <c r="L521" s="130">
        <f>SUMIFS(ТГ_ИД!$E:$E,ТГ_ИД!$B:$B,ТГ!$G$4,ТГ_ИД!$D:$D,ТГ!$A522)</f>
        <v>0</v>
      </c>
      <c r="M521" s="130">
        <f>SUMIFS(ТГ_ИД!$E:$E,ТГ_ИД!$B:$B,ТГ!$G$5,ТГ_ИД!$D:$D,ТГ!$A522)</f>
        <v>0</v>
      </c>
      <c r="N521" s="130">
        <f>SUMIFS(ТГ_ИД!$E:$E,ТГ_ИД!$B:$B,ТГ!$G$6,ТГ_ИД!$D:$D,ТГ!$A522)</f>
        <v>0</v>
      </c>
      <c r="O521" s="130">
        <f>SUMIFS(ТГ_ИД!$E:$E,ТГ_ИД!$B:$B,ТГ!$G$7,ТГ_ИД!$D:$D,ТГ!$A522)</f>
        <v>0</v>
      </c>
      <c r="P521" s="130">
        <f>SUMIFS(ТГ_ИД!$E:$E,ТГ_ИД!$B:$B,ТГ!$G$8,ТГ_ИД!$D:$D,ТГ!$A522)</f>
        <v>0</v>
      </c>
      <c r="Q521" s="130">
        <f>SUMIFS(ТГ_ИД!$E:$E,ТГ_ИД!$B:$B,ТГ!$G$9,ТГ_ИД!$D:$D,ТГ!$A522)</f>
        <v>0</v>
      </c>
      <c r="R521" s="130">
        <f>SUMIFS(ТГ_ИД!$E:$E,ТГ_ИД!$B:$B,ТГ!$G$10,ТГ_ИД!$D:$D,ТГ!$A522)</f>
        <v>0</v>
      </c>
      <c r="S521" s="130">
        <f>SUMIFS(ТГ_ИД!$E:$E,ТГ_ИД!$B:$B,ТГ!$G$11,ТГ_ИД!$D:$D,ТГ!$A522)</f>
        <v>0</v>
      </c>
      <c r="T521" s="130">
        <f>SUMIFS(ТГ_ИД!$E:$E,ТГ_ИД!$B:$B,ТГ!$G$12,ТГ_ИД!$D:$D,ТГ!$A522)</f>
        <v>0</v>
      </c>
      <c r="U521" s="130">
        <f>SUMIFS(ТГ_ИД!$E:$E,ТГ_ИД!$B:$B,ТГ!$G$13,ТГ_ИД!$D:$D,ТГ!$A522)</f>
        <v>0</v>
      </c>
      <c r="V521" s="130">
        <f>SUMIFS(ТГ_ИД!$E:$E,ТГ_ИД!$B:$B,ТГ!$G$14,ТГ_ИД!$D:$D,ТГ!$A522)</f>
        <v>0</v>
      </c>
    </row>
    <row r="522" spans="1:22" x14ac:dyDescent="0.25">
      <c r="A522" s="116" t="str">
        <f t="shared" si="9"/>
        <v/>
      </c>
      <c r="K522" s="130">
        <f>SUMIFS(ТГ_ИД!$E:$E,ТГ_ИД!$B:$B,ТГ!$G$3,ТГ_ИД!$D:$D,ТГ!$A523)</f>
        <v>0</v>
      </c>
      <c r="L522" s="130">
        <f>SUMIFS(ТГ_ИД!$E:$E,ТГ_ИД!$B:$B,ТГ!$G$4,ТГ_ИД!$D:$D,ТГ!$A523)</f>
        <v>0</v>
      </c>
      <c r="M522" s="130">
        <f>SUMIFS(ТГ_ИД!$E:$E,ТГ_ИД!$B:$B,ТГ!$G$5,ТГ_ИД!$D:$D,ТГ!$A523)</f>
        <v>0</v>
      </c>
      <c r="N522" s="130">
        <f>SUMIFS(ТГ_ИД!$E:$E,ТГ_ИД!$B:$B,ТГ!$G$6,ТГ_ИД!$D:$D,ТГ!$A523)</f>
        <v>0</v>
      </c>
      <c r="O522" s="130">
        <f>SUMIFS(ТГ_ИД!$E:$E,ТГ_ИД!$B:$B,ТГ!$G$7,ТГ_ИД!$D:$D,ТГ!$A523)</f>
        <v>0</v>
      </c>
      <c r="P522" s="130">
        <f>SUMIFS(ТГ_ИД!$E:$E,ТГ_ИД!$B:$B,ТГ!$G$8,ТГ_ИД!$D:$D,ТГ!$A523)</f>
        <v>0</v>
      </c>
      <c r="Q522" s="130">
        <f>SUMIFS(ТГ_ИД!$E:$E,ТГ_ИД!$B:$B,ТГ!$G$9,ТГ_ИД!$D:$D,ТГ!$A523)</f>
        <v>0</v>
      </c>
      <c r="R522" s="130">
        <f>SUMIFS(ТГ_ИД!$E:$E,ТГ_ИД!$B:$B,ТГ!$G$10,ТГ_ИД!$D:$D,ТГ!$A523)</f>
        <v>0</v>
      </c>
      <c r="S522" s="130">
        <f>SUMIFS(ТГ_ИД!$E:$E,ТГ_ИД!$B:$B,ТГ!$G$11,ТГ_ИД!$D:$D,ТГ!$A523)</f>
        <v>0</v>
      </c>
      <c r="T522" s="130">
        <f>SUMIFS(ТГ_ИД!$E:$E,ТГ_ИД!$B:$B,ТГ!$G$12,ТГ_ИД!$D:$D,ТГ!$A523)</f>
        <v>0</v>
      </c>
      <c r="U522" s="130">
        <f>SUMIFS(ТГ_ИД!$E:$E,ТГ_ИД!$B:$B,ТГ!$G$13,ТГ_ИД!$D:$D,ТГ!$A523)</f>
        <v>0</v>
      </c>
      <c r="V522" s="130">
        <f>SUMIFS(ТГ_ИД!$E:$E,ТГ_ИД!$B:$B,ТГ!$G$14,ТГ_ИД!$D:$D,ТГ!$A523)</f>
        <v>0</v>
      </c>
    </row>
    <row r="523" spans="1:22" x14ac:dyDescent="0.25">
      <c r="A523" s="116" t="str">
        <f t="shared" si="9"/>
        <v/>
      </c>
      <c r="K523" s="130">
        <f>SUMIFS(ТГ_ИД!$E:$E,ТГ_ИД!$B:$B,ТГ!$G$3,ТГ_ИД!$D:$D,ТГ!$A524)</f>
        <v>0</v>
      </c>
      <c r="L523" s="130">
        <f>SUMIFS(ТГ_ИД!$E:$E,ТГ_ИД!$B:$B,ТГ!$G$4,ТГ_ИД!$D:$D,ТГ!$A524)</f>
        <v>0</v>
      </c>
      <c r="M523" s="130">
        <f>SUMIFS(ТГ_ИД!$E:$E,ТГ_ИД!$B:$B,ТГ!$G$5,ТГ_ИД!$D:$D,ТГ!$A524)</f>
        <v>0</v>
      </c>
      <c r="N523" s="130">
        <f>SUMIFS(ТГ_ИД!$E:$E,ТГ_ИД!$B:$B,ТГ!$G$6,ТГ_ИД!$D:$D,ТГ!$A524)</f>
        <v>0</v>
      </c>
      <c r="O523" s="130">
        <f>SUMIFS(ТГ_ИД!$E:$E,ТГ_ИД!$B:$B,ТГ!$G$7,ТГ_ИД!$D:$D,ТГ!$A524)</f>
        <v>0</v>
      </c>
      <c r="P523" s="130">
        <f>SUMIFS(ТГ_ИД!$E:$E,ТГ_ИД!$B:$B,ТГ!$G$8,ТГ_ИД!$D:$D,ТГ!$A524)</f>
        <v>0</v>
      </c>
      <c r="Q523" s="130">
        <f>SUMIFS(ТГ_ИД!$E:$E,ТГ_ИД!$B:$B,ТГ!$G$9,ТГ_ИД!$D:$D,ТГ!$A524)</f>
        <v>0</v>
      </c>
      <c r="R523" s="130">
        <f>SUMIFS(ТГ_ИД!$E:$E,ТГ_ИД!$B:$B,ТГ!$G$10,ТГ_ИД!$D:$D,ТГ!$A524)</f>
        <v>0</v>
      </c>
      <c r="S523" s="130">
        <f>SUMIFS(ТГ_ИД!$E:$E,ТГ_ИД!$B:$B,ТГ!$G$11,ТГ_ИД!$D:$D,ТГ!$A524)</f>
        <v>0</v>
      </c>
      <c r="T523" s="130">
        <f>SUMIFS(ТГ_ИД!$E:$E,ТГ_ИД!$B:$B,ТГ!$G$12,ТГ_ИД!$D:$D,ТГ!$A524)</f>
        <v>0</v>
      </c>
      <c r="U523" s="130">
        <f>SUMIFS(ТГ_ИД!$E:$E,ТГ_ИД!$B:$B,ТГ!$G$13,ТГ_ИД!$D:$D,ТГ!$A524)</f>
        <v>0</v>
      </c>
      <c r="V523" s="130">
        <f>SUMIFS(ТГ_ИД!$E:$E,ТГ_ИД!$B:$B,ТГ!$G$14,ТГ_ИД!$D:$D,ТГ!$A524)</f>
        <v>0</v>
      </c>
    </row>
    <row r="524" spans="1:22" x14ac:dyDescent="0.25">
      <c r="A524" s="116" t="str">
        <f t="shared" si="9"/>
        <v/>
      </c>
      <c r="K524" s="130">
        <f>SUMIFS(ТГ_ИД!$E:$E,ТГ_ИД!$B:$B,ТГ!$G$3,ТГ_ИД!$D:$D,ТГ!$A525)</f>
        <v>0</v>
      </c>
      <c r="L524" s="130">
        <f>SUMIFS(ТГ_ИД!$E:$E,ТГ_ИД!$B:$B,ТГ!$G$4,ТГ_ИД!$D:$D,ТГ!$A525)</f>
        <v>0</v>
      </c>
      <c r="M524" s="130">
        <f>SUMIFS(ТГ_ИД!$E:$E,ТГ_ИД!$B:$B,ТГ!$G$5,ТГ_ИД!$D:$D,ТГ!$A525)</f>
        <v>0</v>
      </c>
      <c r="N524" s="130">
        <f>SUMIFS(ТГ_ИД!$E:$E,ТГ_ИД!$B:$B,ТГ!$G$6,ТГ_ИД!$D:$D,ТГ!$A525)</f>
        <v>0</v>
      </c>
      <c r="O524" s="130">
        <f>SUMIFS(ТГ_ИД!$E:$E,ТГ_ИД!$B:$B,ТГ!$G$7,ТГ_ИД!$D:$D,ТГ!$A525)</f>
        <v>0</v>
      </c>
      <c r="P524" s="130">
        <f>SUMIFS(ТГ_ИД!$E:$E,ТГ_ИД!$B:$B,ТГ!$G$8,ТГ_ИД!$D:$D,ТГ!$A525)</f>
        <v>0</v>
      </c>
      <c r="Q524" s="130">
        <f>SUMIFS(ТГ_ИД!$E:$E,ТГ_ИД!$B:$B,ТГ!$G$9,ТГ_ИД!$D:$D,ТГ!$A525)</f>
        <v>0</v>
      </c>
      <c r="R524" s="130">
        <f>SUMIFS(ТГ_ИД!$E:$E,ТГ_ИД!$B:$B,ТГ!$G$10,ТГ_ИД!$D:$D,ТГ!$A525)</f>
        <v>0</v>
      </c>
      <c r="S524" s="130">
        <f>SUMIFS(ТГ_ИД!$E:$E,ТГ_ИД!$B:$B,ТГ!$G$11,ТГ_ИД!$D:$D,ТГ!$A525)</f>
        <v>0</v>
      </c>
      <c r="T524" s="130">
        <f>SUMIFS(ТГ_ИД!$E:$E,ТГ_ИД!$B:$B,ТГ!$G$12,ТГ_ИД!$D:$D,ТГ!$A525)</f>
        <v>0</v>
      </c>
      <c r="U524" s="130">
        <f>SUMIFS(ТГ_ИД!$E:$E,ТГ_ИД!$B:$B,ТГ!$G$13,ТГ_ИД!$D:$D,ТГ!$A525)</f>
        <v>0</v>
      </c>
      <c r="V524" s="130">
        <f>SUMIFS(ТГ_ИД!$E:$E,ТГ_ИД!$B:$B,ТГ!$G$14,ТГ_ИД!$D:$D,ТГ!$A525)</f>
        <v>0</v>
      </c>
    </row>
    <row r="525" spans="1:22" x14ac:dyDescent="0.25">
      <c r="A525" s="116" t="str">
        <f t="shared" si="9"/>
        <v/>
      </c>
      <c r="K525" s="130">
        <f>SUMIFS(ТГ_ИД!$E:$E,ТГ_ИД!$B:$B,ТГ!$G$3,ТГ_ИД!$D:$D,ТГ!$A526)</f>
        <v>0</v>
      </c>
      <c r="L525" s="130">
        <f>SUMIFS(ТГ_ИД!$E:$E,ТГ_ИД!$B:$B,ТГ!$G$4,ТГ_ИД!$D:$D,ТГ!$A526)</f>
        <v>0</v>
      </c>
      <c r="M525" s="130">
        <f>SUMIFS(ТГ_ИД!$E:$E,ТГ_ИД!$B:$B,ТГ!$G$5,ТГ_ИД!$D:$D,ТГ!$A526)</f>
        <v>0</v>
      </c>
      <c r="N525" s="130">
        <f>SUMIFS(ТГ_ИД!$E:$E,ТГ_ИД!$B:$B,ТГ!$G$6,ТГ_ИД!$D:$D,ТГ!$A526)</f>
        <v>0</v>
      </c>
      <c r="O525" s="130">
        <f>SUMIFS(ТГ_ИД!$E:$E,ТГ_ИД!$B:$B,ТГ!$G$7,ТГ_ИД!$D:$D,ТГ!$A526)</f>
        <v>0</v>
      </c>
      <c r="P525" s="130">
        <f>SUMIFS(ТГ_ИД!$E:$E,ТГ_ИД!$B:$B,ТГ!$G$8,ТГ_ИД!$D:$D,ТГ!$A526)</f>
        <v>0</v>
      </c>
      <c r="Q525" s="130">
        <f>SUMIFS(ТГ_ИД!$E:$E,ТГ_ИД!$B:$B,ТГ!$G$9,ТГ_ИД!$D:$D,ТГ!$A526)</f>
        <v>0</v>
      </c>
      <c r="R525" s="130">
        <f>SUMIFS(ТГ_ИД!$E:$E,ТГ_ИД!$B:$B,ТГ!$G$10,ТГ_ИД!$D:$D,ТГ!$A526)</f>
        <v>0</v>
      </c>
      <c r="S525" s="130">
        <f>SUMIFS(ТГ_ИД!$E:$E,ТГ_ИД!$B:$B,ТГ!$G$11,ТГ_ИД!$D:$D,ТГ!$A526)</f>
        <v>0</v>
      </c>
      <c r="T525" s="130">
        <f>SUMIFS(ТГ_ИД!$E:$E,ТГ_ИД!$B:$B,ТГ!$G$12,ТГ_ИД!$D:$D,ТГ!$A526)</f>
        <v>0</v>
      </c>
      <c r="U525" s="130">
        <f>SUMIFS(ТГ_ИД!$E:$E,ТГ_ИД!$B:$B,ТГ!$G$13,ТГ_ИД!$D:$D,ТГ!$A526)</f>
        <v>0</v>
      </c>
      <c r="V525" s="130">
        <f>SUMIFS(ТГ_ИД!$E:$E,ТГ_ИД!$B:$B,ТГ!$G$14,ТГ_ИД!$D:$D,ТГ!$A526)</f>
        <v>0</v>
      </c>
    </row>
    <row r="526" spans="1:22" x14ac:dyDescent="0.25">
      <c r="A526" s="116" t="str">
        <f t="shared" si="9"/>
        <v/>
      </c>
      <c r="K526" s="130">
        <f>SUMIFS(ТГ_ИД!$E:$E,ТГ_ИД!$B:$B,ТГ!$G$3,ТГ_ИД!$D:$D,ТГ!$A527)</f>
        <v>0</v>
      </c>
      <c r="L526" s="130">
        <f>SUMIFS(ТГ_ИД!$E:$E,ТГ_ИД!$B:$B,ТГ!$G$4,ТГ_ИД!$D:$D,ТГ!$A527)</f>
        <v>0</v>
      </c>
      <c r="M526" s="130">
        <f>SUMIFS(ТГ_ИД!$E:$E,ТГ_ИД!$B:$B,ТГ!$G$5,ТГ_ИД!$D:$D,ТГ!$A527)</f>
        <v>0</v>
      </c>
      <c r="N526" s="130">
        <f>SUMIFS(ТГ_ИД!$E:$E,ТГ_ИД!$B:$B,ТГ!$G$6,ТГ_ИД!$D:$D,ТГ!$A527)</f>
        <v>0</v>
      </c>
      <c r="O526" s="130">
        <f>SUMIFS(ТГ_ИД!$E:$E,ТГ_ИД!$B:$B,ТГ!$G$7,ТГ_ИД!$D:$D,ТГ!$A527)</f>
        <v>0</v>
      </c>
      <c r="P526" s="130">
        <f>SUMIFS(ТГ_ИД!$E:$E,ТГ_ИД!$B:$B,ТГ!$G$8,ТГ_ИД!$D:$D,ТГ!$A527)</f>
        <v>0</v>
      </c>
      <c r="Q526" s="130">
        <f>SUMIFS(ТГ_ИД!$E:$E,ТГ_ИД!$B:$B,ТГ!$G$9,ТГ_ИД!$D:$D,ТГ!$A527)</f>
        <v>0</v>
      </c>
      <c r="R526" s="130">
        <f>SUMIFS(ТГ_ИД!$E:$E,ТГ_ИД!$B:$B,ТГ!$G$10,ТГ_ИД!$D:$D,ТГ!$A527)</f>
        <v>0</v>
      </c>
      <c r="S526" s="130">
        <f>SUMIFS(ТГ_ИД!$E:$E,ТГ_ИД!$B:$B,ТГ!$G$11,ТГ_ИД!$D:$D,ТГ!$A527)</f>
        <v>0</v>
      </c>
      <c r="T526" s="130">
        <f>SUMIFS(ТГ_ИД!$E:$E,ТГ_ИД!$B:$B,ТГ!$G$12,ТГ_ИД!$D:$D,ТГ!$A527)</f>
        <v>0</v>
      </c>
      <c r="U526" s="130">
        <f>SUMIFS(ТГ_ИД!$E:$E,ТГ_ИД!$B:$B,ТГ!$G$13,ТГ_ИД!$D:$D,ТГ!$A527)</f>
        <v>0</v>
      </c>
      <c r="V526" s="130">
        <f>SUMIFS(ТГ_ИД!$E:$E,ТГ_ИД!$B:$B,ТГ!$G$14,ТГ_ИД!$D:$D,ТГ!$A527)</f>
        <v>0</v>
      </c>
    </row>
    <row r="527" spans="1:22" x14ac:dyDescent="0.25">
      <c r="A527" s="116" t="str">
        <f t="shared" si="9"/>
        <v/>
      </c>
      <c r="K527" s="130">
        <f>SUMIFS(ТГ_ИД!$E:$E,ТГ_ИД!$B:$B,ТГ!$G$3,ТГ_ИД!$D:$D,ТГ!$A528)</f>
        <v>0</v>
      </c>
      <c r="L527" s="130">
        <f>SUMIFS(ТГ_ИД!$E:$E,ТГ_ИД!$B:$B,ТГ!$G$4,ТГ_ИД!$D:$D,ТГ!$A528)</f>
        <v>0</v>
      </c>
      <c r="M527" s="130">
        <f>SUMIFS(ТГ_ИД!$E:$E,ТГ_ИД!$B:$B,ТГ!$G$5,ТГ_ИД!$D:$D,ТГ!$A528)</f>
        <v>0</v>
      </c>
      <c r="N527" s="130">
        <f>SUMIFS(ТГ_ИД!$E:$E,ТГ_ИД!$B:$B,ТГ!$G$6,ТГ_ИД!$D:$D,ТГ!$A528)</f>
        <v>0</v>
      </c>
      <c r="O527" s="130">
        <f>SUMIFS(ТГ_ИД!$E:$E,ТГ_ИД!$B:$B,ТГ!$G$7,ТГ_ИД!$D:$D,ТГ!$A528)</f>
        <v>0</v>
      </c>
      <c r="P527" s="130">
        <f>SUMIFS(ТГ_ИД!$E:$E,ТГ_ИД!$B:$B,ТГ!$G$8,ТГ_ИД!$D:$D,ТГ!$A528)</f>
        <v>0</v>
      </c>
      <c r="Q527" s="130">
        <f>SUMIFS(ТГ_ИД!$E:$E,ТГ_ИД!$B:$B,ТГ!$G$9,ТГ_ИД!$D:$D,ТГ!$A528)</f>
        <v>0</v>
      </c>
      <c r="R527" s="130">
        <f>SUMIFS(ТГ_ИД!$E:$E,ТГ_ИД!$B:$B,ТГ!$G$10,ТГ_ИД!$D:$D,ТГ!$A528)</f>
        <v>0</v>
      </c>
      <c r="S527" s="130">
        <f>SUMIFS(ТГ_ИД!$E:$E,ТГ_ИД!$B:$B,ТГ!$G$11,ТГ_ИД!$D:$D,ТГ!$A528)</f>
        <v>0</v>
      </c>
      <c r="T527" s="130">
        <f>SUMIFS(ТГ_ИД!$E:$E,ТГ_ИД!$B:$B,ТГ!$G$12,ТГ_ИД!$D:$D,ТГ!$A528)</f>
        <v>0</v>
      </c>
      <c r="U527" s="130">
        <f>SUMIFS(ТГ_ИД!$E:$E,ТГ_ИД!$B:$B,ТГ!$G$13,ТГ_ИД!$D:$D,ТГ!$A528)</f>
        <v>0</v>
      </c>
      <c r="V527" s="130">
        <f>SUMIFS(ТГ_ИД!$E:$E,ТГ_ИД!$B:$B,ТГ!$G$14,ТГ_ИД!$D:$D,ТГ!$A528)</f>
        <v>0</v>
      </c>
    </row>
    <row r="528" spans="1:22" x14ac:dyDescent="0.25">
      <c r="A528" s="116" t="str">
        <f t="shared" si="9"/>
        <v/>
      </c>
      <c r="K528" s="130">
        <f>SUMIFS(ТГ_ИД!$E:$E,ТГ_ИД!$B:$B,ТГ!$G$3,ТГ_ИД!$D:$D,ТГ!$A529)</f>
        <v>0</v>
      </c>
      <c r="L528" s="130">
        <f>SUMIFS(ТГ_ИД!$E:$E,ТГ_ИД!$B:$B,ТГ!$G$4,ТГ_ИД!$D:$D,ТГ!$A529)</f>
        <v>0</v>
      </c>
      <c r="M528" s="130">
        <f>SUMIFS(ТГ_ИД!$E:$E,ТГ_ИД!$B:$B,ТГ!$G$5,ТГ_ИД!$D:$D,ТГ!$A529)</f>
        <v>0</v>
      </c>
      <c r="N528" s="130">
        <f>SUMIFS(ТГ_ИД!$E:$E,ТГ_ИД!$B:$B,ТГ!$G$6,ТГ_ИД!$D:$D,ТГ!$A529)</f>
        <v>0</v>
      </c>
      <c r="O528" s="130">
        <f>SUMIFS(ТГ_ИД!$E:$E,ТГ_ИД!$B:$B,ТГ!$G$7,ТГ_ИД!$D:$D,ТГ!$A529)</f>
        <v>0</v>
      </c>
      <c r="P528" s="130">
        <f>SUMIFS(ТГ_ИД!$E:$E,ТГ_ИД!$B:$B,ТГ!$G$8,ТГ_ИД!$D:$D,ТГ!$A529)</f>
        <v>0</v>
      </c>
      <c r="Q528" s="130">
        <f>SUMIFS(ТГ_ИД!$E:$E,ТГ_ИД!$B:$B,ТГ!$G$9,ТГ_ИД!$D:$D,ТГ!$A529)</f>
        <v>0</v>
      </c>
      <c r="R528" s="130">
        <f>SUMIFS(ТГ_ИД!$E:$E,ТГ_ИД!$B:$B,ТГ!$G$10,ТГ_ИД!$D:$D,ТГ!$A529)</f>
        <v>0</v>
      </c>
      <c r="S528" s="130">
        <f>SUMIFS(ТГ_ИД!$E:$E,ТГ_ИД!$B:$B,ТГ!$G$11,ТГ_ИД!$D:$D,ТГ!$A529)</f>
        <v>0</v>
      </c>
      <c r="T528" s="130">
        <f>SUMIFS(ТГ_ИД!$E:$E,ТГ_ИД!$B:$B,ТГ!$G$12,ТГ_ИД!$D:$D,ТГ!$A529)</f>
        <v>0</v>
      </c>
      <c r="U528" s="130">
        <f>SUMIFS(ТГ_ИД!$E:$E,ТГ_ИД!$B:$B,ТГ!$G$13,ТГ_ИД!$D:$D,ТГ!$A529)</f>
        <v>0</v>
      </c>
      <c r="V528" s="130">
        <f>SUMIFS(ТГ_ИД!$E:$E,ТГ_ИД!$B:$B,ТГ!$G$14,ТГ_ИД!$D:$D,ТГ!$A529)</f>
        <v>0</v>
      </c>
    </row>
    <row r="529" spans="1:22" x14ac:dyDescent="0.25">
      <c r="A529" s="116" t="str">
        <f t="shared" si="9"/>
        <v/>
      </c>
      <c r="K529" s="130">
        <f>SUMIFS(ТГ_ИД!$E:$E,ТГ_ИД!$B:$B,ТГ!$G$3,ТГ_ИД!$D:$D,ТГ!$A530)</f>
        <v>0</v>
      </c>
      <c r="L529" s="130">
        <f>SUMIFS(ТГ_ИД!$E:$E,ТГ_ИД!$B:$B,ТГ!$G$4,ТГ_ИД!$D:$D,ТГ!$A530)</f>
        <v>0</v>
      </c>
      <c r="M529" s="130">
        <f>SUMIFS(ТГ_ИД!$E:$E,ТГ_ИД!$B:$B,ТГ!$G$5,ТГ_ИД!$D:$D,ТГ!$A530)</f>
        <v>0</v>
      </c>
      <c r="N529" s="130">
        <f>SUMIFS(ТГ_ИД!$E:$E,ТГ_ИД!$B:$B,ТГ!$G$6,ТГ_ИД!$D:$D,ТГ!$A530)</f>
        <v>0</v>
      </c>
      <c r="O529" s="130">
        <f>SUMIFS(ТГ_ИД!$E:$E,ТГ_ИД!$B:$B,ТГ!$G$7,ТГ_ИД!$D:$D,ТГ!$A530)</f>
        <v>0</v>
      </c>
      <c r="P529" s="130">
        <f>SUMIFS(ТГ_ИД!$E:$E,ТГ_ИД!$B:$B,ТГ!$G$8,ТГ_ИД!$D:$D,ТГ!$A530)</f>
        <v>0</v>
      </c>
      <c r="Q529" s="130">
        <f>SUMIFS(ТГ_ИД!$E:$E,ТГ_ИД!$B:$B,ТГ!$G$9,ТГ_ИД!$D:$D,ТГ!$A530)</f>
        <v>0</v>
      </c>
      <c r="R529" s="130">
        <f>SUMIFS(ТГ_ИД!$E:$E,ТГ_ИД!$B:$B,ТГ!$G$10,ТГ_ИД!$D:$D,ТГ!$A530)</f>
        <v>0</v>
      </c>
      <c r="S529" s="130">
        <f>SUMIFS(ТГ_ИД!$E:$E,ТГ_ИД!$B:$B,ТГ!$G$11,ТГ_ИД!$D:$D,ТГ!$A530)</f>
        <v>0</v>
      </c>
      <c r="T529" s="130">
        <f>SUMIFS(ТГ_ИД!$E:$E,ТГ_ИД!$B:$B,ТГ!$G$12,ТГ_ИД!$D:$D,ТГ!$A530)</f>
        <v>0</v>
      </c>
      <c r="U529" s="130">
        <f>SUMIFS(ТГ_ИД!$E:$E,ТГ_ИД!$B:$B,ТГ!$G$13,ТГ_ИД!$D:$D,ТГ!$A530)</f>
        <v>0</v>
      </c>
      <c r="V529" s="130">
        <f>SUMIFS(ТГ_ИД!$E:$E,ТГ_ИД!$B:$B,ТГ!$G$14,ТГ_ИД!$D:$D,ТГ!$A530)</f>
        <v>0</v>
      </c>
    </row>
    <row r="530" spans="1:22" x14ac:dyDescent="0.25">
      <c r="A530" s="116" t="str">
        <f t="shared" si="9"/>
        <v/>
      </c>
      <c r="K530" s="130">
        <f>SUMIFS(ТГ_ИД!$E:$E,ТГ_ИД!$B:$B,ТГ!$G$3,ТГ_ИД!$D:$D,ТГ!$A531)</f>
        <v>0</v>
      </c>
      <c r="L530" s="130">
        <f>SUMIFS(ТГ_ИД!$E:$E,ТГ_ИД!$B:$B,ТГ!$G$4,ТГ_ИД!$D:$D,ТГ!$A531)</f>
        <v>0</v>
      </c>
      <c r="M530" s="130">
        <f>SUMIFS(ТГ_ИД!$E:$E,ТГ_ИД!$B:$B,ТГ!$G$5,ТГ_ИД!$D:$D,ТГ!$A531)</f>
        <v>0</v>
      </c>
      <c r="N530" s="130">
        <f>SUMIFS(ТГ_ИД!$E:$E,ТГ_ИД!$B:$B,ТГ!$G$6,ТГ_ИД!$D:$D,ТГ!$A531)</f>
        <v>0</v>
      </c>
      <c r="O530" s="130">
        <f>SUMIFS(ТГ_ИД!$E:$E,ТГ_ИД!$B:$B,ТГ!$G$7,ТГ_ИД!$D:$D,ТГ!$A531)</f>
        <v>0</v>
      </c>
      <c r="P530" s="130">
        <f>SUMIFS(ТГ_ИД!$E:$E,ТГ_ИД!$B:$B,ТГ!$G$8,ТГ_ИД!$D:$D,ТГ!$A531)</f>
        <v>0</v>
      </c>
      <c r="Q530" s="130">
        <f>SUMIFS(ТГ_ИД!$E:$E,ТГ_ИД!$B:$B,ТГ!$G$9,ТГ_ИД!$D:$D,ТГ!$A531)</f>
        <v>0</v>
      </c>
      <c r="R530" s="130">
        <f>SUMIFS(ТГ_ИД!$E:$E,ТГ_ИД!$B:$B,ТГ!$G$10,ТГ_ИД!$D:$D,ТГ!$A531)</f>
        <v>0</v>
      </c>
      <c r="S530" s="130">
        <f>SUMIFS(ТГ_ИД!$E:$E,ТГ_ИД!$B:$B,ТГ!$G$11,ТГ_ИД!$D:$D,ТГ!$A531)</f>
        <v>0</v>
      </c>
      <c r="T530" s="130">
        <f>SUMIFS(ТГ_ИД!$E:$E,ТГ_ИД!$B:$B,ТГ!$G$12,ТГ_ИД!$D:$D,ТГ!$A531)</f>
        <v>0</v>
      </c>
      <c r="U530" s="130">
        <f>SUMIFS(ТГ_ИД!$E:$E,ТГ_ИД!$B:$B,ТГ!$G$13,ТГ_ИД!$D:$D,ТГ!$A531)</f>
        <v>0</v>
      </c>
      <c r="V530" s="130">
        <f>SUMIFS(ТГ_ИД!$E:$E,ТГ_ИД!$B:$B,ТГ!$G$14,ТГ_ИД!$D:$D,ТГ!$A531)</f>
        <v>0</v>
      </c>
    </row>
    <row r="531" spans="1:22" x14ac:dyDescent="0.25">
      <c r="A531" s="116" t="str">
        <f t="shared" si="9"/>
        <v/>
      </c>
      <c r="K531" s="130">
        <f>SUMIFS(ТГ_ИД!$E:$E,ТГ_ИД!$B:$B,ТГ!$G$3,ТГ_ИД!$D:$D,ТГ!$A532)</f>
        <v>0</v>
      </c>
      <c r="L531" s="130">
        <f>SUMIFS(ТГ_ИД!$E:$E,ТГ_ИД!$B:$B,ТГ!$G$4,ТГ_ИД!$D:$D,ТГ!$A532)</f>
        <v>0</v>
      </c>
      <c r="M531" s="130">
        <f>SUMIFS(ТГ_ИД!$E:$E,ТГ_ИД!$B:$B,ТГ!$G$5,ТГ_ИД!$D:$D,ТГ!$A532)</f>
        <v>0</v>
      </c>
      <c r="N531" s="130">
        <f>SUMIFS(ТГ_ИД!$E:$E,ТГ_ИД!$B:$B,ТГ!$G$6,ТГ_ИД!$D:$D,ТГ!$A532)</f>
        <v>0</v>
      </c>
      <c r="O531" s="130">
        <f>SUMIFS(ТГ_ИД!$E:$E,ТГ_ИД!$B:$B,ТГ!$G$7,ТГ_ИД!$D:$D,ТГ!$A532)</f>
        <v>0</v>
      </c>
      <c r="P531" s="130">
        <f>SUMIFS(ТГ_ИД!$E:$E,ТГ_ИД!$B:$B,ТГ!$G$8,ТГ_ИД!$D:$D,ТГ!$A532)</f>
        <v>0</v>
      </c>
      <c r="Q531" s="130">
        <f>SUMIFS(ТГ_ИД!$E:$E,ТГ_ИД!$B:$B,ТГ!$G$9,ТГ_ИД!$D:$D,ТГ!$A532)</f>
        <v>0</v>
      </c>
      <c r="R531" s="130">
        <f>SUMIFS(ТГ_ИД!$E:$E,ТГ_ИД!$B:$B,ТГ!$G$10,ТГ_ИД!$D:$D,ТГ!$A532)</f>
        <v>0</v>
      </c>
      <c r="S531" s="130">
        <f>SUMIFS(ТГ_ИД!$E:$E,ТГ_ИД!$B:$B,ТГ!$G$11,ТГ_ИД!$D:$D,ТГ!$A532)</f>
        <v>0</v>
      </c>
      <c r="T531" s="130">
        <f>SUMIFS(ТГ_ИД!$E:$E,ТГ_ИД!$B:$B,ТГ!$G$12,ТГ_ИД!$D:$D,ТГ!$A532)</f>
        <v>0</v>
      </c>
      <c r="U531" s="130">
        <f>SUMIFS(ТГ_ИД!$E:$E,ТГ_ИД!$B:$B,ТГ!$G$13,ТГ_ИД!$D:$D,ТГ!$A532)</f>
        <v>0</v>
      </c>
      <c r="V531" s="130">
        <f>SUMIFS(ТГ_ИД!$E:$E,ТГ_ИД!$B:$B,ТГ!$G$14,ТГ_ИД!$D:$D,ТГ!$A532)</f>
        <v>0</v>
      </c>
    </row>
    <row r="532" spans="1:22" x14ac:dyDescent="0.25">
      <c r="A532" s="116" t="str">
        <f t="shared" si="9"/>
        <v/>
      </c>
      <c r="K532" s="130">
        <f>SUMIFS(ТГ_ИД!$E:$E,ТГ_ИД!$B:$B,ТГ!$G$3,ТГ_ИД!$D:$D,ТГ!$A533)</f>
        <v>0</v>
      </c>
      <c r="L532" s="130">
        <f>SUMIFS(ТГ_ИД!$E:$E,ТГ_ИД!$B:$B,ТГ!$G$4,ТГ_ИД!$D:$D,ТГ!$A533)</f>
        <v>0</v>
      </c>
      <c r="M532" s="130">
        <f>SUMIFS(ТГ_ИД!$E:$E,ТГ_ИД!$B:$B,ТГ!$G$5,ТГ_ИД!$D:$D,ТГ!$A533)</f>
        <v>0</v>
      </c>
      <c r="N532" s="130">
        <f>SUMIFS(ТГ_ИД!$E:$E,ТГ_ИД!$B:$B,ТГ!$G$6,ТГ_ИД!$D:$D,ТГ!$A533)</f>
        <v>0</v>
      </c>
      <c r="O532" s="130">
        <f>SUMIFS(ТГ_ИД!$E:$E,ТГ_ИД!$B:$B,ТГ!$G$7,ТГ_ИД!$D:$D,ТГ!$A533)</f>
        <v>0</v>
      </c>
      <c r="P532" s="130">
        <f>SUMIFS(ТГ_ИД!$E:$E,ТГ_ИД!$B:$B,ТГ!$G$8,ТГ_ИД!$D:$D,ТГ!$A533)</f>
        <v>0</v>
      </c>
      <c r="Q532" s="130">
        <f>SUMIFS(ТГ_ИД!$E:$E,ТГ_ИД!$B:$B,ТГ!$G$9,ТГ_ИД!$D:$D,ТГ!$A533)</f>
        <v>0</v>
      </c>
      <c r="R532" s="130">
        <f>SUMIFS(ТГ_ИД!$E:$E,ТГ_ИД!$B:$B,ТГ!$G$10,ТГ_ИД!$D:$D,ТГ!$A533)</f>
        <v>0</v>
      </c>
      <c r="S532" s="130">
        <f>SUMIFS(ТГ_ИД!$E:$E,ТГ_ИД!$B:$B,ТГ!$G$11,ТГ_ИД!$D:$D,ТГ!$A533)</f>
        <v>0</v>
      </c>
      <c r="T532" s="130">
        <f>SUMIFS(ТГ_ИД!$E:$E,ТГ_ИД!$B:$B,ТГ!$G$12,ТГ_ИД!$D:$D,ТГ!$A533)</f>
        <v>0</v>
      </c>
      <c r="U532" s="130">
        <f>SUMIFS(ТГ_ИД!$E:$E,ТГ_ИД!$B:$B,ТГ!$G$13,ТГ_ИД!$D:$D,ТГ!$A533)</f>
        <v>0</v>
      </c>
      <c r="V532" s="130">
        <f>SUMIFS(ТГ_ИД!$E:$E,ТГ_ИД!$B:$B,ТГ!$G$14,ТГ_ИД!$D:$D,ТГ!$A533)</f>
        <v>0</v>
      </c>
    </row>
    <row r="533" spans="1:22" x14ac:dyDescent="0.25">
      <c r="A533" s="116" t="str">
        <f t="shared" si="9"/>
        <v/>
      </c>
      <c r="K533" s="130">
        <f>SUMIFS(ТГ_ИД!$E:$E,ТГ_ИД!$B:$B,ТГ!$G$3,ТГ_ИД!$D:$D,ТГ!$A534)</f>
        <v>0</v>
      </c>
      <c r="L533" s="130">
        <f>SUMIFS(ТГ_ИД!$E:$E,ТГ_ИД!$B:$B,ТГ!$G$4,ТГ_ИД!$D:$D,ТГ!$A534)</f>
        <v>0</v>
      </c>
      <c r="M533" s="130">
        <f>SUMIFS(ТГ_ИД!$E:$E,ТГ_ИД!$B:$B,ТГ!$G$5,ТГ_ИД!$D:$D,ТГ!$A534)</f>
        <v>0</v>
      </c>
      <c r="N533" s="130">
        <f>SUMIFS(ТГ_ИД!$E:$E,ТГ_ИД!$B:$B,ТГ!$G$6,ТГ_ИД!$D:$D,ТГ!$A534)</f>
        <v>0</v>
      </c>
      <c r="O533" s="130">
        <f>SUMIFS(ТГ_ИД!$E:$E,ТГ_ИД!$B:$B,ТГ!$G$7,ТГ_ИД!$D:$D,ТГ!$A534)</f>
        <v>0</v>
      </c>
      <c r="P533" s="130">
        <f>SUMIFS(ТГ_ИД!$E:$E,ТГ_ИД!$B:$B,ТГ!$G$8,ТГ_ИД!$D:$D,ТГ!$A534)</f>
        <v>0</v>
      </c>
      <c r="Q533" s="130">
        <f>SUMIFS(ТГ_ИД!$E:$E,ТГ_ИД!$B:$B,ТГ!$G$9,ТГ_ИД!$D:$D,ТГ!$A534)</f>
        <v>0</v>
      </c>
      <c r="R533" s="130">
        <f>SUMIFS(ТГ_ИД!$E:$E,ТГ_ИД!$B:$B,ТГ!$G$10,ТГ_ИД!$D:$D,ТГ!$A534)</f>
        <v>0</v>
      </c>
      <c r="S533" s="130">
        <f>SUMIFS(ТГ_ИД!$E:$E,ТГ_ИД!$B:$B,ТГ!$G$11,ТГ_ИД!$D:$D,ТГ!$A534)</f>
        <v>0</v>
      </c>
      <c r="T533" s="130">
        <f>SUMIFS(ТГ_ИД!$E:$E,ТГ_ИД!$B:$B,ТГ!$G$12,ТГ_ИД!$D:$D,ТГ!$A534)</f>
        <v>0</v>
      </c>
      <c r="U533" s="130">
        <f>SUMIFS(ТГ_ИД!$E:$E,ТГ_ИД!$B:$B,ТГ!$G$13,ТГ_ИД!$D:$D,ТГ!$A534)</f>
        <v>0</v>
      </c>
      <c r="V533" s="130">
        <f>SUMIFS(ТГ_ИД!$E:$E,ТГ_ИД!$B:$B,ТГ!$G$14,ТГ_ИД!$D:$D,ТГ!$A534)</f>
        <v>0</v>
      </c>
    </row>
    <row r="534" spans="1:22" x14ac:dyDescent="0.25">
      <c r="A534" s="116" t="str">
        <f t="shared" si="9"/>
        <v/>
      </c>
      <c r="K534" s="130">
        <f>SUMIFS(ТГ_ИД!$E:$E,ТГ_ИД!$B:$B,ТГ!$G$3,ТГ_ИД!$D:$D,ТГ!$A535)</f>
        <v>0</v>
      </c>
      <c r="L534" s="130">
        <f>SUMIFS(ТГ_ИД!$E:$E,ТГ_ИД!$B:$B,ТГ!$G$4,ТГ_ИД!$D:$D,ТГ!$A535)</f>
        <v>0</v>
      </c>
      <c r="M534" s="130">
        <f>SUMIFS(ТГ_ИД!$E:$E,ТГ_ИД!$B:$B,ТГ!$G$5,ТГ_ИД!$D:$D,ТГ!$A535)</f>
        <v>0</v>
      </c>
      <c r="N534" s="130">
        <f>SUMIFS(ТГ_ИД!$E:$E,ТГ_ИД!$B:$B,ТГ!$G$6,ТГ_ИД!$D:$D,ТГ!$A535)</f>
        <v>0</v>
      </c>
      <c r="O534" s="130">
        <f>SUMIFS(ТГ_ИД!$E:$E,ТГ_ИД!$B:$B,ТГ!$G$7,ТГ_ИД!$D:$D,ТГ!$A535)</f>
        <v>0</v>
      </c>
      <c r="P534" s="130">
        <f>SUMIFS(ТГ_ИД!$E:$E,ТГ_ИД!$B:$B,ТГ!$G$8,ТГ_ИД!$D:$D,ТГ!$A535)</f>
        <v>0</v>
      </c>
      <c r="Q534" s="130">
        <f>SUMIFS(ТГ_ИД!$E:$E,ТГ_ИД!$B:$B,ТГ!$G$9,ТГ_ИД!$D:$D,ТГ!$A535)</f>
        <v>0</v>
      </c>
      <c r="R534" s="130">
        <f>SUMIFS(ТГ_ИД!$E:$E,ТГ_ИД!$B:$B,ТГ!$G$10,ТГ_ИД!$D:$D,ТГ!$A535)</f>
        <v>0</v>
      </c>
      <c r="S534" s="130">
        <f>SUMIFS(ТГ_ИД!$E:$E,ТГ_ИД!$B:$B,ТГ!$G$11,ТГ_ИД!$D:$D,ТГ!$A535)</f>
        <v>0</v>
      </c>
      <c r="T534" s="130">
        <f>SUMIFS(ТГ_ИД!$E:$E,ТГ_ИД!$B:$B,ТГ!$G$12,ТГ_ИД!$D:$D,ТГ!$A535)</f>
        <v>0</v>
      </c>
      <c r="U534" s="130">
        <f>SUMIFS(ТГ_ИД!$E:$E,ТГ_ИД!$B:$B,ТГ!$G$13,ТГ_ИД!$D:$D,ТГ!$A535)</f>
        <v>0</v>
      </c>
      <c r="V534" s="130">
        <f>SUMIFS(ТГ_ИД!$E:$E,ТГ_ИД!$B:$B,ТГ!$G$14,ТГ_ИД!$D:$D,ТГ!$A535)</f>
        <v>0</v>
      </c>
    </row>
    <row r="535" spans="1:22" x14ac:dyDescent="0.25">
      <c r="A535" s="116" t="str">
        <f t="shared" si="9"/>
        <v/>
      </c>
      <c r="K535" s="130">
        <f>SUMIFS(ТГ_ИД!$E:$E,ТГ_ИД!$B:$B,ТГ!$G$3,ТГ_ИД!$D:$D,ТГ!$A536)</f>
        <v>0</v>
      </c>
      <c r="L535" s="130">
        <f>SUMIFS(ТГ_ИД!$E:$E,ТГ_ИД!$B:$B,ТГ!$G$4,ТГ_ИД!$D:$D,ТГ!$A536)</f>
        <v>0</v>
      </c>
      <c r="M535" s="130">
        <f>SUMIFS(ТГ_ИД!$E:$E,ТГ_ИД!$B:$B,ТГ!$G$5,ТГ_ИД!$D:$D,ТГ!$A536)</f>
        <v>0</v>
      </c>
      <c r="N535" s="130">
        <f>SUMIFS(ТГ_ИД!$E:$E,ТГ_ИД!$B:$B,ТГ!$G$6,ТГ_ИД!$D:$D,ТГ!$A536)</f>
        <v>0</v>
      </c>
      <c r="O535" s="130">
        <f>SUMIFS(ТГ_ИД!$E:$E,ТГ_ИД!$B:$B,ТГ!$G$7,ТГ_ИД!$D:$D,ТГ!$A536)</f>
        <v>0</v>
      </c>
      <c r="P535" s="130">
        <f>SUMIFS(ТГ_ИД!$E:$E,ТГ_ИД!$B:$B,ТГ!$G$8,ТГ_ИД!$D:$D,ТГ!$A536)</f>
        <v>0</v>
      </c>
      <c r="Q535" s="130">
        <f>SUMIFS(ТГ_ИД!$E:$E,ТГ_ИД!$B:$B,ТГ!$G$9,ТГ_ИД!$D:$D,ТГ!$A536)</f>
        <v>0</v>
      </c>
      <c r="R535" s="130">
        <f>SUMIFS(ТГ_ИД!$E:$E,ТГ_ИД!$B:$B,ТГ!$G$10,ТГ_ИД!$D:$D,ТГ!$A536)</f>
        <v>0</v>
      </c>
      <c r="S535" s="130">
        <f>SUMIFS(ТГ_ИД!$E:$E,ТГ_ИД!$B:$B,ТГ!$G$11,ТГ_ИД!$D:$D,ТГ!$A536)</f>
        <v>0</v>
      </c>
      <c r="T535" s="130">
        <f>SUMIFS(ТГ_ИД!$E:$E,ТГ_ИД!$B:$B,ТГ!$G$12,ТГ_ИД!$D:$D,ТГ!$A536)</f>
        <v>0</v>
      </c>
      <c r="U535" s="130">
        <f>SUMIFS(ТГ_ИД!$E:$E,ТГ_ИД!$B:$B,ТГ!$G$13,ТГ_ИД!$D:$D,ТГ!$A536)</f>
        <v>0</v>
      </c>
      <c r="V535" s="130">
        <f>SUMIFS(ТГ_ИД!$E:$E,ТГ_ИД!$B:$B,ТГ!$G$14,ТГ_ИД!$D:$D,ТГ!$A536)</f>
        <v>0</v>
      </c>
    </row>
    <row r="536" spans="1:22" x14ac:dyDescent="0.25">
      <c r="A536" s="116" t="str">
        <f t="shared" si="9"/>
        <v/>
      </c>
      <c r="K536" s="130">
        <f>SUMIFS(ТГ_ИД!$E:$E,ТГ_ИД!$B:$B,ТГ!$G$3,ТГ_ИД!$D:$D,ТГ!$A537)</f>
        <v>0</v>
      </c>
      <c r="L536" s="130">
        <f>SUMIFS(ТГ_ИД!$E:$E,ТГ_ИД!$B:$B,ТГ!$G$4,ТГ_ИД!$D:$D,ТГ!$A537)</f>
        <v>0</v>
      </c>
      <c r="M536" s="130">
        <f>SUMIFS(ТГ_ИД!$E:$E,ТГ_ИД!$B:$B,ТГ!$G$5,ТГ_ИД!$D:$D,ТГ!$A537)</f>
        <v>0</v>
      </c>
      <c r="N536" s="130">
        <f>SUMIFS(ТГ_ИД!$E:$E,ТГ_ИД!$B:$B,ТГ!$G$6,ТГ_ИД!$D:$D,ТГ!$A537)</f>
        <v>0</v>
      </c>
      <c r="O536" s="130">
        <f>SUMIFS(ТГ_ИД!$E:$E,ТГ_ИД!$B:$B,ТГ!$G$7,ТГ_ИД!$D:$D,ТГ!$A537)</f>
        <v>0</v>
      </c>
      <c r="P536" s="130">
        <f>SUMIFS(ТГ_ИД!$E:$E,ТГ_ИД!$B:$B,ТГ!$G$8,ТГ_ИД!$D:$D,ТГ!$A537)</f>
        <v>0</v>
      </c>
      <c r="Q536" s="130">
        <f>SUMIFS(ТГ_ИД!$E:$E,ТГ_ИД!$B:$B,ТГ!$G$9,ТГ_ИД!$D:$D,ТГ!$A537)</f>
        <v>0</v>
      </c>
      <c r="R536" s="130">
        <f>SUMIFS(ТГ_ИД!$E:$E,ТГ_ИД!$B:$B,ТГ!$G$10,ТГ_ИД!$D:$D,ТГ!$A537)</f>
        <v>0</v>
      </c>
      <c r="S536" s="130">
        <f>SUMIFS(ТГ_ИД!$E:$E,ТГ_ИД!$B:$B,ТГ!$G$11,ТГ_ИД!$D:$D,ТГ!$A537)</f>
        <v>0</v>
      </c>
      <c r="T536" s="130">
        <f>SUMIFS(ТГ_ИД!$E:$E,ТГ_ИД!$B:$B,ТГ!$G$12,ТГ_ИД!$D:$D,ТГ!$A537)</f>
        <v>0</v>
      </c>
      <c r="U536" s="130">
        <f>SUMIFS(ТГ_ИД!$E:$E,ТГ_ИД!$B:$B,ТГ!$G$13,ТГ_ИД!$D:$D,ТГ!$A537)</f>
        <v>0</v>
      </c>
      <c r="V536" s="130">
        <f>SUMIFS(ТГ_ИД!$E:$E,ТГ_ИД!$B:$B,ТГ!$G$14,ТГ_ИД!$D:$D,ТГ!$A537)</f>
        <v>0</v>
      </c>
    </row>
    <row r="537" spans="1:22" x14ac:dyDescent="0.25">
      <c r="A537" s="116" t="str">
        <f t="shared" si="9"/>
        <v/>
      </c>
      <c r="K537" s="130">
        <f>SUMIFS(ТГ_ИД!$E:$E,ТГ_ИД!$B:$B,ТГ!$G$3,ТГ_ИД!$D:$D,ТГ!$A538)</f>
        <v>0</v>
      </c>
      <c r="L537" s="130">
        <f>SUMIFS(ТГ_ИД!$E:$E,ТГ_ИД!$B:$B,ТГ!$G$4,ТГ_ИД!$D:$D,ТГ!$A538)</f>
        <v>0</v>
      </c>
      <c r="M537" s="130">
        <f>SUMIFS(ТГ_ИД!$E:$E,ТГ_ИД!$B:$B,ТГ!$G$5,ТГ_ИД!$D:$D,ТГ!$A538)</f>
        <v>0</v>
      </c>
      <c r="N537" s="130">
        <f>SUMIFS(ТГ_ИД!$E:$E,ТГ_ИД!$B:$B,ТГ!$G$6,ТГ_ИД!$D:$D,ТГ!$A538)</f>
        <v>0</v>
      </c>
      <c r="O537" s="130">
        <f>SUMIFS(ТГ_ИД!$E:$E,ТГ_ИД!$B:$B,ТГ!$G$7,ТГ_ИД!$D:$D,ТГ!$A538)</f>
        <v>0</v>
      </c>
      <c r="P537" s="130">
        <f>SUMIFS(ТГ_ИД!$E:$E,ТГ_ИД!$B:$B,ТГ!$G$8,ТГ_ИД!$D:$D,ТГ!$A538)</f>
        <v>0</v>
      </c>
      <c r="Q537" s="130">
        <f>SUMIFS(ТГ_ИД!$E:$E,ТГ_ИД!$B:$B,ТГ!$G$9,ТГ_ИД!$D:$D,ТГ!$A538)</f>
        <v>0</v>
      </c>
      <c r="R537" s="130">
        <f>SUMIFS(ТГ_ИД!$E:$E,ТГ_ИД!$B:$B,ТГ!$G$10,ТГ_ИД!$D:$D,ТГ!$A538)</f>
        <v>0</v>
      </c>
      <c r="S537" s="130">
        <f>SUMIFS(ТГ_ИД!$E:$E,ТГ_ИД!$B:$B,ТГ!$G$11,ТГ_ИД!$D:$D,ТГ!$A538)</f>
        <v>0</v>
      </c>
      <c r="T537" s="130">
        <f>SUMIFS(ТГ_ИД!$E:$E,ТГ_ИД!$B:$B,ТГ!$G$12,ТГ_ИД!$D:$D,ТГ!$A538)</f>
        <v>0</v>
      </c>
      <c r="U537" s="130">
        <f>SUMIFS(ТГ_ИД!$E:$E,ТГ_ИД!$B:$B,ТГ!$G$13,ТГ_ИД!$D:$D,ТГ!$A538)</f>
        <v>0</v>
      </c>
      <c r="V537" s="130">
        <f>SUMIFS(ТГ_ИД!$E:$E,ТГ_ИД!$B:$B,ТГ!$G$14,ТГ_ИД!$D:$D,ТГ!$A538)</f>
        <v>0</v>
      </c>
    </row>
    <row r="538" spans="1:22" x14ac:dyDescent="0.25">
      <c r="A538" s="116" t="str">
        <f t="shared" si="9"/>
        <v/>
      </c>
      <c r="K538" s="130">
        <f>SUMIFS(ТГ_ИД!$E:$E,ТГ_ИД!$B:$B,ТГ!$G$3,ТГ_ИД!$D:$D,ТГ!$A539)</f>
        <v>0</v>
      </c>
      <c r="L538" s="130">
        <f>SUMIFS(ТГ_ИД!$E:$E,ТГ_ИД!$B:$B,ТГ!$G$4,ТГ_ИД!$D:$D,ТГ!$A539)</f>
        <v>0</v>
      </c>
      <c r="M538" s="130">
        <f>SUMIFS(ТГ_ИД!$E:$E,ТГ_ИД!$B:$B,ТГ!$G$5,ТГ_ИД!$D:$D,ТГ!$A539)</f>
        <v>0</v>
      </c>
      <c r="N538" s="130">
        <f>SUMIFS(ТГ_ИД!$E:$E,ТГ_ИД!$B:$B,ТГ!$G$6,ТГ_ИД!$D:$D,ТГ!$A539)</f>
        <v>0</v>
      </c>
      <c r="O538" s="130">
        <f>SUMIFS(ТГ_ИД!$E:$E,ТГ_ИД!$B:$B,ТГ!$G$7,ТГ_ИД!$D:$D,ТГ!$A539)</f>
        <v>0</v>
      </c>
      <c r="P538" s="130">
        <f>SUMIFS(ТГ_ИД!$E:$E,ТГ_ИД!$B:$B,ТГ!$G$8,ТГ_ИД!$D:$D,ТГ!$A539)</f>
        <v>0</v>
      </c>
      <c r="Q538" s="130">
        <f>SUMIFS(ТГ_ИД!$E:$E,ТГ_ИД!$B:$B,ТГ!$G$9,ТГ_ИД!$D:$D,ТГ!$A539)</f>
        <v>0</v>
      </c>
      <c r="R538" s="130">
        <f>SUMIFS(ТГ_ИД!$E:$E,ТГ_ИД!$B:$B,ТГ!$G$10,ТГ_ИД!$D:$D,ТГ!$A539)</f>
        <v>0</v>
      </c>
      <c r="S538" s="130">
        <f>SUMIFS(ТГ_ИД!$E:$E,ТГ_ИД!$B:$B,ТГ!$G$11,ТГ_ИД!$D:$D,ТГ!$A539)</f>
        <v>0</v>
      </c>
      <c r="T538" s="130">
        <f>SUMIFS(ТГ_ИД!$E:$E,ТГ_ИД!$B:$B,ТГ!$G$12,ТГ_ИД!$D:$D,ТГ!$A539)</f>
        <v>0</v>
      </c>
      <c r="U538" s="130">
        <f>SUMIFS(ТГ_ИД!$E:$E,ТГ_ИД!$B:$B,ТГ!$G$13,ТГ_ИД!$D:$D,ТГ!$A539)</f>
        <v>0</v>
      </c>
      <c r="V538" s="130">
        <f>SUMIFS(ТГ_ИД!$E:$E,ТГ_ИД!$B:$B,ТГ!$G$14,ТГ_ИД!$D:$D,ТГ!$A539)</f>
        <v>0</v>
      </c>
    </row>
    <row r="539" spans="1:22" x14ac:dyDescent="0.25">
      <c r="A539" s="116" t="str">
        <f t="shared" si="9"/>
        <v/>
      </c>
      <c r="K539" s="130">
        <f>SUMIFS(ТГ_ИД!$E:$E,ТГ_ИД!$B:$B,ТГ!$G$3,ТГ_ИД!$D:$D,ТГ!$A540)</f>
        <v>0</v>
      </c>
      <c r="L539" s="130">
        <f>SUMIFS(ТГ_ИД!$E:$E,ТГ_ИД!$B:$B,ТГ!$G$4,ТГ_ИД!$D:$D,ТГ!$A540)</f>
        <v>0</v>
      </c>
      <c r="M539" s="130">
        <f>SUMIFS(ТГ_ИД!$E:$E,ТГ_ИД!$B:$B,ТГ!$G$5,ТГ_ИД!$D:$D,ТГ!$A540)</f>
        <v>0</v>
      </c>
      <c r="N539" s="130">
        <f>SUMIFS(ТГ_ИД!$E:$E,ТГ_ИД!$B:$B,ТГ!$G$6,ТГ_ИД!$D:$D,ТГ!$A540)</f>
        <v>0</v>
      </c>
      <c r="O539" s="130">
        <f>SUMIFS(ТГ_ИД!$E:$E,ТГ_ИД!$B:$B,ТГ!$G$7,ТГ_ИД!$D:$D,ТГ!$A540)</f>
        <v>0</v>
      </c>
      <c r="P539" s="130">
        <f>SUMIFS(ТГ_ИД!$E:$E,ТГ_ИД!$B:$B,ТГ!$G$8,ТГ_ИД!$D:$D,ТГ!$A540)</f>
        <v>0</v>
      </c>
      <c r="Q539" s="130">
        <f>SUMIFS(ТГ_ИД!$E:$E,ТГ_ИД!$B:$B,ТГ!$G$9,ТГ_ИД!$D:$D,ТГ!$A540)</f>
        <v>0</v>
      </c>
      <c r="R539" s="130">
        <f>SUMIFS(ТГ_ИД!$E:$E,ТГ_ИД!$B:$B,ТГ!$G$10,ТГ_ИД!$D:$D,ТГ!$A540)</f>
        <v>0</v>
      </c>
      <c r="S539" s="130">
        <f>SUMIFS(ТГ_ИД!$E:$E,ТГ_ИД!$B:$B,ТГ!$G$11,ТГ_ИД!$D:$D,ТГ!$A540)</f>
        <v>0</v>
      </c>
      <c r="T539" s="130">
        <f>SUMIFS(ТГ_ИД!$E:$E,ТГ_ИД!$B:$B,ТГ!$G$12,ТГ_ИД!$D:$D,ТГ!$A540)</f>
        <v>0</v>
      </c>
      <c r="U539" s="130">
        <f>SUMIFS(ТГ_ИД!$E:$E,ТГ_ИД!$B:$B,ТГ!$G$13,ТГ_ИД!$D:$D,ТГ!$A540)</f>
        <v>0</v>
      </c>
      <c r="V539" s="130">
        <f>SUMIFS(ТГ_ИД!$E:$E,ТГ_ИД!$B:$B,ТГ!$G$14,ТГ_ИД!$D:$D,ТГ!$A540)</f>
        <v>0</v>
      </c>
    </row>
    <row r="540" spans="1:22" x14ac:dyDescent="0.25">
      <c r="A540" s="116" t="str">
        <f t="shared" si="9"/>
        <v/>
      </c>
      <c r="K540" s="130">
        <f>SUMIFS(ТГ_ИД!$E:$E,ТГ_ИД!$B:$B,ТГ!$G$3,ТГ_ИД!$D:$D,ТГ!$A541)</f>
        <v>0</v>
      </c>
      <c r="L540" s="130">
        <f>SUMIFS(ТГ_ИД!$E:$E,ТГ_ИД!$B:$B,ТГ!$G$4,ТГ_ИД!$D:$D,ТГ!$A541)</f>
        <v>0</v>
      </c>
      <c r="M540" s="130">
        <f>SUMIFS(ТГ_ИД!$E:$E,ТГ_ИД!$B:$B,ТГ!$G$5,ТГ_ИД!$D:$D,ТГ!$A541)</f>
        <v>0</v>
      </c>
      <c r="N540" s="130">
        <f>SUMIFS(ТГ_ИД!$E:$E,ТГ_ИД!$B:$B,ТГ!$G$6,ТГ_ИД!$D:$D,ТГ!$A541)</f>
        <v>0</v>
      </c>
      <c r="O540" s="130">
        <f>SUMIFS(ТГ_ИД!$E:$E,ТГ_ИД!$B:$B,ТГ!$G$7,ТГ_ИД!$D:$D,ТГ!$A541)</f>
        <v>0</v>
      </c>
      <c r="P540" s="130">
        <f>SUMIFS(ТГ_ИД!$E:$E,ТГ_ИД!$B:$B,ТГ!$G$8,ТГ_ИД!$D:$D,ТГ!$A541)</f>
        <v>0</v>
      </c>
      <c r="Q540" s="130">
        <f>SUMIFS(ТГ_ИД!$E:$E,ТГ_ИД!$B:$B,ТГ!$G$9,ТГ_ИД!$D:$D,ТГ!$A541)</f>
        <v>0</v>
      </c>
      <c r="R540" s="130">
        <f>SUMIFS(ТГ_ИД!$E:$E,ТГ_ИД!$B:$B,ТГ!$G$10,ТГ_ИД!$D:$D,ТГ!$A541)</f>
        <v>0</v>
      </c>
      <c r="S540" s="130">
        <f>SUMIFS(ТГ_ИД!$E:$E,ТГ_ИД!$B:$B,ТГ!$G$11,ТГ_ИД!$D:$D,ТГ!$A541)</f>
        <v>0</v>
      </c>
      <c r="T540" s="130">
        <f>SUMIFS(ТГ_ИД!$E:$E,ТГ_ИД!$B:$B,ТГ!$G$12,ТГ_ИД!$D:$D,ТГ!$A541)</f>
        <v>0</v>
      </c>
      <c r="U540" s="130">
        <f>SUMIFS(ТГ_ИД!$E:$E,ТГ_ИД!$B:$B,ТГ!$G$13,ТГ_ИД!$D:$D,ТГ!$A541)</f>
        <v>0</v>
      </c>
      <c r="V540" s="130">
        <f>SUMIFS(ТГ_ИД!$E:$E,ТГ_ИД!$B:$B,ТГ!$G$14,ТГ_ИД!$D:$D,ТГ!$A541)</f>
        <v>0</v>
      </c>
    </row>
    <row r="541" spans="1:22" x14ac:dyDescent="0.25">
      <c r="A541" s="116" t="str">
        <f t="shared" si="9"/>
        <v/>
      </c>
      <c r="K541" s="130">
        <f>SUMIFS(ТГ_ИД!$E:$E,ТГ_ИД!$B:$B,ТГ!$G$3,ТГ_ИД!$D:$D,ТГ!$A542)</f>
        <v>0</v>
      </c>
      <c r="L541" s="130">
        <f>SUMIFS(ТГ_ИД!$E:$E,ТГ_ИД!$B:$B,ТГ!$G$4,ТГ_ИД!$D:$D,ТГ!$A542)</f>
        <v>0</v>
      </c>
      <c r="M541" s="130">
        <f>SUMIFS(ТГ_ИД!$E:$E,ТГ_ИД!$B:$B,ТГ!$G$5,ТГ_ИД!$D:$D,ТГ!$A542)</f>
        <v>0</v>
      </c>
      <c r="N541" s="130">
        <f>SUMIFS(ТГ_ИД!$E:$E,ТГ_ИД!$B:$B,ТГ!$G$6,ТГ_ИД!$D:$D,ТГ!$A542)</f>
        <v>0</v>
      </c>
      <c r="O541" s="130">
        <f>SUMIFS(ТГ_ИД!$E:$E,ТГ_ИД!$B:$B,ТГ!$G$7,ТГ_ИД!$D:$D,ТГ!$A542)</f>
        <v>0</v>
      </c>
      <c r="P541" s="130">
        <f>SUMIFS(ТГ_ИД!$E:$E,ТГ_ИД!$B:$B,ТГ!$G$8,ТГ_ИД!$D:$D,ТГ!$A542)</f>
        <v>0</v>
      </c>
      <c r="Q541" s="130">
        <f>SUMIFS(ТГ_ИД!$E:$E,ТГ_ИД!$B:$B,ТГ!$G$9,ТГ_ИД!$D:$D,ТГ!$A542)</f>
        <v>0</v>
      </c>
      <c r="R541" s="130">
        <f>SUMIFS(ТГ_ИД!$E:$E,ТГ_ИД!$B:$B,ТГ!$G$10,ТГ_ИД!$D:$D,ТГ!$A542)</f>
        <v>0</v>
      </c>
      <c r="S541" s="130">
        <f>SUMIFS(ТГ_ИД!$E:$E,ТГ_ИД!$B:$B,ТГ!$G$11,ТГ_ИД!$D:$D,ТГ!$A542)</f>
        <v>0</v>
      </c>
      <c r="T541" s="130">
        <f>SUMIFS(ТГ_ИД!$E:$E,ТГ_ИД!$B:$B,ТГ!$G$12,ТГ_ИД!$D:$D,ТГ!$A542)</f>
        <v>0</v>
      </c>
      <c r="U541" s="130">
        <f>SUMIFS(ТГ_ИД!$E:$E,ТГ_ИД!$B:$B,ТГ!$G$13,ТГ_ИД!$D:$D,ТГ!$A542)</f>
        <v>0</v>
      </c>
      <c r="V541" s="130">
        <f>SUMIFS(ТГ_ИД!$E:$E,ТГ_ИД!$B:$B,ТГ!$G$14,ТГ_ИД!$D:$D,ТГ!$A542)</f>
        <v>0</v>
      </c>
    </row>
    <row r="542" spans="1:22" x14ac:dyDescent="0.25">
      <c r="A542" s="116" t="str">
        <f t="shared" si="9"/>
        <v/>
      </c>
      <c r="K542" s="130">
        <f>SUMIFS(ТГ_ИД!$E:$E,ТГ_ИД!$B:$B,ТГ!$G$3,ТГ_ИД!$D:$D,ТГ!$A543)</f>
        <v>0</v>
      </c>
      <c r="L542" s="130">
        <f>SUMIFS(ТГ_ИД!$E:$E,ТГ_ИД!$B:$B,ТГ!$G$4,ТГ_ИД!$D:$D,ТГ!$A543)</f>
        <v>0</v>
      </c>
      <c r="M542" s="130">
        <f>SUMIFS(ТГ_ИД!$E:$E,ТГ_ИД!$B:$B,ТГ!$G$5,ТГ_ИД!$D:$D,ТГ!$A543)</f>
        <v>0</v>
      </c>
      <c r="N542" s="130">
        <f>SUMIFS(ТГ_ИД!$E:$E,ТГ_ИД!$B:$B,ТГ!$G$6,ТГ_ИД!$D:$D,ТГ!$A543)</f>
        <v>0</v>
      </c>
      <c r="O542" s="130">
        <f>SUMIFS(ТГ_ИД!$E:$E,ТГ_ИД!$B:$B,ТГ!$G$7,ТГ_ИД!$D:$D,ТГ!$A543)</f>
        <v>0</v>
      </c>
      <c r="P542" s="130">
        <f>SUMIFS(ТГ_ИД!$E:$E,ТГ_ИД!$B:$B,ТГ!$G$8,ТГ_ИД!$D:$D,ТГ!$A543)</f>
        <v>0</v>
      </c>
      <c r="Q542" s="130">
        <f>SUMIFS(ТГ_ИД!$E:$E,ТГ_ИД!$B:$B,ТГ!$G$9,ТГ_ИД!$D:$D,ТГ!$A543)</f>
        <v>0</v>
      </c>
      <c r="R542" s="130">
        <f>SUMIFS(ТГ_ИД!$E:$E,ТГ_ИД!$B:$B,ТГ!$G$10,ТГ_ИД!$D:$D,ТГ!$A543)</f>
        <v>0</v>
      </c>
      <c r="S542" s="130">
        <f>SUMIFS(ТГ_ИД!$E:$E,ТГ_ИД!$B:$B,ТГ!$G$11,ТГ_ИД!$D:$D,ТГ!$A543)</f>
        <v>0</v>
      </c>
      <c r="T542" s="130">
        <f>SUMIFS(ТГ_ИД!$E:$E,ТГ_ИД!$B:$B,ТГ!$G$12,ТГ_ИД!$D:$D,ТГ!$A543)</f>
        <v>0</v>
      </c>
      <c r="U542" s="130">
        <f>SUMIFS(ТГ_ИД!$E:$E,ТГ_ИД!$B:$B,ТГ!$G$13,ТГ_ИД!$D:$D,ТГ!$A543)</f>
        <v>0</v>
      </c>
      <c r="V542" s="130">
        <f>SUMIFS(ТГ_ИД!$E:$E,ТГ_ИД!$B:$B,ТГ!$G$14,ТГ_ИД!$D:$D,ТГ!$A543)</f>
        <v>0</v>
      </c>
    </row>
    <row r="543" spans="1:22" x14ac:dyDescent="0.25">
      <c r="A543" s="116" t="str">
        <f t="shared" si="9"/>
        <v/>
      </c>
      <c r="K543" s="130">
        <f>SUMIFS(ТГ_ИД!$E:$E,ТГ_ИД!$B:$B,ТГ!$G$3,ТГ_ИД!$D:$D,ТГ!$A544)</f>
        <v>0</v>
      </c>
      <c r="L543" s="130">
        <f>SUMIFS(ТГ_ИД!$E:$E,ТГ_ИД!$B:$B,ТГ!$G$4,ТГ_ИД!$D:$D,ТГ!$A544)</f>
        <v>0</v>
      </c>
      <c r="M543" s="130">
        <f>SUMIFS(ТГ_ИД!$E:$E,ТГ_ИД!$B:$B,ТГ!$G$5,ТГ_ИД!$D:$D,ТГ!$A544)</f>
        <v>0</v>
      </c>
      <c r="N543" s="130">
        <f>SUMIFS(ТГ_ИД!$E:$E,ТГ_ИД!$B:$B,ТГ!$G$6,ТГ_ИД!$D:$D,ТГ!$A544)</f>
        <v>0</v>
      </c>
      <c r="O543" s="130">
        <f>SUMIFS(ТГ_ИД!$E:$E,ТГ_ИД!$B:$B,ТГ!$G$7,ТГ_ИД!$D:$D,ТГ!$A544)</f>
        <v>0</v>
      </c>
      <c r="P543" s="130">
        <f>SUMIFS(ТГ_ИД!$E:$E,ТГ_ИД!$B:$B,ТГ!$G$8,ТГ_ИД!$D:$D,ТГ!$A544)</f>
        <v>0</v>
      </c>
      <c r="Q543" s="130">
        <f>SUMIFS(ТГ_ИД!$E:$E,ТГ_ИД!$B:$B,ТГ!$G$9,ТГ_ИД!$D:$D,ТГ!$A544)</f>
        <v>0</v>
      </c>
      <c r="R543" s="130">
        <f>SUMIFS(ТГ_ИД!$E:$E,ТГ_ИД!$B:$B,ТГ!$G$10,ТГ_ИД!$D:$D,ТГ!$A544)</f>
        <v>0</v>
      </c>
      <c r="S543" s="130">
        <f>SUMIFS(ТГ_ИД!$E:$E,ТГ_ИД!$B:$B,ТГ!$G$11,ТГ_ИД!$D:$D,ТГ!$A544)</f>
        <v>0</v>
      </c>
      <c r="T543" s="130">
        <f>SUMIFS(ТГ_ИД!$E:$E,ТГ_ИД!$B:$B,ТГ!$G$12,ТГ_ИД!$D:$D,ТГ!$A544)</f>
        <v>0</v>
      </c>
      <c r="U543" s="130">
        <f>SUMIFS(ТГ_ИД!$E:$E,ТГ_ИД!$B:$B,ТГ!$G$13,ТГ_ИД!$D:$D,ТГ!$A544)</f>
        <v>0</v>
      </c>
      <c r="V543" s="130">
        <f>SUMIFS(ТГ_ИД!$E:$E,ТГ_ИД!$B:$B,ТГ!$G$14,ТГ_ИД!$D:$D,ТГ!$A544)</f>
        <v>0</v>
      </c>
    </row>
    <row r="544" spans="1:22" x14ac:dyDescent="0.25">
      <c r="A544" s="116" t="str">
        <f t="shared" si="9"/>
        <v/>
      </c>
      <c r="K544" s="130">
        <f>SUMIFS(ТГ_ИД!$E:$E,ТГ_ИД!$B:$B,ТГ!$G$3,ТГ_ИД!$D:$D,ТГ!$A545)</f>
        <v>0</v>
      </c>
      <c r="L544" s="130">
        <f>SUMIFS(ТГ_ИД!$E:$E,ТГ_ИД!$B:$B,ТГ!$G$4,ТГ_ИД!$D:$D,ТГ!$A545)</f>
        <v>0</v>
      </c>
      <c r="M544" s="130">
        <f>SUMIFS(ТГ_ИД!$E:$E,ТГ_ИД!$B:$B,ТГ!$G$5,ТГ_ИД!$D:$D,ТГ!$A545)</f>
        <v>0</v>
      </c>
      <c r="N544" s="130">
        <f>SUMIFS(ТГ_ИД!$E:$E,ТГ_ИД!$B:$B,ТГ!$G$6,ТГ_ИД!$D:$D,ТГ!$A545)</f>
        <v>0</v>
      </c>
      <c r="O544" s="130">
        <f>SUMIFS(ТГ_ИД!$E:$E,ТГ_ИД!$B:$B,ТГ!$G$7,ТГ_ИД!$D:$D,ТГ!$A545)</f>
        <v>0</v>
      </c>
      <c r="P544" s="130">
        <f>SUMIFS(ТГ_ИД!$E:$E,ТГ_ИД!$B:$B,ТГ!$G$8,ТГ_ИД!$D:$D,ТГ!$A545)</f>
        <v>0</v>
      </c>
      <c r="Q544" s="130">
        <f>SUMIFS(ТГ_ИД!$E:$E,ТГ_ИД!$B:$B,ТГ!$G$9,ТГ_ИД!$D:$D,ТГ!$A545)</f>
        <v>0</v>
      </c>
      <c r="R544" s="130">
        <f>SUMIFS(ТГ_ИД!$E:$E,ТГ_ИД!$B:$B,ТГ!$G$10,ТГ_ИД!$D:$D,ТГ!$A545)</f>
        <v>0</v>
      </c>
      <c r="S544" s="130">
        <f>SUMIFS(ТГ_ИД!$E:$E,ТГ_ИД!$B:$B,ТГ!$G$11,ТГ_ИД!$D:$D,ТГ!$A545)</f>
        <v>0</v>
      </c>
      <c r="T544" s="130">
        <f>SUMIFS(ТГ_ИД!$E:$E,ТГ_ИД!$B:$B,ТГ!$G$12,ТГ_ИД!$D:$D,ТГ!$A545)</f>
        <v>0</v>
      </c>
      <c r="U544" s="130">
        <f>SUMIFS(ТГ_ИД!$E:$E,ТГ_ИД!$B:$B,ТГ!$G$13,ТГ_ИД!$D:$D,ТГ!$A545)</f>
        <v>0</v>
      </c>
      <c r="V544" s="130">
        <f>SUMIFS(ТГ_ИД!$E:$E,ТГ_ИД!$B:$B,ТГ!$G$14,ТГ_ИД!$D:$D,ТГ!$A545)</f>
        <v>0</v>
      </c>
    </row>
    <row r="545" spans="1:22" x14ac:dyDescent="0.25">
      <c r="A545" s="116" t="str">
        <f t="shared" si="9"/>
        <v/>
      </c>
      <c r="K545" s="130">
        <f>SUMIFS(ТГ_ИД!$E:$E,ТГ_ИД!$B:$B,ТГ!$G$3,ТГ_ИД!$D:$D,ТГ!$A546)</f>
        <v>0</v>
      </c>
      <c r="L545" s="130">
        <f>SUMIFS(ТГ_ИД!$E:$E,ТГ_ИД!$B:$B,ТГ!$G$4,ТГ_ИД!$D:$D,ТГ!$A546)</f>
        <v>0</v>
      </c>
      <c r="M545" s="130">
        <f>SUMIFS(ТГ_ИД!$E:$E,ТГ_ИД!$B:$B,ТГ!$G$5,ТГ_ИД!$D:$D,ТГ!$A546)</f>
        <v>0</v>
      </c>
      <c r="N545" s="130">
        <f>SUMIFS(ТГ_ИД!$E:$E,ТГ_ИД!$B:$B,ТГ!$G$6,ТГ_ИД!$D:$D,ТГ!$A546)</f>
        <v>0</v>
      </c>
      <c r="O545" s="130">
        <f>SUMIFS(ТГ_ИД!$E:$E,ТГ_ИД!$B:$B,ТГ!$G$7,ТГ_ИД!$D:$D,ТГ!$A546)</f>
        <v>0</v>
      </c>
      <c r="P545" s="130">
        <f>SUMIFS(ТГ_ИД!$E:$E,ТГ_ИД!$B:$B,ТГ!$G$8,ТГ_ИД!$D:$D,ТГ!$A546)</f>
        <v>0</v>
      </c>
      <c r="Q545" s="130">
        <f>SUMIFS(ТГ_ИД!$E:$E,ТГ_ИД!$B:$B,ТГ!$G$9,ТГ_ИД!$D:$D,ТГ!$A546)</f>
        <v>0</v>
      </c>
      <c r="R545" s="130">
        <f>SUMIFS(ТГ_ИД!$E:$E,ТГ_ИД!$B:$B,ТГ!$G$10,ТГ_ИД!$D:$D,ТГ!$A546)</f>
        <v>0</v>
      </c>
      <c r="S545" s="130">
        <f>SUMIFS(ТГ_ИД!$E:$E,ТГ_ИД!$B:$B,ТГ!$G$11,ТГ_ИД!$D:$D,ТГ!$A546)</f>
        <v>0</v>
      </c>
      <c r="T545" s="130">
        <f>SUMIFS(ТГ_ИД!$E:$E,ТГ_ИД!$B:$B,ТГ!$G$12,ТГ_ИД!$D:$D,ТГ!$A546)</f>
        <v>0</v>
      </c>
      <c r="U545" s="130">
        <f>SUMIFS(ТГ_ИД!$E:$E,ТГ_ИД!$B:$B,ТГ!$G$13,ТГ_ИД!$D:$D,ТГ!$A546)</f>
        <v>0</v>
      </c>
      <c r="V545" s="130">
        <f>SUMIFS(ТГ_ИД!$E:$E,ТГ_ИД!$B:$B,ТГ!$G$14,ТГ_ИД!$D:$D,ТГ!$A546)</f>
        <v>0</v>
      </c>
    </row>
    <row r="546" spans="1:22" x14ac:dyDescent="0.25">
      <c r="A546" s="116" t="str">
        <f t="shared" si="9"/>
        <v/>
      </c>
      <c r="K546" s="130">
        <f>SUMIFS(ТГ_ИД!$E:$E,ТГ_ИД!$B:$B,ТГ!$G$3,ТГ_ИД!$D:$D,ТГ!$A547)</f>
        <v>0</v>
      </c>
      <c r="L546" s="130">
        <f>SUMIFS(ТГ_ИД!$E:$E,ТГ_ИД!$B:$B,ТГ!$G$4,ТГ_ИД!$D:$D,ТГ!$A547)</f>
        <v>0</v>
      </c>
      <c r="M546" s="130">
        <f>SUMIFS(ТГ_ИД!$E:$E,ТГ_ИД!$B:$B,ТГ!$G$5,ТГ_ИД!$D:$D,ТГ!$A547)</f>
        <v>0</v>
      </c>
      <c r="N546" s="130">
        <f>SUMIFS(ТГ_ИД!$E:$E,ТГ_ИД!$B:$B,ТГ!$G$6,ТГ_ИД!$D:$D,ТГ!$A547)</f>
        <v>0</v>
      </c>
      <c r="O546" s="130">
        <f>SUMIFS(ТГ_ИД!$E:$E,ТГ_ИД!$B:$B,ТГ!$G$7,ТГ_ИД!$D:$D,ТГ!$A547)</f>
        <v>0</v>
      </c>
      <c r="P546" s="130">
        <f>SUMIFS(ТГ_ИД!$E:$E,ТГ_ИД!$B:$B,ТГ!$G$8,ТГ_ИД!$D:$D,ТГ!$A547)</f>
        <v>0</v>
      </c>
      <c r="Q546" s="130">
        <f>SUMIFS(ТГ_ИД!$E:$E,ТГ_ИД!$B:$B,ТГ!$G$9,ТГ_ИД!$D:$D,ТГ!$A547)</f>
        <v>0</v>
      </c>
      <c r="R546" s="130">
        <f>SUMIFS(ТГ_ИД!$E:$E,ТГ_ИД!$B:$B,ТГ!$G$10,ТГ_ИД!$D:$D,ТГ!$A547)</f>
        <v>0</v>
      </c>
      <c r="S546" s="130">
        <f>SUMIFS(ТГ_ИД!$E:$E,ТГ_ИД!$B:$B,ТГ!$G$11,ТГ_ИД!$D:$D,ТГ!$A547)</f>
        <v>0</v>
      </c>
      <c r="T546" s="130">
        <f>SUMIFS(ТГ_ИД!$E:$E,ТГ_ИД!$B:$B,ТГ!$G$12,ТГ_ИД!$D:$D,ТГ!$A547)</f>
        <v>0</v>
      </c>
      <c r="U546" s="130">
        <f>SUMIFS(ТГ_ИД!$E:$E,ТГ_ИД!$B:$B,ТГ!$G$13,ТГ_ИД!$D:$D,ТГ!$A547)</f>
        <v>0</v>
      </c>
      <c r="V546" s="130">
        <f>SUMIFS(ТГ_ИД!$E:$E,ТГ_ИД!$B:$B,ТГ!$G$14,ТГ_ИД!$D:$D,ТГ!$A547)</f>
        <v>0</v>
      </c>
    </row>
    <row r="547" spans="1:22" x14ac:dyDescent="0.25">
      <c r="A547" s="116" t="str">
        <f t="shared" si="9"/>
        <v/>
      </c>
      <c r="K547" s="130">
        <f>SUMIFS(ТГ_ИД!$E:$E,ТГ_ИД!$B:$B,ТГ!$G$3,ТГ_ИД!$D:$D,ТГ!$A548)</f>
        <v>0</v>
      </c>
      <c r="L547" s="130">
        <f>SUMIFS(ТГ_ИД!$E:$E,ТГ_ИД!$B:$B,ТГ!$G$4,ТГ_ИД!$D:$D,ТГ!$A548)</f>
        <v>0</v>
      </c>
      <c r="M547" s="130">
        <f>SUMIFS(ТГ_ИД!$E:$E,ТГ_ИД!$B:$B,ТГ!$G$5,ТГ_ИД!$D:$D,ТГ!$A548)</f>
        <v>0</v>
      </c>
      <c r="N547" s="130">
        <f>SUMIFS(ТГ_ИД!$E:$E,ТГ_ИД!$B:$B,ТГ!$G$6,ТГ_ИД!$D:$D,ТГ!$A548)</f>
        <v>0</v>
      </c>
      <c r="O547" s="130">
        <f>SUMIFS(ТГ_ИД!$E:$E,ТГ_ИД!$B:$B,ТГ!$G$7,ТГ_ИД!$D:$D,ТГ!$A548)</f>
        <v>0</v>
      </c>
      <c r="P547" s="130">
        <f>SUMIFS(ТГ_ИД!$E:$E,ТГ_ИД!$B:$B,ТГ!$G$8,ТГ_ИД!$D:$D,ТГ!$A548)</f>
        <v>0</v>
      </c>
      <c r="Q547" s="130">
        <f>SUMIFS(ТГ_ИД!$E:$E,ТГ_ИД!$B:$B,ТГ!$G$9,ТГ_ИД!$D:$D,ТГ!$A548)</f>
        <v>0</v>
      </c>
      <c r="R547" s="130">
        <f>SUMIFS(ТГ_ИД!$E:$E,ТГ_ИД!$B:$B,ТГ!$G$10,ТГ_ИД!$D:$D,ТГ!$A548)</f>
        <v>0</v>
      </c>
      <c r="S547" s="130">
        <f>SUMIFS(ТГ_ИД!$E:$E,ТГ_ИД!$B:$B,ТГ!$G$11,ТГ_ИД!$D:$D,ТГ!$A548)</f>
        <v>0</v>
      </c>
      <c r="T547" s="130">
        <f>SUMIFS(ТГ_ИД!$E:$E,ТГ_ИД!$B:$B,ТГ!$G$12,ТГ_ИД!$D:$D,ТГ!$A548)</f>
        <v>0</v>
      </c>
      <c r="U547" s="130">
        <f>SUMIFS(ТГ_ИД!$E:$E,ТГ_ИД!$B:$B,ТГ!$G$13,ТГ_ИД!$D:$D,ТГ!$A548)</f>
        <v>0</v>
      </c>
      <c r="V547" s="130">
        <f>SUMIFS(ТГ_ИД!$E:$E,ТГ_ИД!$B:$B,ТГ!$G$14,ТГ_ИД!$D:$D,ТГ!$A548)</f>
        <v>0</v>
      </c>
    </row>
    <row r="548" spans="1:22" x14ac:dyDescent="0.25">
      <c r="A548" s="116" t="str">
        <f t="shared" si="9"/>
        <v/>
      </c>
      <c r="K548" s="130">
        <f>SUMIFS(ТГ_ИД!$E:$E,ТГ_ИД!$B:$B,ТГ!$G$3,ТГ_ИД!$D:$D,ТГ!$A549)</f>
        <v>0</v>
      </c>
      <c r="L548" s="130">
        <f>SUMIFS(ТГ_ИД!$E:$E,ТГ_ИД!$B:$B,ТГ!$G$4,ТГ_ИД!$D:$D,ТГ!$A549)</f>
        <v>0</v>
      </c>
      <c r="M548" s="130">
        <f>SUMIFS(ТГ_ИД!$E:$E,ТГ_ИД!$B:$B,ТГ!$G$5,ТГ_ИД!$D:$D,ТГ!$A549)</f>
        <v>0</v>
      </c>
      <c r="N548" s="130">
        <f>SUMIFS(ТГ_ИД!$E:$E,ТГ_ИД!$B:$B,ТГ!$G$6,ТГ_ИД!$D:$D,ТГ!$A549)</f>
        <v>0</v>
      </c>
      <c r="O548" s="130">
        <f>SUMIFS(ТГ_ИД!$E:$E,ТГ_ИД!$B:$B,ТГ!$G$7,ТГ_ИД!$D:$D,ТГ!$A549)</f>
        <v>0</v>
      </c>
      <c r="P548" s="130">
        <f>SUMIFS(ТГ_ИД!$E:$E,ТГ_ИД!$B:$B,ТГ!$G$8,ТГ_ИД!$D:$D,ТГ!$A549)</f>
        <v>0</v>
      </c>
      <c r="Q548" s="130">
        <f>SUMIFS(ТГ_ИД!$E:$E,ТГ_ИД!$B:$B,ТГ!$G$9,ТГ_ИД!$D:$D,ТГ!$A549)</f>
        <v>0</v>
      </c>
      <c r="R548" s="130">
        <f>SUMIFS(ТГ_ИД!$E:$E,ТГ_ИД!$B:$B,ТГ!$G$10,ТГ_ИД!$D:$D,ТГ!$A549)</f>
        <v>0</v>
      </c>
      <c r="S548" s="130">
        <f>SUMIFS(ТГ_ИД!$E:$E,ТГ_ИД!$B:$B,ТГ!$G$11,ТГ_ИД!$D:$D,ТГ!$A549)</f>
        <v>0</v>
      </c>
      <c r="T548" s="130">
        <f>SUMIFS(ТГ_ИД!$E:$E,ТГ_ИД!$B:$B,ТГ!$G$12,ТГ_ИД!$D:$D,ТГ!$A549)</f>
        <v>0</v>
      </c>
      <c r="U548" s="130">
        <f>SUMIFS(ТГ_ИД!$E:$E,ТГ_ИД!$B:$B,ТГ!$G$13,ТГ_ИД!$D:$D,ТГ!$A549)</f>
        <v>0</v>
      </c>
      <c r="V548" s="130">
        <f>SUMIFS(ТГ_ИД!$E:$E,ТГ_ИД!$B:$B,ТГ!$G$14,ТГ_ИД!$D:$D,ТГ!$A549)</f>
        <v>0</v>
      </c>
    </row>
    <row r="549" spans="1:22" x14ac:dyDescent="0.25">
      <c r="A549" s="116" t="str">
        <f t="shared" si="9"/>
        <v/>
      </c>
      <c r="K549" s="130">
        <f>SUMIFS(ТГ_ИД!$E:$E,ТГ_ИД!$B:$B,ТГ!$G$3,ТГ_ИД!$D:$D,ТГ!$A550)</f>
        <v>0</v>
      </c>
      <c r="L549" s="130">
        <f>SUMIFS(ТГ_ИД!$E:$E,ТГ_ИД!$B:$B,ТГ!$G$4,ТГ_ИД!$D:$D,ТГ!$A550)</f>
        <v>0</v>
      </c>
      <c r="M549" s="130">
        <f>SUMIFS(ТГ_ИД!$E:$E,ТГ_ИД!$B:$B,ТГ!$G$5,ТГ_ИД!$D:$D,ТГ!$A550)</f>
        <v>0</v>
      </c>
      <c r="N549" s="130">
        <f>SUMIFS(ТГ_ИД!$E:$E,ТГ_ИД!$B:$B,ТГ!$G$6,ТГ_ИД!$D:$D,ТГ!$A550)</f>
        <v>0</v>
      </c>
      <c r="O549" s="130">
        <f>SUMIFS(ТГ_ИД!$E:$E,ТГ_ИД!$B:$B,ТГ!$G$7,ТГ_ИД!$D:$D,ТГ!$A550)</f>
        <v>0</v>
      </c>
      <c r="P549" s="130">
        <f>SUMIFS(ТГ_ИД!$E:$E,ТГ_ИД!$B:$B,ТГ!$G$8,ТГ_ИД!$D:$D,ТГ!$A550)</f>
        <v>0</v>
      </c>
      <c r="Q549" s="130">
        <f>SUMIFS(ТГ_ИД!$E:$E,ТГ_ИД!$B:$B,ТГ!$G$9,ТГ_ИД!$D:$D,ТГ!$A550)</f>
        <v>0</v>
      </c>
      <c r="R549" s="130">
        <f>SUMIFS(ТГ_ИД!$E:$E,ТГ_ИД!$B:$B,ТГ!$G$10,ТГ_ИД!$D:$D,ТГ!$A550)</f>
        <v>0</v>
      </c>
      <c r="S549" s="130">
        <f>SUMIFS(ТГ_ИД!$E:$E,ТГ_ИД!$B:$B,ТГ!$G$11,ТГ_ИД!$D:$D,ТГ!$A550)</f>
        <v>0</v>
      </c>
      <c r="T549" s="130">
        <f>SUMIFS(ТГ_ИД!$E:$E,ТГ_ИД!$B:$B,ТГ!$G$12,ТГ_ИД!$D:$D,ТГ!$A550)</f>
        <v>0</v>
      </c>
      <c r="U549" s="130">
        <f>SUMIFS(ТГ_ИД!$E:$E,ТГ_ИД!$B:$B,ТГ!$G$13,ТГ_ИД!$D:$D,ТГ!$A550)</f>
        <v>0</v>
      </c>
      <c r="V549" s="130">
        <f>SUMIFS(ТГ_ИД!$E:$E,ТГ_ИД!$B:$B,ТГ!$G$14,ТГ_ИД!$D:$D,ТГ!$A550)</f>
        <v>0</v>
      </c>
    </row>
    <row r="550" spans="1:22" x14ac:dyDescent="0.25">
      <c r="A550" s="116" t="str">
        <f t="shared" si="9"/>
        <v/>
      </c>
      <c r="K550" s="130">
        <f>SUMIFS(ТГ_ИД!$E:$E,ТГ_ИД!$B:$B,ТГ!$G$3,ТГ_ИД!$D:$D,ТГ!$A551)</f>
        <v>0</v>
      </c>
      <c r="L550" s="130">
        <f>SUMIFS(ТГ_ИД!$E:$E,ТГ_ИД!$B:$B,ТГ!$G$4,ТГ_ИД!$D:$D,ТГ!$A551)</f>
        <v>0</v>
      </c>
      <c r="M550" s="130">
        <f>SUMIFS(ТГ_ИД!$E:$E,ТГ_ИД!$B:$B,ТГ!$G$5,ТГ_ИД!$D:$D,ТГ!$A551)</f>
        <v>0</v>
      </c>
      <c r="N550" s="130">
        <f>SUMIFS(ТГ_ИД!$E:$E,ТГ_ИД!$B:$B,ТГ!$G$6,ТГ_ИД!$D:$D,ТГ!$A551)</f>
        <v>0</v>
      </c>
      <c r="O550" s="130">
        <f>SUMIFS(ТГ_ИД!$E:$E,ТГ_ИД!$B:$B,ТГ!$G$7,ТГ_ИД!$D:$D,ТГ!$A551)</f>
        <v>0</v>
      </c>
      <c r="P550" s="130">
        <f>SUMIFS(ТГ_ИД!$E:$E,ТГ_ИД!$B:$B,ТГ!$G$8,ТГ_ИД!$D:$D,ТГ!$A551)</f>
        <v>0</v>
      </c>
      <c r="Q550" s="130">
        <f>SUMIFS(ТГ_ИД!$E:$E,ТГ_ИД!$B:$B,ТГ!$G$9,ТГ_ИД!$D:$D,ТГ!$A551)</f>
        <v>0</v>
      </c>
      <c r="R550" s="130">
        <f>SUMIFS(ТГ_ИД!$E:$E,ТГ_ИД!$B:$B,ТГ!$G$10,ТГ_ИД!$D:$D,ТГ!$A551)</f>
        <v>0</v>
      </c>
      <c r="S550" s="130">
        <f>SUMIFS(ТГ_ИД!$E:$E,ТГ_ИД!$B:$B,ТГ!$G$11,ТГ_ИД!$D:$D,ТГ!$A551)</f>
        <v>0</v>
      </c>
      <c r="T550" s="130">
        <f>SUMIFS(ТГ_ИД!$E:$E,ТГ_ИД!$B:$B,ТГ!$G$12,ТГ_ИД!$D:$D,ТГ!$A551)</f>
        <v>0</v>
      </c>
      <c r="U550" s="130">
        <f>SUMIFS(ТГ_ИД!$E:$E,ТГ_ИД!$B:$B,ТГ!$G$13,ТГ_ИД!$D:$D,ТГ!$A551)</f>
        <v>0</v>
      </c>
      <c r="V550" s="130">
        <f>SUMIFS(ТГ_ИД!$E:$E,ТГ_ИД!$B:$B,ТГ!$G$14,ТГ_ИД!$D:$D,ТГ!$A551)</f>
        <v>0</v>
      </c>
    </row>
    <row r="551" spans="1:22" x14ac:dyDescent="0.25">
      <c r="A551" s="116" t="str">
        <f t="shared" si="9"/>
        <v/>
      </c>
      <c r="K551" s="130">
        <f>SUMIFS(ТГ_ИД!$E:$E,ТГ_ИД!$B:$B,ТГ!$G$3,ТГ_ИД!$D:$D,ТГ!$A552)</f>
        <v>0</v>
      </c>
      <c r="L551" s="130">
        <f>SUMIFS(ТГ_ИД!$E:$E,ТГ_ИД!$B:$B,ТГ!$G$4,ТГ_ИД!$D:$D,ТГ!$A552)</f>
        <v>0</v>
      </c>
      <c r="M551" s="130">
        <f>SUMIFS(ТГ_ИД!$E:$E,ТГ_ИД!$B:$B,ТГ!$G$5,ТГ_ИД!$D:$D,ТГ!$A552)</f>
        <v>0</v>
      </c>
      <c r="N551" s="130">
        <f>SUMIFS(ТГ_ИД!$E:$E,ТГ_ИД!$B:$B,ТГ!$G$6,ТГ_ИД!$D:$D,ТГ!$A552)</f>
        <v>0</v>
      </c>
      <c r="O551" s="130">
        <f>SUMIFS(ТГ_ИД!$E:$E,ТГ_ИД!$B:$B,ТГ!$G$7,ТГ_ИД!$D:$D,ТГ!$A552)</f>
        <v>0</v>
      </c>
      <c r="P551" s="130">
        <f>SUMIFS(ТГ_ИД!$E:$E,ТГ_ИД!$B:$B,ТГ!$G$8,ТГ_ИД!$D:$D,ТГ!$A552)</f>
        <v>0</v>
      </c>
      <c r="Q551" s="130">
        <f>SUMIFS(ТГ_ИД!$E:$E,ТГ_ИД!$B:$B,ТГ!$G$9,ТГ_ИД!$D:$D,ТГ!$A552)</f>
        <v>0</v>
      </c>
      <c r="R551" s="130">
        <f>SUMIFS(ТГ_ИД!$E:$E,ТГ_ИД!$B:$B,ТГ!$G$10,ТГ_ИД!$D:$D,ТГ!$A552)</f>
        <v>0</v>
      </c>
      <c r="S551" s="130">
        <f>SUMIFS(ТГ_ИД!$E:$E,ТГ_ИД!$B:$B,ТГ!$G$11,ТГ_ИД!$D:$D,ТГ!$A552)</f>
        <v>0</v>
      </c>
      <c r="T551" s="130">
        <f>SUMIFS(ТГ_ИД!$E:$E,ТГ_ИД!$B:$B,ТГ!$G$12,ТГ_ИД!$D:$D,ТГ!$A552)</f>
        <v>0</v>
      </c>
      <c r="U551" s="130">
        <f>SUMIFS(ТГ_ИД!$E:$E,ТГ_ИД!$B:$B,ТГ!$G$13,ТГ_ИД!$D:$D,ТГ!$A552)</f>
        <v>0</v>
      </c>
      <c r="V551" s="130">
        <f>SUMIFS(ТГ_ИД!$E:$E,ТГ_ИД!$B:$B,ТГ!$G$14,ТГ_ИД!$D:$D,ТГ!$A552)</f>
        <v>0</v>
      </c>
    </row>
    <row r="552" spans="1:22" x14ac:dyDescent="0.25">
      <c r="A552" s="116" t="str">
        <f t="shared" si="9"/>
        <v/>
      </c>
      <c r="K552" s="130">
        <f>SUMIFS(ТГ_ИД!$E:$E,ТГ_ИД!$B:$B,ТГ!$G$3,ТГ_ИД!$D:$D,ТГ!$A553)</f>
        <v>0</v>
      </c>
      <c r="L552" s="130">
        <f>SUMIFS(ТГ_ИД!$E:$E,ТГ_ИД!$B:$B,ТГ!$G$4,ТГ_ИД!$D:$D,ТГ!$A553)</f>
        <v>0</v>
      </c>
      <c r="M552" s="130">
        <f>SUMIFS(ТГ_ИД!$E:$E,ТГ_ИД!$B:$B,ТГ!$G$5,ТГ_ИД!$D:$D,ТГ!$A553)</f>
        <v>0</v>
      </c>
      <c r="N552" s="130">
        <f>SUMIFS(ТГ_ИД!$E:$E,ТГ_ИД!$B:$B,ТГ!$G$6,ТГ_ИД!$D:$D,ТГ!$A553)</f>
        <v>0</v>
      </c>
      <c r="O552" s="130">
        <f>SUMIFS(ТГ_ИД!$E:$E,ТГ_ИД!$B:$B,ТГ!$G$7,ТГ_ИД!$D:$D,ТГ!$A553)</f>
        <v>0</v>
      </c>
      <c r="P552" s="130">
        <f>SUMIFS(ТГ_ИД!$E:$E,ТГ_ИД!$B:$B,ТГ!$G$8,ТГ_ИД!$D:$D,ТГ!$A553)</f>
        <v>0</v>
      </c>
      <c r="Q552" s="130">
        <f>SUMIFS(ТГ_ИД!$E:$E,ТГ_ИД!$B:$B,ТГ!$G$9,ТГ_ИД!$D:$D,ТГ!$A553)</f>
        <v>0</v>
      </c>
      <c r="R552" s="130">
        <f>SUMIFS(ТГ_ИД!$E:$E,ТГ_ИД!$B:$B,ТГ!$G$10,ТГ_ИД!$D:$D,ТГ!$A553)</f>
        <v>0</v>
      </c>
      <c r="S552" s="130">
        <f>SUMIFS(ТГ_ИД!$E:$E,ТГ_ИД!$B:$B,ТГ!$G$11,ТГ_ИД!$D:$D,ТГ!$A553)</f>
        <v>0</v>
      </c>
      <c r="T552" s="130">
        <f>SUMIFS(ТГ_ИД!$E:$E,ТГ_ИД!$B:$B,ТГ!$G$12,ТГ_ИД!$D:$D,ТГ!$A553)</f>
        <v>0</v>
      </c>
      <c r="U552" s="130">
        <f>SUMIFS(ТГ_ИД!$E:$E,ТГ_ИД!$B:$B,ТГ!$G$13,ТГ_ИД!$D:$D,ТГ!$A553)</f>
        <v>0</v>
      </c>
      <c r="V552" s="130">
        <f>SUMIFS(ТГ_ИД!$E:$E,ТГ_ИД!$B:$B,ТГ!$G$14,ТГ_ИД!$D:$D,ТГ!$A553)</f>
        <v>0</v>
      </c>
    </row>
    <row r="553" spans="1:22" x14ac:dyDescent="0.25">
      <c r="A553" s="116" t="str">
        <f t="shared" si="9"/>
        <v/>
      </c>
      <c r="K553" s="130">
        <f>SUMIFS(ТГ_ИД!$E:$E,ТГ_ИД!$B:$B,ТГ!$G$3,ТГ_ИД!$D:$D,ТГ!$A554)</f>
        <v>0</v>
      </c>
      <c r="L553" s="130">
        <f>SUMIFS(ТГ_ИД!$E:$E,ТГ_ИД!$B:$B,ТГ!$G$4,ТГ_ИД!$D:$D,ТГ!$A554)</f>
        <v>0</v>
      </c>
      <c r="M553" s="130">
        <f>SUMIFS(ТГ_ИД!$E:$E,ТГ_ИД!$B:$B,ТГ!$G$5,ТГ_ИД!$D:$D,ТГ!$A554)</f>
        <v>0</v>
      </c>
      <c r="N553" s="130">
        <f>SUMIFS(ТГ_ИД!$E:$E,ТГ_ИД!$B:$B,ТГ!$G$6,ТГ_ИД!$D:$D,ТГ!$A554)</f>
        <v>0</v>
      </c>
      <c r="O553" s="130">
        <f>SUMIFS(ТГ_ИД!$E:$E,ТГ_ИД!$B:$B,ТГ!$G$7,ТГ_ИД!$D:$D,ТГ!$A554)</f>
        <v>0</v>
      </c>
      <c r="P553" s="130">
        <f>SUMIFS(ТГ_ИД!$E:$E,ТГ_ИД!$B:$B,ТГ!$G$8,ТГ_ИД!$D:$D,ТГ!$A554)</f>
        <v>0</v>
      </c>
      <c r="Q553" s="130">
        <f>SUMIFS(ТГ_ИД!$E:$E,ТГ_ИД!$B:$B,ТГ!$G$9,ТГ_ИД!$D:$D,ТГ!$A554)</f>
        <v>0</v>
      </c>
      <c r="R553" s="130">
        <f>SUMIFS(ТГ_ИД!$E:$E,ТГ_ИД!$B:$B,ТГ!$G$10,ТГ_ИД!$D:$D,ТГ!$A554)</f>
        <v>0</v>
      </c>
      <c r="S553" s="130">
        <f>SUMIFS(ТГ_ИД!$E:$E,ТГ_ИД!$B:$B,ТГ!$G$11,ТГ_ИД!$D:$D,ТГ!$A554)</f>
        <v>0</v>
      </c>
      <c r="T553" s="130">
        <f>SUMIFS(ТГ_ИД!$E:$E,ТГ_ИД!$B:$B,ТГ!$G$12,ТГ_ИД!$D:$D,ТГ!$A554)</f>
        <v>0</v>
      </c>
      <c r="U553" s="130">
        <f>SUMIFS(ТГ_ИД!$E:$E,ТГ_ИД!$B:$B,ТГ!$G$13,ТГ_ИД!$D:$D,ТГ!$A554)</f>
        <v>0</v>
      </c>
      <c r="V553" s="130">
        <f>SUMIFS(ТГ_ИД!$E:$E,ТГ_ИД!$B:$B,ТГ!$G$14,ТГ_ИД!$D:$D,ТГ!$A554)</f>
        <v>0</v>
      </c>
    </row>
    <row r="554" spans="1:22" x14ac:dyDescent="0.25">
      <c r="A554" s="116" t="str">
        <f t="shared" si="9"/>
        <v/>
      </c>
      <c r="K554" s="130">
        <f>SUMIFS(ТГ_ИД!$E:$E,ТГ_ИД!$B:$B,ТГ!$G$3,ТГ_ИД!$D:$D,ТГ!$A555)</f>
        <v>0</v>
      </c>
      <c r="L554" s="130">
        <f>SUMIFS(ТГ_ИД!$E:$E,ТГ_ИД!$B:$B,ТГ!$G$4,ТГ_ИД!$D:$D,ТГ!$A555)</f>
        <v>0</v>
      </c>
      <c r="M554" s="130">
        <f>SUMIFS(ТГ_ИД!$E:$E,ТГ_ИД!$B:$B,ТГ!$G$5,ТГ_ИД!$D:$D,ТГ!$A555)</f>
        <v>0</v>
      </c>
      <c r="N554" s="130">
        <f>SUMIFS(ТГ_ИД!$E:$E,ТГ_ИД!$B:$B,ТГ!$G$6,ТГ_ИД!$D:$D,ТГ!$A555)</f>
        <v>0</v>
      </c>
      <c r="O554" s="130">
        <f>SUMIFS(ТГ_ИД!$E:$E,ТГ_ИД!$B:$B,ТГ!$G$7,ТГ_ИД!$D:$D,ТГ!$A555)</f>
        <v>0</v>
      </c>
      <c r="P554" s="130">
        <f>SUMIFS(ТГ_ИД!$E:$E,ТГ_ИД!$B:$B,ТГ!$G$8,ТГ_ИД!$D:$D,ТГ!$A555)</f>
        <v>0</v>
      </c>
      <c r="Q554" s="130">
        <f>SUMIFS(ТГ_ИД!$E:$E,ТГ_ИД!$B:$B,ТГ!$G$9,ТГ_ИД!$D:$D,ТГ!$A555)</f>
        <v>0</v>
      </c>
      <c r="R554" s="130">
        <f>SUMIFS(ТГ_ИД!$E:$E,ТГ_ИД!$B:$B,ТГ!$G$10,ТГ_ИД!$D:$D,ТГ!$A555)</f>
        <v>0</v>
      </c>
      <c r="S554" s="130">
        <f>SUMIFS(ТГ_ИД!$E:$E,ТГ_ИД!$B:$B,ТГ!$G$11,ТГ_ИД!$D:$D,ТГ!$A555)</f>
        <v>0</v>
      </c>
      <c r="T554" s="130">
        <f>SUMIFS(ТГ_ИД!$E:$E,ТГ_ИД!$B:$B,ТГ!$G$12,ТГ_ИД!$D:$D,ТГ!$A555)</f>
        <v>0</v>
      </c>
      <c r="U554" s="130">
        <f>SUMIFS(ТГ_ИД!$E:$E,ТГ_ИД!$B:$B,ТГ!$G$13,ТГ_ИД!$D:$D,ТГ!$A555)</f>
        <v>0</v>
      </c>
      <c r="V554" s="130">
        <f>SUMIFS(ТГ_ИД!$E:$E,ТГ_ИД!$B:$B,ТГ!$G$14,ТГ_ИД!$D:$D,ТГ!$A555)</f>
        <v>0</v>
      </c>
    </row>
    <row r="555" spans="1:22" x14ac:dyDescent="0.25">
      <c r="A555" s="116" t="str">
        <f t="shared" si="9"/>
        <v/>
      </c>
      <c r="K555" s="130">
        <f>SUMIFS(ТГ_ИД!$E:$E,ТГ_ИД!$B:$B,ТГ!$G$3,ТГ_ИД!$D:$D,ТГ!$A556)</f>
        <v>0</v>
      </c>
      <c r="L555" s="130">
        <f>SUMIFS(ТГ_ИД!$E:$E,ТГ_ИД!$B:$B,ТГ!$G$4,ТГ_ИД!$D:$D,ТГ!$A556)</f>
        <v>0</v>
      </c>
      <c r="M555" s="130">
        <f>SUMIFS(ТГ_ИД!$E:$E,ТГ_ИД!$B:$B,ТГ!$G$5,ТГ_ИД!$D:$D,ТГ!$A556)</f>
        <v>0</v>
      </c>
      <c r="N555" s="130">
        <f>SUMIFS(ТГ_ИД!$E:$E,ТГ_ИД!$B:$B,ТГ!$G$6,ТГ_ИД!$D:$D,ТГ!$A556)</f>
        <v>0</v>
      </c>
      <c r="O555" s="130">
        <f>SUMIFS(ТГ_ИД!$E:$E,ТГ_ИД!$B:$B,ТГ!$G$7,ТГ_ИД!$D:$D,ТГ!$A556)</f>
        <v>0</v>
      </c>
      <c r="P555" s="130">
        <f>SUMIFS(ТГ_ИД!$E:$E,ТГ_ИД!$B:$B,ТГ!$G$8,ТГ_ИД!$D:$D,ТГ!$A556)</f>
        <v>0</v>
      </c>
      <c r="Q555" s="130">
        <f>SUMIFS(ТГ_ИД!$E:$E,ТГ_ИД!$B:$B,ТГ!$G$9,ТГ_ИД!$D:$D,ТГ!$A556)</f>
        <v>0</v>
      </c>
      <c r="R555" s="130">
        <f>SUMIFS(ТГ_ИД!$E:$E,ТГ_ИД!$B:$B,ТГ!$G$10,ТГ_ИД!$D:$D,ТГ!$A556)</f>
        <v>0</v>
      </c>
      <c r="S555" s="130">
        <f>SUMIFS(ТГ_ИД!$E:$E,ТГ_ИД!$B:$B,ТГ!$G$11,ТГ_ИД!$D:$D,ТГ!$A556)</f>
        <v>0</v>
      </c>
      <c r="T555" s="130">
        <f>SUMIFS(ТГ_ИД!$E:$E,ТГ_ИД!$B:$B,ТГ!$G$12,ТГ_ИД!$D:$D,ТГ!$A556)</f>
        <v>0</v>
      </c>
      <c r="U555" s="130">
        <f>SUMIFS(ТГ_ИД!$E:$E,ТГ_ИД!$B:$B,ТГ!$G$13,ТГ_ИД!$D:$D,ТГ!$A556)</f>
        <v>0</v>
      </c>
      <c r="V555" s="130">
        <f>SUMIFS(ТГ_ИД!$E:$E,ТГ_ИД!$B:$B,ТГ!$G$14,ТГ_ИД!$D:$D,ТГ!$A556)</f>
        <v>0</v>
      </c>
    </row>
    <row r="556" spans="1:22" x14ac:dyDescent="0.25">
      <c r="A556" s="116" t="str">
        <f t="shared" si="9"/>
        <v/>
      </c>
      <c r="K556" s="130">
        <f>SUMIFS(ТГ_ИД!$E:$E,ТГ_ИД!$B:$B,ТГ!$G$3,ТГ_ИД!$D:$D,ТГ!$A557)</f>
        <v>0</v>
      </c>
      <c r="L556" s="130">
        <f>SUMIFS(ТГ_ИД!$E:$E,ТГ_ИД!$B:$B,ТГ!$G$4,ТГ_ИД!$D:$D,ТГ!$A557)</f>
        <v>0</v>
      </c>
      <c r="M556" s="130">
        <f>SUMIFS(ТГ_ИД!$E:$E,ТГ_ИД!$B:$B,ТГ!$G$5,ТГ_ИД!$D:$D,ТГ!$A557)</f>
        <v>0</v>
      </c>
      <c r="N556" s="130">
        <f>SUMIFS(ТГ_ИД!$E:$E,ТГ_ИД!$B:$B,ТГ!$G$6,ТГ_ИД!$D:$D,ТГ!$A557)</f>
        <v>0</v>
      </c>
      <c r="O556" s="130">
        <f>SUMIFS(ТГ_ИД!$E:$E,ТГ_ИД!$B:$B,ТГ!$G$7,ТГ_ИД!$D:$D,ТГ!$A557)</f>
        <v>0</v>
      </c>
      <c r="P556" s="130">
        <f>SUMIFS(ТГ_ИД!$E:$E,ТГ_ИД!$B:$B,ТГ!$G$8,ТГ_ИД!$D:$D,ТГ!$A557)</f>
        <v>0</v>
      </c>
      <c r="Q556" s="130">
        <f>SUMIFS(ТГ_ИД!$E:$E,ТГ_ИД!$B:$B,ТГ!$G$9,ТГ_ИД!$D:$D,ТГ!$A557)</f>
        <v>0</v>
      </c>
      <c r="R556" s="130">
        <f>SUMIFS(ТГ_ИД!$E:$E,ТГ_ИД!$B:$B,ТГ!$G$10,ТГ_ИД!$D:$D,ТГ!$A557)</f>
        <v>0</v>
      </c>
      <c r="S556" s="130">
        <f>SUMIFS(ТГ_ИД!$E:$E,ТГ_ИД!$B:$B,ТГ!$G$11,ТГ_ИД!$D:$D,ТГ!$A557)</f>
        <v>0</v>
      </c>
      <c r="T556" s="130">
        <f>SUMIFS(ТГ_ИД!$E:$E,ТГ_ИД!$B:$B,ТГ!$G$12,ТГ_ИД!$D:$D,ТГ!$A557)</f>
        <v>0</v>
      </c>
      <c r="U556" s="130">
        <f>SUMIFS(ТГ_ИД!$E:$E,ТГ_ИД!$B:$B,ТГ!$G$13,ТГ_ИД!$D:$D,ТГ!$A557)</f>
        <v>0</v>
      </c>
      <c r="V556" s="130">
        <f>SUMIFS(ТГ_ИД!$E:$E,ТГ_ИД!$B:$B,ТГ!$G$14,ТГ_ИД!$D:$D,ТГ!$A557)</f>
        <v>0</v>
      </c>
    </row>
    <row r="557" spans="1:22" x14ac:dyDescent="0.25">
      <c r="A557" s="116" t="str">
        <f t="shared" si="9"/>
        <v/>
      </c>
      <c r="K557" s="130">
        <f>SUMIFS(ТГ_ИД!$E:$E,ТГ_ИД!$B:$B,ТГ!$G$3,ТГ_ИД!$D:$D,ТГ!$A558)</f>
        <v>0</v>
      </c>
      <c r="L557" s="130">
        <f>SUMIFS(ТГ_ИД!$E:$E,ТГ_ИД!$B:$B,ТГ!$G$4,ТГ_ИД!$D:$D,ТГ!$A558)</f>
        <v>0</v>
      </c>
      <c r="M557" s="130">
        <f>SUMIFS(ТГ_ИД!$E:$E,ТГ_ИД!$B:$B,ТГ!$G$5,ТГ_ИД!$D:$D,ТГ!$A558)</f>
        <v>0</v>
      </c>
      <c r="N557" s="130">
        <f>SUMIFS(ТГ_ИД!$E:$E,ТГ_ИД!$B:$B,ТГ!$G$6,ТГ_ИД!$D:$D,ТГ!$A558)</f>
        <v>0</v>
      </c>
      <c r="O557" s="130">
        <f>SUMIFS(ТГ_ИД!$E:$E,ТГ_ИД!$B:$B,ТГ!$G$7,ТГ_ИД!$D:$D,ТГ!$A558)</f>
        <v>0</v>
      </c>
      <c r="P557" s="130">
        <f>SUMIFS(ТГ_ИД!$E:$E,ТГ_ИД!$B:$B,ТГ!$G$8,ТГ_ИД!$D:$D,ТГ!$A558)</f>
        <v>0</v>
      </c>
      <c r="Q557" s="130">
        <f>SUMIFS(ТГ_ИД!$E:$E,ТГ_ИД!$B:$B,ТГ!$G$9,ТГ_ИД!$D:$D,ТГ!$A558)</f>
        <v>0</v>
      </c>
      <c r="R557" s="130">
        <f>SUMIFS(ТГ_ИД!$E:$E,ТГ_ИД!$B:$B,ТГ!$G$10,ТГ_ИД!$D:$D,ТГ!$A558)</f>
        <v>0</v>
      </c>
      <c r="S557" s="130">
        <f>SUMIFS(ТГ_ИД!$E:$E,ТГ_ИД!$B:$B,ТГ!$G$11,ТГ_ИД!$D:$D,ТГ!$A558)</f>
        <v>0</v>
      </c>
      <c r="T557" s="130">
        <f>SUMIFS(ТГ_ИД!$E:$E,ТГ_ИД!$B:$B,ТГ!$G$12,ТГ_ИД!$D:$D,ТГ!$A558)</f>
        <v>0</v>
      </c>
      <c r="U557" s="130">
        <f>SUMIFS(ТГ_ИД!$E:$E,ТГ_ИД!$B:$B,ТГ!$G$13,ТГ_ИД!$D:$D,ТГ!$A558)</f>
        <v>0</v>
      </c>
      <c r="V557" s="130">
        <f>SUMIFS(ТГ_ИД!$E:$E,ТГ_ИД!$B:$B,ТГ!$G$14,ТГ_ИД!$D:$D,ТГ!$A558)</f>
        <v>0</v>
      </c>
    </row>
    <row r="558" spans="1:22" x14ac:dyDescent="0.25">
      <c r="A558" s="116" t="str">
        <f t="shared" si="9"/>
        <v/>
      </c>
      <c r="K558" s="130">
        <f>SUMIFS(ТГ_ИД!$E:$E,ТГ_ИД!$B:$B,ТГ!$G$3,ТГ_ИД!$D:$D,ТГ!$A559)</f>
        <v>0</v>
      </c>
      <c r="L558" s="130">
        <f>SUMIFS(ТГ_ИД!$E:$E,ТГ_ИД!$B:$B,ТГ!$G$4,ТГ_ИД!$D:$D,ТГ!$A559)</f>
        <v>0</v>
      </c>
      <c r="M558" s="130">
        <f>SUMIFS(ТГ_ИД!$E:$E,ТГ_ИД!$B:$B,ТГ!$G$5,ТГ_ИД!$D:$D,ТГ!$A559)</f>
        <v>0</v>
      </c>
      <c r="N558" s="130">
        <f>SUMIFS(ТГ_ИД!$E:$E,ТГ_ИД!$B:$B,ТГ!$G$6,ТГ_ИД!$D:$D,ТГ!$A559)</f>
        <v>0</v>
      </c>
      <c r="O558" s="130">
        <f>SUMIFS(ТГ_ИД!$E:$E,ТГ_ИД!$B:$B,ТГ!$G$7,ТГ_ИД!$D:$D,ТГ!$A559)</f>
        <v>0</v>
      </c>
      <c r="P558" s="130">
        <f>SUMIFS(ТГ_ИД!$E:$E,ТГ_ИД!$B:$B,ТГ!$G$8,ТГ_ИД!$D:$D,ТГ!$A559)</f>
        <v>0</v>
      </c>
      <c r="Q558" s="130">
        <f>SUMIFS(ТГ_ИД!$E:$E,ТГ_ИД!$B:$B,ТГ!$G$9,ТГ_ИД!$D:$D,ТГ!$A559)</f>
        <v>0</v>
      </c>
      <c r="R558" s="130">
        <f>SUMIFS(ТГ_ИД!$E:$E,ТГ_ИД!$B:$B,ТГ!$G$10,ТГ_ИД!$D:$D,ТГ!$A559)</f>
        <v>0</v>
      </c>
      <c r="S558" s="130">
        <f>SUMIFS(ТГ_ИД!$E:$E,ТГ_ИД!$B:$B,ТГ!$G$11,ТГ_ИД!$D:$D,ТГ!$A559)</f>
        <v>0</v>
      </c>
      <c r="T558" s="130">
        <f>SUMIFS(ТГ_ИД!$E:$E,ТГ_ИД!$B:$B,ТГ!$G$12,ТГ_ИД!$D:$D,ТГ!$A559)</f>
        <v>0</v>
      </c>
      <c r="U558" s="130">
        <f>SUMIFS(ТГ_ИД!$E:$E,ТГ_ИД!$B:$B,ТГ!$G$13,ТГ_ИД!$D:$D,ТГ!$A559)</f>
        <v>0</v>
      </c>
      <c r="V558" s="130">
        <f>SUMIFS(ТГ_ИД!$E:$E,ТГ_ИД!$B:$B,ТГ!$G$14,ТГ_ИД!$D:$D,ТГ!$A559)</f>
        <v>0</v>
      </c>
    </row>
    <row r="559" spans="1:22" x14ac:dyDescent="0.25">
      <c r="A559" s="116" t="str">
        <f t="shared" si="9"/>
        <v/>
      </c>
      <c r="K559" s="130">
        <f>SUMIFS(ТГ_ИД!$E:$E,ТГ_ИД!$B:$B,ТГ!$G$3,ТГ_ИД!$D:$D,ТГ!$A560)</f>
        <v>0</v>
      </c>
      <c r="L559" s="130">
        <f>SUMIFS(ТГ_ИД!$E:$E,ТГ_ИД!$B:$B,ТГ!$G$4,ТГ_ИД!$D:$D,ТГ!$A560)</f>
        <v>0</v>
      </c>
      <c r="M559" s="130">
        <f>SUMIFS(ТГ_ИД!$E:$E,ТГ_ИД!$B:$B,ТГ!$G$5,ТГ_ИД!$D:$D,ТГ!$A560)</f>
        <v>0</v>
      </c>
      <c r="N559" s="130">
        <f>SUMIFS(ТГ_ИД!$E:$E,ТГ_ИД!$B:$B,ТГ!$G$6,ТГ_ИД!$D:$D,ТГ!$A560)</f>
        <v>0</v>
      </c>
      <c r="O559" s="130">
        <f>SUMIFS(ТГ_ИД!$E:$E,ТГ_ИД!$B:$B,ТГ!$G$7,ТГ_ИД!$D:$D,ТГ!$A560)</f>
        <v>0</v>
      </c>
      <c r="P559" s="130">
        <f>SUMIFS(ТГ_ИД!$E:$E,ТГ_ИД!$B:$B,ТГ!$G$8,ТГ_ИД!$D:$D,ТГ!$A560)</f>
        <v>0</v>
      </c>
      <c r="Q559" s="130">
        <f>SUMIFS(ТГ_ИД!$E:$E,ТГ_ИД!$B:$B,ТГ!$G$9,ТГ_ИД!$D:$D,ТГ!$A560)</f>
        <v>0</v>
      </c>
      <c r="R559" s="130">
        <f>SUMIFS(ТГ_ИД!$E:$E,ТГ_ИД!$B:$B,ТГ!$G$10,ТГ_ИД!$D:$D,ТГ!$A560)</f>
        <v>0</v>
      </c>
      <c r="S559" s="130">
        <f>SUMIFS(ТГ_ИД!$E:$E,ТГ_ИД!$B:$B,ТГ!$G$11,ТГ_ИД!$D:$D,ТГ!$A560)</f>
        <v>0</v>
      </c>
      <c r="T559" s="130">
        <f>SUMIFS(ТГ_ИД!$E:$E,ТГ_ИД!$B:$B,ТГ!$G$12,ТГ_ИД!$D:$D,ТГ!$A560)</f>
        <v>0</v>
      </c>
      <c r="U559" s="130">
        <f>SUMIFS(ТГ_ИД!$E:$E,ТГ_ИД!$B:$B,ТГ!$G$13,ТГ_ИД!$D:$D,ТГ!$A560)</f>
        <v>0</v>
      </c>
      <c r="V559" s="130">
        <f>SUMIFS(ТГ_ИД!$E:$E,ТГ_ИД!$B:$B,ТГ!$G$14,ТГ_ИД!$D:$D,ТГ!$A560)</f>
        <v>0</v>
      </c>
    </row>
    <row r="560" spans="1:22" x14ac:dyDescent="0.25">
      <c r="A560" s="116" t="str">
        <f t="shared" si="9"/>
        <v/>
      </c>
      <c r="K560" s="130">
        <f>SUMIFS(ТГ_ИД!$E:$E,ТГ_ИД!$B:$B,ТГ!$G$3,ТГ_ИД!$D:$D,ТГ!$A561)</f>
        <v>0</v>
      </c>
      <c r="L560" s="130">
        <f>SUMIFS(ТГ_ИД!$E:$E,ТГ_ИД!$B:$B,ТГ!$G$4,ТГ_ИД!$D:$D,ТГ!$A561)</f>
        <v>0</v>
      </c>
      <c r="M560" s="130">
        <f>SUMIFS(ТГ_ИД!$E:$E,ТГ_ИД!$B:$B,ТГ!$G$5,ТГ_ИД!$D:$D,ТГ!$A561)</f>
        <v>0</v>
      </c>
      <c r="N560" s="130">
        <f>SUMIFS(ТГ_ИД!$E:$E,ТГ_ИД!$B:$B,ТГ!$G$6,ТГ_ИД!$D:$D,ТГ!$A561)</f>
        <v>0</v>
      </c>
      <c r="O560" s="130">
        <f>SUMIFS(ТГ_ИД!$E:$E,ТГ_ИД!$B:$B,ТГ!$G$7,ТГ_ИД!$D:$D,ТГ!$A561)</f>
        <v>0</v>
      </c>
      <c r="P560" s="130">
        <f>SUMIFS(ТГ_ИД!$E:$E,ТГ_ИД!$B:$B,ТГ!$G$8,ТГ_ИД!$D:$D,ТГ!$A561)</f>
        <v>0</v>
      </c>
      <c r="Q560" s="130">
        <f>SUMIFS(ТГ_ИД!$E:$E,ТГ_ИД!$B:$B,ТГ!$G$9,ТГ_ИД!$D:$D,ТГ!$A561)</f>
        <v>0</v>
      </c>
      <c r="R560" s="130">
        <f>SUMIFS(ТГ_ИД!$E:$E,ТГ_ИД!$B:$B,ТГ!$G$10,ТГ_ИД!$D:$D,ТГ!$A561)</f>
        <v>0</v>
      </c>
      <c r="S560" s="130">
        <f>SUMIFS(ТГ_ИД!$E:$E,ТГ_ИД!$B:$B,ТГ!$G$11,ТГ_ИД!$D:$D,ТГ!$A561)</f>
        <v>0</v>
      </c>
      <c r="T560" s="130">
        <f>SUMIFS(ТГ_ИД!$E:$E,ТГ_ИД!$B:$B,ТГ!$G$12,ТГ_ИД!$D:$D,ТГ!$A561)</f>
        <v>0</v>
      </c>
      <c r="U560" s="130">
        <f>SUMIFS(ТГ_ИД!$E:$E,ТГ_ИД!$B:$B,ТГ!$G$13,ТГ_ИД!$D:$D,ТГ!$A561)</f>
        <v>0</v>
      </c>
      <c r="V560" s="130">
        <f>SUMIFS(ТГ_ИД!$E:$E,ТГ_ИД!$B:$B,ТГ!$G$14,ТГ_ИД!$D:$D,ТГ!$A561)</f>
        <v>0</v>
      </c>
    </row>
    <row r="561" spans="1:22" x14ac:dyDescent="0.25">
      <c r="A561" s="116" t="str">
        <f t="shared" si="9"/>
        <v/>
      </c>
      <c r="K561" s="130">
        <f>SUMIFS(ТГ_ИД!$E:$E,ТГ_ИД!$B:$B,ТГ!$G$3,ТГ_ИД!$D:$D,ТГ!$A562)</f>
        <v>0</v>
      </c>
      <c r="L561" s="130">
        <f>SUMIFS(ТГ_ИД!$E:$E,ТГ_ИД!$B:$B,ТГ!$G$4,ТГ_ИД!$D:$D,ТГ!$A562)</f>
        <v>0</v>
      </c>
      <c r="M561" s="130">
        <f>SUMIFS(ТГ_ИД!$E:$E,ТГ_ИД!$B:$B,ТГ!$G$5,ТГ_ИД!$D:$D,ТГ!$A562)</f>
        <v>0</v>
      </c>
      <c r="N561" s="130">
        <f>SUMIFS(ТГ_ИД!$E:$E,ТГ_ИД!$B:$B,ТГ!$G$6,ТГ_ИД!$D:$D,ТГ!$A562)</f>
        <v>0</v>
      </c>
      <c r="O561" s="130">
        <f>SUMIFS(ТГ_ИД!$E:$E,ТГ_ИД!$B:$B,ТГ!$G$7,ТГ_ИД!$D:$D,ТГ!$A562)</f>
        <v>0</v>
      </c>
      <c r="P561" s="130">
        <f>SUMIFS(ТГ_ИД!$E:$E,ТГ_ИД!$B:$B,ТГ!$G$8,ТГ_ИД!$D:$D,ТГ!$A562)</f>
        <v>0</v>
      </c>
      <c r="Q561" s="130">
        <f>SUMIFS(ТГ_ИД!$E:$E,ТГ_ИД!$B:$B,ТГ!$G$9,ТГ_ИД!$D:$D,ТГ!$A562)</f>
        <v>0</v>
      </c>
      <c r="R561" s="130">
        <f>SUMIFS(ТГ_ИД!$E:$E,ТГ_ИД!$B:$B,ТГ!$G$10,ТГ_ИД!$D:$D,ТГ!$A562)</f>
        <v>0</v>
      </c>
      <c r="S561" s="130">
        <f>SUMIFS(ТГ_ИД!$E:$E,ТГ_ИД!$B:$B,ТГ!$G$11,ТГ_ИД!$D:$D,ТГ!$A562)</f>
        <v>0</v>
      </c>
      <c r="T561" s="130">
        <f>SUMIFS(ТГ_ИД!$E:$E,ТГ_ИД!$B:$B,ТГ!$G$12,ТГ_ИД!$D:$D,ТГ!$A562)</f>
        <v>0</v>
      </c>
      <c r="U561" s="130">
        <f>SUMIFS(ТГ_ИД!$E:$E,ТГ_ИД!$B:$B,ТГ!$G$13,ТГ_ИД!$D:$D,ТГ!$A562)</f>
        <v>0</v>
      </c>
      <c r="V561" s="130">
        <f>SUMIFS(ТГ_ИД!$E:$E,ТГ_ИД!$B:$B,ТГ!$G$14,ТГ_ИД!$D:$D,ТГ!$A562)</f>
        <v>0</v>
      </c>
    </row>
    <row r="562" spans="1:22" x14ac:dyDescent="0.25">
      <c r="A562" s="116" t="str">
        <f t="shared" si="9"/>
        <v/>
      </c>
      <c r="K562" s="130">
        <f>SUMIFS(ТГ_ИД!$E:$E,ТГ_ИД!$B:$B,ТГ!$G$3,ТГ_ИД!$D:$D,ТГ!$A563)</f>
        <v>0</v>
      </c>
      <c r="L562" s="130">
        <f>SUMIFS(ТГ_ИД!$E:$E,ТГ_ИД!$B:$B,ТГ!$G$4,ТГ_ИД!$D:$D,ТГ!$A563)</f>
        <v>0</v>
      </c>
      <c r="M562" s="130">
        <f>SUMIFS(ТГ_ИД!$E:$E,ТГ_ИД!$B:$B,ТГ!$G$5,ТГ_ИД!$D:$D,ТГ!$A563)</f>
        <v>0</v>
      </c>
      <c r="N562" s="130">
        <f>SUMIFS(ТГ_ИД!$E:$E,ТГ_ИД!$B:$B,ТГ!$G$6,ТГ_ИД!$D:$D,ТГ!$A563)</f>
        <v>0</v>
      </c>
      <c r="O562" s="130">
        <f>SUMIFS(ТГ_ИД!$E:$E,ТГ_ИД!$B:$B,ТГ!$G$7,ТГ_ИД!$D:$D,ТГ!$A563)</f>
        <v>0</v>
      </c>
      <c r="P562" s="130">
        <f>SUMIFS(ТГ_ИД!$E:$E,ТГ_ИД!$B:$B,ТГ!$G$8,ТГ_ИД!$D:$D,ТГ!$A563)</f>
        <v>0</v>
      </c>
      <c r="Q562" s="130">
        <f>SUMIFS(ТГ_ИД!$E:$E,ТГ_ИД!$B:$B,ТГ!$G$9,ТГ_ИД!$D:$D,ТГ!$A563)</f>
        <v>0</v>
      </c>
      <c r="R562" s="130">
        <f>SUMIFS(ТГ_ИД!$E:$E,ТГ_ИД!$B:$B,ТГ!$G$10,ТГ_ИД!$D:$D,ТГ!$A563)</f>
        <v>0</v>
      </c>
      <c r="S562" s="130">
        <f>SUMIFS(ТГ_ИД!$E:$E,ТГ_ИД!$B:$B,ТГ!$G$11,ТГ_ИД!$D:$D,ТГ!$A563)</f>
        <v>0</v>
      </c>
      <c r="T562" s="130">
        <f>SUMIFS(ТГ_ИД!$E:$E,ТГ_ИД!$B:$B,ТГ!$G$12,ТГ_ИД!$D:$D,ТГ!$A563)</f>
        <v>0</v>
      </c>
      <c r="U562" s="130">
        <f>SUMIFS(ТГ_ИД!$E:$E,ТГ_ИД!$B:$B,ТГ!$G$13,ТГ_ИД!$D:$D,ТГ!$A563)</f>
        <v>0</v>
      </c>
      <c r="V562" s="130">
        <f>SUMIFS(ТГ_ИД!$E:$E,ТГ_ИД!$B:$B,ТГ!$G$14,ТГ_ИД!$D:$D,ТГ!$A563)</f>
        <v>0</v>
      </c>
    </row>
    <row r="563" spans="1:22" x14ac:dyDescent="0.25">
      <c r="A563" s="116" t="str">
        <f t="shared" si="9"/>
        <v/>
      </c>
      <c r="K563" s="130">
        <f>SUMIFS(ТГ_ИД!$E:$E,ТГ_ИД!$B:$B,ТГ!$G$3,ТГ_ИД!$D:$D,ТГ!$A564)</f>
        <v>0</v>
      </c>
      <c r="L563" s="130">
        <f>SUMIFS(ТГ_ИД!$E:$E,ТГ_ИД!$B:$B,ТГ!$G$4,ТГ_ИД!$D:$D,ТГ!$A564)</f>
        <v>0</v>
      </c>
      <c r="M563" s="130">
        <f>SUMIFS(ТГ_ИД!$E:$E,ТГ_ИД!$B:$B,ТГ!$G$5,ТГ_ИД!$D:$D,ТГ!$A564)</f>
        <v>0</v>
      </c>
      <c r="N563" s="130">
        <f>SUMIFS(ТГ_ИД!$E:$E,ТГ_ИД!$B:$B,ТГ!$G$6,ТГ_ИД!$D:$D,ТГ!$A564)</f>
        <v>0</v>
      </c>
      <c r="O563" s="130">
        <f>SUMIFS(ТГ_ИД!$E:$E,ТГ_ИД!$B:$B,ТГ!$G$7,ТГ_ИД!$D:$D,ТГ!$A564)</f>
        <v>0</v>
      </c>
      <c r="P563" s="130">
        <f>SUMIFS(ТГ_ИД!$E:$E,ТГ_ИД!$B:$B,ТГ!$G$8,ТГ_ИД!$D:$D,ТГ!$A564)</f>
        <v>0</v>
      </c>
      <c r="Q563" s="130">
        <f>SUMIFS(ТГ_ИД!$E:$E,ТГ_ИД!$B:$B,ТГ!$G$9,ТГ_ИД!$D:$D,ТГ!$A564)</f>
        <v>0</v>
      </c>
      <c r="R563" s="130">
        <f>SUMIFS(ТГ_ИД!$E:$E,ТГ_ИД!$B:$B,ТГ!$G$10,ТГ_ИД!$D:$D,ТГ!$A564)</f>
        <v>0</v>
      </c>
      <c r="S563" s="130">
        <f>SUMIFS(ТГ_ИД!$E:$E,ТГ_ИД!$B:$B,ТГ!$G$11,ТГ_ИД!$D:$D,ТГ!$A564)</f>
        <v>0</v>
      </c>
      <c r="T563" s="130">
        <f>SUMIFS(ТГ_ИД!$E:$E,ТГ_ИД!$B:$B,ТГ!$G$12,ТГ_ИД!$D:$D,ТГ!$A564)</f>
        <v>0</v>
      </c>
      <c r="U563" s="130">
        <f>SUMIFS(ТГ_ИД!$E:$E,ТГ_ИД!$B:$B,ТГ!$G$13,ТГ_ИД!$D:$D,ТГ!$A564)</f>
        <v>0</v>
      </c>
      <c r="V563" s="130">
        <f>SUMIFS(ТГ_ИД!$E:$E,ТГ_ИД!$B:$B,ТГ!$G$14,ТГ_ИД!$D:$D,ТГ!$A564)</f>
        <v>0</v>
      </c>
    </row>
    <row r="564" spans="1:22" x14ac:dyDescent="0.25">
      <c r="A564" s="116" t="str">
        <f t="shared" si="9"/>
        <v/>
      </c>
      <c r="K564" s="130">
        <f>SUMIFS(ТГ_ИД!$E:$E,ТГ_ИД!$B:$B,ТГ!$G$3,ТГ_ИД!$D:$D,ТГ!$A565)</f>
        <v>0</v>
      </c>
      <c r="L564" s="130">
        <f>SUMIFS(ТГ_ИД!$E:$E,ТГ_ИД!$B:$B,ТГ!$G$4,ТГ_ИД!$D:$D,ТГ!$A565)</f>
        <v>0</v>
      </c>
      <c r="M564" s="130">
        <f>SUMIFS(ТГ_ИД!$E:$E,ТГ_ИД!$B:$B,ТГ!$G$5,ТГ_ИД!$D:$D,ТГ!$A565)</f>
        <v>0</v>
      </c>
      <c r="N564" s="130">
        <f>SUMIFS(ТГ_ИД!$E:$E,ТГ_ИД!$B:$B,ТГ!$G$6,ТГ_ИД!$D:$D,ТГ!$A565)</f>
        <v>0</v>
      </c>
      <c r="O564" s="130">
        <f>SUMIFS(ТГ_ИД!$E:$E,ТГ_ИД!$B:$B,ТГ!$G$7,ТГ_ИД!$D:$D,ТГ!$A565)</f>
        <v>0</v>
      </c>
      <c r="P564" s="130">
        <f>SUMIFS(ТГ_ИД!$E:$E,ТГ_ИД!$B:$B,ТГ!$G$8,ТГ_ИД!$D:$D,ТГ!$A565)</f>
        <v>0</v>
      </c>
      <c r="Q564" s="130">
        <f>SUMIFS(ТГ_ИД!$E:$E,ТГ_ИД!$B:$B,ТГ!$G$9,ТГ_ИД!$D:$D,ТГ!$A565)</f>
        <v>0</v>
      </c>
      <c r="R564" s="130">
        <f>SUMIFS(ТГ_ИД!$E:$E,ТГ_ИД!$B:$B,ТГ!$G$10,ТГ_ИД!$D:$D,ТГ!$A565)</f>
        <v>0</v>
      </c>
      <c r="S564" s="130">
        <f>SUMIFS(ТГ_ИД!$E:$E,ТГ_ИД!$B:$B,ТГ!$G$11,ТГ_ИД!$D:$D,ТГ!$A565)</f>
        <v>0</v>
      </c>
      <c r="T564" s="130">
        <f>SUMIFS(ТГ_ИД!$E:$E,ТГ_ИД!$B:$B,ТГ!$G$12,ТГ_ИД!$D:$D,ТГ!$A565)</f>
        <v>0</v>
      </c>
      <c r="U564" s="130">
        <f>SUMIFS(ТГ_ИД!$E:$E,ТГ_ИД!$B:$B,ТГ!$G$13,ТГ_ИД!$D:$D,ТГ!$A565)</f>
        <v>0</v>
      </c>
      <c r="V564" s="130">
        <f>SUMIFS(ТГ_ИД!$E:$E,ТГ_ИД!$B:$B,ТГ!$G$14,ТГ_ИД!$D:$D,ТГ!$A565)</f>
        <v>0</v>
      </c>
    </row>
    <row r="565" spans="1:22" x14ac:dyDescent="0.25">
      <c r="A565" s="116" t="str">
        <f t="shared" si="9"/>
        <v/>
      </c>
      <c r="K565" s="130">
        <f>SUMIFS(ТГ_ИД!$E:$E,ТГ_ИД!$B:$B,ТГ!$G$3,ТГ_ИД!$D:$D,ТГ!$A566)</f>
        <v>0</v>
      </c>
      <c r="L565" s="130">
        <f>SUMIFS(ТГ_ИД!$E:$E,ТГ_ИД!$B:$B,ТГ!$G$4,ТГ_ИД!$D:$D,ТГ!$A566)</f>
        <v>0</v>
      </c>
      <c r="M565" s="130">
        <f>SUMIFS(ТГ_ИД!$E:$E,ТГ_ИД!$B:$B,ТГ!$G$5,ТГ_ИД!$D:$D,ТГ!$A566)</f>
        <v>0</v>
      </c>
      <c r="N565" s="130">
        <f>SUMIFS(ТГ_ИД!$E:$E,ТГ_ИД!$B:$B,ТГ!$G$6,ТГ_ИД!$D:$D,ТГ!$A566)</f>
        <v>0</v>
      </c>
      <c r="O565" s="130">
        <f>SUMIFS(ТГ_ИД!$E:$E,ТГ_ИД!$B:$B,ТГ!$G$7,ТГ_ИД!$D:$D,ТГ!$A566)</f>
        <v>0</v>
      </c>
      <c r="P565" s="130">
        <f>SUMIFS(ТГ_ИД!$E:$E,ТГ_ИД!$B:$B,ТГ!$G$8,ТГ_ИД!$D:$D,ТГ!$A566)</f>
        <v>0</v>
      </c>
      <c r="Q565" s="130">
        <f>SUMIFS(ТГ_ИД!$E:$E,ТГ_ИД!$B:$B,ТГ!$G$9,ТГ_ИД!$D:$D,ТГ!$A566)</f>
        <v>0</v>
      </c>
      <c r="R565" s="130">
        <f>SUMIFS(ТГ_ИД!$E:$E,ТГ_ИД!$B:$B,ТГ!$G$10,ТГ_ИД!$D:$D,ТГ!$A566)</f>
        <v>0</v>
      </c>
      <c r="S565" s="130">
        <f>SUMIFS(ТГ_ИД!$E:$E,ТГ_ИД!$B:$B,ТГ!$G$11,ТГ_ИД!$D:$D,ТГ!$A566)</f>
        <v>0</v>
      </c>
      <c r="T565" s="130">
        <f>SUMIFS(ТГ_ИД!$E:$E,ТГ_ИД!$B:$B,ТГ!$G$12,ТГ_ИД!$D:$D,ТГ!$A566)</f>
        <v>0</v>
      </c>
      <c r="U565" s="130">
        <f>SUMIFS(ТГ_ИД!$E:$E,ТГ_ИД!$B:$B,ТГ!$G$13,ТГ_ИД!$D:$D,ТГ!$A566)</f>
        <v>0</v>
      </c>
      <c r="V565" s="130">
        <f>SUMIFS(ТГ_ИД!$E:$E,ТГ_ИД!$B:$B,ТГ!$G$14,ТГ_ИД!$D:$D,ТГ!$A566)</f>
        <v>0</v>
      </c>
    </row>
    <row r="566" spans="1:22" x14ac:dyDescent="0.25">
      <c r="A566" s="116" t="str">
        <f t="shared" si="9"/>
        <v/>
      </c>
      <c r="K566" s="130">
        <f>SUMIFS(ТГ_ИД!$E:$E,ТГ_ИД!$B:$B,ТГ!$G$3,ТГ_ИД!$D:$D,ТГ!$A567)</f>
        <v>0</v>
      </c>
      <c r="L566" s="130">
        <f>SUMIFS(ТГ_ИД!$E:$E,ТГ_ИД!$B:$B,ТГ!$G$4,ТГ_ИД!$D:$D,ТГ!$A567)</f>
        <v>0</v>
      </c>
      <c r="M566" s="130">
        <f>SUMIFS(ТГ_ИД!$E:$E,ТГ_ИД!$B:$B,ТГ!$G$5,ТГ_ИД!$D:$D,ТГ!$A567)</f>
        <v>0</v>
      </c>
      <c r="N566" s="130">
        <f>SUMIFS(ТГ_ИД!$E:$E,ТГ_ИД!$B:$B,ТГ!$G$6,ТГ_ИД!$D:$D,ТГ!$A567)</f>
        <v>0</v>
      </c>
      <c r="O566" s="130">
        <f>SUMIFS(ТГ_ИД!$E:$E,ТГ_ИД!$B:$B,ТГ!$G$7,ТГ_ИД!$D:$D,ТГ!$A567)</f>
        <v>0</v>
      </c>
      <c r="P566" s="130">
        <f>SUMIFS(ТГ_ИД!$E:$E,ТГ_ИД!$B:$B,ТГ!$G$8,ТГ_ИД!$D:$D,ТГ!$A567)</f>
        <v>0</v>
      </c>
      <c r="Q566" s="130">
        <f>SUMIFS(ТГ_ИД!$E:$E,ТГ_ИД!$B:$B,ТГ!$G$9,ТГ_ИД!$D:$D,ТГ!$A567)</f>
        <v>0</v>
      </c>
      <c r="R566" s="130">
        <f>SUMIFS(ТГ_ИД!$E:$E,ТГ_ИД!$B:$B,ТГ!$G$10,ТГ_ИД!$D:$D,ТГ!$A567)</f>
        <v>0</v>
      </c>
      <c r="S566" s="130">
        <f>SUMIFS(ТГ_ИД!$E:$E,ТГ_ИД!$B:$B,ТГ!$G$11,ТГ_ИД!$D:$D,ТГ!$A567)</f>
        <v>0</v>
      </c>
      <c r="T566" s="130">
        <f>SUMIFS(ТГ_ИД!$E:$E,ТГ_ИД!$B:$B,ТГ!$G$12,ТГ_ИД!$D:$D,ТГ!$A567)</f>
        <v>0</v>
      </c>
      <c r="U566" s="130">
        <f>SUMIFS(ТГ_ИД!$E:$E,ТГ_ИД!$B:$B,ТГ!$G$13,ТГ_ИД!$D:$D,ТГ!$A567)</f>
        <v>0</v>
      </c>
      <c r="V566" s="130">
        <f>SUMIFS(ТГ_ИД!$E:$E,ТГ_ИД!$B:$B,ТГ!$G$14,ТГ_ИД!$D:$D,ТГ!$A567)</f>
        <v>0</v>
      </c>
    </row>
    <row r="567" spans="1:22" x14ac:dyDescent="0.25">
      <c r="A567" s="116" t="str">
        <f t="shared" si="9"/>
        <v/>
      </c>
      <c r="K567" s="130">
        <f>SUMIFS(ТГ_ИД!$E:$E,ТГ_ИД!$B:$B,ТГ!$G$3,ТГ_ИД!$D:$D,ТГ!$A568)</f>
        <v>0</v>
      </c>
      <c r="L567" s="130">
        <f>SUMIFS(ТГ_ИД!$E:$E,ТГ_ИД!$B:$B,ТГ!$G$4,ТГ_ИД!$D:$D,ТГ!$A568)</f>
        <v>0</v>
      </c>
      <c r="M567" s="130">
        <f>SUMIFS(ТГ_ИД!$E:$E,ТГ_ИД!$B:$B,ТГ!$G$5,ТГ_ИД!$D:$D,ТГ!$A568)</f>
        <v>0</v>
      </c>
      <c r="N567" s="130">
        <f>SUMIFS(ТГ_ИД!$E:$E,ТГ_ИД!$B:$B,ТГ!$G$6,ТГ_ИД!$D:$D,ТГ!$A568)</f>
        <v>0</v>
      </c>
      <c r="O567" s="130">
        <f>SUMIFS(ТГ_ИД!$E:$E,ТГ_ИД!$B:$B,ТГ!$G$7,ТГ_ИД!$D:$D,ТГ!$A568)</f>
        <v>0</v>
      </c>
      <c r="P567" s="130">
        <f>SUMIFS(ТГ_ИД!$E:$E,ТГ_ИД!$B:$B,ТГ!$G$8,ТГ_ИД!$D:$D,ТГ!$A568)</f>
        <v>0</v>
      </c>
      <c r="Q567" s="130">
        <f>SUMIFS(ТГ_ИД!$E:$E,ТГ_ИД!$B:$B,ТГ!$G$9,ТГ_ИД!$D:$D,ТГ!$A568)</f>
        <v>0</v>
      </c>
      <c r="R567" s="130">
        <f>SUMIFS(ТГ_ИД!$E:$E,ТГ_ИД!$B:$B,ТГ!$G$10,ТГ_ИД!$D:$D,ТГ!$A568)</f>
        <v>0</v>
      </c>
      <c r="S567" s="130">
        <f>SUMIFS(ТГ_ИД!$E:$E,ТГ_ИД!$B:$B,ТГ!$G$11,ТГ_ИД!$D:$D,ТГ!$A568)</f>
        <v>0</v>
      </c>
      <c r="T567" s="130">
        <f>SUMIFS(ТГ_ИД!$E:$E,ТГ_ИД!$B:$B,ТГ!$G$12,ТГ_ИД!$D:$D,ТГ!$A568)</f>
        <v>0</v>
      </c>
      <c r="U567" s="130">
        <f>SUMIFS(ТГ_ИД!$E:$E,ТГ_ИД!$B:$B,ТГ!$G$13,ТГ_ИД!$D:$D,ТГ!$A568)</f>
        <v>0</v>
      </c>
      <c r="V567" s="130">
        <f>SUMIFS(ТГ_ИД!$E:$E,ТГ_ИД!$B:$B,ТГ!$G$14,ТГ_ИД!$D:$D,ТГ!$A568)</f>
        <v>0</v>
      </c>
    </row>
    <row r="568" spans="1:22" x14ac:dyDescent="0.25">
      <c r="A568" s="116" t="str">
        <f t="shared" si="9"/>
        <v/>
      </c>
      <c r="K568" s="130">
        <f>SUMIFS(ТГ_ИД!$E:$E,ТГ_ИД!$B:$B,ТГ!$G$3,ТГ_ИД!$D:$D,ТГ!$A569)</f>
        <v>0</v>
      </c>
      <c r="L568" s="130">
        <f>SUMIFS(ТГ_ИД!$E:$E,ТГ_ИД!$B:$B,ТГ!$G$4,ТГ_ИД!$D:$D,ТГ!$A569)</f>
        <v>0</v>
      </c>
      <c r="M568" s="130">
        <f>SUMIFS(ТГ_ИД!$E:$E,ТГ_ИД!$B:$B,ТГ!$G$5,ТГ_ИД!$D:$D,ТГ!$A569)</f>
        <v>0</v>
      </c>
      <c r="N568" s="130">
        <f>SUMIFS(ТГ_ИД!$E:$E,ТГ_ИД!$B:$B,ТГ!$G$6,ТГ_ИД!$D:$D,ТГ!$A569)</f>
        <v>0</v>
      </c>
      <c r="O568" s="130">
        <f>SUMIFS(ТГ_ИД!$E:$E,ТГ_ИД!$B:$B,ТГ!$G$7,ТГ_ИД!$D:$D,ТГ!$A569)</f>
        <v>0</v>
      </c>
      <c r="P568" s="130">
        <f>SUMIFS(ТГ_ИД!$E:$E,ТГ_ИД!$B:$B,ТГ!$G$8,ТГ_ИД!$D:$D,ТГ!$A569)</f>
        <v>0</v>
      </c>
      <c r="Q568" s="130">
        <f>SUMIFS(ТГ_ИД!$E:$E,ТГ_ИД!$B:$B,ТГ!$G$9,ТГ_ИД!$D:$D,ТГ!$A569)</f>
        <v>0</v>
      </c>
      <c r="R568" s="130">
        <f>SUMIFS(ТГ_ИД!$E:$E,ТГ_ИД!$B:$B,ТГ!$G$10,ТГ_ИД!$D:$D,ТГ!$A569)</f>
        <v>0</v>
      </c>
      <c r="S568" s="130">
        <f>SUMIFS(ТГ_ИД!$E:$E,ТГ_ИД!$B:$B,ТГ!$G$11,ТГ_ИД!$D:$D,ТГ!$A569)</f>
        <v>0</v>
      </c>
      <c r="T568" s="130">
        <f>SUMIFS(ТГ_ИД!$E:$E,ТГ_ИД!$B:$B,ТГ!$G$12,ТГ_ИД!$D:$D,ТГ!$A569)</f>
        <v>0</v>
      </c>
      <c r="U568" s="130">
        <f>SUMIFS(ТГ_ИД!$E:$E,ТГ_ИД!$B:$B,ТГ!$G$13,ТГ_ИД!$D:$D,ТГ!$A569)</f>
        <v>0</v>
      </c>
      <c r="V568" s="130">
        <f>SUMIFS(ТГ_ИД!$E:$E,ТГ_ИД!$B:$B,ТГ!$G$14,ТГ_ИД!$D:$D,ТГ!$A569)</f>
        <v>0</v>
      </c>
    </row>
    <row r="569" spans="1:22" x14ac:dyDescent="0.25">
      <c r="A569" s="116" t="str">
        <f t="shared" si="9"/>
        <v/>
      </c>
      <c r="K569" s="130">
        <f>SUMIFS(ТГ_ИД!$E:$E,ТГ_ИД!$B:$B,ТГ!$G$3,ТГ_ИД!$D:$D,ТГ!$A570)</f>
        <v>0</v>
      </c>
      <c r="L569" s="130">
        <f>SUMIFS(ТГ_ИД!$E:$E,ТГ_ИД!$B:$B,ТГ!$G$4,ТГ_ИД!$D:$D,ТГ!$A570)</f>
        <v>0</v>
      </c>
      <c r="M569" s="130">
        <f>SUMIFS(ТГ_ИД!$E:$E,ТГ_ИД!$B:$B,ТГ!$G$5,ТГ_ИД!$D:$D,ТГ!$A570)</f>
        <v>0</v>
      </c>
      <c r="N569" s="130">
        <f>SUMIFS(ТГ_ИД!$E:$E,ТГ_ИД!$B:$B,ТГ!$G$6,ТГ_ИД!$D:$D,ТГ!$A570)</f>
        <v>0</v>
      </c>
      <c r="O569" s="130">
        <f>SUMIFS(ТГ_ИД!$E:$E,ТГ_ИД!$B:$B,ТГ!$G$7,ТГ_ИД!$D:$D,ТГ!$A570)</f>
        <v>0</v>
      </c>
      <c r="P569" s="130">
        <f>SUMIFS(ТГ_ИД!$E:$E,ТГ_ИД!$B:$B,ТГ!$G$8,ТГ_ИД!$D:$D,ТГ!$A570)</f>
        <v>0</v>
      </c>
      <c r="Q569" s="130">
        <f>SUMIFS(ТГ_ИД!$E:$E,ТГ_ИД!$B:$B,ТГ!$G$9,ТГ_ИД!$D:$D,ТГ!$A570)</f>
        <v>0</v>
      </c>
      <c r="R569" s="130">
        <f>SUMIFS(ТГ_ИД!$E:$E,ТГ_ИД!$B:$B,ТГ!$G$10,ТГ_ИД!$D:$D,ТГ!$A570)</f>
        <v>0</v>
      </c>
      <c r="S569" s="130">
        <f>SUMIFS(ТГ_ИД!$E:$E,ТГ_ИД!$B:$B,ТГ!$G$11,ТГ_ИД!$D:$D,ТГ!$A570)</f>
        <v>0</v>
      </c>
      <c r="T569" s="130">
        <f>SUMIFS(ТГ_ИД!$E:$E,ТГ_ИД!$B:$B,ТГ!$G$12,ТГ_ИД!$D:$D,ТГ!$A570)</f>
        <v>0</v>
      </c>
      <c r="U569" s="130">
        <f>SUMIFS(ТГ_ИД!$E:$E,ТГ_ИД!$B:$B,ТГ!$G$13,ТГ_ИД!$D:$D,ТГ!$A570)</f>
        <v>0</v>
      </c>
      <c r="V569" s="130">
        <f>SUMIFS(ТГ_ИД!$E:$E,ТГ_ИД!$B:$B,ТГ!$G$14,ТГ_ИД!$D:$D,ТГ!$A570)</f>
        <v>0</v>
      </c>
    </row>
    <row r="570" spans="1:22" x14ac:dyDescent="0.25">
      <c r="A570" s="116" t="str">
        <f t="shared" si="9"/>
        <v/>
      </c>
      <c r="K570" s="130">
        <f>SUMIFS(ТГ_ИД!$E:$E,ТГ_ИД!$B:$B,ТГ!$G$3,ТГ_ИД!$D:$D,ТГ!$A571)</f>
        <v>0</v>
      </c>
      <c r="L570" s="130">
        <f>SUMIFS(ТГ_ИД!$E:$E,ТГ_ИД!$B:$B,ТГ!$G$4,ТГ_ИД!$D:$D,ТГ!$A571)</f>
        <v>0</v>
      </c>
      <c r="M570" s="130">
        <f>SUMIFS(ТГ_ИД!$E:$E,ТГ_ИД!$B:$B,ТГ!$G$5,ТГ_ИД!$D:$D,ТГ!$A571)</f>
        <v>0</v>
      </c>
      <c r="N570" s="130">
        <f>SUMIFS(ТГ_ИД!$E:$E,ТГ_ИД!$B:$B,ТГ!$G$6,ТГ_ИД!$D:$D,ТГ!$A571)</f>
        <v>0</v>
      </c>
      <c r="O570" s="130">
        <f>SUMIFS(ТГ_ИД!$E:$E,ТГ_ИД!$B:$B,ТГ!$G$7,ТГ_ИД!$D:$D,ТГ!$A571)</f>
        <v>0</v>
      </c>
      <c r="P570" s="130">
        <f>SUMIFS(ТГ_ИД!$E:$E,ТГ_ИД!$B:$B,ТГ!$G$8,ТГ_ИД!$D:$D,ТГ!$A571)</f>
        <v>0</v>
      </c>
      <c r="Q570" s="130">
        <f>SUMIFS(ТГ_ИД!$E:$E,ТГ_ИД!$B:$B,ТГ!$G$9,ТГ_ИД!$D:$D,ТГ!$A571)</f>
        <v>0</v>
      </c>
      <c r="R570" s="130">
        <f>SUMIFS(ТГ_ИД!$E:$E,ТГ_ИД!$B:$B,ТГ!$G$10,ТГ_ИД!$D:$D,ТГ!$A571)</f>
        <v>0</v>
      </c>
      <c r="S570" s="130">
        <f>SUMIFS(ТГ_ИД!$E:$E,ТГ_ИД!$B:$B,ТГ!$G$11,ТГ_ИД!$D:$D,ТГ!$A571)</f>
        <v>0</v>
      </c>
      <c r="T570" s="130">
        <f>SUMIFS(ТГ_ИД!$E:$E,ТГ_ИД!$B:$B,ТГ!$G$12,ТГ_ИД!$D:$D,ТГ!$A571)</f>
        <v>0</v>
      </c>
      <c r="U570" s="130">
        <f>SUMIFS(ТГ_ИД!$E:$E,ТГ_ИД!$B:$B,ТГ!$G$13,ТГ_ИД!$D:$D,ТГ!$A571)</f>
        <v>0</v>
      </c>
      <c r="V570" s="130">
        <f>SUMIFS(ТГ_ИД!$E:$E,ТГ_ИД!$B:$B,ТГ!$G$14,ТГ_ИД!$D:$D,ТГ!$A571)</f>
        <v>0</v>
      </c>
    </row>
    <row r="571" spans="1:22" x14ac:dyDescent="0.25">
      <c r="A571" s="116" t="str">
        <f t="shared" si="9"/>
        <v/>
      </c>
      <c r="K571" s="130">
        <f>SUMIFS(ТГ_ИД!$E:$E,ТГ_ИД!$B:$B,ТГ!$G$3,ТГ_ИД!$D:$D,ТГ!$A572)</f>
        <v>0</v>
      </c>
      <c r="L571" s="130">
        <f>SUMIFS(ТГ_ИД!$E:$E,ТГ_ИД!$B:$B,ТГ!$G$4,ТГ_ИД!$D:$D,ТГ!$A572)</f>
        <v>0</v>
      </c>
      <c r="M571" s="130">
        <f>SUMIFS(ТГ_ИД!$E:$E,ТГ_ИД!$B:$B,ТГ!$G$5,ТГ_ИД!$D:$D,ТГ!$A572)</f>
        <v>0</v>
      </c>
      <c r="N571" s="130">
        <f>SUMIFS(ТГ_ИД!$E:$E,ТГ_ИД!$B:$B,ТГ!$G$6,ТГ_ИД!$D:$D,ТГ!$A572)</f>
        <v>0</v>
      </c>
      <c r="O571" s="130">
        <f>SUMIFS(ТГ_ИД!$E:$E,ТГ_ИД!$B:$B,ТГ!$G$7,ТГ_ИД!$D:$D,ТГ!$A572)</f>
        <v>0</v>
      </c>
      <c r="P571" s="130">
        <f>SUMIFS(ТГ_ИД!$E:$E,ТГ_ИД!$B:$B,ТГ!$G$8,ТГ_ИД!$D:$D,ТГ!$A572)</f>
        <v>0</v>
      </c>
      <c r="Q571" s="130">
        <f>SUMIFS(ТГ_ИД!$E:$E,ТГ_ИД!$B:$B,ТГ!$G$9,ТГ_ИД!$D:$D,ТГ!$A572)</f>
        <v>0</v>
      </c>
      <c r="R571" s="130">
        <f>SUMIFS(ТГ_ИД!$E:$E,ТГ_ИД!$B:$B,ТГ!$G$10,ТГ_ИД!$D:$D,ТГ!$A572)</f>
        <v>0</v>
      </c>
      <c r="S571" s="130">
        <f>SUMIFS(ТГ_ИД!$E:$E,ТГ_ИД!$B:$B,ТГ!$G$11,ТГ_ИД!$D:$D,ТГ!$A572)</f>
        <v>0</v>
      </c>
      <c r="T571" s="130">
        <f>SUMIFS(ТГ_ИД!$E:$E,ТГ_ИД!$B:$B,ТГ!$G$12,ТГ_ИД!$D:$D,ТГ!$A572)</f>
        <v>0</v>
      </c>
      <c r="U571" s="130">
        <f>SUMIFS(ТГ_ИД!$E:$E,ТГ_ИД!$B:$B,ТГ!$G$13,ТГ_ИД!$D:$D,ТГ!$A572)</f>
        <v>0</v>
      </c>
      <c r="V571" s="130">
        <f>SUMIFS(ТГ_ИД!$E:$E,ТГ_ИД!$B:$B,ТГ!$G$14,ТГ_ИД!$D:$D,ТГ!$A572)</f>
        <v>0</v>
      </c>
    </row>
    <row r="572" spans="1:22" x14ac:dyDescent="0.25">
      <c r="A572" s="116" t="str">
        <f t="shared" si="9"/>
        <v/>
      </c>
      <c r="K572" s="130">
        <f>SUMIFS(ТГ_ИД!$E:$E,ТГ_ИД!$B:$B,ТГ!$G$3,ТГ_ИД!$D:$D,ТГ!$A573)</f>
        <v>0</v>
      </c>
      <c r="L572" s="130">
        <f>SUMIFS(ТГ_ИД!$E:$E,ТГ_ИД!$B:$B,ТГ!$G$4,ТГ_ИД!$D:$D,ТГ!$A573)</f>
        <v>0</v>
      </c>
      <c r="M572" s="130">
        <f>SUMIFS(ТГ_ИД!$E:$E,ТГ_ИД!$B:$B,ТГ!$G$5,ТГ_ИД!$D:$D,ТГ!$A573)</f>
        <v>0</v>
      </c>
      <c r="N572" s="130">
        <f>SUMIFS(ТГ_ИД!$E:$E,ТГ_ИД!$B:$B,ТГ!$G$6,ТГ_ИД!$D:$D,ТГ!$A573)</f>
        <v>0</v>
      </c>
      <c r="O572" s="130">
        <f>SUMIFS(ТГ_ИД!$E:$E,ТГ_ИД!$B:$B,ТГ!$G$7,ТГ_ИД!$D:$D,ТГ!$A573)</f>
        <v>0</v>
      </c>
      <c r="P572" s="130">
        <f>SUMIFS(ТГ_ИД!$E:$E,ТГ_ИД!$B:$B,ТГ!$G$8,ТГ_ИД!$D:$D,ТГ!$A573)</f>
        <v>0</v>
      </c>
      <c r="Q572" s="130">
        <f>SUMIFS(ТГ_ИД!$E:$E,ТГ_ИД!$B:$B,ТГ!$G$9,ТГ_ИД!$D:$D,ТГ!$A573)</f>
        <v>0</v>
      </c>
      <c r="R572" s="130">
        <f>SUMIFS(ТГ_ИД!$E:$E,ТГ_ИД!$B:$B,ТГ!$G$10,ТГ_ИД!$D:$D,ТГ!$A573)</f>
        <v>0</v>
      </c>
      <c r="S572" s="130">
        <f>SUMIFS(ТГ_ИД!$E:$E,ТГ_ИД!$B:$B,ТГ!$G$11,ТГ_ИД!$D:$D,ТГ!$A573)</f>
        <v>0</v>
      </c>
      <c r="T572" s="130">
        <f>SUMIFS(ТГ_ИД!$E:$E,ТГ_ИД!$B:$B,ТГ!$G$12,ТГ_ИД!$D:$D,ТГ!$A573)</f>
        <v>0</v>
      </c>
      <c r="U572" s="130">
        <f>SUMIFS(ТГ_ИД!$E:$E,ТГ_ИД!$B:$B,ТГ!$G$13,ТГ_ИД!$D:$D,ТГ!$A573)</f>
        <v>0</v>
      </c>
      <c r="V572" s="130">
        <f>SUMIFS(ТГ_ИД!$E:$E,ТГ_ИД!$B:$B,ТГ!$G$14,ТГ_ИД!$D:$D,ТГ!$A573)</f>
        <v>0</v>
      </c>
    </row>
    <row r="573" spans="1:22" x14ac:dyDescent="0.25">
      <c r="A573" s="116" t="str">
        <f t="shared" si="9"/>
        <v/>
      </c>
      <c r="K573" s="130">
        <f>SUMIFS(ТГ_ИД!$E:$E,ТГ_ИД!$B:$B,ТГ!$G$3,ТГ_ИД!$D:$D,ТГ!$A574)</f>
        <v>0</v>
      </c>
      <c r="L573" s="130">
        <f>SUMIFS(ТГ_ИД!$E:$E,ТГ_ИД!$B:$B,ТГ!$G$4,ТГ_ИД!$D:$D,ТГ!$A574)</f>
        <v>0</v>
      </c>
      <c r="M573" s="130">
        <f>SUMIFS(ТГ_ИД!$E:$E,ТГ_ИД!$B:$B,ТГ!$G$5,ТГ_ИД!$D:$D,ТГ!$A574)</f>
        <v>0</v>
      </c>
      <c r="N573" s="130">
        <f>SUMIFS(ТГ_ИД!$E:$E,ТГ_ИД!$B:$B,ТГ!$G$6,ТГ_ИД!$D:$D,ТГ!$A574)</f>
        <v>0</v>
      </c>
      <c r="O573" s="130">
        <f>SUMIFS(ТГ_ИД!$E:$E,ТГ_ИД!$B:$B,ТГ!$G$7,ТГ_ИД!$D:$D,ТГ!$A574)</f>
        <v>0</v>
      </c>
      <c r="P573" s="130">
        <f>SUMIFS(ТГ_ИД!$E:$E,ТГ_ИД!$B:$B,ТГ!$G$8,ТГ_ИД!$D:$D,ТГ!$A574)</f>
        <v>0</v>
      </c>
      <c r="Q573" s="130">
        <f>SUMIFS(ТГ_ИД!$E:$E,ТГ_ИД!$B:$B,ТГ!$G$9,ТГ_ИД!$D:$D,ТГ!$A574)</f>
        <v>0</v>
      </c>
      <c r="R573" s="130">
        <f>SUMIFS(ТГ_ИД!$E:$E,ТГ_ИД!$B:$B,ТГ!$G$10,ТГ_ИД!$D:$D,ТГ!$A574)</f>
        <v>0</v>
      </c>
      <c r="S573" s="130">
        <f>SUMIFS(ТГ_ИД!$E:$E,ТГ_ИД!$B:$B,ТГ!$G$11,ТГ_ИД!$D:$D,ТГ!$A574)</f>
        <v>0</v>
      </c>
      <c r="T573" s="130">
        <f>SUMIFS(ТГ_ИД!$E:$E,ТГ_ИД!$B:$B,ТГ!$G$12,ТГ_ИД!$D:$D,ТГ!$A574)</f>
        <v>0</v>
      </c>
      <c r="U573" s="130">
        <f>SUMIFS(ТГ_ИД!$E:$E,ТГ_ИД!$B:$B,ТГ!$G$13,ТГ_ИД!$D:$D,ТГ!$A574)</f>
        <v>0</v>
      </c>
      <c r="V573" s="130">
        <f>SUMIFS(ТГ_ИД!$E:$E,ТГ_ИД!$B:$B,ТГ!$G$14,ТГ_ИД!$D:$D,ТГ!$A574)</f>
        <v>0</v>
      </c>
    </row>
    <row r="574" spans="1:22" x14ac:dyDescent="0.25">
      <c r="A574" s="116" t="str">
        <f t="shared" si="9"/>
        <v/>
      </c>
      <c r="K574" s="130">
        <f>SUMIFS(ТГ_ИД!$E:$E,ТГ_ИД!$B:$B,ТГ!$G$3,ТГ_ИД!$D:$D,ТГ!$A575)</f>
        <v>0</v>
      </c>
      <c r="L574" s="130">
        <f>SUMIFS(ТГ_ИД!$E:$E,ТГ_ИД!$B:$B,ТГ!$G$4,ТГ_ИД!$D:$D,ТГ!$A575)</f>
        <v>0</v>
      </c>
      <c r="M574" s="130">
        <f>SUMIFS(ТГ_ИД!$E:$E,ТГ_ИД!$B:$B,ТГ!$G$5,ТГ_ИД!$D:$D,ТГ!$A575)</f>
        <v>0</v>
      </c>
      <c r="N574" s="130">
        <f>SUMIFS(ТГ_ИД!$E:$E,ТГ_ИД!$B:$B,ТГ!$G$6,ТГ_ИД!$D:$D,ТГ!$A575)</f>
        <v>0</v>
      </c>
      <c r="O574" s="130">
        <f>SUMIFS(ТГ_ИД!$E:$E,ТГ_ИД!$B:$B,ТГ!$G$7,ТГ_ИД!$D:$D,ТГ!$A575)</f>
        <v>0</v>
      </c>
      <c r="P574" s="130">
        <f>SUMIFS(ТГ_ИД!$E:$E,ТГ_ИД!$B:$B,ТГ!$G$8,ТГ_ИД!$D:$D,ТГ!$A575)</f>
        <v>0</v>
      </c>
      <c r="Q574" s="130">
        <f>SUMIFS(ТГ_ИД!$E:$E,ТГ_ИД!$B:$B,ТГ!$G$9,ТГ_ИД!$D:$D,ТГ!$A575)</f>
        <v>0</v>
      </c>
      <c r="R574" s="130">
        <f>SUMIFS(ТГ_ИД!$E:$E,ТГ_ИД!$B:$B,ТГ!$G$10,ТГ_ИД!$D:$D,ТГ!$A575)</f>
        <v>0</v>
      </c>
      <c r="S574" s="130">
        <f>SUMIFS(ТГ_ИД!$E:$E,ТГ_ИД!$B:$B,ТГ!$G$11,ТГ_ИД!$D:$D,ТГ!$A575)</f>
        <v>0</v>
      </c>
      <c r="T574" s="130">
        <f>SUMIFS(ТГ_ИД!$E:$E,ТГ_ИД!$B:$B,ТГ!$G$12,ТГ_ИД!$D:$D,ТГ!$A575)</f>
        <v>0</v>
      </c>
      <c r="U574" s="130">
        <f>SUMIFS(ТГ_ИД!$E:$E,ТГ_ИД!$B:$B,ТГ!$G$13,ТГ_ИД!$D:$D,ТГ!$A575)</f>
        <v>0</v>
      </c>
      <c r="V574" s="130">
        <f>SUMIFS(ТГ_ИД!$E:$E,ТГ_ИД!$B:$B,ТГ!$G$14,ТГ_ИД!$D:$D,ТГ!$A575)</f>
        <v>0</v>
      </c>
    </row>
    <row r="575" spans="1:22" x14ac:dyDescent="0.25">
      <c r="A575" s="116" t="str">
        <f t="shared" si="9"/>
        <v/>
      </c>
      <c r="K575" s="130">
        <f>SUMIFS(ТГ_ИД!$E:$E,ТГ_ИД!$B:$B,ТГ!$G$3,ТГ_ИД!$D:$D,ТГ!$A576)</f>
        <v>0</v>
      </c>
      <c r="L575" s="130">
        <f>SUMIFS(ТГ_ИД!$E:$E,ТГ_ИД!$B:$B,ТГ!$G$4,ТГ_ИД!$D:$D,ТГ!$A576)</f>
        <v>0</v>
      </c>
      <c r="M575" s="130">
        <f>SUMIFS(ТГ_ИД!$E:$E,ТГ_ИД!$B:$B,ТГ!$G$5,ТГ_ИД!$D:$D,ТГ!$A576)</f>
        <v>0</v>
      </c>
      <c r="N575" s="130">
        <f>SUMIFS(ТГ_ИД!$E:$E,ТГ_ИД!$B:$B,ТГ!$G$6,ТГ_ИД!$D:$D,ТГ!$A576)</f>
        <v>0</v>
      </c>
      <c r="O575" s="130">
        <f>SUMIFS(ТГ_ИД!$E:$E,ТГ_ИД!$B:$B,ТГ!$G$7,ТГ_ИД!$D:$D,ТГ!$A576)</f>
        <v>0</v>
      </c>
      <c r="P575" s="130">
        <f>SUMIFS(ТГ_ИД!$E:$E,ТГ_ИД!$B:$B,ТГ!$G$8,ТГ_ИД!$D:$D,ТГ!$A576)</f>
        <v>0</v>
      </c>
      <c r="Q575" s="130">
        <f>SUMIFS(ТГ_ИД!$E:$E,ТГ_ИД!$B:$B,ТГ!$G$9,ТГ_ИД!$D:$D,ТГ!$A576)</f>
        <v>0</v>
      </c>
      <c r="R575" s="130">
        <f>SUMIFS(ТГ_ИД!$E:$E,ТГ_ИД!$B:$B,ТГ!$G$10,ТГ_ИД!$D:$D,ТГ!$A576)</f>
        <v>0</v>
      </c>
      <c r="S575" s="130">
        <f>SUMIFS(ТГ_ИД!$E:$E,ТГ_ИД!$B:$B,ТГ!$G$11,ТГ_ИД!$D:$D,ТГ!$A576)</f>
        <v>0</v>
      </c>
      <c r="T575" s="130">
        <f>SUMIFS(ТГ_ИД!$E:$E,ТГ_ИД!$B:$B,ТГ!$G$12,ТГ_ИД!$D:$D,ТГ!$A576)</f>
        <v>0</v>
      </c>
      <c r="U575" s="130">
        <f>SUMIFS(ТГ_ИД!$E:$E,ТГ_ИД!$B:$B,ТГ!$G$13,ТГ_ИД!$D:$D,ТГ!$A576)</f>
        <v>0</v>
      </c>
      <c r="V575" s="130">
        <f>SUMIFS(ТГ_ИД!$E:$E,ТГ_ИД!$B:$B,ТГ!$G$14,ТГ_ИД!$D:$D,ТГ!$A576)</f>
        <v>0</v>
      </c>
    </row>
    <row r="576" spans="1:22" x14ac:dyDescent="0.25">
      <c r="A576" s="116" t="str">
        <f t="shared" si="9"/>
        <v/>
      </c>
      <c r="K576" s="130">
        <f>SUMIFS(ТГ_ИД!$E:$E,ТГ_ИД!$B:$B,ТГ!$G$3,ТГ_ИД!$D:$D,ТГ!$A577)</f>
        <v>0</v>
      </c>
      <c r="L576" s="130">
        <f>SUMIFS(ТГ_ИД!$E:$E,ТГ_ИД!$B:$B,ТГ!$G$4,ТГ_ИД!$D:$D,ТГ!$A577)</f>
        <v>0</v>
      </c>
      <c r="M576" s="130">
        <f>SUMIFS(ТГ_ИД!$E:$E,ТГ_ИД!$B:$B,ТГ!$G$5,ТГ_ИД!$D:$D,ТГ!$A577)</f>
        <v>0</v>
      </c>
      <c r="N576" s="130">
        <f>SUMIFS(ТГ_ИД!$E:$E,ТГ_ИД!$B:$B,ТГ!$G$6,ТГ_ИД!$D:$D,ТГ!$A577)</f>
        <v>0</v>
      </c>
      <c r="O576" s="130">
        <f>SUMIFS(ТГ_ИД!$E:$E,ТГ_ИД!$B:$B,ТГ!$G$7,ТГ_ИД!$D:$D,ТГ!$A577)</f>
        <v>0</v>
      </c>
      <c r="P576" s="130">
        <f>SUMIFS(ТГ_ИД!$E:$E,ТГ_ИД!$B:$B,ТГ!$G$8,ТГ_ИД!$D:$D,ТГ!$A577)</f>
        <v>0</v>
      </c>
      <c r="Q576" s="130">
        <f>SUMIFS(ТГ_ИД!$E:$E,ТГ_ИД!$B:$B,ТГ!$G$9,ТГ_ИД!$D:$D,ТГ!$A577)</f>
        <v>0</v>
      </c>
      <c r="R576" s="130">
        <f>SUMIFS(ТГ_ИД!$E:$E,ТГ_ИД!$B:$B,ТГ!$G$10,ТГ_ИД!$D:$D,ТГ!$A577)</f>
        <v>0</v>
      </c>
      <c r="S576" s="130">
        <f>SUMIFS(ТГ_ИД!$E:$E,ТГ_ИД!$B:$B,ТГ!$G$11,ТГ_ИД!$D:$D,ТГ!$A577)</f>
        <v>0</v>
      </c>
      <c r="T576" s="130">
        <f>SUMIFS(ТГ_ИД!$E:$E,ТГ_ИД!$B:$B,ТГ!$G$12,ТГ_ИД!$D:$D,ТГ!$A577)</f>
        <v>0</v>
      </c>
      <c r="U576" s="130">
        <f>SUMIFS(ТГ_ИД!$E:$E,ТГ_ИД!$B:$B,ТГ!$G$13,ТГ_ИД!$D:$D,ТГ!$A577)</f>
        <v>0</v>
      </c>
      <c r="V576" s="130">
        <f>SUMIFS(ТГ_ИД!$E:$E,ТГ_ИД!$B:$B,ТГ!$G$14,ТГ_ИД!$D:$D,ТГ!$A577)</f>
        <v>0</v>
      </c>
    </row>
    <row r="577" spans="1:22" x14ac:dyDescent="0.25">
      <c r="A577" s="116" t="str">
        <f t="shared" si="9"/>
        <v/>
      </c>
      <c r="K577" s="130">
        <f>SUMIFS(ТГ_ИД!$E:$E,ТГ_ИД!$B:$B,ТГ!$G$3,ТГ_ИД!$D:$D,ТГ!$A578)</f>
        <v>0</v>
      </c>
      <c r="L577" s="130">
        <f>SUMIFS(ТГ_ИД!$E:$E,ТГ_ИД!$B:$B,ТГ!$G$4,ТГ_ИД!$D:$D,ТГ!$A578)</f>
        <v>0</v>
      </c>
      <c r="M577" s="130">
        <f>SUMIFS(ТГ_ИД!$E:$E,ТГ_ИД!$B:$B,ТГ!$G$5,ТГ_ИД!$D:$D,ТГ!$A578)</f>
        <v>0</v>
      </c>
      <c r="N577" s="130">
        <f>SUMIFS(ТГ_ИД!$E:$E,ТГ_ИД!$B:$B,ТГ!$G$6,ТГ_ИД!$D:$D,ТГ!$A578)</f>
        <v>0</v>
      </c>
      <c r="O577" s="130">
        <f>SUMIFS(ТГ_ИД!$E:$E,ТГ_ИД!$B:$B,ТГ!$G$7,ТГ_ИД!$D:$D,ТГ!$A578)</f>
        <v>0</v>
      </c>
      <c r="P577" s="130">
        <f>SUMIFS(ТГ_ИД!$E:$E,ТГ_ИД!$B:$B,ТГ!$G$8,ТГ_ИД!$D:$D,ТГ!$A578)</f>
        <v>0</v>
      </c>
      <c r="Q577" s="130">
        <f>SUMIFS(ТГ_ИД!$E:$E,ТГ_ИД!$B:$B,ТГ!$G$9,ТГ_ИД!$D:$D,ТГ!$A578)</f>
        <v>0</v>
      </c>
      <c r="R577" s="130">
        <f>SUMIFS(ТГ_ИД!$E:$E,ТГ_ИД!$B:$B,ТГ!$G$10,ТГ_ИД!$D:$D,ТГ!$A578)</f>
        <v>0</v>
      </c>
      <c r="S577" s="130">
        <f>SUMIFS(ТГ_ИД!$E:$E,ТГ_ИД!$B:$B,ТГ!$G$11,ТГ_ИД!$D:$D,ТГ!$A578)</f>
        <v>0</v>
      </c>
      <c r="T577" s="130">
        <f>SUMIFS(ТГ_ИД!$E:$E,ТГ_ИД!$B:$B,ТГ!$G$12,ТГ_ИД!$D:$D,ТГ!$A578)</f>
        <v>0</v>
      </c>
      <c r="U577" s="130">
        <f>SUMIFS(ТГ_ИД!$E:$E,ТГ_ИД!$B:$B,ТГ!$G$13,ТГ_ИД!$D:$D,ТГ!$A578)</f>
        <v>0</v>
      </c>
      <c r="V577" s="130">
        <f>SUMIFS(ТГ_ИД!$E:$E,ТГ_ИД!$B:$B,ТГ!$G$14,ТГ_ИД!$D:$D,ТГ!$A578)</f>
        <v>0</v>
      </c>
    </row>
    <row r="578" spans="1:22" x14ac:dyDescent="0.25">
      <c r="A578" s="116" t="str">
        <f t="shared" si="9"/>
        <v/>
      </c>
      <c r="K578" s="130">
        <f>SUMIFS(ТГ_ИД!$E:$E,ТГ_ИД!$B:$B,ТГ!$G$3,ТГ_ИД!$D:$D,ТГ!$A579)</f>
        <v>0</v>
      </c>
      <c r="L578" s="130">
        <f>SUMIFS(ТГ_ИД!$E:$E,ТГ_ИД!$B:$B,ТГ!$G$4,ТГ_ИД!$D:$D,ТГ!$A579)</f>
        <v>0</v>
      </c>
      <c r="M578" s="130">
        <f>SUMIFS(ТГ_ИД!$E:$E,ТГ_ИД!$B:$B,ТГ!$G$5,ТГ_ИД!$D:$D,ТГ!$A579)</f>
        <v>0</v>
      </c>
      <c r="N578" s="130">
        <f>SUMIFS(ТГ_ИД!$E:$E,ТГ_ИД!$B:$B,ТГ!$G$6,ТГ_ИД!$D:$D,ТГ!$A579)</f>
        <v>0</v>
      </c>
      <c r="O578" s="130">
        <f>SUMIFS(ТГ_ИД!$E:$E,ТГ_ИД!$B:$B,ТГ!$G$7,ТГ_ИД!$D:$D,ТГ!$A579)</f>
        <v>0</v>
      </c>
      <c r="P578" s="130">
        <f>SUMIFS(ТГ_ИД!$E:$E,ТГ_ИД!$B:$B,ТГ!$G$8,ТГ_ИД!$D:$D,ТГ!$A579)</f>
        <v>0</v>
      </c>
      <c r="Q578" s="130">
        <f>SUMIFS(ТГ_ИД!$E:$E,ТГ_ИД!$B:$B,ТГ!$G$9,ТГ_ИД!$D:$D,ТГ!$A579)</f>
        <v>0</v>
      </c>
      <c r="R578" s="130">
        <f>SUMIFS(ТГ_ИД!$E:$E,ТГ_ИД!$B:$B,ТГ!$G$10,ТГ_ИД!$D:$D,ТГ!$A579)</f>
        <v>0</v>
      </c>
      <c r="S578" s="130">
        <f>SUMIFS(ТГ_ИД!$E:$E,ТГ_ИД!$B:$B,ТГ!$G$11,ТГ_ИД!$D:$D,ТГ!$A579)</f>
        <v>0</v>
      </c>
      <c r="T578" s="130">
        <f>SUMIFS(ТГ_ИД!$E:$E,ТГ_ИД!$B:$B,ТГ!$G$12,ТГ_ИД!$D:$D,ТГ!$A579)</f>
        <v>0</v>
      </c>
      <c r="U578" s="130">
        <f>SUMIFS(ТГ_ИД!$E:$E,ТГ_ИД!$B:$B,ТГ!$G$13,ТГ_ИД!$D:$D,ТГ!$A579)</f>
        <v>0</v>
      </c>
      <c r="V578" s="130">
        <f>SUMIFS(ТГ_ИД!$E:$E,ТГ_ИД!$B:$B,ТГ!$G$14,ТГ_ИД!$D:$D,ТГ!$A579)</f>
        <v>0</v>
      </c>
    </row>
    <row r="579" spans="1:22" x14ac:dyDescent="0.25">
      <c r="A579" s="116" t="str">
        <f t="shared" si="9"/>
        <v/>
      </c>
      <c r="K579" s="130">
        <f>SUMIFS(ТГ_ИД!$E:$E,ТГ_ИД!$B:$B,ТГ!$G$3,ТГ_ИД!$D:$D,ТГ!$A580)</f>
        <v>0</v>
      </c>
      <c r="L579" s="130">
        <f>SUMIFS(ТГ_ИД!$E:$E,ТГ_ИД!$B:$B,ТГ!$G$4,ТГ_ИД!$D:$D,ТГ!$A580)</f>
        <v>0</v>
      </c>
      <c r="M579" s="130">
        <f>SUMIFS(ТГ_ИД!$E:$E,ТГ_ИД!$B:$B,ТГ!$G$5,ТГ_ИД!$D:$D,ТГ!$A580)</f>
        <v>0</v>
      </c>
      <c r="N579" s="130">
        <f>SUMIFS(ТГ_ИД!$E:$E,ТГ_ИД!$B:$B,ТГ!$G$6,ТГ_ИД!$D:$D,ТГ!$A580)</f>
        <v>0</v>
      </c>
      <c r="O579" s="130">
        <f>SUMIFS(ТГ_ИД!$E:$E,ТГ_ИД!$B:$B,ТГ!$G$7,ТГ_ИД!$D:$D,ТГ!$A580)</f>
        <v>0</v>
      </c>
      <c r="P579" s="130">
        <f>SUMIFS(ТГ_ИД!$E:$E,ТГ_ИД!$B:$B,ТГ!$G$8,ТГ_ИД!$D:$D,ТГ!$A580)</f>
        <v>0</v>
      </c>
      <c r="Q579" s="130">
        <f>SUMIFS(ТГ_ИД!$E:$E,ТГ_ИД!$B:$B,ТГ!$G$9,ТГ_ИД!$D:$D,ТГ!$A580)</f>
        <v>0</v>
      </c>
      <c r="R579" s="130">
        <f>SUMIFS(ТГ_ИД!$E:$E,ТГ_ИД!$B:$B,ТГ!$G$10,ТГ_ИД!$D:$D,ТГ!$A580)</f>
        <v>0</v>
      </c>
      <c r="S579" s="130">
        <f>SUMIFS(ТГ_ИД!$E:$E,ТГ_ИД!$B:$B,ТГ!$G$11,ТГ_ИД!$D:$D,ТГ!$A580)</f>
        <v>0</v>
      </c>
      <c r="T579" s="130">
        <f>SUMIFS(ТГ_ИД!$E:$E,ТГ_ИД!$B:$B,ТГ!$G$12,ТГ_ИД!$D:$D,ТГ!$A580)</f>
        <v>0</v>
      </c>
      <c r="U579" s="130">
        <f>SUMIFS(ТГ_ИД!$E:$E,ТГ_ИД!$B:$B,ТГ!$G$13,ТГ_ИД!$D:$D,ТГ!$A580)</f>
        <v>0</v>
      </c>
      <c r="V579" s="130">
        <f>SUMIFS(ТГ_ИД!$E:$E,ТГ_ИД!$B:$B,ТГ!$G$14,ТГ_ИД!$D:$D,ТГ!$A580)</f>
        <v>0</v>
      </c>
    </row>
    <row r="580" spans="1:22" x14ac:dyDescent="0.25">
      <c r="A580" s="116" t="str">
        <f t="shared" si="9"/>
        <v/>
      </c>
      <c r="K580" s="130">
        <f>SUMIFS(ТГ_ИД!$E:$E,ТГ_ИД!$B:$B,ТГ!$G$3,ТГ_ИД!$D:$D,ТГ!$A581)</f>
        <v>0</v>
      </c>
      <c r="L580" s="130">
        <f>SUMIFS(ТГ_ИД!$E:$E,ТГ_ИД!$B:$B,ТГ!$G$4,ТГ_ИД!$D:$D,ТГ!$A581)</f>
        <v>0</v>
      </c>
      <c r="M580" s="130">
        <f>SUMIFS(ТГ_ИД!$E:$E,ТГ_ИД!$B:$B,ТГ!$G$5,ТГ_ИД!$D:$D,ТГ!$A581)</f>
        <v>0</v>
      </c>
      <c r="N580" s="130">
        <f>SUMIFS(ТГ_ИД!$E:$E,ТГ_ИД!$B:$B,ТГ!$G$6,ТГ_ИД!$D:$D,ТГ!$A581)</f>
        <v>0</v>
      </c>
      <c r="O580" s="130">
        <f>SUMIFS(ТГ_ИД!$E:$E,ТГ_ИД!$B:$B,ТГ!$G$7,ТГ_ИД!$D:$D,ТГ!$A581)</f>
        <v>0</v>
      </c>
      <c r="P580" s="130">
        <f>SUMIFS(ТГ_ИД!$E:$E,ТГ_ИД!$B:$B,ТГ!$G$8,ТГ_ИД!$D:$D,ТГ!$A581)</f>
        <v>0</v>
      </c>
      <c r="Q580" s="130">
        <f>SUMIFS(ТГ_ИД!$E:$E,ТГ_ИД!$B:$B,ТГ!$G$9,ТГ_ИД!$D:$D,ТГ!$A581)</f>
        <v>0</v>
      </c>
      <c r="R580" s="130">
        <f>SUMIFS(ТГ_ИД!$E:$E,ТГ_ИД!$B:$B,ТГ!$G$10,ТГ_ИД!$D:$D,ТГ!$A581)</f>
        <v>0</v>
      </c>
      <c r="S580" s="130">
        <f>SUMIFS(ТГ_ИД!$E:$E,ТГ_ИД!$B:$B,ТГ!$G$11,ТГ_ИД!$D:$D,ТГ!$A581)</f>
        <v>0</v>
      </c>
      <c r="T580" s="130">
        <f>SUMIFS(ТГ_ИД!$E:$E,ТГ_ИД!$B:$B,ТГ!$G$12,ТГ_ИД!$D:$D,ТГ!$A581)</f>
        <v>0</v>
      </c>
      <c r="U580" s="130">
        <f>SUMIFS(ТГ_ИД!$E:$E,ТГ_ИД!$B:$B,ТГ!$G$13,ТГ_ИД!$D:$D,ТГ!$A581)</f>
        <v>0</v>
      </c>
      <c r="V580" s="130">
        <f>SUMIFS(ТГ_ИД!$E:$E,ТГ_ИД!$B:$B,ТГ!$G$14,ТГ_ИД!$D:$D,ТГ!$A581)</f>
        <v>0</v>
      </c>
    </row>
    <row r="581" spans="1:22" x14ac:dyDescent="0.25">
      <c r="A581" s="116" t="str">
        <f t="shared" ref="A581:A644" si="10">IF(B581="","",TEXT(B581,"00000"))</f>
        <v/>
      </c>
      <c r="K581" s="130">
        <f>SUMIFS(ТГ_ИД!$E:$E,ТГ_ИД!$B:$B,ТГ!$G$3,ТГ_ИД!$D:$D,ТГ!$A582)</f>
        <v>0</v>
      </c>
      <c r="L581" s="130">
        <f>SUMIFS(ТГ_ИД!$E:$E,ТГ_ИД!$B:$B,ТГ!$G$4,ТГ_ИД!$D:$D,ТГ!$A582)</f>
        <v>0</v>
      </c>
      <c r="M581" s="130">
        <f>SUMIFS(ТГ_ИД!$E:$E,ТГ_ИД!$B:$B,ТГ!$G$5,ТГ_ИД!$D:$D,ТГ!$A582)</f>
        <v>0</v>
      </c>
      <c r="N581" s="130">
        <f>SUMIFS(ТГ_ИД!$E:$E,ТГ_ИД!$B:$B,ТГ!$G$6,ТГ_ИД!$D:$D,ТГ!$A582)</f>
        <v>0</v>
      </c>
      <c r="O581" s="130">
        <f>SUMIFS(ТГ_ИД!$E:$E,ТГ_ИД!$B:$B,ТГ!$G$7,ТГ_ИД!$D:$D,ТГ!$A582)</f>
        <v>0</v>
      </c>
      <c r="P581" s="130">
        <f>SUMIFS(ТГ_ИД!$E:$E,ТГ_ИД!$B:$B,ТГ!$G$8,ТГ_ИД!$D:$D,ТГ!$A582)</f>
        <v>0</v>
      </c>
      <c r="Q581" s="130">
        <f>SUMIFS(ТГ_ИД!$E:$E,ТГ_ИД!$B:$B,ТГ!$G$9,ТГ_ИД!$D:$D,ТГ!$A582)</f>
        <v>0</v>
      </c>
      <c r="R581" s="130">
        <f>SUMIFS(ТГ_ИД!$E:$E,ТГ_ИД!$B:$B,ТГ!$G$10,ТГ_ИД!$D:$D,ТГ!$A582)</f>
        <v>0</v>
      </c>
      <c r="S581" s="130">
        <f>SUMIFS(ТГ_ИД!$E:$E,ТГ_ИД!$B:$B,ТГ!$G$11,ТГ_ИД!$D:$D,ТГ!$A582)</f>
        <v>0</v>
      </c>
      <c r="T581" s="130">
        <f>SUMIFS(ТГ_ИД!$E:$E,ТГ_ИД!$B:$B,ТГ!$G$12,ТГ_ИД!$D:$D,ТГ!$A582)</f>
        <v>0</v>
      </c>
      <c r="U581" s="130">
        <f>SUMIFS(ТГ_ИД!$E:$E,ТГ_ИД!$B:$B,ТГ!$G$13,ТГ_ИД!$D:$D,ТГ!$A582)</f>
        <v>0</v>
      </c>
      <c r="V581" s="130">
        <f>SUMIFS(ТГ_ИД!$E:$E,ТГ_ИД!$B:$B,ТГ!$G$14,ТГ_ИД!$D:$D,ТГ!$A582)</f>
        <v>0</v>
      </c>
    </row>
    <row r="582" spans="1:22" x14ac:dyDescent="0.25">
      <c r="A582" s="116" t="str">
        <f t="shared" si="10"/>
        <v/>
      </c>
      <c r="K582" s="130">
        <f>SUMIFS(ТГ_ИД!$E:$E,ТГ_ИД!$B:$B,ТГ!$G$3,ТГ_ИД!$D:$D,ТГ!$A583)</f>
        <v>0</v>
      </c>
      <c r="L582" s="130">
        <f>SUMIFS(ТГ_ИД!$E:$E,ТГ_ИД!$B:$B,ТГ!$G$4,ТГ_ИД!$D:$D,ТГ!$A583)</f>
        <v>0</v>
      </c>
      <c r="M582" s="130">
        <f>SUMIFS(ТГ_ИД!$E:$E,ТГ_ИД!$B:$B,ТГ!$G$5,ТГ_ИД!$D:$D,ТГ!$A583)</f>
        <v>0</v>
      </c>
      <c r="N582" s="130">
        <f>SUMIFS(ТГ_ИД!$E:$E,ТГ_ИД!$B:$B,ТГ!$G$6,ТГ_ИД!$D:$D,ТГ!$A583)</f>
        <v>0</v>
      </c>
      <c r="O582" s="130">
        <f>SUMIFS(ТГ_ИД!$E:$E,ТГ_ИД!$B:$B,ТГ!$G$7,ТГ_ИД!$D:$D,ТГ!$A583)</f>
        <v>0</v>
      </c>
      <c r="P582" s="130">
        <f>SUMIFS(ТГ_ИД!$E:$E,ТГ_ИД!$B:$B,ТГ!$G$8,ТГ_ИД!$D:$D,ТГ!$A583)</f>
        <v>0</v>
      </c>
      <c r="Q582" s="130">
        <f>SUMIFS(ТГ_ИД!$E:$E,ТГ_ИД!$B:$B,ТГ!$G$9,ТГ_ИД!$D:$D,ТГ!$A583)</f>
        <v>0</v>
      </c>
      <c r="R582" s="130">
        <f>SUMIFS(ТГ_ИД!$E:$E,ТГ_ИД!$B:$B,ТГ!$G$10,ТГ_ИД!$D:$D,ТГ!$A583)</f>
        <v>0</v>
      </c>
      <c r="S582" s="130">
        <f>SUMIFS(ТГ_ИД!$E:$E,ТГ_ИД!$B:$B,ТГ!$G$11,ТГ_ИД!$D:$D,ТГ!$A583)</f>
        <v>0</v>
      </c>
      <c r="T582" s="130">
        <f>SUMIFS(ТГ_ИД!$E:$E,ТГ_ИД!$B:$B,ТГ!$G$12,ТГ_ИД!$D:$D,ТГ!$A583)</f>
        <v>0</v>
      </c>
      <c r="U582" s="130">
        <f>SUMIFS(ТГ_ИД!$E:$E,ТГ_ИД!$B:$B,ТГ!$G$13,ТГ_ИД!$D:$D,ТГ!$A583)</f>
        <v>0</v>
      </c>
      <c r="V582" s="130">
        <f>SUMIFS(ТГ_ИД!$E:$E,ТГ_ИД!$B:$B,ТГ!$G$14,ТГ_ИД!$D:$D,ТГ!$A583)</f>
        <v>0</v>
      </c>
    </row>
    <row r="583" spans="1:22" x14ac:dyDescent="0.25">
      <c r="A583" s="116" t="str">
        <f t="shared" si="10"/>
        <v/>
      </c>
      <c r="K583" s="130">
        <f>SUMIFS(ТГ_ИД!$E:$E,ТГ_ИД!$B:$B,ТГ!$G$3,ТГ_ИД!$D:$D,ТГ!$A584)</f>
        <v>0</v>
      </c>
      <c r="L583" s="130">
        <f>SUMIFS(ТГ_ИД!$E:$E,ТГ_ИД!$B:$B,ТГ!$G$4,ТГ_ИД!$D:$D,ТГ!$A584)</f>
        <v>0</v>
      </c>
      <c r="M583" s="130">
        <f>SUMIFS(ТГ_ИД!$E:$E,ТГ_ИД!$B:$B,ТГ!$G$5,ТГ_ИД!$D:$D,ТГ!$A584)</f>
        <v>0</v>
      </c>
      <c r="N583" s="130">
        <f>SUMIFS(ТГ_ИД!$E:$E,ТГ_ИД!$B:$B,ТГ!$G$6,ТГ_ИД!$D:$D,ТГ!$A584)</f>
        <v>0</v>
      </c>
      <c r="O583" s="130">
        <f>SUMIFS(ТГ_ИД!$E:$E,ТГ_ИД!$B:$B,ТГ!$G$7,ТГ_ИД!$D:$D,ТГ!$A584)</f>
        <v>0</v>
      </c>
      <c r="P583" s="130">
        <f>SUMIFS(ТГ_ИД!$E:$E,ТГ_ИД!$B:$B,ТГ!$G$8,ТГ_ИД!$D:$D,ТГ!$A584)</f>
        <v>0</v>
      </c>
      <c r="Q583" s="130">
        <f>SUMIFS(ТГ_ИД!$E:$E,ТГ_ИД!$B:$B,ТГ!$G$9,ТГ_ИД!$D:$D,ТГ!$A584)</f>
        <v>0</v>
      </c>
      <c r="R583" s="130">
        <f>SUMIFS(ТГ_ИД!$E:$E,ТГ_ИД!$B:$B,ТГ!$G$10,ТГ_ИД!$D:$D,ТГ!$A584)</f>
        <v>0</v>
      </c>
      <c r="S583" s="130">
        <f>SUMIFS(ТГ_ИД!$E:$E,ТГ_ИД!$B:$B,ТГ!$G$11,ТГ_ИД!$D:$D,ТГ!$A584)</f>
        <v>0</v>
      </c>
      <c r="T583" s="130">
        <f>SUMIFS(ТГ_ИД!$E:$E,ТГ_ИД!$B:$B,ТГ!$G$12,ТГ_ИД!$D:$D,ТГ!$A584)</f>
        <v>0</v>
      </c>
      <c r="U583" s="130">
        <f>SUMIFS(ТГ_ИД!$E:$E,ТГ_ИД!$B:$B,ТГ!$G$13,ТГ_ИД!$D:$D,ТГ!$A584)</f>
        <v>0</v>
      </c>
      <c r="V583" s="130">
        <f>SUMIFS(ТГ_ИД!$E:$E,ТГ_ИД!$B:$B,ТГ!$G$14,ТГ_ИД!$D:$D,ТГ!$A584)</f>
        <v>0</v>
      </c>
    </row>
    <row r="584" spans="1:22" x14ac:dyDescent="0.25">
      <c r="A584" s="116" t="str">
        <f t="shared" si="10"/>
        <v/>
      </c>
      <c r="K584" s="130">
        <f>SUMIFS(ТГ_ИД!$E:$E,ТГ_ИД!$B:$B,ТГ!$G$3,ТГ_ИД!$D:$D,ТГ!$A585)</f>
        <v>0</v>
      </c>
      <c r="L584" s="130">
        <f>SUMIFS(ТГ_ИД!$E:$E,ТГ_ИД!$B:$B,ТГ!$G$4,ТГ_ИД!$D:$D,ТГ!$A585)</f>
        <v>0</v>
      </c>
      <c r="M584" s="130">
        <f>SUMIFS(ТГ_ИД!$E:$E,ТГ_ИД!$B:$B,ТГ!$G$5,ТГ_ИД!$D:$D,ТГ!$A585)</f>
        <v>0</v>
      </c>
      <c r="N584" s="130">
        <f>SUMIFS(ТГ_ИД!$E:$E,ТГ_ИД!$B:$B,ТГ!$G$6,ТГ_ИД!$D:$D,ТГ!$A585)</f>
        <v>0</v>
      </c>
      <c r="O584" s="130">
        <f>SUMIFS(ТГ_ИД!$E:$E,ТГ_ИД!$B:$B,ТГ!$G$7,ТГ_ИД!$D:$D,ТГ!$A585)</f>
        <v>0</v>
      </c>
      <c r="P584" s="130">
        <f>SUMIFS(ТГ_ИД!$E:$E,ТГ_ИД!$B:$B,ТГ!$G$8,ТГ_ИД!$D:$D,ТГ!$A585)</f>
        <v>0</v>
      </c>
      <c r="Q584" s="130">
        <f>SUMIFS(ТГ_ИД!$E:$E,ТГ_ИД!$B:$B,ТГ!$G$9,ТГ_ИД!$D:$D,ТГ!$A585)</f>
        <v>0</v>
      </c>
      <c r="R584" s="130">
        <f>SUMIFS(ТГ_ИД!$E:$E,ТГ_ИД!$B:$B,ТГ!$G$10,ТГ_ИД!$D:$D,ТГ!$A585)</f>
        <v>0</v>
      </c>
      <c r="S584" s="130">
        <f>SUMIFS(ТГ_ИД!$E:$E,ТГ_ИД!$B:$B,ТГ!$G$11,ТГ_ИД!$D:$D,ТГ!$A585)</f>
        <v>0</v>
      </c>
      <c r="T584" s="130">
        <f>SUMIFS(ТГ_ИД!$E:$E,ТГ_ИД!$B:$B,ТГ!$G$12,ТГ_ИД!$D:$D,ТГ!$A585)</f>
        <v>0</v>
      </c>
      <c r="U584" s="130">
        <f>SUMIFS(ТГ_ИД!$E:$E,ТГ_ИД!$B:$B,ТГ!$G$13,ТГ_ИД!$D:$D,ТГ!$A585)</f>
        <v>0</v>
      </c>
      <c r="V584" s="130">
        <f>SUMIFS(ТГ_ИД!$E:$E,ТГ_ИД!$B:$B,ТГ!$G$14,ТГ_ИД!$D:$D,ТГ!$A585)</f>
        <v>0</v>
      </c>
    </row>
    <row r="585" spans="1:22" x14ac:dyDescent="0.25">
      <c r="A585" s="116" t="str">
        <f t="shared" si="10"/>
        <v/>
      </c>
      <c r="K585" s="130">
        <f>SUMIFS(ТГ_ИД!$E:$E,ТГ_ИД!$B:$B,ТГ!$G$3,ТГ_ИД!$D:$D,ТГ!$A586)</f>
        <v>0</v>
      </c>
      <c r="L585" s="130">
        <f>SUMIFS(ТГ_ИД!$E:$E,ТГ_ИД!$B:$B,ТГ!$G$4,ТГ_ИД!$D:$D,ТГ!$A586)</f>
        <v>0</v>
      </c>
      <c r="M585" s="130">
        <f>SUMIFS(ТГ_ИД!$E:$E,ТГ_ИД!$B:$B,ТГ!$G$5,ТГ_ИД!$D:$D,ТГ!$A586)</f>
        <v>0</v>
      </c>
      <c r="N585" s="130">
        <f>SUMIFS(ТГ_ИД!$E:$E,ТГ_ИД!$B:$B,ТГ!$G$6,ТГ_ИД!$D:$D,ТГ!$A586)</f>
        <v>0</v>
      </c>
      <c r="O585" s="130">
        <f>SUMIFS(ТГ_ИД!$E:$E,ТГ_ИД!$B:$B,ТГ!$G$7,ТГ_ИД!$D:$D,ТГ!$A586)</f>
        <v>0</v>
      </c>
      <c r="P585" s="130">
        <f>SUMIFS(ТГ_ИД!$E:$E,ТГ_ИД!$B:$B,ТГ!$G$8,ТГ_ИД!$D:$D,ТГ!$A586)</f>
        <v>0</v>
      </c>
      <c r="Q585" s="130">
        <f>SUMIFS(ТГ_ИД!$E:$E,ТГ_ИД!$B:$B,ТГ!$G$9,ТГ_ИД!$D:$D,ТГ!$A586)</f>
        <v>0</v>
      </c>
      <c r="R585" s="130">
        <f>SUMIFS(ТГ_ИД!$E:$E,ТГ_ИД!$B:$B,ТГ!$G$10,ТГ_ИД!$D:$D,ТГ!$A586)</f>
        <v>0</v>
      </c>
      <c r="S585" s="130">
        <f>SUMIFS(ТГ_ИД!$E:$E,ТГ_ИД!$B:$B,ТГ!$G$11,ТГ_ИД!$D:$D,ТГ!$A586)</f>
        <v>0</v>
      </c>
      <c r="T585" s="130">
        <f>SUMIFS(ТГ_ИД!$E:$E,ТГ_ИД!$B:$B,ТГ!$G$12,ТГ_ИД!$D:$D,ТГ!$A586)</f>
        <v>0</v>
      </c>
      <c r="U585" s="130">
        <f>SUMIFS(ТГ_ИД!$E:$E,ТГ_ИД!$B:$B,ТГ!$G$13,ТГ_ИД!$D:$D,ТГ!$A586)</f>
        <v>0</v>
      </c>
      <c r="V585" s="130">
        <f>SUMIFS(ТГ_ИД!$E:$E,ТГ_ИД!$B:$B,ТГ!$G$14,ТГ_ИД!$D:$D,ТГ!$A586)</f>
        <v>0</v>
      </c>
    </row>
    <row r="586" spans="1:22" x14ac:dyDescent="0.25">
      <c r="A586" s="116" t="str">
        <f t="shared" si="10"/>
        <v/>
      </c>
      <c r="K586" s="130">
        <f>SUMIFS(ТГ_ИД!$E:$E,ТГ_ИД!$B:$B,ТГ!$G$3,ТГ_ИД!$D:$D,ТГ!$A587)</f>
        <v>0</v>
      </c>
      <c r="L586" s="130">
        <f>SUMIFS(ТГ_ИД!$E:$E,ТГ_ИД!$B:$B,ТГ!$G$4,ТГ_ИД!$D:$D,ТГ!$A587)</f>
        <v>0</v>
      </c>
      <c r="M586" s="130">
        <f>SUMIFS(ТГ_ИД!$E:$E,ТГ_ИД!$B:$B,ТГ!$G$5,ТГ_ИД!$D:$D,ТГ!$A587)</f>
        <v>0</v>
      </c>
      <c r="N586" s="130">
        <f>SUMIFS(ТГ_ИД!$E:$E,ТГ_ИД!$B:$B,ТГ!$G$6,ТГ_ИД!$D:$D,ТГ!$A587)</f>
        <v>0</v>
      </c>
      <c r="O586" s="130">
        <f>SUMIFS(ТГ_ИД!$E:$E,ТГ_ИД!$B:$B,ТГ!$G$7,ТГ_ИД!$D:$D,ТГ!$A587)</f>
        <v>0</v>
      </c>
      <c r="P586" s="130">
        <f>SUMIFS(ТГ_ИД!$E:$E,ТГ_ИД!$B:$B,ТГ!$G$8,ТГ_ИД!$D:$D,ТГ!$A587)</f>
        <v>0</v>
      </c>
      <c r="Q586" s="130">
        <f>SUMIFS(ТГ_ИД!$E:$E,ТГ_ИД!$B:$B,ТГ!$G$9,ТГ_ИД!$D:$D,ТГ!$A587)</f>
        <v>0</v>
      </c>
      <c r="R586" s="130">
        <f>SUMIFS(ТГ_ИД!$E:$E,ТГ_ИД!$B:$B,ТГ!$G$10,ТГ_ИД!$D:$D,ТГ!$A587)</f>
        <v>0</v>
      </c>
      <c r="S586" s="130">
        <f>SUMIFS(ТГ_ИД!$E:$E,ТГ_ИД!$B:$B,ТГ!$G$11,ТГ_ИД!$D:$D,ТГ!$A587)</f>
        <v>0</v>
      </c>
      <c r="T586" s="130">
        <f>SUMIFS(ТГ_ИД!$E:$E,ТГ_ИД!$B:$B,ТГ!$G$12,ТГ_ИД!$D:$D,ТГ!$A587)</f>
        <v>0</v>
      </c>
      <c r="U586" s="130">
        <f>SUMIFS(ТГ_ИД!$E:$E,ТГ_ИД!$B:$B,ТГ!$G$13,ТГ_ИД!$D:$D,ТГ!$A587)</f>
        <v>0</v>
      </c>
      <c r="V586" s="130">
        <f>SUMIFS(ТГ_ИД!$E:$E,ТГ_ИД!$B:$B,ТГ!$G$14,ТГ_ИД!$D:$D,ТГ!$A587)</f>
        <v>0</v>
      </c>
    </row>
    <row r="587" spans="1:22" x14ac:dyDescent="0.25">
      <c r="A587" s="116" t="str">
        <f t="shared" si="10"/>
        <v/>
      </c>
      <c r="K587" s="130">
        <f>SUMIFS(ТГ_ИД!$E:$E,ТГ_ИД!$B:$B,ТГ!$G$3,ТГ_ИД!$D:$D,ТГ!$A588)</f>
        <v>0</v>
      </c>
      <c r="L587" s="130">
        <f>SUMIFS(ТГ_ИД!$E:$E,ТГ_ИД!$B:$B,ТГ!$G$4,ТГ_ИД!$D:$D,ТГ!$A588)</f>
        <v>0</v>
      </c>
      <c r="M587" s="130">
        <f>SUMIFS(ТГ_ИД!$E:$E,ТГ_ИД!$B:$B,ТГ!$G$5,ТГ_ИД!$D:$D,ТГ!$A588)</f>
        <v>0</v>
      </c>
      <c r="N587" s="130">
        <f>SUMIFS(ТГ_ИД!$E:$E,ТГ_ИД!$B:$B,ТГ!$G$6,ТГ_ИД!$D:$D,ТГ!$A588)</f>
        <v>0</v>
      </c>
      <c r="O587" s="130">
        <f>SUMIFS(ТГ_ИД!$E:$E,ТГ_ИД!$B:$B,ТГ!$G$7,ТГ_ИД!$D:$D,ТГ!$A588)</f>
        <v>0</v>
      </c>
      <c r="P587" s="130">
        <f>SUMIFS(ТГ_ИД!$E:$E,ТГ_ИД!$B:$B,ТГ!$G$8,ТГ_ИД!$D:$D,ТГ!$A588)</f>
        <v>0</v>
      </c>
      <c r="Q587" s="130">
        <f>SUMIFS(ТГ_ИД!$E:$E,ТГ_ИД!$B:$B,ТГ!$G$9,ТГ_ИД!$D:$D,ТГ!$A588)</f>
        <v>0</v>
      </c>
      <c r="R587" s="130">
        <f>SUMIFS(ТГ_ИД!$E:$E,ТГ_ИД!$B:$B,ТГ!$G$10,ТГ_ИД!$D:$D,ТГ!$A588)</f>
        <v>0</v>
      </c>
      <c r="S587" s="130">
        <f>SUMIFS(ТГ_ИД!$E:$E,ТГ_ИД!$B:$B,ТГ!$G$11,ТГ_ИД!$D:$D,ТГ!$A588)</f>
        <v>0</v>
      </c>
      <c r="T587" s="130">
        <f>SUMIFS(ТГ_ИД!$E:$E,ТГ_ИД!$B:$B,ТГ!$G$12,ТГ_ИД!$D:$D,ТГ!$A588)</f>
        <v>0</v>
      </c>
      <c r="U587" s="130">
        <f>SUMIFS(ТГ_ИД!$E:$E,ТГ_ИД!$B:$B,ТГ!$G$13,ТГ_ИД!$D:$D,ТГ!$A588)</f>
        <v>0</v>
      </c>
      <c r="V587" s="130">
        <f>SUMIFS(ТГ_ИД!$E:$E,ТГ_ИД!$B:$B,ТГ!$G$14,ТГ_ИД!$D:$D,ТГ!$A588)</f>
        <v>0</v>
      </c>
    </row>
    <row r="588" spans="1:22" x14ac:dyDescent="0.25">
      <c r="A588" s="116" t="str">
        <f t="shared" si="10"/>
        <v/>
      </c>
      <c r="K588" s="130">
        <f>SUMIFS(ТГ_ИД!$E:$E,ТГ_ИД!$B:$B,ТГ!$G$3,ТГ_ИД!$D:$D,ТГ!$A589)</f>
        <v>0</v>
      </c>
      <c r="L588" s="130">
        <f>SUMIFS(ТГ_ИД!$E:$E,ТГ_ИД!$B:$B,ТГ!$G$4,ТГ_ИД!$D:$D,ТГ!$A589)</f>
        <v>0</v>
      </c>
      <c r="M588" s="130">
        <f>SUMIFS(ТГ_ИД!$E:$E,ТГ_ИД!$B:$B,ТГ!$G$5,ТГ_ИД!$D:$D,ТГ!$A589)</f>
        <v>0</v>
      </c>
      <c r="N588" s="130">
        <f>SUMIFS(ТГ_ИД!$E:$E,ТГ_ИД!$B:$B,ТГ!$G$6,ТГ_ИД!$D:$D,ТГ!$A589)</f>
        <v>0</v>
      </c>
      <c r="O588" s="130">
        <f>SUMIFS(ТГ_ИД!$E:$E,ТГ_ИД!$B:$B,ТГ!$G$7,ТГ_ИД!$D:$D,ТГ!$A589)</f>
        <v>0</v>
      </c>
      <c r="P588" s="130">
        <f>SUMIFS(ТГ_ИД!$E:$E,ТГ_ИД!$B:$B,ТГ!$G$8,ТГ_ИД!$D:$D,ТГ!$A589)</f>
        <v>0</v>
      </c>
      <c r="Q588" s="130">
        <f>SUMIFS(ТГ_ИД!$E:$E,ТГ_ИД!$B:$B,ТГ!$G$9,ТГ_ИД!$D:$D,ТГ!$A589)</f>
        <v>0</v>
      </c>
      <c r="R588" s="130">
        <f>SUMIFS(ТГ_ИД!$E:$E,ТГ_ИД!$B:$B,ТГ!$G$10,ТГ_ИД!$D:$D,ТГ!$A589)</f>
        <v>0</v>
      </c>
      <c r="S588" s="130">
        <f>SUMIFS(ТГ_ИД!$E:$E,ТГ_ИД!$B:$B,ТГ!$G$11,ТГ_ИД!$D:$D,ТГ!$A589)</f>
        <v>0</v>
      </c>
      <c r="T588" s="130">
        <f>SUMIFS(ТГ_ИД!$E:$E,ТГ_ИД!$B:$B,ТГ!$G$12,ТГ_ИД!$D:$D,ТГ!$A589)</f>
        <v>0</v>
      </c>
      <c r="U588" s="130">
        <f>SUMIFS(ТГ_ИД!$E:$E,ТГ_ИД!$B:$B,ТГ!$G$13,ТГ_ИД!$D:$D,ТГ!$A589)</f>
        <v>0</v>
      </c>
      <c r="V588" s="130">
        <f>SUMIFS(ТГ_ИД!$E:$E,ТГ_ИД!$B:$B,ТГ!$G$14,ТГ_ИД!$D:$D,ТГ!$A589)</f>
        <v>0</v>
      </c>
    </row>
    <row r="589" spans="1:22" x14ac:dyDescent="0.25">
      <c r="A589" s="116" t="str">
        <f t="shared" si="10"/>
        <v/>
      </c>
      <c r="K589" s="130">
        <f>SUMIFS(ТГ_ИД!$E:$E,ТГ_ИД!$B:$B,ТГ!$G$3,ТГ_ИД!$D:$D,ТГ!$A590)</f>
        <v>0</v>
      </c>
      <c r="L589" s="130">
        <f>SUMIFS(ТГ_ИД!$E:$E,ТГ_ИД!$B:$B,ТГ!$G$4,ТГ_ИД!$D:$D,ТГ!$A590)</f>
        <v>0</v>
      </c>
      <c r="M589" s="130">
        <f>SUMIFS(ТГ_ИД!$E:$E,ТГ_ИД!$B:$B,ТГ!$G$5,ТГ_ИД!$D:$D,ТГ!$A590)</f>
        <v>0</v>
      </c>
      <c r="N589" s="130">
        <f>SUMIFS(ТГ_ИД!$E:$E,ТГ_ИД!$B:$B,ТГ!$G$6,ТГ_ИД!$D:$D,ТГ!$A590)</f>
        <v>0</v>
      </c>
      <c r="O589" s="130">
        <f>SUMIFS(ТГ_ИД!$E:$E,ТГ_ИД!$B:$B,ТГ!$G$7,ТГ_ИД!$D:$D,ТГ!$A590)</f>
        <v>0</v>
      </c>
      <c r="P589" s="130">
        <f>SUMIFS(ТГ_ИД!$E:$E,ТГ_ИД!$B:$B,ТГ!$G$8,ТГ_ИД!$D:$D,ТГ!$A590)</f>
        <v>0</v>
      </c>
      <c r="Q589" s="130">
        <f>SUMIFS(ТГ_ИД!$E:$E,ТГ_ИД!$B:$B,ТГ!$G$9,ТГ_ИД!$D:$D,ТГ!$A590)</f>
        <v>0</v>
      </c>
      <c r="R589" s="130">
        <f>SUMIFS(ТГ_ИД!$E:$E,ТГ_ИД!$B:$B,ТГ!$G$10,ТГ_ИД!$D:$D,ТГ!$A590)</f>
        <v>0</v>
      </c>
      <c r="S589" s="130">
        <f>SUMIFS(ТГ_ИД!$E:$E,ТГ_ИД!$B:$B,ТГ!$G$11,ТГ_ИД!$D:$D,ТГ!$A590)</f>
        <v>0</v>
      </c>
      <c r="T589" s="130">
        <f>SUMIFS(ТГ_ИД!$E:$E,ТГ_ИД!$B:$B,ТГ!$G$12,ТГ_ИД!$D:$D,ТГ!$A590)</f>
        <v>0</v>
      </c>
      <c r="U589" s="130">
        <f>SUMIFS(ТГ_ИД!$E:$E,ТГ_ИД!$B:$B,ТГ!$G$13,ТГ_ИД!$D:$D,ТГ!$A590)</f>
        <v>0</v>
      </c>
      <c r="V589" s="130">
        <f>SUMIFS(ТГ_ИД!$E:$E,ТГ_ИД!$B:$B,ТГ!$G$14,ТГ_ИД!$D:$D,ТГ!$A590)</f>
        <v>0</v>
      </c>
    </row>
    <row r="590" spans="1:22" x14ac:dyDescent="0.25">
      <c r="A590" s="116" t="str">
        <f t="shared" si="10"/>
        <v/>
      </c>
      <c r="K590" s="130">
        <f>SUMIFS(ТГ_ИД!$E:$E,ТГ_ИД!$B:$B,ТГ!$G$3,ТГ_ИД!$D:$D,ТГ!$A591)</f>
        <v>0</v>
      </c>
      <c r="L590" s="130">
        <f>SUMIFS(ТГ_ИД!$E:$E,ТГ_ИД!$B:$B,ТГ!$G$4,ТГ_ИД!$D:$D,ТГ!$A591)</f>
        <v>0</v>
      </c>
      <c r="M590" s="130">
        <f>SUMIFS(ТГ_ИД!$E:$E,ТГ_ИД!$B:$B,ТГ!$G$5,ТГ_ИД!$D:$D,ТГ!$A591)</f>
        <v>0</v>
      </c>
      <c r="N590" s="130">
        <f>SUMIFS(ТГ_ИД!$E:$E,ТГ_ИД!$B:$B,ТГ!$G$6,ТГ_ИД!$D:$D,ТГ!$A591)</f>
        <v>0</v>
      </c>
      <c r="O590" s="130">
        <f>SUMIFS(ТГ_ИД!$E:$E,ТГ_ИД!$B:$B,ТГ!$G$7,ТГ_ИД!$D:$D,ТГ!$A591)</f>
        <v>0</v>
      </c>
      <c r="P590" s="130">
        <f>SUMIFS(ТГ_ИД!$E:$E,ТГ_ИД!$B:$B,ТГ!$G$8,ТГ_ИД!$D:$D,ТГ!$A591)</f>
        <v>0</v>
      </c>
      <c r="Q590" s="130">
        <f>SUMIFS(ТГ_ИД!$E:$E,ТГ_ИД!$B:$B,ТГ!$G$9,ТГ_ИД!$D:$D,ТГ!$A591)</f>
        <v>0</v>
      </c>
      <c r="R590" s="130">
        <f>SUMIFS(ТГ_ИД!$E:$E,ТГ_ИД!$B:$B,ТГ!$G$10,ТГ_ИД!$D:$D,ТГ!$A591)</f>
        <v>0</v>
      </c>
      <c r="S590" s="130">
        <f>SUMIFS(ТГ_ИД!$E:$E,ТГ_ИД!$B:$B,ТГ!$G$11,ТГ_ИД!$D:$D,ТГ!$A591)</f>
        <v>0</v>
      </c>
      <c r="T590" s="130">
        <f>SUMIFS(ТГ_ИД!$E:$E,ТГ_ИД!$B:$B,ТГ!$G$12,ТГ_ИД!$D:$D,ТГ!$A591)</f>
        <v>0</v>
      </c>
      <c r="U590" s="130">
        <f>SUMIFS(ТГ_ИД!$E:$E,ТГ_ИД!$B:$B,ТГ!$G$13,ТГ_ИД!$D:$D,ТГ!$A591)</f>
        <v>0</v>
      </c>
      <c r="V590" s="130">
        <f>SUMIFS(ТГ_ИД!$E:$E,ТГ_ИД!$B:$B,ТГ!$G$14,ТГ_ИД!$D:$D,ТГ!$A591)</f>
        <v>0</v>
      </c>
    </row>
    <row r="591" spans="1:22" x14ac:dyDescent="0.25">
      <c r="A591" s="116" t="str">
        <f t="shared" si="10"/>
        <v/>
      </c>
      <c r="K591" s="130">
        <f>SUMIFS(ТГ_ИД!$E:$E,ТГ_ИД!$B:$B,ТГ!$G$3,ТГ_ИД!$D:$D,ТГ!$A592)</f>
        <v>0</v>
      </c>
      <c r="L591" s="130">
        <f>SUMIFS(ТГ_ИД!$E:$E,ТГ_ИД!$B:$B,ТГ!$G$4,ТГ_ИД!$D:$D,ТГ!$A592)</f>
        <v>0</v>
      </c>
      <c r="M591" s="130">
        <f>SUMIFS(ТГ_ИД!$E:$E,ТГ_ИД!$B:$B,ТГ!$G$5,ТГ_ИД!$D:$D,ТГ!$A592)</f>
        <v>0</v>
      </c>
      <c r="N591" s="130">
        <f>SUMIFS(ТГ_ИД!$E:$E,ТГ_ИД!$B:$B,ТГ!$G$6,ТГ_ИД!$D:$D,ТГ!$A592)</f>
        <v>0</v>
      </c>
      <c r="O591" s="130">
        <f>SUMIFS(ТГ_ИД!$E:$E,ТГ_ИД!$B:$B,ТГ!$G$7,ТГ_ИД!$D:$D,ТГ!$A592)</f>
        <v>0</v>
      </c>
      <c r="P591" s="130">
        <f>SUMIFS(ТГ_ИД!$E:$E,ТГ_ИД!$B:$B,ТГ!$G$8,ТГ_ИД!$D:$D,ТГ!$A592)</f>
        <v>0</v>
      </c>
      <c r="Q591" s="130">
        <f>SUMIFS(ТГ_ИД!$E:$E,ТГ_ИД!$B:$B,ТГ!$G$9,ТГ_ИД!$D:$D,ТГ!$A592)</f>
        <v>0</v>
      </c>
      <c r="R591" s="130">
        <f>SUMIFS(ТГ_ИД!$E:$E,ТГ_ИД!$B:$B,ТГ!$G$10,ТГ_ИД!$D:$D,ТГ!$A592)</f>
        <v>0</v>
      </c>
      <c r="S591" s="130">
        <f>SUMIFS(ТГ_ИД!$E:$E,ТГ_ИД!$B:$B,ТГ!$G$11,ТГ_ИД!$D:$D,ТГ!$A592)</f>
        <v>0</v>
      </c>
      <c r="T591" s="130">
        <f>SUMIFS(ТГ_ИД!$E:$E,ТГ_ИД!$B:$B,ТГ!$G$12,ТГ_ИД!$D:$D,ТГ!$A592)</f>
        <v>0</v>
      </c>
      <c r="U591" s="130">
        <f>SUMIFS(ТГ_ИД!$E:$E,ТГ_ИД!$B:$B,ТГ!$G$13,ТГ_ИД!$D:$D,ТГ!$A592)</f>
        <v>0</v>
      </c>
      <c r="V591" s="130">
        <f>SUMIFS(ТГ_ИД!$E:$E,ТГ_ИД!$B:$B,ТГ!$G$14,ТГ_ИД!$D:$D,ТГ!$A592)</f>
        <v>0</v>
      </c>
    </row>
    <row r="592" spans="1:22" x14ac:dyDescent="0.25">
      <c r="A592" s="116" t="str">
        <f t="shared" si="10"/>
        <v/>
      </c>
      <c r="K592" s="130">
        <f>SUMIFS(ТГ_ИД!$E:$E,ТГ_ИД!$B:$B,ТГ!$G$3,ТГ_ИД!$D:$D,ТГ!$A593)</f>
        <v>0</v>
      </c>
      <c r="L592" s="130">
        <f>SUMIFS(ТГ_ИД!$E:$E,ТГ_ИД!$B:$B,ТГ!$G$4,ТГ_ИД!$D:$D,ТГ!$A593)</f>
        <v>0</v>
      </c>
      <c r="M592" s="130">
        <f>SUMIFS(ТГ_ИД!$E:$E,ТГ_ИД!$B:$B,ТГ!$G$5,ТГ_ИД!$D:$D,ТГ!$A593)</f>
        <v>0</v>
      </c>
      <c r="N592" s="130">
        <f>SUMIFS(ТГ_ИД!$E:$E,ТГ_ИД!$B:$B,ТГ!$G$6,ТГ_ИД!$D:$D,ТГ!$A593)</f>
        <v>0</v>
      </c>
      <c r="O592" s="130">
        <f>SUMIFS(ТГ_ИД!$E:$E,ТГ_ИД!$B:$B,ТГ!$G$7,ТГ_ИД!$D:$D,ТГ!$A593)</f>
        <v>0</v>
      </c>
      <c r="P592" s="130">
        <f>SUMIFS(ТГ_ИД!$E:$E,ТГ_ИД!$B:$B,ТГ!$G$8,ТГ_ИД!$D:$D,ТГ!$A593)</f>
        <v>0</v>
      </c>
      <c r="Q592" s="130">
        <f>SUMIFS(ТГ_ИД!$E:$E,ТГ_ИД!$B:$B,ТГ!$G$9,ТГ_ИД!$D:$D,ТГ!$A593)</f>
        <v>0</v>
      </c>
      <c r="R592" s="130">
        <f>SUMIFS(ТГ_ИД!$E:$E,ТГ_ИД!$B:$B,ТГ!$G$10,ТГ_ИД!$D:$D,ТГ!$A593)</f>
        <v>0</v>
      </c>
      <c r="S592" s="130">
        <f>SUMIFS(ТГ_ИД!$E:$E,ТГ_ИД!$B:$B,ТГ!$G$11,ТГ_ИД!$D:$D,ТГ!$A593)</f>
        <v>0</v>
      </c>
      <c r="T592" s="130">
        <f>SUMIFS(ТГ_ИД!$E:$E,ТГ_ИД!$B:$B,ТГ!$G$12,ТГ_ИД!$D:$D,ТГ!$A593)</f>
        <v>0</v>
      </c>
      <c r="U592" s="130">
        <f>SUMIFS(ТГ_ИД!$E:$E,ТГ_ИД!$B:$B,ТГ!$G$13,ТГ_ИД!$D:$D,ТГ!$A593)</f>
        <v>0</v>
      </c>
      <c r="V592" s="130">
        <f>SUMIFS(ТГ_ИД!$E:$E,ТГ_ИД!$B:$B,ТГ!$G$14,ТГ_ИД!$D:$D,ТГ!$A593)</f>
        <v>0</v>
      </c>
    </row>
    <row r="593" spans="1:22" x14ac:dyDescent="0.25">
      <c r="A593" s="116" t="str">
        <f t="shared" si="10"/>
        <v/>
      </c>
      <c r="K593" s="130">
        <f>SUMIFS(ТГ_ИД!$E:$E,ТГ_ИД!$B:$B,ТГ!$G$3,ТГ_ИД!$D:$D,ТГ!$A594)</f>
        <v>0</v>
      </c>
      <c r="L593" s="130">
        <f>SUMIFS(ТГ_ИД!$E:$E,ТГ_ИД!$B:$B,ТГ!$G$4,ТГ_ИД!$D:$D,ТГ!$A594)</f>
        <v>0</v>
      </c>
      <c r="M593" s="130">
        <f>SUMIFS(ТГ_ИД!$E:$E,ТГ_ИД!$B:$B,ТГ!$G$5,ТГ_ИД!$D:$D,ТГ!$A594)</f>
        <v>0</v>
      </c>
      <c r="N593" s="130">
        <f>SUMIFS(ТГ_ИД!$E:$E,ТГ_ИД!$B:$B,ТГ!$G$6,ТГ_ИД!$D:$D,ТГ!$A594)</f>
        <v>0</v>
      </c>
      <c r="O593" s="130">
        <f>SUMIFS(ТГ_ИД!$E:$E,ТГ_ИД!$B:$B,ТГ!$G$7,ТГ_ИД!$D:$D,ТГ!$A594)</f>
        <v>0</v>
      </c>
      <c r="P593" s="130">
        <f>SUMIFS(ТГ_ИД!$E:$E,ТГ_ИД!$B:$B,ТГ!$G$8,ТГ_ИД!$D:$D,ТГ!$A594)</f>
        <v>0</v>
      </c>
      <c r="Q593" s="130">
        <f>SUMIFS(ТГ_ИД!$E:$E,ТГ_ИД!$B:$B,ТГ!$G$9,ТГ_ИД!$D:$D,ТГ!$A594)</f>
        <v>0</v>
      </c>
      <c r="R593" s="130">
        <f>SUMIFS(ТГ_ИД!$E:$E,ТГ_ИД!$B:$B,ТГ!$G$10,ТГ_ИД!$D:$D,ТГ!$A594)</f>
        <v>0</v>
      </c>
      <c r="S593" s="130">
        <f>SUMIFS(ТГ_ИД!$E:$E,ТГ_ИД!$B:$B,ТГ!$G$11,ТГ_ИД!$D:$D,ТГ!$A594)</f>
        <v>0</v>
      </c>
      <c r="T593" s="130">
        <f>SUMIFS(ТГ_ИД!$E:$E,ТГ_ИД!$B:$B,ТГ!$G$12,ТГ_ИД!$D:$D,ТГ!$A594)</f>
        <v>0</v>
      </c>
      <c r="U593" s="130">
        <f>SUMIFS(ТГ_ИД!$E:$E,ТГ_ИД!$B:$B,ТГ!$G$13,ТГ_ИД!$D:$D,ТГ!$A594)</f>
        <v>0</v>
      </c>
      <c r="V593" s="130">
        <f>SUMIFS(ТГ_ИД!$E:$E,ТГ_ИД!$B:$B,ТГ!$G$14,ТГ_ИД!$D:$D,ТГ!$A594)</f>
        <v>0</v>
      </c>
    </row>
    <row r="594" spans="1:22" x14ac:dyDescent="0.25">
      <c r="A594" s="116" t="str">
        <f t="shared" si="10"/>
        <v/>
      </c>
      <c r="K594" s="130">
        <f>SUMIFS(ТГ_ИД!$E:$E,ТГ_ИД!$B:$B,ТГ!$G$3,ТГ_ИД!$D:$D,ТГ!$A595)</f>
        <v>0</v>
      </c>
      <c r="L594" s="130">
        <f>SUMIFS(ТГ_ИД!$E:$E,ТГ_ИД!$B:$B,ТГ!$G$4,ТГ_ИД!$D:$D,ТГ!$A595)</f>
        <v>0</v>
      </c>
      <c r="M594" s="130">
        <f>SUMIFS(ТГ_ИД!$E:$E,ТГ_ИД!$B:$B,ТГ!$G$5,ТГ_ИД!$D:$D,ТГ!$A595)</f>
        <v>0</v>
      </c>
      <c r="N594" s="130">
        <f>SUMIFS(ТГ_ИД!$E:$E,ТГ_ИД!$B:$B,ТГ!$G$6,ТГ_ИД!$D:$D,ТГ!$A595)</f>
        <v>0</v>
      </c>
      <c r="O594" s="130">
        <f>SUMIFS(ТГ_ИД!$E:$E,ТГ_ИД!$B:$B,ТГ!$G$7,ТГ_ИД!$D:$D,ТГ!$A595)</f>
        <v>0</v>
      </c>
      <c r="P594" s="130">
        <f>SUMIFS(ТГ_ИД!$E:$E,ТГ_ИД!$B:$B,ТГ!$G$8,ТГ_ИД!$D:$D,ТГ!$A595)</f>
        <v>0</v>
      </c>
      <c r="Q594" s="130">
        <f>SUMIFS(ТГ_ИД!$E:$E,ТГ_ИД!$B:$B,ТГ!$G$9,ТГ_ИД!$D:$D,ТГ!$A595)</f>
        <v>0</v>
      </c>
      <c r="R594" s="130">
        <f>SUMIFS(ТГ_ИД!$E:$E,ТГ_ИД!$B:$B,ТГ!$G$10,ТГ_ИД!$D:$D,ТГ!$A595)</f>
        <v>0</v>
      </c>
      <c r="S594" s="130">
        <f>SUMIFS(ТГ_ИД!$E:$E,ТГ_ИД!$B:$B,ТГ!$G$11,ТГ_ИД!$D:$D,ТГ!$A595)</f>
        <v>0</v>
      </c>
      <c r="T594" s="130">
        <f>SUMIFS(ТГ_ИД!$E:$E,ТГ_ИД!$B:$B,ТГ!$G$12,ТГ_ИД!$D:$D,ТГ!$A595)</f>
        <v>0</v>
      </c>
      <c r="U594" s="130">
        <f>SUMIFS(ТГ_ИД!$E:$E,ТГ_ИД!$B:$B,ТГ!$G$13,ТГ_ИД!$D:$D,ТГ!$A595)</f>
        <v>0</v>
      </c>
      <c r="V594" s="130">
        <f>SUMIFS(ТГ_ИД!$E:$E,ТГ_ИД!$B:$B,ТГ!$G$14,ТГ_ИД!$D:$D,ТГ!$A595)</f>
        <v>0</v>
      </c>
    </row>
    <row r="595" spans="1:22" x14ac:dyDescent="0.25">
      <c r="A595" s="116" t="str">
        <f t="shared" si="10"/>
        <v/>
      </c>
      <c r="K595" s="130">
        <f>SUMIFS(ТГ_ИД!$E:$E,ТГ_ИД!$B:$B,ТГ!$G$3,ТГ_ИД!$D:$D,ТГ!$A596)</f>
        <v>0</v>
      </c>
      <c r="L595" s="130">
        <f>SUMIFS(ТГ_ИД!$E:$E,ТГ_ИД!$B:$B,ТГ!$G$4,ТГ_ИД!$D:$D,ТГ!$A596)</f>
        <v>0</v>
      </c>
      <c r="M595" s="130">
        <f>SUMIFS(ТГ_ИД!$E:$E,ТГ_ИД!$B:$B,ТГ!$G$5,ТГ_ИД!$D:$D,ТГ!$A596)</f>
        <v>0</v>
      </c>
      <c r="N595" s="130">
        <f>SUMIFS(ТГ_ИД!$E:$E,ТГ_ИД!$B:$B,ТГ!$G$6,ТГ_ИД!$D:$D,ТГ!$A596)</f>
        <v>0</v>
      </c>
      <c r="O595" s="130">
        <f>SUMIFS(ТГ_ИД!$E:$E,ТГ_ИД!$B:$B,ТГ!$G$7,ТГ_ИД!$D:$D,ТГ!$A596)</f>
        <v>0</v>
      </c>
      <c r="P595" s="130">
        <f>SUMIFS(ТГ_ИД!$E:$E,ТГ_ИД!$B:$B,ТГ!$G$8,ТГ_ИД!$D:$D,ТГ!$A596)</f>
        <v>0</v>
      </c>
      <c r="Q595" s="130">
        <f>SUMIFS(ТГ_ИД!$E:$E,ТГ_ИД!$B:$B,ТГ!$G$9,ТГ_ИД!$D:$D,ТГ!$A596)</f>
        <v>0</v>
      </c>
      <c r="R595" s="130">
        <f>SUMIFS(ТГ_ИД!$E:$E,ТГ_ИД!$B:$B,ТГ!$G$10,ТГ_ИД!$D:$D,ТГ!$A596)</f>
        <v>0</v>
      </c>
      <c r="S595" s="130">
        <f>SUMIFS(ТГ_ИД!$E:$E,ТГ_ИД!$B:$B,ТГ!$G$11,ТГ_ИД!$D:$D,ТГ!$A596)</f>
        <v>0</v>
      </c>
      <c r="T595" s="130">
        <f>SUMIFS(ТГ_ИД!$E:$E,ТГ_ИД!$B:$B,ТГ!$G$12,ТГ_ИД!$D:$D,ТГ!$A596)</f>
        <v>0</v>
      </c>
      <c r="U595" s="130">
        <f>SUMIFS(ТГ_ИД!$E:$E,ТГ_ИД!$B:$B,ТГ!$G$13,ТГ_ИД!$D:$D,ТГ!$A596)</f>
        <v>0</v>
      </c>
      <c r="V595" s="130">
        <f>SUMIFS(ТГ_ИД!$E:$E,ТГ_ИД!$B:$B,ТГ!$G$14,ТГ_ИД!$D:$D,ТГ!$A596)</f>
        <v>0</v>
      </c>
    </row>
    <row r="596" spans="1:22" x14ac:dyDescent="0.25">
      <c r="A596" s="116" t="str">
        <f t="shared" si="10"/>
        <v/>
      </c>
      <c r="K596" s="130">
        <f>SUMIFS(ТГ_ИД!$E:$E,ТГ_ИД!$B:$B,ТГ!$G$3,ТГ_ИД!$D:$D,ТГ!$A597)</f>
        <v>0</v>
      </c>
      <c r="L596" s="130">
        <f>SUMIFS(ТГ_ИД!$E:$E,ТГ_ИД!$B:$B,ТГ!$G$4,ТГ_ИД!$D:$D,ТГ!$A597)</f>
        <v>0</v>
      </c>
      <c r="M596" s="130">
        <f>SUMIFS(ТГ_ИД!$E:$E,ТГ_ИД!$B:$B,ТГ!$G$5,ТГ_ИД!$D:$D,ТГ!$A597)</f>
        <v>0</v>
      </c>
      <c r="N596" s="130">
        <f>SUMIFS(ТГ_ИД!$E:$E,ТГ_ИД!$B:$B,ТГ!$G$6,ТГ_ИД!$D:$D,ТГ!$A597)</f>
        <v>0</v>
      </c>
      <c r="O596" s="130">
        <f>SUMIFS(ТГ_ИД!$E:$E,ТГ_ИД!$B:$B,ТГ!$G$7,ТГ_ИД!$D:$D,ТГ!$A597)</f>
        <v>0</v>
      </c>
      <c r="P596" s="130">
        <f>SUMIFS(ТГ_ИД!$E:$E,ТГ_ИД!$B:$B,ТГ!$G$8,ТГ_ИД!$D:$D,ТГ!$A597)</f>
        <v>0</v>
      </c>
      <c r="Q596" s="130">
        <f>SUMIFS(ТГ_ИД!$E:$E,ТГ_ИД!$B:$B,ТГ!$G$9,ТГ_ИД!$D:$D,ТГ!$A597)</f>
        <v>0</v>
      </c>
      <c r="R596" s="130">
        <f>SUMIFS(ТГ_ИД!$E:$E,ТГ_ИД!$B:$B,ТГ!$G$10,ТГ_ИД!$D:$D,ТГ!$A597)</f>
        <v>0</v>
      </c>
      <c r="S596" s="130">
        <f>SUMIFS(ТГ_ИД!$E:$E,ТГ_ИД!$B:$B,ТГ!$G$11,ТГ_ИД!$D:$D,ТГ!$A597)</f>
        <v>0</v>
      </c>
      <c r="T596" s="130">
        <f>SUMIFS(ТГ_ИД!$E:$E,ТГ_ИД!$B:$B,ТГ!$G$12,ТГ_ИД!$D:$D,ТГ!$A597)</f>
        <v>0</v>
      </c>
      <c r="U596" s="130">
        <f>SUMIFS(ТГ_ИД!$E:$E,ТГ_ИД!$B:$B,ТГ!$G$13,ТГ_ИД!$D:$D,ТГ!$A597)</f>
        <v>0</v>
      </c>
      <c r="V596" s="130">
        <f>SUMIFS(ТГ_ИД!$E:$E,ТГ_ИД!$B:$B,ТГ!$G$14,ТГ_ИД!$D:$D,ТГ!$A597)</f>
        <v>0</v>
      </c>
    </row>
    <row r="597" spans="1:22" x14ac:dyDescent="0.25">
      <c r="A597" s="116" t="str">
        <f t="shared" si="10"/>
        <v/>
      </c>
      <c r="K597" s="130">
        <f>SUMIFS(ТГ_ИД!$E:$E,ТГ_ИД!$B:$B,ТГ!$G$3,ТГ_ИД!$D:$D,ТГ!$A598)</f>
        <v>0</v>
      </c>
      <c r="L597" s="130">
        <f>SUMIFS(ТГ_ИД!$E:$E,ТГ_ИД!$B:$B,ТГ!$G$4,ТГ_ИД!$D:$D,ТГ!$A598)</f>
        <v>0</v>
      </c>
      <c r="M597" s="130">
        <f>SUMIFS(ТГ_ИД!$E:$E,ТГ_ИД!$B:$B,ТГ!$G$5,ТГ_ИД!$D:$D,ТГ!$A598)</f>
        <v>0</v>
      </c>
      <c r="N597" s="130">
        <f>SUMIFS(ТГ_ИД!$E:$E,ТГ_ИД!$B:$B,ТГ!$G$6,ТГ_ИД!$D:$D,ТГ!$A598)</f>
        <v>0</v>
      </c>
      <c r="O597" s="130">
        <f>SUMIFS(ТГ_ИД!$E:$E,ТГ_ИД!$B:$B,ТГ!$G$7,ТГ_ИД!$D:$D,ТГ!$A598)</f>
        <v>0</v>
      </c>
      <c r="P597" s="130">
        <f>SUMIFS(ТГ_ИД!$E:$E,ТГ_ИД!$B:$B,ТГ!$G$8,ТГ_ИД!$D:$D,ТГ!$A598)</f>
        <v>0</v>
      </c>
      <c r="Q597" s="130">
        <f>SUMIFS(ТГ_ИД!$E:$E,ТГ_ИД!$B:$B,ТГ!$G$9,ТГ_ИД!$D:$D,ТГ!$A598)</f>
        <v>0</v>
      </c>
      <c r="R597" s="130">
        <f>SUMIFS(ТГ_ИД!$E:$E,ТГ_ИД!$B:$B,ТГ!$G$10,ТГ_ИД!$D:$D,ТГ!$A598)</f>
        <v>0</v>
      </c>
      <c r="S597" s="130">
        <f>SUMIFS(ТГ_ИД!$E:$E,ТГ_ИД!$B:$B,ТГ!$G$11,ТГ_ИД!$D:$D,ТГ!$A598)</f>
        <v>0</v>
      </c>
      <c r="T597" s="130">
        <f>SUMIFS(ТГ_ИД!$E:$E,ТГ_ИД!$B:$B,ТГ!$G$12,ТГ_ИД!$D:$D,ТГ!$A598)</f>
        <v>0</v>
      </c>
      <c r="U597" s="130">
        <f>SUMIFS(ТГ_ИД!$E:$E,ТГ_ИД!$B:$B,ТГ!$G$13,ТГ_ИД!$D:$D,ТГ!$A598)</f>
        <v>0</v>
      </c>
      <c r="V597" s="130">
        <f>SUMIFS(ТГ_ИД!$E:$E,ТГ_ИД!$B:$B,ТГ!$G$14,ТГ_ИД!$D:$D,ТГ!$A598)</f>
        <v>0</v>
      </c>
    </row>
    <row r="598" spans="1:22" x14ac:dyDescent="0.25">
      <c r="A598" s="116" t="str">
        <f t="shared" si="10"/>
        <v/>
      </c>
      <c r="K598" s="130">
        <f>SUMIFS(ТГ_ИД!$E:$E,ТГ_ИД!$B:$B,ТГ!$G$3,ТГ_ИД!$D:$D,ТГ!$A599)</f>
        <v>0</v>
      </c>
      <c r="L598" s="130">
        <f>SUMIFS(ТГ_ИД!$E:$E,ТГ_ИД!$B:$B,ТГ!$G$4,ТГ_ИД!$D:$D,ТГ!$A599)</f>
        <v>0</v>
      </c>
      <c r="M598" s="130">
        <f>SUMIFS(ТГ_ИД!$E:$E,ТГ_ИД!$B:$B,ТГ!$G$5,ТГ_ИД!$D:$D,ТГ!$A599)</f>
        <v>0</v>
      </c>
      <c r="N598" s="130">
        <f>SUMIFS(ТГ_ИД!$E:$E,ТГ_ИД!$B:$B,ТГ!$G$6,ТГ_ИД!$D:$D,ТГ!$A599)</f>
        <v>0</v>
      </c>
      <c r="O598" s="130">
        <f>SUMIFS(ТГ_ИД!$E:$E,ТГ_ИД!$B:$B,ТГ!$G$7,ТГ_ИД!$D:$D,ТГ!$A599)</f>
        <v>0</v>
      </c>
      <c r="P598" s="130">
        <f>SUMIFS(ТГ_ИД!$E:$E,ТГ_ИД!$B:$B,ТГ!$G$8,ТГ_ИД!$D:$D,ТГ!$A599)</f>
        <v>0</v>
      </c>
      <c r="Q598" s="130">
        <f>SUMIFS(ТГ_ИД!$E:$E,ТГ_ИД!$B:$B,ТГ!$G$9,ТГ_ИД!$D:$D,ТГ!$A599)</f>
        <v>0</v>
      </c>
      <c r="R598" s="130">
        <f>SUMIFS(ТГ_ИД!$E:$E,ТГ_ИД!$B:$B,ТГ!$G$10,ТГ_ИД!$D:$D,ТГ!$A599)</f>
        <v>0</v>
      </c>
      <c r="S598" s="130">
        <f>SUMIFS(ТГ_ИД!$E:$E,ТГ_ИД!$B:$B,ТГ!$G$11,ТГ_ИД!$D:$D,ТГ!$A599)</f>
        <v>0</v>
      </c>
      <c r="T598" s="130">
        <f>SUMIFS(ТГ_ИД!$E:$E,ТГ_ИД!$B:$B,ТГ!$G$12,ТГ_ИД!$D:$D,ТГ!$A599)</f>
        <v>0</v>
      </c>
      <c r="U598" s="130">
        <f>SUMIFS(ТГ_ИД!$E:$E,ТГ_ИД!$B:$B,ТГ!$G$13,ТГ_ИД!$D:$D,ТГ!$A599)</f>
        <v>0</v>
      </c>
      <c r="V598" s="130">
        <f>SUMIFS(ТГ_ИД!$E:$E,ТГ_ИД!$B:$B,ТГ!$G$14,ТГ_ИД!$D:$D,ТГ!$A599)</f>
        <v>0</v>
      </c>
    </row>
    <row r="599" spans="1:22" x14ac:dyDescent="0.25">
      <c r="A599" s="116" t="str">
        <f t="shared" si="10"/>
        <v/>
      </c>
      <c r="K599" s="130">
        <f>SUMIFS(ТГ_ИД!$E:$E,ТГ_ИД!$B:$B,ТГ!$G$3,ТГ_ИД!$D:$D,ТГ!$A600)</f>
        <v>0</v>
      </c>
      <c r="L599" s="130">
        <f>SUMIFS(ТГ_ИД!$E:$E,ТГ_ИД!$B:$B,ТГ!$G$4,ТГ_ИД!$D:$D,ТГ!$A600)</f>
        <v>0</v>
      </c>
      <c r="M599" s="130">
        <f>SUMIFS(ТГ_ИД!$E:$E,ТГ_ИД!$B:$B,ТГ!$G$5,ТГ_ИД!$D:$D,ТГ!$A600)</f>
        <v>0</v>
      </c>
      <c r="N599" s="130">
        <f>SUMIFS(ТГ_ИД!$E:$E,ТГ_ИД!$B:$B,ТГ!$G$6,ТГ_ИД!$D:$D,ТГ!$A600)</f>
        <v>0</v>
      </c>
      <c r="O599" s="130">
        <f>SUMIFS(ТГ_ИД!$E:$E,ТГ_ИД!$B:$B,ТГ!$G$7,ТГ_ИД!$D:$D,ТГ!$A600)</f>
        <v>0</v>
      </c>
      <c r="P599" s="130">
        <f>SUMIFS(ТГ_ИД!$E:$E,ТГ_ИД!$B:$B,ТГ!$G$8,ТГ_ИД!$D:$D,ТГ!$A600)</f>
        <v>0</v>
      </c>
      <c r="Q599" s="130">
        <f>SUMIFS(ТГ_ИД!$E:$E,ТГ_ИД!$B:$B,ТГ!$G$9,ТГ_ИД!$D:$D,ТГ!$A600)</f>
        <v>0</v>
      </c>
      <c r="R599" s="130">
        <f>SUMIFS(ТГ_ИД!$E:$E,ТГ_ИД!$B:$B,ТГ!$G$10,ТГ_ИД!$D:$D,ТГ!$A600)</f>
        <v>0</v>
      </c>
      <c r="S599" s="130">
        <f>SUMIFS(ТГ_ИД!$E:$E,ТГ_ИД!$B:$B,ТГ!$G$11,ТГ_ИД!$D:$D,ТГ!$A600)</f>
        <v>0</v>
      </c>
      <c r="T599" s="130">
        <f>SUMIFS(ТГ_ИД!$E:$E,ТГ_ИД!$B:$B,ТГ!$G$12,ТГ_ИД!$D:$D,ТГ!$A600)</f>
        <v>0</v>
      </c>
      <c r="U599" s="130">
        <f>SUMIFS(ТГ_ИД!$E:$E,ТГ_ИД!$B:$B,ТГ!$G$13,ТГ_ИД!$D:$D,ТГ!$A600)</f>
        <v>0</v>
      </c>
      <c r="V599" s="130">
        <f>SUMIFS(ТГ_ИД!$E:$E,ТГ_ИД!$B:$B,ТГ!$G$14,ТГ_ИД!$D:$D,ТГ!$A600)</f>
        <v>0</v>
      </c>
    </row>
    <row r="600" spans="1:22" x14ac:dyDescent="0.25">
      <c r="A600" s="116" t="str">
        <f t="shared" si="10"/>
        <v/>
      </c>
      <c r="K600" s="130">
        <f>SUMIFS(ТГ_ИД!$E:$E,ТГ_ИД!$B:$B,ТГ!$G$3,ТГ_ИД!$D:$D,ТГ!$A601)</f>
        <v>0</v>
      </c>
      <c r="L600" s="130">
        <f>SUMIFS(ТГ_ИД!$E:$E,ТГ_ИД!$B:$B,ТГ!$G$4,ТГ_ИД!$D:$D,ТГ!$A601)</f>
        <v>0</v>
      </c>
      <c r="M600" s="130">
        <f>SUMIFS(ТГ_ИД!$E:$E,ТГ_ИД!$B:$B,ТГ!$G$5,ТГ_ИД!$D:$D,ТГ!$A601)</f>
        <v>0</v>
      </c>
      <c r="N600" s="130">
        <f>SUMIFS(ТГ_ИД!$E:$E,ТГ_ИД!$B:$B,ТГ!$G$6,ТГ_ИД!$D:$D,ТГ!$A601)</f>
        <v>0</v>
      </c>
      <c r="O600" s="130">
        <f>SUMIFS(ТГ_ИД!$E:$E,ТГ_ИД!$B:$B,ТГ!$G$7,ТГ_ИД!$D:$D,ТГ!$A601)</f>
        <v>0</v>
      </c>
      <c r="P600" s="130">
        <f>SUMIFS(ТГ_ИД!$E:$E,ТГ_ИД!$B:$B,ТГ!$G$8,ТГ_ИД!$D:$D,ТГ!$A601)</f>
        <v>0</v>
      </c>
      <c r="Q600" s="130">
        <f>SUMIFS(ТГ_ИД!$E:$E,ТГ_ИД!$B:$B,ТГ!$G$9,ТГ_ИД!$D:$D,ТГ!$A601)</f>
        <v>0</v>
      </c>
      <c r="R600" s="130">
        <f>SUMIFS(ТГ_ИД!$E:$E,ТГ_ИД!$B:$B,ТГ!$G$10,ТГ_ИД!$D:$D,ТГ!$A601)</f>
        <v>0</v>
      </c>
      <c r="S600" s="130">
        <f>SUMIFS(ТГ_ИД!$E:$E,ТГ_ИД!$B:$B,ТГ!$G$11,ТГ_ИД!$D:$D,ТГ!$A601)</f>
        <v>0</v>
      </c>
      <c r="T600" s="130">
        <f>SUMIFS(ТГ_ИД!$E:$E,ТГ_ИД!$B:$B,ТГ!$G$12,ТГ_ИД!$D:$D,ТГ!$A601)</f>
        <v>0</v>
      </c>
      <c r="U600" s="130">
        <f>SUMIFS(ТГ_ИД!$E:$E,ТГ_ИД!$B:$B,ТГ!$G$13,ТГ_ИД!$D:$D,ТГ!$A601)</f>
        <v>0</v>
      </c>
      <c r="V600" s="130">
        <f>SUMIFS(ТГ_ИД!$E:$E,ТГ_ИД!$B:$B,ТГ!$G$14,ТГ_ИД!$D:$D,ТГ!$A601)</f>
        <v>0</v>
      </c>
    </row>
    <row r="601" spans="1:22" x14ac:dyDescent="0.25">
      <c r="A601" s="116" t="str">
        <f t="shared" si="10"/>
        <v/>
      </c>
      <c r="K601" s="130">
        <f>SUMIFS(ТГ_ИД!$E:$E,ТГ_ИД!$B:$B,ТГ!$G$3,ТГ_ИД!$D:$D,ТГ!$A602)</f>
        <v>0</v>
      </c>
      <c r="L601" s="130">
        <f>SUMIFS(ТГ_ИД!$E:$E,ТГ_ИД!$B:$B,ТГ!$G$4,ТГ_ИД!$D:$D,ТГ!$A602)</f>
        <v>0</v>
      </c>
      <c r="M601" s="130">
        <f>SUMIFS(ТГ_ИД!$E:$E,ТГ_ИД!$B:$B,ТГ!$G$5,ТГ_ИД!$D:$D,ТГ!$A602)</f>
        <v>0</v>
      </c>
      <c r="N601" s="130">
        <f>SUMIFS(ТГ_ИД!$E:$E,ТГ_ИД!$B:$B,ТГ!$G$6,ТГ_ИД!$D:$D,ТГ!$A602)</f>
        <v>0</v>
      </c>
      <c r="O601" s="130">
        <f>SUMIFS(ТГ_ИД!$E:$E,ТГ_ИД!$B:$B,ТГ!$G$7,ТГ_ИД!$D:$D,ТГ!$A602)</f>
        <v>0</v>
      </c>
      <c r="P601" s="130">
        <f>SUMIFS(ТГ_ИД!$E:$E,ТГ_ИД!$B:$B,ТГ!$G$8,ТГ_ИД!$D:$D,ТГ!$A602)</f>
        <v>0</v>
      </c>
      <c r="Q601" s="130">
        <f>SUMIFS(ТГ_ИД!$E:$E,ТГ_ИД!$B:$B,ТГ!$G$9,ТГ_ИД!$D:$D,ТГ!$A602)</f>
        <v>0</v>
      </c>
      <c r="R601" s="130">
        <f>SUMIFS(ТГ_ИД!$E:$E,ТГ_ИД!$B:$B,ТГ!$G$10,ТГ_ИД!$D:$D,ТГ!$A602)</f>
        <v>0</v>
      </c>
      <c r="S601" s="130">
        <f>SUMIFS(ТГ_ИД!$E:$E,ТГ_ИД!$B:$B,ТГ!$G$11,ТГ_ИД!$D:$D,ТГ!$A602)</f>
        <v>0</v>
      </c>
      <c r="T601" s="130">
        <f>SUMIFS(ТГ_ИД!$E:$E,ТГ_ИД!$B:$B,ТГ!$G$12,ТГ_ИД!$D:$D,ТГ!$A602)</f>
        <v>0</v>
      </c>
      <c r="U601" s="130">
        <f>SUMIFS(ТГ_ИД!$E:$E,ТГ_ИД!$B:$B,ТГ!$G$13,ТГ_ИД!$D:$D,ТГ!$A602)</f>
        <v>0</v>
      </c>
      <c r="V601" s="130">
        <f>SUMIFS(ТГ_ИД!$E:$E,ТГ_ИД!$B:$B,ТГ!$G$14,ТГ_ИД!$D:$D,ТГ!$A602)</f>
        <v>0</v>
      </c>
    </row>
    <row r="602" spans="1:22" x14ac:dyDescent="0.25">
      <c r="A602" s="116" t="str">
        <f t="shared" si="10"/>
        <v/>
      </c>
      <c r="K602" s="130">
        <f>SUMIFS(ТГ_ИД!$E:$E,ТГ_ИД!$B:$B,ТГ!$G$3,ТГ_ИД!$D:$D,ТГ!$A603)</f>
        <v>0</v>
      </c>
      <c r="L602" s="130">
        <f>SUMIFS(ТГ_ИД!$E:$E,ТГ_ИД!$B:$B,ТГ!$G$4,ТГ_ИД!$D:$D,ТГ!$A603)</f>
        <v>0</v>
      </c>
      <c r="M602" s="130">
        <f>SUMIFS(ТГ_ИД!$E:$E,ТГ_ИД!$B:$B,ТГ!$G$5,ТГ_ИД!$D:$D,ТГ!$A603)</f>
        <v>0</v>
      </c>
      <c r="N602" s="130">
        <f>SUMIFS(ТГ_ИД!$E:$E,ТГ_ИД!$B:$B,ТГ!$G$6,ТГ_ИД!$D:$D,ТГ!$A603)</f>
        <v>0</v>
      </c>
      <c r="O602" s="130">
        <f>SUMIFS(ТГ_ИД!$E:$E,ТГ_ИД!$B:$B,ТГ!$G$7,ТГ_ИД!$D:$D,ТГ!$A603)</f>
        <v>0</v>
      </c>
      <c r="P602" s="130">
        <f>SUMIFS(ТГ_ИД!$E:$E,ТГ_ИД!$B:$B,ТГ!$G$8,ТГ_ИД!$D:$D,ТГ!$A603)</f>
        <v>0</v>
      </c>
      <c r="Q602" s="130">
        <f>SUMIFS(ТГ_ИД!$E:$E,ТГ_ИД!$B:$B,ТГ!$G$9,ТГ_ИД!$D:$D,ТГ!$A603)</f>
        <v>0</v>
      </c>
      <c r="R602" s="130">
        <f>SUMIFS(ТГ_ИД!$E:$E,ТГ_ИД!$B:$B,ТГ!$G$10,ТГ_ИД!$D:$D,ТГ!$A603)</f>
        <v>0</v>
      </c>
      <c r="S602" s="130">
        <f>SUMIFS(ТГ_ИД!$E:$E,ТГ_ИД!$B:$B,ТГ!$G$11,ТГ_ИД!$D:$D,ТГ!$A603)</f>
        <v>0</v>
      </c>
      <c r="T602" s="130">
        <f>SUMIFS(ТГ_ИД!$E:$E,ТГ_ИД!$B:$B,ТГ!$G$12,ТГ_ИД!$D:$D,ТГ!$A603)</f>
        <v>0</v>
      </c>
      <c r="U602" s="130">
        <f>SUMIFS(ТГ_ИД!$E:$E,ТГ_ИД!$B:$B,ТГ!$G$13,ТГ_ИД!$D:$D,ТГ!$A603)</f>
        <v>0</v>
      </c>
      <c r="V602" s="130">
        <f>SUMIFS(ТГ_ИД!$E:$E,ТГ_ИД!$B:$B,ТГ!$G$14,ТГ_ИД!$D:$D,ТГ!$A603)</f>
        <v>0</v>
      </c>
    </row>
    <row r="603" spans="1:22" x14ac:dyDescent="0.25">
      <c r="A603" s="116" t="str">
        <f t="shared" si="10"/>
        <v/>
      </c>
      <c r="K603" s="130">
        <f>SUMIFS(ТГ_ИД!$E:$E,ТГ_ИД!$B:$B,ТГ!$G$3,ТГ_ИД!$D:$D,ТГ!$A604)</f>
        <v>0</v>
      </c>
      <c r="L603" s="130">
        <f>SUMIFS(ТГ_ИД!$E:$E,ТГ_ИД!$B:$B,ТГ!$G$4,ТГ_ИД!$D:$D,ТГ!$A604)</f>
        <v>0</v>
      </c>
      <c r="M603" s="130">
        <f>SUMIFS(ТГ_ИД!$E:$E,ТГ_ИД!$B:$B,ТГ!$G$5,ТГ_ИД!$D:$D,ТГ!$A604)</f>
        <v>0</v>
      </c>
      <c r="N603" s="130">
        <f>SUMIFS(ТГ_ИД!$E:$E,ТГ_ИД!$B:$B,ТГ!$G$6,ТГ_ИД!$D:$D,ТГ!$A604)</f>
        <v>0</v>
      </c>
      <c r="O603" s="130">
        <f>SUMIFS(ТГ_ИД!$E:$E,ТГ_ИД!$B:$B,ТГ!$G$7,ТГ_ИД!$D:$D,ТГ!$A604)</f>
        <v>0</v>
      </c>
      <c r="P603" s="130">
        <f>SUMIFS(ТГ_ИД!$E:$E,ТГ_ИД!$B:$B,ТГ!$G$8,ТГ_ИД!$D:$D,ТГ!$A604)</f>
        <v>0</v>
      </c>
      <c r="Q603" s="130">
        <f>SUMIFS(ТГ_ИД!$E:$E,ТГ_ИД!$B:$B,ТГ!$G$9,ТГ_ИД!$D:$D,ТГ!$A604)</f>
        <v>0</v>
      </c>
      <c r="R603" s="130">
        <f>SUMIFS(ТГ_ИД!$E:$E,ТГ_ИД!$B:$B,ТГ!$G$10,ТГ_ИД!$D:$D,ТГ!$A604)</f>
        <v>0</v>
      </c>
      <c r="S603" s="130">
        <f>SUMIFS(ТГ_ИД!$E:$E,ТГ_ИД!$B:$B,ТГ!$G$11,ТГ_ИД!$D:$D,ТГ!$A604)</f>
        <v>0</v>
      </c>
      <c r="T603" s="130">
        <f>SUMIFS(ТГ_ИД!$E:$E,ТГ_ИД!$B:$B,ТГ!$G$12,ТГ_ИД!$D:$D,ТГ!$A604)</f>
        <v>0</v>
      </c>
      <c r="U603" s="130">
        <f>SUMIFS(ТГ_ИД!$E:$E,ТГ_ИД!$B:$B,ТГ!$G$13,ТГ_ИД!$D:$D,ТГ!$A604)</f>
        <v>0</v>
      </c>
      <c r="V603" s="130">
        <f>SUMIFS(ТГ_ИД!$E:$E,ТГ_ИД!$B:$B,ТГ!$G$14,ТГ_ИД!$D:$D,ТГ!$A604)</f>
        <v>0</v>
      </c>
    </row>
    <row r="604" spans="1:22" x14ac:dyDescent="0.25">
      <c r="A604" s="116" t="str">
        <f t="shared" si="10"/>
        <v/>
      </c>
      <c r="K604" s="130">
        <f>SUMIFS(ТГ_ИД!$E:$E,ТГ_ИД!$B:$B,ТГ!$G$3,ТГ_ИД!$D:$D,ТГ!$A605)</f>
        <v>0</v>
      </c>
      <c r="L604" s="130">
        <f>SUMIFS(ТГ_ИД!$E:$E,ТГ_ИД!$B:$B,ТГ!$G$4,ТГ_ИД!$D:$D,ТГ!$A605)</f>
        <v>0</v>
      </c>
      <c r="M604" s="130">
        <f>SUMIFS(ТГ_ИД!$E:$E,ТГ_ИД!$B:$B,ТГ!$G$5,ТГ_ИД!$D:$D,ТГ!$A605)</f>
        <v>0</v>
      </c>
      <c r="N604" s="130">
        <f>SUMIFS(ТГ_ИД!$E:$E,ТГ_ИД!$B:$B,ТГ!$G$6,ТГ_ИД!$D:$D,ТГ!$A605)</f>
        <v>0</v>
      </c>
      <c r="O604" s="130">
        <f>SUMIFS(ТГ_ИД!$E:$E,ТГ_ИД!$B:$B,ТГ!$G$7,ТГ_ИД!$D:$D,ТГ!$A605)</f>
        <v>0</v>
      </c>
      <c r="P604" s="130">
        <f>SUMIFS(ТГ_ИД!$E:$E,ТГ_ИД!$B:$B,ТГ!$G$8,ТГ_ИД!$D:$D,ТГ!$A605)</f>
        <v>0</v>
      </c>
      <c r="Q604" s="130">
        <f>SUMIFS(ТГ_ИД!$E:$E,ТГ_ИД!$B:$B,ТГ!$G$9,ТГ_ИД!$D:$D,ТГ!$A605)</f>
        <v>0</v>
      </c>
      <c r="R604" s="130">
        <f>SUMIFS(ТГ_ИД!$E:$E,ТГ_ИД!$B:$B,ТГ!$G$10,ТГ_ИД!$D:$D,ТГ!$A605)</f>
        <v>0</v>
      </c>
      <c r="S604" s="130">
        <f>SUMIFS(ТГ_ИД!$E:$E,ТГ_ИД!$B:$B,ТГ!$G$11,ТГ_ИД!$D:$D,ТГ!$A605)</f>
        <v>0</v>
      </c>
      <c r="T604" s="130">
        <f>SUMIFS(ТГ_ИД!$E:$E,ТГ_ИД!$B:$B,ТГ!$G$12,ТГ_ИД!$D:$D,ТГ!$A605)</f>
        <v>0</v>
      </c>
      <c r="U604" s="130">
        <f>SUMIFS(ТГ_ИД!$E:$E,ТГ_ИД!$B:$B,ТГ!$G$13,ТГ_ИД!$D:$D,ТГ!$A605)</f>
        <v>0</v>
      </c>
      <c r="V604" s="130">
        <f>SUMIFS(ТГ_ИД!$E:$E,ТГ_ИД!$B:$B,ТГ!$G$14,ТГ_ИД!$D:$D,ТГ!$A605)</f>
        <v>0</v>
      </c>
    </row>
    <row r="605" spans="1:22" x14ac:dyDescent="0.25">
      <c r="A605" s="116" t="str">
        <f t="shared" si="10"/>
        <v/>
      </c>
      <c r="K605" s="130">
        <f>SUMIFS(ТГ_ИД!$E:$E,ТГ_ИД!$B:$B,ТГ!$G$3,ТГ_ИД!$D:$D,ТГ!$A606)</f>
        <v>0</v>
      </c>
      <c r="L605" s="130">
        <f>SUMIFS(ТГ_ИД!$E:$E,ТГ_ИД!$B:$B,ТГ!$G$4,ТГ_ИД!$D:$D,ТГ!$A606)</f>
        <v>0</v>
      </c>
      <c r="M605" s="130">
        <f>SUMIFS(ТГ_ИД!$E:$E,ТГ_ИД!$B:$B,ТГ!$G$5,ТГ_ИД!$D:$D,ТГ!$A606)</f>
        <v>0</v>
      </c>
      <c r="N605" s="130">
        <f>SUMIFS(ТГ_ИД!$E:$E,ТГ_ИД!$B:$B,ТГ!$G$6,ТГ_ИД!$D:$D,ТГ!$A606)</f>
        <v>0</v>
      </c>
      <c r="O605" s="130">
        <f>SUMIFS(ТГ_ИД!$E:$E,ТГ_ИД!$B:$B,ТГ!$G$7,ТГ_ИД!$D:$D,ТГ!$A606)</f>
        <v>0</v>
      </c>
      <c r="P605" s="130">
        <f>SUMIFS(ТГ_ИД!$E:$E,ТГ_ИД!$B:$B,ТГ!$G$8,ТГ_ИД!$D:$D,ТГ!$A606)</f>
        <v>0</v>
      </c>
      <c r="Q605" s="130">
        <f>SUMIFS(ТГ_ИД!$E:$E,ТГ_ИД!$B:$B,ТГ!$G$9,ТГ_ИД!$D:$D,ТГ!$A606)</f>
        <v>0</v>
      </c>
      <c r="R605" s="130">
        <f>SUMIFS(ТГ_ИД!$E:$E,ТГ_ИД!$B:$B,ТГ!$G$10,ТГ_ИД!$D:$D,ТГ!$A606)</f>
        <v>0</v>
      </c>
      <c r="S605" s="130">
        <f>SUMIFS(ТГ_ИД!$E:$E,ТГ_ИД!$B:$B,ТГ!$G$11,ТГ_ИД!$D:$D,ТГ!$A606)</f>
        <v>0</v>
      </c>
      <c r="T605" s="130">
        <f>SUMIFS(ТГ_ИД!$E:$E,ТГ_ИД!$B:$B,ТГ!$G$12,ТГ_ИД!$D:$D,ТГ!$A606)</f>
        <v>0</v>
      </c>
      <c r="U605" s="130">
        <f>SUMIFS(ТГ_ИД!$E:$E,ТГ_ИД!$B:$B,ТГ!$G$13,ТГ_ИД!$D:$D,ТГ!$A606)</f>
        <v>0</v>
      </c>
      <c r="V605" s="130">
        <f>SUMIFS(ТГ_ИД!$E:$E,ТГ_ИД!$B:$B,ТГ!$G$14,ТГ_ИД!$D:$D,ТГ!$A606)</f>
        <v>0</v>
      </c>
    </row>
    <row r="606" spans="1:22" x14ac:dyDescent="0.25">
      <c r="A606" s="116" t="str">
        <f t="shared" si="10"/>
        <v/>
      </c>
      <c r="K606" s="130">
        <f>SUMIFS(ТГ_ИД!$E:$E,ТГ_ИД!$B:$B,ТГ!$G$3,ТГ_ИД!$D:$D,ТГ!$A607)</f>
        <v>0</v>
      </c>
      <c r="L606" s="130">
        <f>SUMIFS(ТГ_ИД!$E:$E,ТГ_ИД!$B:$B,ТГ!$G$4,ТГ_ИД!$D:$D,ТГ!$A607)</f>
        <v>0</v>
      </c>
      <c r="M606" s="130">
        <f>SUMIFS(ТГ_ИД!$E:$E,ТГ_ИД!$B:$B,ТГ!$G$5,ТГ_ИД!$D:$D,ТГ!$A607)</f>
        <v>0</v>
      </c>
      <c r="N606" s="130">
        <f>SUMIFS(ТГ_ИД!$E:$E,ТГ_ИД!$B:$B,ТГ!$G$6,ТГ_ИД!$D:$D,ТГ!$A607)</f>
        <v>0</v>
      </c>
      <c r="O606" s="130">
        <f>SUMIFS(ТГ_ИД!$E:$E,ТГ_ИД!$B:$B,ТГ!$G$7,ТГ_ИД!$D:$D,ТГ!$A607)</f>
        <v>0</v>
      </c>
      <c r="P606" s="130">
        <f>SUMIFS(ТГ_ИД!$E:$E,ТГ_ИД!$B:$B,ТГ!$G$8,ТГ_ИД!$D:$D,ТГ!$A607)</f>
        <v>0</v>
      </c>
      <c r="Q606" s="130">
        <f>SUMIFS(ТГ_ИД!$E:$E,ТГ_ИД!$B:$B,ТГ!$G$9,ТГ_ИД!$D:$D,ТГ!$A607)</f>
        <v>0</v>
      </c>
      <c r="R606" s="130">
        <f>SUMIFS(ТГ_ИД!$E:$E,ТГ_ИД!$B:$B,ТГ!$G$10,ТГ_ИД!$D:$D,ТГ!$A607)</f>
        <v>0</v>
      </c>
      <c r="S606" s="130">
        <f>SUMIFS(ТГ_ИД!$E:$E,ТГ_ИД!$B:$B,ТГ!$G$11,ТГ_ИД!$D:$D,ТГ!$A607)</f>
        <v>0</v>
      </c>
      <c r="T606" s="130">
        <f>SUMIFS(ТГ_ИД!$E:$E,ТГ_ИД!$B:$B,ТГ!$G$12,ТГ_ИД!$D:$D,ТГ!$A607)</f>
        <v>0</v>
      </c>
      <c r="U606" s="130">
        <f>SUMIFS(ТГ_ИД!$E:$E,ТГ_ИД!$B:$B,ТГ!$G$13,ТГ_ИД!$D:$D,ТГ!$A607)</f>
        <v>0</v>
      </c>
      <c r="V606" s="130">
        <f>SUMIFS(ТГ_ИД!$E:$E,ТГ_ИД!$B:$B,ТГ!$G$14,ТГ_ИД!$D:$D,ТГ!$A607)</f>
        <v>0</v>
      </c>
    </row>
    <row r="607" spans="1:22" x14ac:dyDescent="0.25">
      <c r="A607" s="116" t="str">
        <f t="shared" si="10"/>
        <v/>
      </c>
      <c r="K607" s="130">
        <f>SUMIFS(ТГ_ИД!$E:$E,ТГ_ИД!$B:$B,ТГ!$G$3,ТГ_ИД!$D:$D,ТГ!$A608)</f>
        <v>0</v>
      </c>
      <c r="L607" s="130">
        <f>SUMIFS(ТГ_ИД!$E:$E,ТГ_ИД!$B:$B,ТГ!$G$4,ТГ_ИД!$D:$D,ТГ!$A608)</f>
        <v>0</v>
      </c>
      <c r="M607" s="130">
        <f>SUMIFS(ТГ_ИД!$E:$E,ТГ_ИД!$B:$B,ТГ!$G$5,ТГ_ИД!$D:$D,ТГ!$A608)</f>
        <v>0</v>
      </c>
      <c r="N607" s="130">
        <f>SUMIFS(ТГ_ИД!$E:$E,ТГ_ИД!$B:$B,ТГ!$G$6,ТГ_ИД!$D:$D,ТГ!$A608)</f>
        <v>0</v>
      </c>
      <c r="O607" s="130">
        <f>SUMIFS(ТГ_ИД!$E:$E,ТГ_ИД!$B:$B,ТГ!$G$7,ТГ_ИД!$D:$D,ТГ!$A608)</f>
        <v>0</v>
      </c>
      <c r="P607" s="130">
        <f>SUMIFS(ТГ_ИД!$E:$E,ТГ_ИД!$B:$B,ТГ!$G$8,ТГ_ИД!$D:$D,ТГ!$A608)</f>
        <v>0</v>
      </c>
      <c r="Q607" s="130">
        <f>SUMIFS(ТГ_ИД!$E:$E,ТГ_ИД!$B:$B,ТГ!$G$9,ТГ_ИД!$D:$D,ТГ!$A608)</f>
        <v>0</v>
      </c>
      <c r="R607" s="130">
        <f>SUMIFS(ТГ_ИД!$E:$E,ТГ_ИД!$B:$B,ТГ!$G$10,ТГ_ИД!$D:$D,ТГ!$A608)</f>
        <v>0</v>
      </c>
      <c r="S607" s="130">
        <f>SUMIFS(ТГ_ИД!$E:$E,ТГ_ИД!$B:$B,ТГ!$G$11,ТГ_ИД!$D:$D,ТГ!$A608)</f>
        <v>0</v>
      </c>
      <c r="T607" s="130">
        <f>SUMIFS(ТГ_ИД!$E:$E,ТГ_ИД!$B:$B,ТГ!$G$12,ТГ_ИД!$D:$D,ТГ!$A608)</f>
        <v>0</v>
      </c>
      <c r="U607" s="130">
        <f>SUMIFS(ТГ_ИД!$E:$E,ТГ_ИД!$B:$B,ТГ!$G$13,ТГ_ИД!$D:$D,ТГ!$A608)</f>
        <v>0</v>
      </c>
      <c r="V607" s="130">
        <f>SUMIFS(ТГ_ИД!$E:$E,ТГ_ИД!$B:$B,ТГ!$G$14,ТГ_ИД!$D:$D,ТГ!$A608)</f>
        <v>0</v>
      </c>
    </row>
    <row r="608" spans="1:22" x14ac:dyDescent="0.25">
      <c r="A608" s="116" t="str">
        <f t="shared" si="10"/>
        <v/>
      </c>
      <c r="K608" s="130">
        <f>SUMIFS(ТГ_ИД!$E:$E,ТГ_ИД!$B:$B,ТГ!$G$3,ТГ_ИД!$D:$D,ТГ!$A609)</f>
        <v>0</v>
      </c>
      <c r="L608" s="130">
        <f>SUMIFS(ТГ_ИД!$E:$E,ТГ_ИД!$B:$B,ТГ!$G$4,ТГ_ИД!$D:$D,ТГ!$A609)</f>
        <v>0</v>
      </c>
      <c r="M608" s="130">
        <f>SUMIFS(ТГ_ИД!$E:$E,ТГ_ИД!$B:$B,ТГ!$G$5,ТГ_ИД!$D:$D,ТГ!$A609)</f>
        <v>0</v>
      </c>
      <c r="N608" s="130">
        <f>SUMIFS(ТГ_ИД!$E:$E,ТГ_ИД!$B:$B,ТГ!$G$6,ТГ_ИД!$D:$D,ТГ!$A609)</f>
        <v>0</v>
      </c>
      <c r="O608" s="130">
        <f>SUMIFS(ТГ_ИД!$E:$E,ТГ_ИД!$B:$B,ТГ!$G$7,ТГ_ИД!$D:$D,ТГ!$A609)</f>
        <v>0</v>
      </c>
      <c r="P608" s="130">
        <f>SUMIFS(ТГ_ИД!$E:$E,ТГ_ИД!$B:$B,ТГ!$G$8,ТГ_ИД!$D:$D,ТГ!$A609)</f>
        <v>0</v>
      </c>
      <c r="Q608" s="130">
        <f>SUMIFS(ТГ_ИД!$E:$E,ТГ_ИД!$B:$B,ТГ!$G$9,ТГ_ИД!$D:$D,ТГ!$A609)</f>
        <v>0</v>
      </c>
      <c r="R608" s="130">
        <f>SUMIFS(ТГ_ИД!$E:$E,ТГ_ИД!$B:$B,ТГ!$G$10,ТГ_ИД!$D:$D,ТГ!$A609)</f>
        <v>0</v>
      </c>
      <c r="S608" s="130">
        <f>SUMIFS(ТГ_ИД!$E:$E,ТГ_ИД!$B:$B,ТГ!$G$11,ТГ_ИД!$D:$D,ТГ!$A609)</f>
        <v>0</v>
      </c>
      <c r="T608" s="130">
        <f>SUMIFS(ТГ_ИД!$E:$E,ТГ_ИД!$B:$B,ТГ!$G$12,ТГ_ИД!$D:$D,ТГ!$A609)</f>
        <v>0</v>
      </c>
      <c r="U608" s="130">
        <f>SUMIFS(ТГ_ИД!$E:$E,ТГ_ИД!$B:$B,ТГ!$G$13,ТГ_ИД!$D:$D,ТГ!$A609)</f>
        <v>0</v>
      </c>
      <c r="V608" s="130">
        <f>SUMIFS(ТГ_ИД!$E:$E,ТГ_ИД!$B:$B,ТГ!$G$14,ТГ_ИД!$D:$D,ТГ!$A609)</f>
        <v>0</v>
      </c>
    </row>
    <row r="609" spans="1:22" x14ac:dyDescent="0.25">
      <c r="A609" s="116" t="str">
        <f t="shared" si="10"/>
        <v/>
      </c>
      <c r="K609" s="130">
        <f>SUMIFS(ТГ_ИД!$E:$E,ТГ_ИД!$B:$B,ТГ!$G$3,ТГ_ИД!$D:$D,ТГ!$A610)</f>
        <v>0</v>
      </c>
      <c r="L609" s="130">
        <f>SUMIFS(ТГ_ИД!$E:$E,ТГ_ИД!$B:$B,ТГ!$G$4,ТГ_ИД!$D:$D,ТГ!$A610)</f>
        <v>0</v>
      </c>
      <c r="M609" s="130">
        <f>SUMIFS(ТГ_ИД!$E:$E,ТГ_ИД!$B:$B,ТГ!$G$5,ТГ_ИД!$D:$D,ТГ!$A610)</f>
        <v>0</v>
      </c>
      <c r="N609" s="130">
        <f>SUMIFS(ТГ_ИД!$E:$E,ТГ_ИД!$B:$B,ТГ!$G$6,ТГ_ИД!$D:$D,ТГ!$A610)</f>
        <v>0</v>
      </c>
      <c r="O609" s="130">
        <f>SUMIFS(ТГ_ИД!$E:$E,ТГ_ИД!$B:$B,ТГ!$G$7,ТГ_ИД!$D:$D,ТГ!$A610)</f>
        <v>0</v>
      </c>
      <c r="P609" s="130">
        <f>SUMIFS(ТГ_ИД!$E:$E,ТГ_ИД!$B:$B,ТГ!$G$8,ТГ_ИД!$D:$D,ТГ!$A610)</f>
        <v>0</v>
      </c>
      <c r="Q609" s="130">
        <f>SUMIFS(ТГ_ИД!$E:$E,ТГ_ИД!$B:$B,ТГ!$G$9,ТГ_ИД!$D:$D,ТГ!$A610)</f>
        <v>0</v>
      </c>
      <c r="R609" s="130">
        <f>SUMIFS(ТГ_ИД!$E:$E,ТГ_ИД!$B:$B,ТГ!$G$10,ТГ_ИД!$D:$D,ТГ!$A610)</f>
        <v>0</v>
      </c>
      <c r="S609" s="130">
        <f>SUMIFS(ТГ_ИД!$E:$E,ТГ_ИД!$B:$B,ТГ!$G$11,ТГ_ИД!$D:$D,ТГ!$A610)</f>
        <v>0</v>
      </c>
      <c r="T609" s="130">
        <f>SUMIFS(ТГ_ИД!$E:$E,ТГ_ИД!$B:$B,ТГ!$G$12,ТГ_ИД!$D:$D,ТГ!$A610)</f>
        <v>0</v>
      </c>
      <c r="U609" s="130">
        <f>SUMIFS(ТГ_ИД!$E:$E,ТГ_ИД!$B:$B,ТГ!$G$13,ТГ_ИД!$D:$D,ТГ!$A610)</f>
        <v>0</v>
      </c>
      <c r="V609" s="130">
        <f>SUMIFS(ТГ_ИД!$E:$E,ТГ_ИД!$B:$B,ТГ!$G$14,ТГ_ИД!$D:$D,ТГ!$A610)</f>
        <v>0</v>
      </c>
    </row>
    <row r="610" spans="1:22" x14ac:dyDescent="0.25">
      <c r="A610" s="116" t="str">
        <f t="shared" si="10"/>
        <v/>
      </c>
      <c r="K610" s="130">
        <f>SUMIFS(ТГ_ИД!$E:$E,ТГ_ИД!$B:$B,ТГ!$G$3,ТГ_ИД!$D:$D,ТГ!$A611)</f>
        <v>0</v>
      </c>
      <c r="L610" s="130">
        <f>SUMIFS(ТГ_ИД!$E:$E,ТГ_ИД!$B:$B,ТГ!$G$4,ТГ_ИД!$D:$D,ТГ!$A611)</f>
        <v>0</v>
      </c>
      <c r="M610" s="130">
        <f>SUMIFS(ТГ_ИД!$E:$E,ТГ_ИД!$B:$B,ТГ!$G$5,ТГ_ИД!$D:$D,ТГ!$A611)</f>
        <v>0</v>
      </c>
      <c r="N610" s="130">
        <f>SUMIFS(ТГ_ИД!$E:$E,ТГ_ИД!$B:$B,ТГ!$G$6,ТГ_ИД!$D:$D,ТГ!$A611)</f>
        <v>0</v>
      </c>
      <c r="O610" s="130">
        <f>SUMIFS(ТГ_ИД!$E:$E,ТГ_ИД!$B:$B,ТГ!$G$7,ТГ_ИД!$D:$D,ТГ!$A611)</f>
        <v>0</v>
      </c>
      <c r="P610" s="130">
        <f>SUMIFS(ТГ_ИД!$E:$E,ТГ_ИД!$B:$B,ТГ!$G$8,ТГ_ИД!$D:$D,ТГ!$A611)</f>
        <v>0</v>
      </c>
      <c r="Q610" s="130">
        <f>SUMIFS(ТГ_ИД!$E:$E,ТГ_ИД!$B:$B,ТГ!$G$9,ТГ_ИД!$D:$D,ТГ!$A611)</f>
        <v>0</v>
      </c>
      <c r="R610" s="130">
        <f>SUMIFS(ТГ_ИД!$E:$E,ТГ_ИД!$B:$B,ТГ!$G$10,ТГ_ИД!$D:$D,ТГ!$A611)</f>
        <v>0</v>
      </c>
      <c r="S610" s="130">
        <f>SUMIFS(ТГ_ИД!$E:$E,ТГ_ИД!$B:$B,ТГ!$G$11,ТГ_ИД!$D:$D,ТГ!$A611)</f>
        <v>0</v>
      </c>
      <c r="T610" s="130">
        <f>SUMIFS(ТГ_ИД!$E:$E,ТГ_ИД!$B:$B,ТГ!$G$12,ТГ_ИД!$D:$D,ТГ!$A611)</f>
        <v>0</v>
      </c>
      <c r="U610" s="130">
        <f>SUMIFS(ТГ_ИД!$E:$E,ТГ_ИД!$B:$B,ТГ!$G$13,ТГ_ИД!$D:$D,ТГ!$A611)</f>
        <v>0</v>
      </c>
      <c r="V610" s="130">
        <f>SUMIFS(ТГ_ИД!$E:$E,ТГ_ИД!$B:$B,ТГ!$G$14,ТГ_ИД!$D:$D,ТГ!$A611)</f>
        <v>0</v>
      </c>
    </row>
    <row r="611" spans="1:22" x14ac:dyDescent="0.25">
      <c r="A611" s="116" t="str">
        <f t="shared" si="10"/>
        <v/>
      </c>
      <c r="K611" s="130">
        <f>SUMIFS(ТГ_ИД!$E:$E,ТГ_ИД!$B:$B,ТГ!$G$3,ТГ_ИД!$D:$D,ТГ!$A612)</f>
        <v>0</v>
      </c>
      <c r="L611" s="130">
        <f>SUMIFS(ТГ_ИД!$E:$E,ТГ_ИД!$B:$B,ТГ!$G$4,ТГ_ИД!$D:$D,ТГ!$A612)</f>
        <v>0</v>
      </c>
      <c r="M611" s="130">
        <f>SUMIFS(ТГ_ИД!$E:$E,ТГ_ИД!$B:$B,ТГ!$G$5,ТГ_ИД!$D:$D,ТГ!$A612)</f>
        <v>0</v>
      </c>
      <c r="N611" s="130">
        <f>SUMIFS(ТГ_ИД!$E:$E,ТГ_ИД!$B:$B,ТГ!$G$6,ТГ_ИД!$D:$D,ТГ!$A612)</f>
        <v>0</v>
      </c>
      <c r="O611" s="130">
        <f>SUMIFS(ТГ_ИД!$E:$E,ТГ_ИД!$B:$B,ТГ!$G$7,ТГ_ИД!$D:$D,ТГ!$A612)</f>
        <v>0</v>
      </c>
      <c r="P611" s="130">
        <f>SUMIFS(ТГ_ИД!$E:$E,ТГ_ИД!$B:$B,ТГ!$G$8,ТГ_ИД!$D:$D,ТГ!$A612)</f>
        <v>0</v>
      </c>
      <c r="Q611" s="130">
        <f>SUMIFS(ТГ_ИД!$E:$E,ТГ_ИД!$B:$B,ТГ!$G$9,ТГ_ИД!$D:$D,ТГ!$A612)</f>
        <v>0</v>
      </c>
      <c r="R611" s="130">
        <f>SUMIFS(ТГ_ИД!$E:$E,ТГ_ИД!$B:$B,ТГ!$G$10,ТГ_ИД!$D:$D,ТГ!$A612)</f>
        <v>0</v>
      </c>
      <c r="S611" s="130">
        <f>SUMIFS(ТГ_ИД!$E:$E,ТГ_ИД!$B:$B,ТГ!$G$11,ТГ_ИД!$D:$D,ТГ!$A612)</f>
        <v>0</v>
      </c>
      <c r="T611" s="130">
        <f>SUMIFS(ТГ_ИД!$E:$E,ТГ_ИД!$B:$B,ТГ!$G$12,ТГ_ИД!$D:$D,ТГ!$A612)</f>
        <v>0</v>
      </c>
      <c r="U611" s="130">
        <f>SUMIFS(ТГ_ИД!$E:$E,ТГ_ИД!$B:$B,ТГ!$G$13,ТГ_ИД!$D:$D,ТГ!$A612)</f>
        <v>0</v>
      </c>
      <c r="V611" s="130">
        <f>SUMIFS(ТГ_ИД!$E:$E,ТГ_ИД!$B:$B,ТГ!$G$14,ТГ_ИД!$D:$D,ТГ!$A612)</f>
        <v>0</v>
      </c>
    </row>
    <row r="612" spans="1:22" x14ac:dyDescent="0.25">
      <c r="A612" s="116" t="str">
        <f t="shared" si="10"/>
        <v/>
      </c>
      <c r="K612" s="130">
        <f>SUMIFS(ТГ_ИД!$E:$E,ТГ_ИД!$B:$B,ТГ!$G$3,ТГ_ИД!$D:$D,ТГ!$A613)</f>
        <v>0</v>
      </c>
      <c r="L612" s="130">
        <f>SUMIFS(ТГ_ИД!$E:$E,ТГ_ИД!$B:$B,ТГ!$G$4,ТГ_ИД!$D:$D,ТГ!$A613)</f>
        <v>0</v>
      </c>
      <c r="M612" s="130">
        <f>SUMIFS(ТГ_ИД!$E:$E,ТГ_ИД!$B:$B,ТГ!$G$5,ТГ_ИД!$D:$D,ТГ!$A613)</f>
        <v>0</v>
      </c>
      <c r="N612" s="130">
        <f>SUMIFS(ТГ_ИД!$E:$E,ТГ_ИД!$B:$B,ТГ!$G$6,ТГ_ИД!$D:$D,ТГ!$A613)</f>
        <v>0</v>
      </c>
      <c r="O612" s="130">
        <f>SUMIFS(ТГ_ИД!$E:$E,ТГ_ИД!$B:$B,ТГ!$G$7,ТГ_ИД!$D:$D,ТГ!$A613)</f>
        <v>0</v>
      </c>
      <c r="P612" s="130">
        <f>SUMIFS(ТГ_ИД!$E:$E,ТГ_ИД!$B:$B,ТГ!$G$8,ТГ_ИД!$D:$D,ТГ!$A613)</f>
        <v>0</v>
      </c>
      <c r="Q612" s="130">
        <f>SUMIFS(ТГ_ИД!$E:$E,ТГ_ИД!$B:$B,ТГ!$G$9,ТГ_ИД!$D:$D,ТГ!$A613)</f>
        <v>0</v>
      </c>
      <c r="R612" s="130">
        <f>SUMIFS(ТГ_ИД!$E:$E,ТГ_ИД!$B:$B,ТГ!$G$10,ТГ_ИД!$D:$D,ТГ!$A613)</f>
        <v>0</v>
      </c>
      <c r="S612" s="130">
        <f>SUMIFS(ТГ_ИД!$E:$E,ТГ_ИД!$B:$B,ТГ!$G$11,ТГ_ИД!$D:$D,ТГ!$A613)</f>
        <v>0</v>
      </c>
      <c r="T612" s="130">
        <f>SUMIFS(ТГ_ИД!$E:$E,ТГ_ИД!$B:$B,ТГ!$G$12,ТГ_ИД!$D:$D,ТГ!$A613)</f>
        <v>0</v>
      </c>
      <c r="U612" s="130">
        <f>SUMIFS(ТГ_ИД!$E:$E,ТГ_ИД!$B:$B,ТГ!$G$13,ТГ_ИД!$D:$D,ТГ!$A613)</f>
        <v>0</v>
      </c>
      <c r="V612" s="130">
        <f>SUMIFS(ТГ_ИД!$E:$E,ТГ_ИД!$B:$B,ТГ!$G$14,ТГ_ИД!$D:$D,ТГ!$A613)</f>
        <v>0</v>
      </c>
    </row>
    <row r="613" spans="1:22" x14ac:dyDescent="0.25">
      <c r="A613" s="116" t="str">
        <f t="shared" si="10"/>
        <v/>
      </c>
      <c r="K613" s="130">
        <f>SUMIFS(ТГ_ИД!$E:$E,ТГ_ИД!$B:$B,ТГ!$G$3,ТГ_ИД!$D:$D,ТГ!$A614)</f>
        <v>0</v>
      </c>
      <c r="L613" s="130">
        <f>SUMIFS(ТГ_ИД!$E:$E,ТГ_ИД!$B:$B,ТГ!$G$4,ТГ_ИД!$D:$D,ТГ!$A614)</f>
        <v>0</v>
      </c>
      <c r="M613" s="130">
        <f>SUMIFS(ТГ_ИД!$E:$E,ТГ_ИД!$B:$B,ТГ!$G$5,ТГ_ИД!$D:$D,ТГ!$A614)</f>
        <v>0</v>
      </c>
      <c r="N613" s="130">
        <f>SUMIFS(ТГ_ИД!$E:$E,ТГ_ИД!$B:$B,ТГ!$G$6,ТГ_ИД!$D:$D,ТГ!$A614)</f>
        <v>0</v>
      </c>
      <c r="O613" s="130">
        <f>SUMIFS(ТГ_ИД!$E:$E,ТГ_ИД!$B:$B,ТГ!$G$7,ТГ_ИД!$D:$D,ТГ!$A614)</f>
        <v>0</v>
      </c>
      <c r="P613" s="130">
        <f>SUMIFS(ТГ_ИД!$E:$E,ТГ_ИД!$B:$B,ТГ!$G$8,ТГ_ИД!$D:$D,ТГ!$A614)</f>
        <v>0</v>
      </c>
      <c r="Q613" s="130">
        <f>SUMIFS(ТГ_ИД!$E:$E,ТГ_ИД!$B:$B,ТГ!$G$9,ТГ_ИД!$D:$D,ТГ!$A614)</f>
        <v>0</v>
      </c>
      <c r="R613" s="130">
        <f>SUMIFS(ТГ_ИД!$E:$E,ТГ_ИД!$B:$B,ТГ!$G$10,ТГ_ИД!$D:$D,ТГ!$A614)</f>
        <v>0</v>
      </c>
      <c r="S613" s="130">
        <f>SUMIFS(ТГ_ИД!$E:$E,ТГ_ИД!$B:$B,ТГ!$G$11,ТГ_ИД!$D:$D,ТГ!$A614)</f>
        <v>0</v>
      </c>
      <c r="T613" s="130">
        <f>SUMIFS(ТГ_ИД!$E:$E,ТГ_ИД!$B:$B,ТГ!$G$12,ТГ_ИД!$D:$D,ТГ!$A614)</f>
        <v>0</v>
      </c>
      <c r="U613" s="130">
        <f>SUMIFS(ТГ_ИД!$E:$E,ТГ_ИД!$B:$B,ТГ!$G$13,ТГ_ИД!$D:$D,ТГ!$A614)</f>
        <v>0</v>
      </c>
      <c r="V613" s="130">
        <f>SUMIFS(ТГ_ИД!$E:$E,ТГ_ИД!$B:$B,ТГ!$G$14,ТГ_ИД!$D:$D,ТГ!$A614)</f>
        <v>0</v>
      </c>
    </row>
    <row r="614" spans="1:22" x14ac:dyDescent="0.25">
      <c r="A614" s="116" t="str">
        <f t="shared" si="10"/>
        <v/>
      </c>
      <c r="K614" s="130">
        <f>SUMIFS(ТГ_ИД!$E:$E,ТГ_ИД!$B:$B,ТГ!$G$3,ТГ_ИД!$D:$D,ТГ!$A615)</f>
        <v>0</v>
      </c>
      <c r="L614" s="130">
        <f>SUMIFS(ТГ_ИД!$E:$E,ТГ_ИД!$B:$B,ТГ!$G$4,ТГ_ИД!$D:$D,ТГ!$A615)</f>
        <v>0</v>
      </c>
      <c r="M614" s="130">
        <f>SUMIFS(ТГ_ИД!$E:$E,ТГ_ИД!$B:$B,ТГ!$G$5,ТГ_ИД!$D:$D,ТГ!$A615)</f>
        <v>0</v>
      </c>
      <c r="N614" s="130">
        <f>SUMIFS(ТГ_ИД!$E:$E,ТГ_ИД!$B:$B,ТГ!$G$6,ТГ_ИД!$D:$D,ТГ!$A615)</f>
        <v>0</v>
      </c>
      <c r="O614" s="130">
        <f>SUMIFS(ТГ_ИД!$E:$E,ТГ_ИД!$B:$B,ТГ!$G$7,ТГ_ИД!$D:$D,ТГ!$A615)</f>
        <v>0</v>
      </c>
      <c r="P614" s="130">
        <f>SUMIFS(ТГ_ИД!$E:$E,ТГ_ИД!$B:$B,ТГ!$G$8,ТГ_ИД!$D:$D,ТГ!$A615)</f>
        <v>0</v>
      </c>
      <c r="Q614" s="130">
        <f>SUMIFS(ТГ_ИД!$E:$E,ТГ_ИД!$B:$B,ТГ!$G$9,ТГ_ИД!$D:$D,ТГ!$A615)</f>
        <v>0</v>
      </c>
      <c r="R614" s="130">
        <f>SUMIFS(ТГ_ИД!$E:$E,ТГ_ИД!$B:$B,ТГ!$G$10,ТГ_ИД!$D:$D,ТГ!$A615)</f>
        <v>0</v>
      </c>
      <c r="S614" s="130">
        <f>SUMIFS(ТГ_ИД!$E:$E,ТГ_ИД!$B:$B,ТГ!$G$11,ТГ_ИД!$D:$D,ТГ!$A615)</f>
        <v>0</v>
      </c>
      <c r="T614" s="130">
        <f>SUMIFS(ТГ_ИД!$E:$E,ТГ_ИД!$B:$B,ТГ!$G$12,ТГ_ИД!$D:$D,ТГ!$A615)</f>
        <v>0</v>
      </c>
      <c r="U614" s="130">
        <f>SUMIFS(ТГ_ИД!$E:$E,ТГ_ИД!$B:$B,ТГ!$G$13,ТГ_ИД!$D:$D,ТГ!$A615)</f>
        <v>0</v>
      </c>
      <c r="V614" s="130">
        <f>SUMIFS(ТГ_ИД!$E:$E,ТГ_ИД!$B:$B,ТГ!$G$14,ТГ_ИД!$D:$D,ТГ!$A615)</f>
        <v>0</v>
      </c>
    </row>
    <row r="615" spans="1:22" x14ac:dyDescent="0.25">
      <c r="A615" s="116" t="str">
        <f t="shared" si="10"/>
        <v/>
      </c>
      <c r="K615" s="130">
        <f>SUMIFS(ТГ_ИД!$E:$E,ТГ_ИД!$B:$B,ТГ!$G$3,ТГ_ИД!$D:$D,ТГ!$A616)</f>
        <v>0</v>
      </c>
      <c r="L615" s="130">
        <f>SUMIFS(ТГ_ИД!$E:$E,ТГ_ИД!$B:$B,ТГ!$G$4,ТГ_ИД!$D:$D,ТГ!$A616)</f>
        <v>0</v>
      </c>
      <c r="M615" s="130">
        <f>SUMIFS(ТГ_ИД!$E:$E,ТГ_ИД!$B:$B,ТГ!$G$5,ТГ_ИД!$D:$D,ТГ!$A616)</f>
        <v>0</v>
      </c>
      <c r="N615" s="130">
        <f>SUMIFS(ТГ_ИД!$E:$E,ТГ_ИД!$B:$B,ТГ!$G$6,ТГ_ИД!$D:$D,ТГ!$A616)</f>
        <v>0</v>
      </c>
      <c r="O615" s="130">
        <f>SUMIFS(ТГ_ИД!$E:$E,ТГ_ИД!$B:$B,ТГ!$G$7,ТГ_ИД!$D:$D,ТГ!$A616)</f>
        <v>0</v>
      </c>
      <c r="P615" s="130">
        <f>SUMIFS(ТГ_ИД!$E:$E,ТГ_ИД!$B:$B,ТГ!$G$8,ТГ_ИД!$D:$D,ТГ!$A616)</f>
        <v>0</v>
      </c>
      <c r="Q615" s="130">
        <f>SUMIFS(ТГ_ИД!$E:$E,ТГ_ИД!$B:$B,ТГ!$G$9,ТГ_ИД!$D:$D,ТГ!$A616)</f>
        <v>0</v>
      </c>
      <c r="R615" s="130">
        <f>SUMIFS(ТГ_ИД!$E:$E,ТГ_ИД!$B:$B,ТГ!$G$10,ТГ_ИД!$D:$D,ТГ!$A616)</f>
        <v>0</v>
      </c>
      <c r="S615" s="130">
        <f>SUMIFS(ТГ_ИД!$E:$E,ТГ_ИД!$B:$B,ТГ!$G$11,ТГ_ИД!$D:$D,ТГ!$A616)</f>
        <v>0</v>
      </c>
      <c r="T615" s="130">
        <f>SUMIFS(ТГ_ИД!$E:$E,ТГ_ИД!$B:$B,ТГ!$G$12,ТГ_ИД!$D:$D,ТГ!$A616)</f>
        <v>0</v>
      </c>
      <c r="U615" s="130">
        <f>SUMIFS(ТГ_ИД!$E:$E,ТГ_ИД!$B:$B,ТГ!$G$13,ТГ_ИД!$D:$D,ТГ!$A616)</f>
        <v>0</v>
      </c>
      <c r="V615" s="130">
        <f>SUMIFS(ТГ_ИД!$E:$E,ТГ_ИД!$B:$B,ТГ!$G$14,ТГ_ИД!$D:$D,ТГ!$A616)</f>
        <v>0</v>
      </c>
    </row>
    <row r="616" spans="1:22" x14ac:dyDescent="0.25">
      <c r="A616" s="116" t="str">
        <f t="shared" si="10"/>
        <v/>
      </c>
      <c r="K616" s="130">
        <f>SUMIFS(ТГ_ИД!$E:$E,ТГ_ИД!$B:$B,ТГ!$G$3,ТГ_ИД!$D:$D,ТГ!$A617)</f>
        <v>0</v>
      </c>
      <c r="L616" s="130">
        <f>SUMIFS(ТГ_ИД!$E:$E,ТГ_ИД!$B:$B,ТГ!$G$4,ТГ_ИД!$D:$D,ТГ!$A617)</f>
        <v>0</v>
      </c>
      <c r="M616" s="130">
        <f>SUMIFS(ТГ_ИД!$E:$E,ТГ_ИД!$B:$B,ТГ!$G$5,ТГ_ИД!$D:$D,ТГ!$A617)</f>
        <v>0</v>
      </c>
      <c r="N616" s="130">
        <f>SUMIFS(ТГ_ИД!$E:$E,ТГ_ИД!$B:$B,ТГ!$G$6,ТГ_ИД!$D:$D,ТГ!$A617)</f>
        <v>0</v>
      </c>
      <c r="O616" s="130">
        <f>SUMIFS(ТГ_ИД!$E:$E,ТГ_ИД!$B:$B,ТГ!$G$7,ТГ_ИД!$D:$D,ТГ!$A617)</f>
        <v>0</v>
      </c>
      <c r="P616" s="130">
        <f>SUMIFS(ТГ_ИД!$E:$E,ТГ_ИД!$B:$B,ТГ!$G$8,ТГ_ИД!$D:$D,ТГ!$A617)</f>
        <v>0</v>
      </c>
      <c r="Q616" s="130">
        <f>SUMIFS(ТГ_ИД!$E:$E,ТГ_ИД!$B:$B,ТГ!$G$9,ТГ_ИД!$D:$D,ТГ!$A617)</f>
        <v>0</v>
      </c>
      <c r="R616" s="130">
        <f>SUMIFS(ТГ_ИД!$E:$E,ТГ_ИД!$B:$B,ТГ!$G$10,ТГ_ИД!$D:$D,ТГ!$A617)</f>
        <v>0</v>
      </c>
      <c r="S616" s="130">
        <f>SUMIFS(ТГ_ИД!$E:$E,ТГ_ИД!$B:$B,ТГ!$G$11,ТГ_ИД!$D:$D,ТГ!$A617)</f>
        <v>0</v>
      </c>
      <c r="T616" s="130">
        <f>SUMIFS(ТГ_ИД!$E:$E,ТГ_ИД!$B:$B,ТГ!$G$12,ТГ_ИД!$D:$D,ТГ!$A617)</f>
        <v>0</v>
      </c>
      <c r="U616" s="130">
        <f>SUMIFS(ТГ_ИД!$E:$E,ТГ_ИД!$B:$B,ТГ!$G$13,ТГ_ИД!$D:$D,ТГ!$A617)</f>
        <v>0</v>
      </c>
      <c r="V616" s="130">
        <f>SUMIFS(ТГ_ИД!$E:$E,ТГ_ИД!$B:$B,ТГ!$G$14,ТГ_ИД!$D:$D,ТГ!$A617)</f>
        <v>0</v>
      </c>
    </row>
    <row r="617" spans="1:22" x14ac:dyDescent="0.25">
      <c r="A617" s="116" t="str">
        <f t="shared" si="10"/>
        <v/>
      </c>
      <c r="K617" s="130">
        <f>SUMIFS(ТГ_ИД!$E:$E,ТГ_ИД!$B:$B,ТГ!$G$3,ТГ_ИД!$D:$D,ТГ!$A618)</f>
        <v>0</v>
      </c>
      <c r="L617" s="130">
        <f>SUMIFS(ТГ_ИД!$E:$E,ТГ_ИД!$B:$B,ТГ!$G$4,ТГ_ИД!$D:$D,ТГ!$A618)</f>
        <v>0</v>
      </c>
      <c r="M617" s="130">
        <f>SUMIFS(ТГ_ИД!$E:$E,ТГ_ИД!$B:$B,ТГ!$G$5,ТГ_ИД!$D:$D,ТГ!$A618)</f>
        <v>0</v>
      </c>
      <c r="N617" s="130">
        <f>SUMIFS(ТГ_ИД!$E:$E,ТГ_ИД!$B:$B,ТГ!$G$6,ТГ_ИД!$D:$D,ТГ!$A618)</f>
        <v>0</v>
      </c>
      <c r="O617" s="130">
        <f>SUMIFS(ТГ_ИД!$E:$E,ТГ_ИД!$B:$B,ТГ!$G$7,ТГ_ИД!$D:$D,ТГ!$A618)</f>
        <v>0</v>
      </c>
      <c r="P617" s="130">
        <f>SUMIFS(ТГ_ИД!$E:$E,ТГ_ИД!$B:$B,ТГ!$G$8,ТГ_ИД!$D:$D,ТГ!$A618)</f>
        <v>0</v>
      </c>
      <c r="Q617" s="130">
        <f>SUMIFS(ТГ_ИД!$E:$E,ТГ_ИД!$B:$B,ТГ!$G$9,ТГ_ИД!$D:$D,ТГ!$A618)</f>
        <v>0</v>
      </c>
      <c r="R617" s="130">
        <f>SUMIFS(ТГ_ИД!$E:$E,ТГ_ИД!$B:$B,ТГ!$G$10,ТГ_ИД!$D:$D,ТГ!$A618)</f>
        <v>0</v>
      </c>
      <c r="S617" s="130">
        <f>SUMIFS(ТГ_ИД!$E:$E,ТГ_ИД!$B:$B,ТГ!$G$11,ТГ_ИД!$D:$D,ТГ!$A618)</f>
        <v>0</v>
      </c>
      <c r="T617" s="130">
        <f>SUMIFS(ТГ_ИД!$E:$E,ТГ_ИД!$B:$B,ТГ!$G$12,ТГ_ИД!$D:$D,ТГ!$A618)</f>
        <v>0</v>
      </c>
      <c r="U617" s="130">
        <f>SUMIFS(ТГ_ИД!$E:$E,ТГ_ИД!$B:$B,ТГ!$G$13,ТГ_ИД!$D:$D,ТГ!$A618)</f>
        <v>0</v>
      </c>
      <c r="V617" s="130">
        <f>SUMIFS(ТГ_ИД!$E:$E,ТГ_ИД!$B:$B,ТГ!$G$14,ТГ_ИД!$D:$D,ТГ!$A618)</f>
        <v>0</v>
      </c>
    </row>
    <row r="618" spans="1:22" x14ac:dyDescent="0.25">
      <c r="A618" s="116" t="str">
        <f t="shared" si="10"/>
        <v/>
      </c>
      <c r="K618" s="130">
        <f>SUMIFS(ТГ_ИД!$E:$E,ТГ_ИД!$B:$B,ТГ!$G$3,ТГ_ИД!$D:$D,ТГ!$A619)</f>
        <v>0</v>
      </c>
      <c r="L618" s="130">
        <f>SUMIFS(ТГ_ИД!$E:$E,ТГ_ИД!$B:$B,ТГ!$G$4,ТГ_ИД!$D:$D,ТГ!$A619)</f>
        <v>0</v>
      </c>
      <c r="M618" s="130">
        <f>SUMIFS(ТГ_ИД!$E:$E,ТГ_ИД!$B:$B,ТГ!$G$5,ТГ_ИД!$D:$D,ТГ!$A619)</f>
        <v>0</v>
      </c>
      <c r="N618" s="130">
        <f>SUMIFS(ТГ_ИД!$E:$E,ТГ_ИД!$B:$B,ТГ!$G$6,ТГ_ИД!$D:$D,ТГ!$A619)</f>
        <v>0</v>
      </c>
      <c r="O618" s="130">
        <f>SUMIFS(ТГ_ИД!$E:$E,ТГ_ИД!$B:$B,ТГ!$G$7,ТГ_ИД!$D:$D,ТГ!$A619)</f>
        <v>0</v>
      </c>
      <c r="P618" s="130">
        <f>SUMIFS(ТГ_ИД!$E:$E,ТГ_ИД!$B:$B,ТГ!$G$8,ТГ_ИД!$D:$D,ТГ!$A619)</f>
        <v>0</v>
      </c>
      <c r="Q618" s="130">
        <f>SUMIFS(ТГ_ИД!$E:$E,ТГ_ИД!$B:$B,ТГ!$G$9,ТГ_ИД!$D:$D,ТГ!$A619)</f>
        <v>0</v>
      </c>
      <c r="R618" s="130">
        <f>SUMIFS(ТГ_ИД!$E:$E,ТГ_ИД!$B:$B,ТГ!$G$10,ТГ_ИД!$D:$D,ТГ!$A619)</f>
        <v>0</v>
      </c>
      <c r="S618" s="130">
        <f>SUMIFS(ТГ_ИД!$E:$E,ТГ_ИД!$B:$B,ТГ!$G$11,ТГ_ИД!$D:$D,ТГ!$A619)</f>
        <v>0</v>
      </c>
      <c r="T618" s="130">
        <f>SUMIFS(ТГ_ИД!$E:$E,ТГ_ИД!$B:$B,ТГ!$G$12,ТГ_ИД!$D:$D,ТГ!$A619)</f>
        <v>0</v>
      </c>
      <c r="U618" s="130">
        <f>SUMIFS(ТГ_ИД!$E:$E,ТГ_ИД!$B:$B,ТГ!$G$13,ТГ_ИД!$D:$D,ТГ!$A619)</f>
        <v>0</v>
      </c>
      <c r="V618" s="130">
        <f>SUMIFS(ТГ_ИД!$E:$E,ТГ_ИД!$B:$B,ТГ!$G$14,ТГ_ИД!$D:$D,ТГ!$A619)</f>
        <v>0</v>
      </c>
    </row>
    <row r="619" spans="1:22" x14ac:dyDescent="0.25">
      <c r="A619" s="116" t="str">
        <f t="shared" si="10"/>
        <v/>
      </c>
      <c r="K619" s="130">
        <f>SUMIFS(ТГ_ИД!$E:$E,ТГ_ИД!$B:$B,ТГ!$G$3,ТГ_ИД!$D:$D,ТГ!$A620)</f>
        <v>0</v>
      </c>
      <c r="L619" s="130">
        <f>SUMIFS(ТГ_ИД!$E:$E,ТГ_ИД!$B:$B,ТГ!$G$4,ТГ_ИД!$D:$D,ТГ!$A620)</f>
        <v>0</v>
      </c>
      <c r="M619" s="130">
        <f>SUMIFS(ТГ_ИД!$E:$E,ТГ_ИД!$B:$B,ТГ!$G$5,ТГ_ИД!$D:$D,ТГ!$A620)</f>
        <v>0</v>
      </c>
      <c r="N619" s="130">
        <f>SUMIFS(ТГ_ИД!$E:$E,ТГ_ИД!$B:$B,ТГ!$G$6,ТГ_ИД!$D:$D,ТГ!$A620)</f>
        <v>0</v>
      </c>
      <c r="O619" s="130">
        <f>SUMIFS(ТГ_ИД!$E:$E,ТГ_ИД!$B:$B,ТГ!$G$7,ТГ_ИД!$D:$D,ТГ!$A620)</f>
        <v>0</v>
      </c>
      <c r="P619" s="130">
        <f>SUMIFS(ТГ_ИД!$E:$E,ТГ_ИД!$B:$B,ТГ!$G$8,ТГ_ИД!$D:$D,ТГ!$A620)</f>
        <v>0</v>
      </c>
      <c r="Q619" s="130">
        <f>SUMIFS(ТГ_ИД!$E:$E,ТГ_ИД!$B:$B,ТГ!$G$9,ТГ_ИД!$D:$D,ТГ!$A620)</f>
        <v>0</v>
      </c>
      <c r="R619" s="130">
        <f>SUMIFS(ТГ_ИД!$E:$E,ТГ_ИД!$B:$B,ТГ!$G$10,ТГ_ИД!$D:$D,ТГ!$A620)</f>
        <v>0</v>
      </c>
      <c r="S619" s="130">
        <f>SUMIFS(ТГ_ИД!$E:$E,ТГ_ИД!$B:$B,ТГ!$G$11,ТГ_ИД!$D:$D,ТГ!$A620)</f>
        <v>0</v>
      </c>
      <c r="T619" s="130">
        <f>SUMIFS(ТГ_ИД!$E:$E,ТГ_ИД!$B:$B,ТГ!$G$12,ТГ_ИД!$D:$D,ТГ!$A620)</f>
        <v>0</v>
      </c>
      <c r="U619" s="130">
        <f>SUMIFS(ТГ_ИД!$E:$E,ТГ_ИД!$B:$B,ТГ!$G$13,ТГ_ИД!$D:$D,ТГ!$A620)</f>
        <v>0</v>
      </c>
      <c r="V619" s="130">
        <f>SUMIFS(ТГ_ИД!$E:$E,ТГ_ИД!$B:$B,ТГ!$G$14,ТГ_ИД!$D:$D,ТГ!$A620)</f>
        <v>0</v>
      </c>
    </row>
    <row r="620" spans="1:22" x14ac:dyDescent="0.25">
      <c r="A620" s="116" t="str">
        <f t="shared" si="10"/>
        <v/>
      </c>
      <c r="K620" s="130">
        <f>SUMIFS(ТГ_ИД!$E:$E,ТГ_ИД!$B:$B,ТГ!$G$3,ТГ_ИД!$D:$D,ТГ!$A621)</f>
        <v>0</v>
      </c>
      <c r="L620" s="130">
        <f>SUMIFS(ТГ_ИД!$E:$E,ТГ_ИД!$B:$B,ТГ!$G$4,ТГ_ИД!$D:$D,ТГ!$A621)</f>
        <v>0</v>
      </c>
      <c r="M620" s="130">
        <f>SUMIFS(ТГ_ИД!$E:$E,ТГ_ИД!$B:$B,ТГ!$G$5,ТГ_ИД!$D:$D,ТГ!$A621)</f>
        <v>0</v>
      </c>
      <c r="N620" s="130">
        <f>SUMIFS(ТГ_ИД!$E:$E,ТГ_ИД!$B:$B,ТГ!$G$6,ТГ_ИД!$D:$D,ТГ!$A621)</f>
        <v>0</v>
      </c>
      <c r="O620" s="130">
        <f>SUMIFS(ТГ_ИД!$E:$E,ТГ_ИД!$B:$B,ТГ!$G$7,ТГ_ИД!$D:$D,ТГ!$A621)</f>
        <v>0</v>
      </c>
      <c r="P620" s="130">
        <f>SUMIFS(ТГ_ИД!$E:$E,ТГ_ИД!$B:$B,ТГ!$G$8,ТГ_ИД!$D:$D,ТГ!$A621)</f>
        <v>0</v>
      </c>
      <c r="Q620" s="130">
        <f>SUMIFS(ТГ_ИД!$E:$E,ТГ_ИД!$B:$B,ТГ!$G$9,ТГ_ИД!$D:$D,ТГ!$A621)</f>
        <v>0</v>
      </c>
      <c r="R620" s="130">
        <f>SUMIFS(ТГ_ИД!$E:$E,ТГ_ИД!$B:$B,ТГ!$G$10,ТГ_ИД!$D:$D,ТГ!$A621)</f>
        <v>0</v>
      </c>
      <c r="S620" s="130">
        <f>SUMIFS(ТГ_ИД!$E:$E,ТГ_ИД!$B:$B,ТГ!$G$11,ТГ_ИД!$D:$D,ТГ!$A621)</f>
        <v>0</v>
      </c>
      <c r="T620" s="130">
        <f>SUMIFS(ТГ_ИД!$E:$E,ТГ_ИД!$B:$B,ТГ!$G$12,ТГ_ИД!$D:$D,ТГ!$A621)</f>
        <v>0</v>
      </c>
      <c r="U620" s="130">
        <f>SUMIFS(ТГ_ИД!$E:$E,ТГ_ИД!$B:$B,ТГ!$G$13,ТГ_ИД!$D:$D,ТГ!$A621)</f>
        <v>0</v>
      </c>
      <c r="V620" s="130">
        <f>SUMIFS(ТГ_ИД!$E:$E,ТГ_ИД!$B:$B,ТГ!$G$14,ТГ_ИД!$D:$D,ТГ!$A621)</f>
        <v>0</v>
      </c>
    </row>
    <row r="621" spans="1:22" x14ac:dyDescent="0.25">
      <c r="A621" s="116" t="str">
        <f t="shared" si="10"/>
        <v/>
      </c>
      <c r="K621" s="130">
        <f>SUMIFS(ТГ_ИД!$E:$E,ТГ_ИД!$B:$B,ТГ!$G$3,ТГ_ИД!$D:$D,ТГ!$A622)</f>
        <v>0</v>
      </c>
      <c r="L621" s="130">
        <f>SUMIFS(ТГ_ИД!$E:$E,ТГ_ИД!$B:$B,ТГ!$G$4,ТГ_ИД!$D:$D,ТГ!$A622)</f>
        <v>0</v>
      </c>
      <c r="M621" s="130">
        <f>SUMIFS(ТГ_ИД!$E:$E,ТГ_ИД!$B:$B,ТГ!$G$5,ТГ_ИД!$D:$D,ТГ!$A622)</f>
        <v>0</v>
      </c>
      <c r="N621" s="130">
        <f>SUMIFS(ТГ_ИД!$E:$E,ТГ_ИД!$B:$B,ТГ!$G$6,ТГ_ИД!$D:$D,ТГ!$A622)</f>
        <v>0</v>
      </c>
      <c r="O621" s="130">
        <f>SUMIFS(ТГ_ИД!$E:$E,ТГ_ИД!$B:$B,ТГ!$G$7,ТГ_ИД!$D:$D,ТГ!$A622)</f>
        <v>0</v>
      </c>
      <c r="P621" s="130">
        <f>SUMIFS(ТГ_ИД!$E:$E,ТГ_ИД!$B:$B,ТГ!$G$8,ТГ_ИД!$D:$D,ТГ!$A622)</f>
        <v>0</v>
      </c>
      <c r="Q621" s="130">
        <f>SUMIFS(ТГ_ИД!$E:$E,ТГ_ИД!$B:$B,ТГ!$G$9,ТГ_ИД!$D:$D,ТГ!$A622)</f>
        <v>0</v>
      </c>
      <c r="R621" s="130">
        <f>SUMIFS(ТГ_ИД!$E:$E,ТГ_ИД!$B:$B,ТГ!$G$10,ТГ_ИД!$D:$D,ТГ!$A622)</f>
        <v>0</v>
      </c>
      <c r="S621" s="130">
        <f>SUMIFS(ТГ_ИД!$E:$E,ТГ_ИД!$B:$B,ТГ!$G$11,ТГ_ИД!$D:$D,ТГ!$A622)</f>
        <v>0</v>
      </c>
      <c r="T621" s="130">
        <f>SUMIFS(ТГ_ИД!$E:$E,ТГ_ИД!$B:$B,ТГ!$G$12,ТГ_ИД!$D:$D,ТГ!$A622)</f>
        <v>0</v>
      </c>
      <c r="U621" s="130">
        <f>SUMIFS(ТГ_ИД!$E:$E,ТГ_ИД!$B:$B,ТГ!$G$13,ТГ_ИД!$D:$D,ТГ!$A622)</f>
        <v>0</v>
      </c>
      <c r="V621" s="130">
        <f>SUMIFS(ТГ_ИД!$E:$E,ТГ_ИД!$B:$B,ТГ!$G$14,ТГ_ИД!$D:$D,ТГ!$A622)</f>
        <v>0</v>
      </c>
    </row>
    <row r="622" spans="1:22" x14ac:dyDescent="0.25">
      <c r="A622" s="116" t="str">
        <f t="shared" si="10"/>
        <v/>
      </c>
      <c r="K622" s="130">
        <f>SUMIFS(ТГ_ИД!$E:$E,ТГ_ИД!$B:$B,ТГ!$G$3,ТГ_ИД!$D:$D,ТГ!$A623)</f>
        <v>0</v>
      </c>
      <c r="L622" s="130">
        <f>SUMIFS(ТГ_ИД!$E:$E,ТГ_ИД!$B:$B,ТГ!$G$4,ТГ_ИД!$D:$D,ТГ!$A623)</f>
        <v>0</v>
      </c>
      <c r="M622" s="130">
        <f>SUMIFS(ТГ_ИД!$E:$E,ТГ_ИД!$B:$B,ТГ!$G$5,ТГ_ИД!$D:$D,ТГ!$A623)</f>
        <v>0</v>
      </c>
      <c r="N622" s="130">
        <f>SUMIFS(ТГ_ИД!$E:$E,ТГ_ИД!$B:$B,ТГ!$G$6,ТГ_ИД!$D:$D,ТГ!$A623)</f>
        <v>0</v>
      </c>
      <c r="O622" s="130">
        <f>SUMIFS(ТГ_ИД!$E:$E,ТГ_ИД!$B:$B,ТГ!$G$7,ТГ_ИД!$D:$D,ТГ!$A623)</f>
        <v>0</v>
      </c>
      <c r="P622" s="130">
        <f>SUMIFS(ТГ_ИД!$E:$E,ТГ_ИД!$B:$B,ТГ!$G$8,ТГ_ИД!$D:$D,ТГ!$A623)</f>
        <v>0</v>
      </c>
      <c r="Q622" s="130">
        <f>SUMIFS(ТГ_ИД!$E:$E,ТГ_ИД!$B:$B,ТГ!$G$9,ТГ_ИД!$D:$D,ТГ!$A623)</f>
        <v>0</v>
      </c>
      <c r="R622" s="130">
        <f>SUMIFS(ТГ_ИД!$E:$E,ТГ_ИД!$B:$B,ТГ!$G$10,ТГ_ИД!$D:$D,ТГ!$A623)</f>
        <v>0</v>
      </c>
      <c r="S622" s="130">
        <f>SUMIFS(ТГ_ИД!$E:$E,ТГ_ИД!$B:$B,ТГ!$G$11,ТГ_ИД!$D:$D,ТГ!$A623)</f>
        <v>0</v>
      </c>
      <c r="T622" s="130">
        <f>SUMIFS(ТГ_ИД!$E:$E,ТГ_ИД!$B:$B,ТГ!$G$12,ТГ_ИД!$D:$D,ТГ!$A623)</f>
        <v>0</v>
      </c>
      <c r="U622" s="130">
        <f>SUMIFS(ТГ_ИД!$E:$E,ТГ_ИД!$B:$B,ТГ!$G$13,ТГ_ИД!$D:$D,ТГ!$A623)</f>
        <v>0</v>
      </c>
      <c r="V622" s="130">
        <f>SUMIFS(ТГ_ИД!$E:$E,ТГ_ИД!$B:$B,ТГ!$G$14,ТГ_ИД!$D:$D,ТГ!$A623)</f>
        <v>0</v>
      </c>
    </row>
    <row r="623" spans="1:22" x14ac:dyDescent="0.25">
      <c r="A623" s="116" t="str">
        <f t="shared" si="10"/>
        <v/>
      </c>
      <c r="K623" s="130">
        <f>SUMIFS(ТГ_ИД!$E:$E,ТГ_ИД!$B:$B,ТГ!$G$3,ТГ_ИД!$D:$D,ТГ!$A624)</f>
        <v>0</v>
      </c>
      <c r="L623" s="130">
        <f>SUMIFS(ТГ_ИД!$E:$E,ТГ_ИД!$B:$B,ТГ!$G$4,ТГ_ИД!$D:$D,ТГ!$A624)</f>
        <v>0</v>
      </c>
      <c r="M623" s="130">
        <f>SUMIFS(ТГ_ИД!$E:$E,ТГ_ИД!$B:$B,ТГ!$G$5,ТГ_ИД!$D:$D,ТГ!$A624)</f>
        <v>0</v>
      </c>
      <c r="N623" s="130">
        <f>SUMIFS(ТГ_ИД!$E:$E,ТГ_ИД!$B:$B,ТГ!$G$6,ТГ_ИД!$D:$D,ТГ!$A624)</f>
        <v>0</v>
      </c>
      <c r="O623" s="130">
        <f>SUMIFS(ТГ_ИД!$E:$E,ТГ_ИД!$B:$B,ТГ!$G$7,ТГ_ИД!$D:$D,ТГ!$A624)</f>
        <v>0</v>
      </c>
      <c r="P623" s="130">
        <f>SUMIFS(ТГ_ИД!$E:$E,ТГ_ИД!$B:$B,ТГ!$G$8,ТГ_ИД!$D:$D,ТГ!$A624)</f>
        <v>0</v>
      </c>
      <c r="Q623" s="130">
        <f>SUMIFS(ТГ_ИД!$E:$E,ТГ_ИД!$B:$B,ТГ!$G$9,ТГ_ИД!$D:$D,ТГ!$A624)</f>
        <v>0</v>
      </c>
      <c r="R623" s="130">
        <f>SUMIFS(ТГ_ИД!$E:$E,ТГ_ИД!$B:$B,ТГ!$G$10,ТГ_ИД!$D:$D,ТГ!$A624)</f>
        <v>0</v>
      </c>
      <c r="S623" s="130">
        <f>SUMIFS(ТГ_ИД!$E:$E,ТГ_ИД!$B:$B,ТГ!$G$11,ТГ_ИД!$D:$D,ТГ!$A624)</f>
        <v>0</v>
      </c>
      <c r="T623" s="130">
        <f>SUMIFS(ТГ_ИД!$E:$E,ТГ_ИД!$B:$B,ТГ!$G$12,ТГ_ИД!$D:$D,ТГ!$A624)</f>
        <v>0</v>
      </c>
      <c r="U623" s="130">
        <f>SUMIFS(ТГ_ИД!$E:$E,ТГ_ИД!$B:$B,ТГ!$G$13,ТГ_ИД!$D:$D,ТГ!$A624)</f>
        <v>0</v>
      </c>
      <c r="V623" s="130">
        <f>SUMIFS(ТГ_ИД!$E:$E,ТГ_ИД!$B:$B,ТГ!$G$14,ТГ_ИД!$D:$D,ТГ!$A624)</f>
        <v>0</v>
      </c>
    </row>
    <row r="624" spans="1:22" x14ac:dyDescent="0.25">
      <c r="A624" s="116" t="str">
        <f t="shared" si="10"/>
        <v/>
      </c>
      <c r="K624" s="130">
        <f>SUMIFS(ТГ_ИД!$E:$E,ТГ_ИД!$B:$B,ТГ!$G$3,ТГ_ИД!$D:$D,ТГ!$A625)</f>
        <v>0</v>
      </c>
      <c r="L624" s="130">
        <f>SUMIFS(ТГ_ИД!$E:$E,ТГ_ИД!$B:$B,ТГ!$G$4,ТГ_ИД!$D:$D,ТГ!$A625)</f>
        <v>0</v>
      </c>
      <c r="M624" s="130">
        <f>SUMIFS(ТГ_ИД!$E:$E,ТГ_ИД!$B:$B,ТГ!$G$5,ТГ_ИД!$D:$D,ТГ!$A625)</f>
        <v>0</v>
      </c>
      <c r="N624" s="130">
        <f>SUMIFS(ТГ_ИД!$E:$E,ТГ_ИД!$B:$B,ТГ!$G$6,ТГ_ИД!$D:$D,ТГ!$A625)</f>
        <v>0</v>
      </c>
      <c r="O624" s="130">
        <f>SUMIFS(ТГ_ИД!$E:$E,ТГ_ИД!$B:$B,ТГ!$G$7,ТГ_ИД!$D:$D,ТГ!$A625)</f>
        <v>0</v>
      </c>
      <c r="P624" s="130">
        <f>SUMIFS(ТГ_ИД!$E:$E,ТГ_ИД!$B:$B,ТГ!$G$8,ТГ_ИД!$D:$D,ТГ!$A625)</f>
        <v>0</v>
      </c>
      <c r="Q624" s="130">
        <f>SUMIFS(ТГ_ИД!$E:$E,ТГ_ИД!$B:$B,ТГ!$G$9,ТГ_ИД!$D:$D,ТГ!$A625)</f>
        <v>0</v>
      </c>
      <c r="R624" s="130">
        <f>SUMIFS(ТГ_ИД!$E:$E,ТГ_ИД!$B:$B,ТГ!$G$10,ТГ_ИД!$D:$D,ТГ!$A625)</f>
        <v>0</v>
      </c>
      <c r="S624" s="130">
        <f>SUMIFS(ТГ_ИД!$E:$E,ТГ_ИД!$B:$B,ТГ!$G$11,ТГ_ИД!$D:$D,ТГ!$A625)</f>
        <v>0</v>
      </c>
      <c r="T624" s="130">
        <f>SUMIFS(ТГ_ИД!$E:$E,ТГ_ИД!$B:$B,ТГ!$G$12,ТГ_ИД!$D:$D,ТГ!$A625)</f>
        <v>0</v>
      </c>
      <c r="U624" s="130">
        <f>SUMIFS(ТГ_ИД!$E:$E,ТГ_ИД!$B:$B,ТГ!$G$13,ТГ_ИД!$D:$D,ТГ!$A625)</f>
        <v>0</v>
      </c>
      <c r="V624" s="130">
        <f>SUMIFS(ТГ_ИД!$E:$E,ТГ_ИД!$B:$B,ТГ!$G$14,ТГ_ИД!$D:$D,ТГ!$A625)</f>
        <v>0</v>
      </c>
    </row>
    <row r="625" spans="1:22" x14ac:dyDescent="0.25">
      <c r="A625" s="116" t="str">
        <f t="shared" si="10"/>
        <v/>
      </c>
      <c r="K625" s="130">
        <f>SUMIFS(ТГ_ИД!$E:$E,ТГ_ИД!$B:$B,ТГ!$G$3,ТГ_ИД!$D:$D,ТГ!$A626)</f>
        <v>0</v>
      </c>
      <c r="L625" s="130">
        <f>SUMIFS(ТГ_ИД!$E:$E,ТГ_ИД!$B:$B,ТГ!$G$4,ТГ_ИД!$D:$D,ТГ!$A626)</f>
        <v>0</v>
      </c>
      <c r="M625" s="130">
        <f>SUMIFS(ТГ_ИД!$E:$E,ТГ_ИД!$B:$B,ТГ!$G$5,ТГ_ИД!$D:$D,ТГ!$A626)</f>
        <v>0</v>
      </c>
      <c r="N625" s="130">
        <f>SUMIFS(ТГ_ИД!$E:$E,ТГ_ИД!$B:$B,ТГ!$G$6,ТГ_ИД!$D:$D,ТГ!$A626)</f>
        <v>0</v>
      </c>
      <c r="O625" s="130">
        <f>SUMIFS(ТГ_ИД!$E:$E,ТГ_ИД!$B:$B,ТГ!$G$7,ТГ_ИД!$D:$D,ТГ!$A626)</f>
        <v>0</v>
      </c>
      <c r="P625" s="130">
        <f>SUMIFS(ТГ_ИД!$E:$E,ТГ_ИД!$B:$B,ТГ!$G$8,ТГ_ИД!$D:$D,ТГ!$A626)</f>
        <v>0</v>
      </c>
      <c r="Q625" s="130">
        <f>SUMIFS(ТГ_ИД!$E:$E,ТГ_ИД!$B:$B,ТГ!$G$9,ТГ_ИД!$D:$D,ТГ!$A626)</f>
        <v>0</v>
      </c>
      <c r="R625" s="130">
        <f>SUMIFS(ТГ_ИД!$E:$E,ТГ_ИД!$B:$B,ТГ!$G$10,ТГ_ИД!$D:$D,ТГ!$A626)</f>
        <v>0</v>
      </c>
      <c r="S625" s="130">
        <f>SUMIFS(ТГ_ИД!$E:$E,ТГ_ИД!$B:$B,ТГ!$G$11,ТГ_ИД!$D:$D,ТГ!$A626)</f>
        <v>0</v>
      </c>
      <c r="T625" s="130">
        <f>SUMIFS(ТГ_ИД!$E:$E,ТГ_ИД!$B:$B,ТГ!$G$12,ТГ_ИД!$D:$D,ТГ!$A626)</f>
        <v>0</v>
      </c>
      <c r="U625" s="130">
        <f>SUMIFS(ТГ_ИД!$E:$E,ТГ_ИД!$B:$B,ТГ!$G$13,ТГ_ИД!$D:$D,ТГ!$A626)</f>
        <v>0</v>
      </c>
      <c r="V625" s="130">
        <f>SUMIFS(ТГ_ИД!$E:$E,ТГ_ИД!$B:$B,ТГ!$G$14,ТГ_ИД!$D:$D,ТГ!$A626)</f>
        <v>0</v>
      </c>
    </row>
    <row r="626" spans="1:22" x14ac:dyDescent="0.25">
      <c r="A626" s="116" t="str">
        <f t="shared" si="10"/>
        <v/>
      </c>
      <c r="K626" s="130">
        <f>SUMIFS(ТГ_ИД!$E:$E,ТГ_ИД!$B:$B,ТГ!$G$3,ТГ_ИД!$D:$D,ТГ!$A627)</f>
        <v>0</v>
      </c>
      <c r="L626" s="130">
        <f>SUMIFS(ТГ_ИД!$E:$E,ТГ_ИД!$B:$B,ТГ!$G$4,ТГ_ИД!$D:$D,ТГ!$A627)</f>
        <v>0</v>
      </c>
      <c r="M626" s="130">
        <f>SUMIFS(ТГ_ИД!$E:$E,ТГ_ИД!$B:$B,ТГ!$G$5,ТГ_ИД!$D:$D,ТГ!$A627)</f>
        <v>0</v>
      </c>
      <c r="N626" s="130">
        <f>SUMIFS(ТГ_ИД!$E:$E,ТГ_ИД!$B:$B,ТГ!$G$6,ТГ_ИД!$D:$D,ТГ!$A627)</f>
        <v>0</v>
      </c>
      <c r="O626" s="130">
        <f>SUMIFS(ТГ_ИД!$E:$E,ТГ_ИД!$B:$B,ТГ!$G$7,ТГ_ИД!$D:$D,ТГ!$A627)</f>
        <v>0</v>
      </c>
      <c r="P626" s="130">
        <f>SUMIFS(ТГ_ИД!$E:$E,ТГ_ИД!$B:$B,ТГ!$G$8,ТГ_ИД!$D:$D,ТГ!$A627)</f>
        <v>0</v>
      </c>
      <c r="Q626" s="130">
        <f>SUMIFS(ТГ_ИД!$E:$E,ТГ_ИД!$B:$B,ТГ!$G$9,ТГ_ИД!$D:$D,ТГ!$A627)</f>
        <v>0</v>
      </c>
      <c r="R626" s="130">
        <f>SUMIFS(ТГ_ИД!$E:$E,ТГ_ИД!$B:$B,ТГ!$G$10,ТГ_ИД!$D:$D,ТГ!$A627)</f>
        <v>0</v>
      </c>
      <c r="S626" s="130">
        <f>SUMIFS(ТГ_ИД!$E:$E,ТГ_ИД!$B:$B,ТГ!$G$11,ТГ_ИД!$D:$D,ТГ!$A627)</f>
        <v>0</v>
      </c>
      <c r="T626" s="130">
        <f>SUMIFS(ТГ_ИД!$E:$E,ТГ_ИД!$B:$B,ТГ!$G$12,ТГ_ИД!$D:$D,ТГ!$A627)</f>
        <v>0</v>
      </c>
      <c r="U626" s="130">
        <f>SUMIFS(ТГ_ИД!$E:$E,ТГ_ИД!$B:$B,ТГ!$G$13,ТГ_ИД!$D:$D,ТГ!$A627)</f>
        <v>0</v>
      </c>
      <c r="V626" s="130">
        <f>SUMIFS(ТГ_ИД!$E:$E,ТГ_ИД!$B:$B,ТГ!$G$14,ТГ_ИД!$D:$D,ТГ!$A627)</f>
        <v>0</v>
      </c>
    </row>
    <row r="627" spans="1:22" x14ac:dyDescent="0.25">
      <c r="A627" s="116" t="str">
        <f t="shared" si="10"/>
        <v/>
      </c>
      <c r="K627" s="130">
        <f>SUMIFS(ТГ_ИД!$E:$E,ТГ_ИД!$B:$B,ТГ!$G$3,ТГ_ИД!$D:$D,ТГ!$A628)</f>
        <v>0</v>
      </c>
      <c r="L627" s="130">
        <f>SUMIFS(ТГ_ИД!$E:$E,ТГ_ИД!$B:$B,ТГ!$G$4,ТГ_ИД!$D:$D,ТГ!$A628)</f>
        <v>0</v>
      </c>
      <c r="M627" s="130">
        <f>SUMIFS(ТГ_ИД!$E:$E,ТГ_ИД!$B:$B,ТГ!$G$5,ТГ_ИД!$D:$D,ТГ!$A628)</f>
        <v>0</v>
      </c>
      <c r="N627" s="130">
        <f>SUMIFS(ТГ_ИД!$E:$E,ТГ_ИД!$B:$B,ТГ!$G$6,ТГ_ИД!$D:$D,ТГ!$A628)</f>
        <v>0</v>
      </c>
      <c r="O627" s="130">
        <f>SUMIFS(ТГ_ИД!$E:$E,ТГ_ИД!$B:$B,ТГ!$G$7,ТГ_ИД!$D:$D,ТГ!$A628)</f>
        <v>0</v>
      </c>
      <c r="P627" s="130">
        <f>SUMIFS(ТГ_ИД!$E:$E,ТГ_ИД!$B:$B,ТГ!$G$8,ТГ_ИД!$D:$D,ТГ!$A628)</f>
        <v>0</v>
      </c>
      <c r="Q627" s="130">
        <f>SUMIFS(ТГ_ИД!$E:$E,ТГ_ИД!$B:$B,ТГ!$G$9,ТГ_ИД!$D:$D,ТГ!$A628)</f>
        <v>0</v>
      </c>
      <c r="R627" s="130">
        <f>SUMIFS(ТГ_ИД!$E:$E,ТГ_ИД!$B:$B,ТГ!$G$10,ТГ_ИД!$D:$D,ТГ!$A628)</f>
        <v>0</v>
      </c>
      <c r="S627" s="130">
        <f>SUMIFS(ТГ_ИД!$E:$E,ТГ_ИД!$B:$B,ТГ!$G$11,ТГ_ИД!$D:$D,ТГ!$A628)</f>
        <v>0</v>
      </c>
      <c r="T627" s="130">
        <f>SUMIFS(ТГ_ИД!$E:$E,ТГ_ИД!$B:$B,ТГ!$G$12,ТГ_ИД!$D:$D,ТГ!$A628)</f>
        <v>0</v>
      </c>
      <c r="U627" s="130">
        <f>SUMIFS(ТГ_ИД!$E:$E,ТГ_ИД!$B:$B,ТГ!$G$13,ТГ_ИД!$D:$D,ТГ!$A628)</f>
        <v>0</v>
      </c>
      <c r="V627" s="130">
        <f>SUMIFS(ТГ_ИД!$E:$E,ТГ_ИД!$B:$B,ТГ!$G$14,ТГ_ИД!$D:$D,ТГ!$A628)</f>
        <v>0</v>
      </c>
    </row>
    <row r="628" spans="1:22" x14ac:dyDescent="0.25">
      <c r="A628" s="116" t="str">
        <f t="shared" si="10"/>
        <v/>
      </c>
      <c r="K628" s="130">
        <f>SUMIFS(ТГ_ИД!$E:$E,ТГ_ИД!$B:$B,ТГ!$G$3,ТГ_ИД!$D:$D,ТГ!$A629)</f>
        <v>0</v>
      </c>
      <c r="L628" s="130">
        <f>SUMIFS(ТГ_ИД!$E:$E,ТГ_ИД!$B:$B,ТГ!$G$4,ТГ_ИД!$D:$D,ТГ!$A629)</f>
        <v>0</v>
      </c>
      <c r="M628" s="130">
        <f>SUMIFS(ТГ_ИД!$E:$E,ТГ_ИД!$B:$B,ТГ!$G$5,ТГ_ИД!$D:$D,ТГ!$A629)</f>
        <v>0</v>
      </c>
      <c r="N628" s="130">
        <f>SUMIFS(ТГ_ИД!$E:$E,ТГ_ИД!$B:$B,ТГ!$G$6,ТГ_ИД!$D:$D,ТГ!$A629)</f>
        <v>0</v>
      </c>
      <c r="O628" s="130">
        <f>SUMIFS(ТГ_ИД!$E:$E,ТГ_ИД!$B:$B,ТГ!$G$7,ТГ_ИД!$D:$D,ТГ!$A629)</f>
        <v>0</v>
      </c>
      <c r="P628" s="130">
        <f>SUMIFS(ТГ_ИД!$E:$E,ТГ_ИД!$B:$B,ТГ!$G$8,ТГ_ИД!$D:$D,ТГ!$A629)</f>
        <v>0</v>
      </c>
      <c r="Q628" s="130">
        <f>SUMIFS(ТГ_ИД!$E:$E,ТГ_ИД!$B:$B,ТГ!$G$9,ТГ_ИД!$D:$D,ТГ!$A629)</f>
        <v>0</v>
      </c>
      <c r="R628" s="130">
        <f>SUMIFS(ТГ_ИД!$E:$E,ТГ_ИД!$B:$B,ТГ!$G$10,ТГ_ИД!$D:$D,ТГ!$A629)</f>
        <v>0</v>
      </c>
      <c r="S628" s="130">
        <f>SUMIFS(ТГ_ИД!$E:$E,ТГ_ИД!$B:$B,ТГ!$G$11,ТГ_ИД!$D:$D,ТГ!$A629)</f>
        <v>0</v>
      </c>
      <c r="T628" s="130">
        <f>SUMIFS(ТГ_ИД!$E:$E,ТГ_ИД!$B:$B,ТГ!$G$12,ТГ_ИД!$D:$D,ТГ!$A629)</f>
        <v>0</v>
      </c>
      <c r="U628" s="130">
        <f>SUMIFS(ТГ_ИД!$E:$E,ТГ_ИД!$B:$B,ТГ!$G$13,ТГ_ИД!$D:$D,ТГ!$A629)</f>
        <v>0</v>
      </c>
      <c r="V628" s="130">
        <f>SUMIFS(ТГ_ИД!$E:$E,ТГ_ИД!$B:$B,ТГ!$G$14,ТГ_ИД!$D:$D,ТГ!$A629)</f>
        <v>0</v>
      </c>
    </row>
    <row r="629" spans="1:22" x14ac:dyDescent="0.25">
      <c r="A629" s="116" t="str">
        <f t="shared" si="10"/>
        <v/>
      </c>
      <c r="K629" s="130">
        <f>SUMIFS(ТГ_ИД!$E:$E,ТГ_ИД!$B:$B,ТГ!$G$3,ТГ_ИД!$D:$D,ТГ!$A630)</f>
        <v>0</v>
      </c>
      <c r="L629" s="130">
        <f>SUMIFS(ТГ_ИД!$E:$E,ТГ_ИД!$B:$B,ТГ!$G$4,ТГ_ИД!$D:$D,ТГ!$A630)</f>
        <v>0</v>
      </c>
      <c r="M629" s="130">
        <f>SUMIFS(ТГ_ИД!$E:$E,ТГ_ИД!$B:$B,ТГ!$G$5,ТГ_ИД!$D:$D,ТГ!$A630)</f>
        <v>0</v>
      </c>
      <c r="N629" s="130">
        <f>SUMIFS(ТГ_ИД!$E:$E,ТГ_ИД!$B:$B,ТГ!$G$6,ТГ_ИД!$D:$D,ТГ!$A630)</f>
        <v>0</v>
      </c>
      <c r="O629" s="130">
        <f>SUMIFS(ТГ_ИД!$E:$E,ТГ_ИД!$B:$B,ТГ!$G$7,ТГ_ИД!$D:$D,ТГ!$A630)</f>
        <v>0</v>
      </c>
      <c r="P629" s="130">
        <f>SUMIFS(ТГ_ИД!$E:$E,ТГ_ИД!$B:$B,ТГ!$G$8,ТГ_ИД!$D:$D,ТГ!$A630)</f>
        <v>0</v>
      </c>
      <c r="Q629" s="130">
        <f>SUMIFS(ТГ_ИД!$E:$E,ТГ_ИД!$B:$B,ТГ!$G$9,ТГ_ИД!$D:$D,ТГ!$A630)</f>
        <v>0</v>
      </c>
      <c r="R629" s="130">
        <f>SUMIFS(ТГ_ИД!$E:$E,ТГ_ИД!$B:$B,ТГ!$G$10,ТГ_ИД!$D:$D,ТГ!$A630)</f>
        <v>0</v>
      </c>
      <c r="S629" s="130">
        <f>SUMIFS(ТГ_ИД!$E:$E,ТГ_ИД!$B:$B,ТГ!$G$11,ТГ_ИД!$D:$D,ТГ!$A630)</f>
        <v>0</v>
      </c>
      <c r="T629" s="130">
        <f>SUMIFS(ТГ_ИД!$E:$E,ТГ_ИД!$B:$B,ТГ!$G$12,ТГ_ИД!$D:$D,ТГ!$A630)</f>
        <v>0</v>
      </c>
      <c r="U629" s="130">
        <f>SUMIFS(ТГ_ИД!$E:$E,ТГ_ИД!$B:$B,ТГ!$G$13,ТГ_ИД!$D:$D,ТГ!$A630)</f>
        <v>0</v>
      </c>
      <c r="V629" s="130">
        <f>SUMIFS(ТГ_ИД!$E:$E,ТГ_ИД!$B:$B,ТГ!$G$14,ТГ_ИД!$D:$D,ТГ!$A630)</f>
        <v>0</v>
      </c>
    </row>
    <row r="630" spans="1:22" x14ac:dyDescent="0.25">
      <c r="A630" s="116" t="str">
        <f t="shared" si="10"/>
        <v/>
      </c>
      <c r="K630" s="130">
        <f>SUMIFS(ТГ_ИД!$E:$E,ТГ_ИД!$B:$B,ТГ!$G$3,ТГ_ИД!$D:$D,ТГ!$A631)</f>
        <v>0</v>
      </c>
      <c r="L630" s="130">
        <f>SUMIFS(ТГ_ИД!$E:$E,ТГ_ИД!$B:$B,ТГ!$G$4,ТГ_ИД!$D:$D,ТГ!$A631)</f>
        <v>0</v>
      </c>
      <c r="M630" s="130">
        <f>SUMIFS(ТГ_ИД!$E:$E,ТГ_ИД!$B:$B,ТГ!$G$5,ТГ_ИД!$D:$D,ТГ!$A631)</f>
        <v>0</v>
      </c>
      <c r="N630" s="130">
        <f>SUMIFS(ТГ_ИД!$E:$E,ТГ_ИД!$B:$B,ТГ!$G$6,ТГ_ИД!$D:$D,ТГ!$A631)</f>
        <v>0</v>
      </c>
      <c r="O630" s="130">
        <f>SUMIFS(ТГ_ИД!$E:$E,ТГ_ИД!$B:$B,ТГ!$G$7,ТГ_ИД!$D:$D,ТГ!$A631)</f>
        <v>0</v>
      </c>
      <c r="P630" s="130">
        <f>SUMIFS(ТГ_ИД!$E:$E,ТГ_ИД!$B:$B,ТГ!$G$8,ТГ_ИД!$D:$D,ТГ!$A631)</f>
        <v>0</v>
      </c>
      <c r="Q630" s="130">
        <f>SUMIFS(ТГ_ИД!$E:$E,ТГ_ИД!$B:$B,ТГ!$G$9,ТГ_ИД!$D:$D,ТГ!$A631)</f>
        <v>0</v>
      </c>
      <c r="R630" s="130">
        <f>SUMIFS(ТГ_ИД!$E:$E,ТГ_ИД!$B:$B,ТГ!$G$10,ТГ_ИД!$D:$D,ТГ!$A631)</f>
        <v>0</v>
      </c>
      <c r="S630" s="130">
        <f>SUMIFS(ТГ_ИД!$E:$E,ТГ_ИД!$B:$B,ТГ!$G$11,ТГ_ИД!$D:$D,ТГ!$A631)</f>
        <v>0</v>
      </c>
      <c r="T630" s="130">
        <f>SUMIFS(ТГ_ИД!$E:$E,ТГ_ИД!$B:$B,ТГ!$G$12,ТГ_ИД!$D:$D,ТГ!$A631)</f>
        <v>0</v>
      </c>
      <c r="U630" s="130">
        <f>SUMIFS(ТГ_ИД!$E:$E,ТГ_ИД!$B:$B,ТГ!$G$13,ТГ_ИД!$D:$D,ТГ!$A631)</f>
        <v>0</v>
      </c>
      <c r="V630" s="130">
        <f>SUMIFS(ТГ_ИД!$E:$E,ТГ_ИД!$B:$B,ТГ!$G$14,ТГ_ИД!$D:$D,ТГ!$A631)</f>
        <v>0</v>
      </c>
    </row>
    <row r="631" spans="1:22" x14ac:dyDescent="0.25">
      <c r="A631" s="116" t="str">
        <f t="shared" si="10"/>
        <v/>
      </c>
      <c r="K631" s="130">
        <f>SUMIFS(ТГ_ИД!$E:$E,ТГ_ИД!$B:$B,ТГ!$G$3,ТГ_ИД!$D:$D,ТГ!$A632)</f>
        <v>0</v>
      </c>
      <c r="L631" s="130">
        <f>SUMIFS(ТГ_ИД!$E:$E,ТГ_ИД!$B:$B,ТГ!$G$4,ТГ_ИД!$D:$D,ТГ!$A632)</f>
        <v>0</v>
      </c>
      <c r="M631" s="130">
        <f>SUMIFS(ТГ_ИД!$E:$E,ТГ_ИД!$B:$B,ТГ!$G$5,ТГ_ИД!$D:$D,ТГ!$A632)</f>
        <v>0</v>
      </c>
      <c r="N631" s="130">
        <f>SUMIFS(ТГ_ИД!$E:$E,ТГ_ИД!$B:$B,ТГ!$G$6,ТГ_ИД!$D:$D,ТГ!$A632)</f>
        <v>0</v>
      </c>
      <c r="O631" s="130">
        <f>SUMIFS(ТГ_ИД!$E:$E,ТГ_ИД!$B:$B,ТГ!$G$7,ТГ_ИД!$D:$D,ТГ!$A632)</f>
        <v>0</v>
      </c>
      <c r="P631" s="130">
        <f>SUMIFS(ТГ_ИД!$E:$E,ТГ_ИД!$B:$B,ТГ!$G$8,ТГ_ИД!$D:$D,ТГ!$A632)</f>
        <v>0</v>
      </c>
      <c r="Q631" s="130">
        <f>SUMIFS(ТГ_ИД!$E:$E,ТГ_ИД!$B:$B,ТГ!$G$9,ТГ_ИД!$D:$D,ТГ!$A632)</f>
        <v>0</v>
      </c>
      <c r="R631" s="130">
        <f>SUMIFS(ТГ_ИД!$E:$E,ТГ_ИД!$B:$B,ТГ!$G$10,ТГ_ИД!$D:$D,ТГ!$A632)</f>
        <v>0</v>
      </c>
      <c r="S631" s="130">
        <f>SUMIFS(ТГ_ИД!$E:$E,ТГ_ИД!$B:$B,ТГ!$G$11,ТГ_ИД!$D:$D,ТГ!$A632)</f>
        <v>0</v>
      </c>
      <c r="T631" s="130">
        <f>SUMIFS(ТГ_ИД!$E:$E,ТГ_ИД!$B:$B,ТГ!$G$12,ТГ_ИД!$D:$D,ТГ!$A632)</f>
        <v>0</v>
      </c>
      <c r="U631" s="130">
        <f>SUMIFS(ТГ_ИД!$E:$E,ТГ_ИД!$B:$B,ТГ!$G$13,ТГ_ИД!$D:$D,ТГ!$A632)</f>
        <v>0</v>
      </c>
      <c r="V631" s="130">
        <f>SUMIFS(ТГ_ИД!$E:$E,ТГ_ИД!$B:$B,ТГ!$G$14,ТГ_ИД!$D:$D,ТГ!$A632)</f>
        <v>0</v>
      </c>
    </row>
    <row r="632" spans="1:22" x14ac:dyDescent="0.25">
      <c r="A632" s="116" t="str">
        <f t="shared" si="10"/>
        <v/>
      </c>
      <c r="K632" s="130">
        <f>SUMIFS(ТГ_ИД!$E:$E,ТГ_ИД!$B:$B,ТГ!$G$3,ТГ_ИД!$D:$D,ТГ!$A633)</f>
        <v>0</v>
      </c>
      <c r="L632" s="130">
        <f>SUMIFS(ТГ_ИД!$E:$E,ТГ_ИД!$B:$B,ТГ!$G$4,ТГ_ИД!$D:$D,ТГ!$A633)</f>
        <v>0</v>
      </c>
      <c r="M632" s="130">
        <f>SUMIFS(ТГ_ИД!$E:$E,ТГ_ИД!$B:$B,ТГ!$G$5,ТГ_ИД!$D:$D,ТГ!$A633)</f>
        <v>0</v>
      </c>
      <c r="N632" s="130">
        <f>SUMIFS(ТГ_ИД!$E:$E,ТГ_ИД!$B:$B,ТГ!$G$6,ТГ_ИД!$D:$D,ТГ!$A633)</f>
        <v>0</v>
      </c>
      <c r="O632" s="130">
        <f>SUMIFS(ТГ_ИД!$E:$E,ТГ_ИД!$B:$B,ТГ!$G$7,ТГ_ИД!$D:$D,ТГ!$A633)</f>
        <v>0</v>
      </c>
      <c r="P632" s="130">
        <f>SUMIFS(ТГ_ИД!$E:$E,ТГ_ИД!$B:$B,ТГ!$G$8,ТГ_ИД!$D:$D,ТГ!$A633)</f>
        <v>0</v>
      </c>
      <c r="Q632" s="130">
        <f>SUMIFS(ТГ_ИД!$E:$E,ТГ_ИД!$B:$B,ТГ!$G$9,ТГ_ИД!$D:$D,ТГ!$A633)</f>
        <v>0</v>
      </c>
      <c r="R632" s="130">
        <f>SUMIFS(ТГ_ИД!$E:$E,ТГ_ИД!$B:$B,ТГ!$G$10,ТГ_ИД!$D:$D,ТГ!$A633)</f>
        <v>0</v>
      </c>
      <c r="S632" s="130">
        <f>SUMIFS(ТГ_ИД!$E:$E,ТГ_ИД!$B:$B,ТГ!$G$11,ТГ_ИД!$D:$D,ТГ!$A633)</f>
        <v>0</v>
      </c>
      <c r="T632" s="130">
        <f>SUMIFS(ТГ_ИД!$E:$E,ТГ_ИД!$B:$B,ТГ!$G$12,ТГ_ИД!$D:$D,ТГ!$A633)</f>
        <v>0</v>
      </c>
      <c r="U632" s="130">
        <f>SUMIFS(ТГ_ИД!$E:$E,ТГ_ИД!$B:$B,ТГ!$G$13,ТГ_ИД!$D:$D,ТГ!$A633)</f>
        <v>0</v>
      </c>
      <c r="V632" s="130">
        <f>SUMIFS(ТГ_ИД!$E:$E,ТГ_ИД!$B:$B,ТГ!$G$14,ТГ_ИД!$D:$D,ТГ!$A633)</f>
        <v>0</v>
      </c>
    </row>
    <row r="633" spans="1:22" x14ac:dyDescent="0.25">
      <c r="A633" s="116" t="str">
        <f t="shared" si="10"/>
        <v/>
      </c>
      <c r="K633" s="130">
        <f>SUMIFS(ТГ_ИД!$E:$E,ТГ_ИД!$B:$B,ТГ!$G$3,ТГ_ИД!$D:$D,ТГ!$A634)</f>
        <v>0</v>
      </c>
      <c r="L633" s="130">
        <f>SUMIFS(ТГ_ИД!$E:$E,ТГ_ИД!$B:$B,ТГ!$G$4,ТГ_ИД!$D:$D,ТГ!$A634)</f>
        <v>0</v>
      </c>
      <c r="M633" s="130">
        <f>SUMIFS(ТГ_ИД!$E:$E,ТГ_ИД!$B:$B,ТГ!$G$5,ТГ_ИД!$D:$D,ТГ!$A634)</f>
        <v>0</v>
      </c>
      <c r="N633" s="130">
        <f>SUMIFS(ТГ_ИД!$E:$E,ТГ_ИД!$B:$B,ТГ!$G$6,ТГ_ИД!$D:$D,ТГ!$A634)</f>
        <v>0</v>
      </c>
      <c r="O633" s="130">
        <f>SUMIFS(ТГ_ИД!$E:$E,ТГ_ИД!$B:$B,ТГ!$G$7,ТГ_ИД!$D:$D,ТГ!$A634)</f>
        <v>0</v>
      </c>
      <c r="P633" s="130">
        <f>SUMIFS(ТГ_ИД!$E:$E,ТГ_ИД!$B:$B,ТГ!$G$8,ТГ_ИД!$D:$D,ТГ!$A634)</f>
        <v>0</v>
      </c>
      <c r="Q633" s="130">
        <f>SUMIFS(ТГ_ИД!$E:$E,ТГ_ИД!$B:$B,ТГ!$G$9,ТГ_ИД!$D:$D,ТГ!$A634)</f>
        <v>0</v>
      </c>
      <c r="R633" s="130">
        <f>SUMIFS(ТГ_ИД!$E:$E,ТГ_ИД!$B:$B,ТГ!$G$10,ТГ_ИД!$D:$D,ТГ!$A634)</f>
        <v>0</v>
      </c>
      <c r="S633" s="130">
        <f>SUMIFS(ТГ_ИД!$E:$E,ТГ_ИД!$B:$B,ТГ!$G$11,ТГ_ИД!$D:$D,ТГ!$A634)</f>
        <v>0</v>
      </c>
      <c r="T633" s="130">
        <f>SUMIFS(ТГ_ИД!$E:$E,ТГ_ИД!$B:$B,ТГ!$G$12,ТГ_ИД!$D:$D,ТГ!$A634)</f>
        <v>0</v>
      </c>
      <c r="U633" s="130">
        <f>SUMIFS(ТГ_ИД!$E:$E,ТГ_ИД!$B:$B,ТГ!$G$13,ТГ_ИД!$D:$D,ТГ!$A634)</f>
        <v>0</v>
      </c>
      <c r="V633" s="130">
        <f>SUMIFS(ТГ_ИД!$E:$E,ТГ_ИД!$B:$B,ТГ!$G$14,ТГ_ИД!$D:$D,ТГ!$A634)</f>
        <v>0</v>
      </c>
    </row>
    <row r="634" spans="1:22" x14ac:dyDescent="0.25">
      <c r="A634" s="116" t="str">
        <f t="shared" si="10"/>
        <v/>
      </c>
      <c r="K634" s="130">
        <f>SUMIFS(ТГ_ИД!$E:$E,ТГ_ИД!$B:$B,ТГ!$G$3,ТГ_ИД!$D:$D,ТГ!$A635)</f>
        <v>0</v>
      </c>
      <c r="L634" s="130">
        <f>SUMIFS(ТГ_ИД!$E:$E,ТГ_ИД!$B:$B,ТГ!$G$4,ТГ_ИД!$D:$D,ТГ!$A635)</f>
        <v>0</v>
      </c>
      <c r="M634" s="130">
        <f>SUMIFS(ТГ_ИД!$E:$E,ТГ_ИД!$B:$B,ТГ!$G$5,ТГ_ИД!$D:$D,ТГ!$A635)</f>
        <v>0</v>
      </c>
      <c r="N634" s="130">
        <f>SUMIFS(ТГ_ИД!$E:$E,ТГ_ИД!$B:$B,ТГ!$G$6,ТГ_ИД!$D:$D,ТГ!$A635)</f>
        <v>0</v>
      </c>
      <c r="O634" s="130">
        <f>SUMIFS(ТГ_ИД!$E:$E,ТГ_ИД!$B:$B,ТГ!$G$7,ТГ_ИД!$D:$D,ТГ!$A635)</f>
        <v>0</v>
      </c>
      <c r="P634" s="130">
        <f>SUMIFS(ТГ_ИД!$E:$E,ТГ_ИД!$B:$B,ТГ!$G$8,ТГ_ИД!$D:$D,ТГ!$A635)</f>
        <v>0</v>
      </c>
      <c r="Q634" s="130">
        <f>SUMIFS(ТГ_ИД!$E:$E,ТГ_ИД!$B:$B,ТГ!$G$9,ТГ_ИД!$D:$D,ТГ!$A635)</f>
        <v>0</v>
      </c>
      <c r="R634" s="130">
        <f>SUMIFS(ТГ_ИД!$E:$E,ТГ_ИД!$B:$B,ТГ!$G$10,ТГ_ИД!$D:$D,ТГ!$A635)</f>
        <v>0</v>
      </c>
      <c r="S634" s="130">
        <f>SUMIFS(ТГ_ИД!$E:$E,ТГ_ИД!$B:$B,ТГ!$G$11,ТГ_ИД!$D:$D,ТГ!$A635)</f>
        <v>0</v>
      </c>
      <c r="T634" s="130">
        <f>SUMIFS(ТГ_ИД!$E:$E,ТГ_ИД!$B:$B,ТГ!$G$12,ТГ_ИД!$D:$D,ТГ!$A635)</f>
        <v>0</v>
      </c>
      <c r="U634" s="130">
        <f>SUMIFS(ТГ_ИД!$E:$E,ТГ_ИД!$B:$B,ТГ!$G$13,ТГ_ИД!$D:$D,ТГ!$A635)</f>
        <v>0</v>
      </c>
      <c r="V634" s="130">
        <f>SUMIFS(ТГ_ИД!$E:$E,ТГ_ИД!$B:$B,ТГ!$G$14,ТГ_ИД!$D:$D,ТГ!$A635)</f>
        <v>0</v>
      </c>
    </row>
    <row r="635" spans="1:22" x14ac:dyDescent="0.25">
      <c r="A635" s="116" t="str">
        <f t="shared" si="10"/>
        <v/>
      </c>
      <c r="K635" s="130">
        <f>SUMIFS(ТГ_ИД!$E:$E,ТГ_ИД!$B:$B,ТГ!$G$3,ТГ_ИД!$D:$D,ТГ!$A636)</f>
        <v>0</v>
      </c>
      <c r="L635" s="130">
        <f>SUMIFS(ТГ_ИД!$E:$E,ТГ_ИД!$B:$B,ТГ!$G$4,ТГ_ИД!$D:$D,ТГ!$A636)</f>
        <v>0</v>
      </c>
      <c r="M635" s="130">
        <f>SUMIFS(ТГ_ИД!$E:$E,ТГ_ИД!$B:$B,ТГ!$G$5,ТГ_ИД!$D:$D,ТГ!$A636)</f>
        <v>0</v>
      </c>
      <c r="N635" s="130">
        <f>SUMIFS(ТГ_ИД!$E:$E,ТГ_ИД!$B:$B,ТГ!$G$6,ТГ_ИД!$D:$D,ТГ!$A636)</f>
        <v>0</v>
      </c>
      <c r="O635" s="130">
        <f>SUMIFS(ТГ_ИД!$E:$E,ТГ_ИД!$B:$B,ТГ!$G$7,ТГ_ИД!$D:$D,ТГ!$A636)</f>
        <v>0</v>
      </c>
      <c r="P635" s="130">
        <f>SUMIFS(ТГ_ИД!$E:$E,ТГ_ИД!$B:$B,ТГ!$G$8,ТГ_ИД!$D:$D,ТГ!$A636)</f>
        <v>0</v>
      </c>
      <c r="Q635" s="130">
        <f>SUMIFS(ТГ_ИД!$E:$E,ТГ_ИД!$B:$B,ТГ!$G$9,ТГ_ИД!$D:$D,ТГ!$A636)</f>
        <v>0</v>
      </c>
      <c r="R635" s="130">
        <f>SUMIFS(ТГ_ИД!$E:$E,ТГ_ИД!$B:$B,ТГ!$G$10,ТГ_ИД!$D:$D,ТГ!$A636)</f>
        <v>0</v>
      </c>
      <c r="S635" s="130">
        <f>SUMIFS(ТГ_ИД!$E:$E,ТГ_ИД!$B:$B,ТГ!$G$11,ТГ_ИД!$D:$D,ТГ!$A636)</f>
        <v>0</v>
      </c>
      <c r="T635" s="130">
        <f>SUMIFS(ТГ_ИД!$E:$E,ТГ_ИД!$B:$B,ТГ!$G$12,ТГ_ИД!$D:$D,ТГ!$A636)</f>
        <v>0</v>
      </c>
      <c r="U635" s="130">
        <f>SUMIFS(ТГ_ИД!$E:$E,ТГ_ИД!$B:$B,ТГ!$G$13,ТГ_ИД!$D:$D,ТГ!$A636)</f>
        <v>0</v>
      </c>
      <c r="V635" s="130">
        <f>SUMIFS(ТГ_ИД!$E:$E,ТГ_ИД!$B:$B,ТГ!$G$14,ТГ_ИД!$D:$D,ТГ!$A636)</f>
        <v>0</v>
      </c>
    </row>
    <row r="636" spans="1:22" x14ac:dyDescent="0.25">
      <c r="A636" s="116" t="str">
        <f t="shared" si="10"/>
        <v/>
      </c>
      <c r="K636" s="130">
        <f>SUMIFS(ТГ_ИД!$E:$E,ТГ_ИД!$B:$B,ТГ!$G$3,ТГ_ИД!$D:$D,ТГ!$A637)</f>
        <v>0</v>
      </c>
      <c r="L636" s="130">
        <f>SUMIFS(ТГ_ИД!$E:$E,ТГ_ИД!$B:$B,ТГ!$G$4,ТГ_ИД!$D:$D,ТГ!$A637)</f>
        <v>0</v>
      </c>
      <c r="M636" s="130">
        <f>SUMIFS(ТГ_ИД!$E:$E,ТГ_ИД!$B:$B,ТГ!$G$5,ТГ_ИД!$D:$D,ТГ!$A637)</f>
        <v>0</v>
      </c>
      <c r="N636" s="130">
        <f>SUMIFS(ТГ_ИД!$E:$E,ТГ_ИД!$B:$B,ТГ!$G$6,ТГ_ИД!$D:$D,ТГ!$A637)</f>
        <v>0</v>
      </c>
      <c r="O636" s="130">
        <f>SUMIFS(ТГ_ИД!$E:$E,ТГ_ИД!$B:$B,ТГ!$G$7,ТГ_ИД!$D:$D,ТГ!$A637)</f>
        <v>0</v>
      </c>
      <c r="P636" s="130">
        <f>SUMIFS(ТГ_ИД!$E:$E,ТГ_ИД!$B:$B,ТГ!$G$8,ТГ_ИД!$D:$D,ТГ!$A637)</f>
        <v>0</v>
      </c>
      <c r="Q636" s="130">
        <f>SUMIFS(ТГ_ИД!$E:$E,ТГ_ИД!$B:$B,ТГ!$G$9,ТГ_ИД!$D:$D,ТГ!$A637)</f>
        <v>0</v>
      </c>
      <c r="R636" s="130">
        <f>SUMIFS(ТГ_ИД!$E:$E,ТГ_ИД!$B:$B,ТГ!$G$10,ТГ_ИД!$D:$D,ТГ!$A637)</f>
        <v>0</v>
      </c>
      <c r="S636" s="130">
        <f>SUMIFS(ТГ_ИД!$E:$E,ТГ_ИД!$B:$B,ТГ!$G$11,ТГ_ИД!$D:$D,ТГ!$A637)</f>
        <v>0</v>
      </c>
      <c r="T636" s="130">
        <f>SUMIFS(ТГ_ИД!$E:$E,ТГ_ИД!$B:$B,ТГ!$G$12,ТГ_ИД!$D:$D,ТГ!$A637)</f>
        <v>0</v>
      </c>
      <c r="U636" s="130">
        <f>SUMIFS(ТГ_ИД!$E:$E,ТГ_ИД!$B:$B,ТГ!$G$13,ТГ_ИД!$D:$D,ТГ!$A637)</f>
        <v>0</v>
      </c>
      <c r="V636" s="130">
        <f>SUMIFS(ТГ_ИД!$E:$E,ТГ_ИД!$B:$B,ТГ!$G$14,ТГ_ИД!$D:$D,ТГ!$A637)</f>
        <v>0</v>
      </c>
    </row>
    <row r="637" spans="1:22" x14ac:dyDescent="0.25">
      <c r="A637" s="116" t="str">
        <f t="shared" si="10"/>
        <v/>
      </c>
      <c r="K637" s="130">
        <f>SUMIFS(ТГ_ИД!$E:$E,ТГ_ИД!$B:$B,ТГ!$G$3,ТГ_ИД!$D:$D,ТГ!$A638)</f>
        <v>0</v>
      </c>
      <c r="L637" s="130">
        <f>SUMIFS(ТГ_ИД!$E:$E,ТГ_ИД!$B:$B,ТГ!$G$4,ТГ_ИД!$D:$D,ТГ!$A638)</f>
        <v>0</v>
      </c>
      <c r="M637" s="130">
        <f>SUMIFS(ТГ_ИД!$E:$E,ТГ_ИД!$B:$B,ТГ!$G$5,ТГ_ИД!$D:$D,ТГ!$A638)</f>
        <v>0</v>
      </c>
      <c r="N637" s="130">
        <f>SUMIFS(ТГ_ИД!$E:$E,ТГ_ИД!$B:$B,ТГ!$G$6,ТГ_ИД!$D:$D,ТГ!$A638)</f>
        <v>0</v>
      </c>
      <c r="O637" s="130">
        <f>SUMIFS(ТГ_ИД!$E:$E,ТГ_ИД!$B:$B,ТГ!$G$7,ТГ_ИД!$D:$D,ТГ!$A638)</f>
        <v>0</v>
      </c>
      <c r="P637" s="130">
        <f>SUMIFS(ТГ_ИД!$E:$E,ТГ_ИД!$B:$B,ТГ!$G$8,ТГ_ИД!$D:$D,ТГ!$A638)</f>
        <v>0</v>
      </c>
      <c r="Q637" s="130">
        <f>SUMIFS(ТГ_ИД!$E:$E,ТГ_ИД!$B:$B,ТГ!$G$9,ТГ_ИД!$D:$D,ТГ!$A638)</f>
        <v>0</v>
      </c>
      <c r="R637" s="130">
        <f>SUMIFS(ТГ_ИД!$E:$E,ТГ_ИД!$B:$B,ТГ!$G$10,ТГ_ИД!$D:$D,ТГ!$A638)</f>
        <v>0</v>
      </c>
      <c r="S637" s="130">
        <f>SUMIFS(ТГ_ИД!$E:$E,ТГ_ИД!$B:$B,ТГ!$G$11,ТГ_ИД!$D:$D,ТГ!$A638)</f>
        <v>0</v>
      </c>
      <c r="T637" s="130">
        <f>SUMIFS(ТГ_ИД!$E:$E,ТГ_ИД!$B:$B,ТГ!$G$12,ТГ_ИД!$D:$D,ТГ!$A638)</f>
        <v>0</v>
      </c>
      <c r="U637" s="130">
        <f>SUMIFS(ТГ_ИД!$E:$E,ТГ_ИД!$B:$B,ТГ!$G$13,ТГ_ИД!$D:$D,ТГ!$A638)</f>
        <v>0</v>
      </c>
      <c r="V637" s="130">
        <f>SUMIFS(ТГ_ИД!$E:$E,ТГ_ИД!$B:$B,ТГ!$G$14,ТГ_ИД!$D:$D,ТГ!$A638)</f>
        <v>0</v>
      </c>
    </row>
    <row r="638" spans="1:22" x14ac:dyDescent="0.25">
      <c r="A638" s="116" t="str">
        <f t="shared" si="10"/>
        <v/>
      </c>
      <c r="K638" s="130">
        <f>SUMIFS(ТГ_ИД!$E:$E,ТГ_ИД!$B:$B,ТГ!$G$3,ТГ_ИД!$D:$D,ТГ!$A639)</f>
        <v>0</v>
      </c>
      <c r="L638" s="130">
        <f>SUMIFS(ТГ_ИД!$E:$E,ТГ_ИД!$B:$B,ТГ!$G$4,ТГ_ИД!$D:$D,ТГ!$A639)</f>
        <v>0</v>
      </c>
      <c r="M638" s="130">
        <f>SUMIFS(ТГ_ИД!$E:$E,ТГ_ИД!$B:$B,ТГ!$G$5,ТГ_ИД!$D:$D,ТГ!$A639)</f>
        <v>0</v>
      </c>
      <c r="N638" s="130">
        <f>SUMIFS(ТГ_ИД!$E:$E,ТГ_ИД!$B:$B,ТГ!$G$6,ТГ_ИД!$D:$D,ТГ!$A639)</f>
        <v>0</v>
      </c>
      <c r="O638" s="130">
        <f>SUMIFS(ТГ_ИД!$E:$E,ТГ_ИД!$B:$B,ТГ!$G$7,ТГ_ИД!$D:$D,ТГ!$A639)</f>
        <v>0</v>
      </c>
      <c r="P638" s="130">
        <f>SUMIFS(ТГ_ИД!$E:$E,ТГ_ИД!$B:$B,ТГ!$G$8,ТГ_ИД!$D:$D,ТГ!$A639)</f>
        <v>0</v>
      </c>
      <c r="Q638" s="130">
        <f>SUMIFS(ТГ_ИД!$E:$E,ТГ_ИД!$B:$B,ТГ!$G$9,ТГ_ИД!$D:$D,ТГ!$A639)</f>
        <v>0</v>
      </c>
      <c r="R638" s="130">
        <f>SUMIFS(ТГ_ИД!$E:$E,ТГ_ИД!$B:$B,ТГ!$G$10,ТГ_ИД!$D:$D,ТГ!$A639)</f>
        <v>0</v>
      </c>
      <c r="S638" s="130">
        <f>SUMIFS(ТГ_ИД!$E:$E,ТГ_ИД!$B:$B,ТГ!$G$11,ТГ_ИД!$D:$D,ТГ!$A639)</f>
        <v>0</v>
      </c>
      <c r="T638" s="130">
        <f>SUMIFS(ТГ_ИД!$E:$E,ТГ_ИД!$B:$B,ТГ!$G$12,ТГ_ИД!$D:$D,ТГ!$A639)</f>
        <v>0</v>
      </c>
      <c r="U638" s="130">
        <f>SUMIFS(ТГ_ИД!$E:$E,ТГ_ИД!$B:$B,ТГ!$G$13,ТГ_ИД!$D:$D,ТГ!$A639)</f>
        <v>0</v>
      </c>
      <c r="V638" s="130">
        <f>SUMIFS(ТГ_ИД!$E:$E,ТГ_ИД!$B:$B,ТГ!$G$14,ТГ_ИД!$D:$D,ТГ!$A639)</f>
        <v>0</v>
      </c>
    </row>
    <row r="639" spans="1:22" x14ac:dyDescent="0.25">
      <c r="A639" s="116" t="str">
        <f t="shared" si="10"/>
        <v/>
      </c>
      <c r="K639" s="130">
        <f>SUMIFS(ТГ_ИД!$E:$E,ТГ_ИД!$B:$B,ТГ!$G$3,ТГ_ИД!$D:$D,ТГ!$A640)</f>
        <v>0</v>
      </c>
      <c r="L639" s="130">
        <f>SUMIFS(ТГ_ИД!$E:$E,ТГ_ИД!$B:$B,ТГ!$G$4,ТГ_ИД!$D:$D,ТГ!$A640)</f>
        <v>0</v>
      </c>
      <c r="M639" s="130">
        <f>SUMIFS(ТГ_ИД!$E:$E,ТГ_ИД!$B:$B,ТГ!$G$5,ТГ_ИД!$D:$D,ТГ!$A640)</f>
        <v>0</v>
      </c>
      <c r="N639" s="130">
        <f>SUMIFS(ТГ_ИД!$E:$E,ТГ_ИД!$B:$B,ТГ!$G$6,ТГ_ИД!$D:$D,ТГ!$A640)</f>
        <v>0</v>
      </c>
      <c r="O639" s="130">
        <f>SUMIFS(ТГ_ИД!$E:$E,ТГ_ИД!$B:$B,ТГ!$G$7,ТГ_ИД!$D:$D,ТГ!$A640)</f>
        <v>0</v>
      </c>
      <c r="P639" s="130">
        <f>SUMIFS(ТГ_ИД!$E:$E,ТГ_ИД!$B:$B,ТГ!$G$8,ТГ_ИД!$D:$D,ТГ!$A640)</f>
        <v>0</v>
      </c>
      <c r="Q639" s="130">
        <f>SUMIFS(ТГ_ИД!$E:$E,ТГ_ИД!$B:$B,ТГ!$G$9,ТГ_ИД!$D:$D,ТГ!$A640)</f>
        <v>0</v>
      </c>
      <c r="R639" s="130">
        <f>SUMIFS(ТГ_ИД!$E:$E,ТГ_ИД!$B:$B,ТГ!$G$10,ТГ_ИД!$D:$D,ТГ!$A640)</f>
        <v>0</v>
      </c>
      <c r="S639" s="130">
        <f>SUMIFS(ТГ_ИД!$E:$E,ТГ_ИД!$B:$B,ТГ!$G$11,ТГ_ИД!$D:$D,ТГ!$A640)</f>
        <v>0</v>
      </c>
      <c r="T639" s="130">
        <f>SUMIFS(ТГ_ИД!$E:$E,ТГ_ИД!$B:$B,ТГ!$G$12,ТГ_ИД!$D:$D,ТГ!$A640)</f>
        <v>0</v>
      </c>
      <c r="U639" s="130">
        <f>SUMIFS(ТГ_ИД!$E:$E,ТГ_ИД!$B:$B,ТГ!$G$13,ТГ_ИД!$D:$D,ТГ!$A640)</f>
        <v>0</v>
      </c>
      <c r="V639" s="130">
        <f>SUMIFS(ТГ_ИД!$E:$E,ТГ_ИД!$B:$B,ТГ!$G$14,ТГ_ИД!$D:$D,ТГ!$A640)</f>
        <v>0</v>
      </c>
    </row>
    <row r="640" spans="1:22" x14ac:dyDescent="0.25">
      <c r="A640" s="116" t="str">
        <f t="shared" si="10"/>
        <v/>
      </c>
      <c r="K640" s="130">
        <f>SUMIFS(ТГ_ИД!$E:$E,ТГ_ИД!$B:$B,ТГ!$G$3,ТГ_ИД!$D:$D,ТГ!$A641)</f>
        <v>0</v>
      </c>
      <c r="L640" s="130">
        <f>SUMIFS(ТГ_ИД!$E:$E,ТГ_ИД!$B:$B,ТГ!$G$4,ТГ_ИД!$D:$D,ТГ!$A641)</f>
        <v>0</v>
      </c>
      <c r="M640" s="130">
        <f>SUMIFS(ТГ_ИД!$E:$E,ТГ_ИД!$B:$B,ТГ!$G$5,ТГ_ИД!$D:$D,ТГ!$A641)</f>
        <v>0</v>
      </c>
      <c r="N640" s="130">
        <f>SUMIFS(ТГ_ИД!$E:$E,ТГ_ИД!$B:$B,ТГ!$G$6,ТГ_ИД!$D:$D,ТГ!$A641)</f>
        <v>0</v>
      </c>
      <c r="O640" s="130">
        <f>SUMIFS(ТГ_ИД!$E:$E,ТГ_ИД!$B:$B,ТГ!$G$7,ТГ_ИД!$D:$D,ТГ!$A641)</f>
        <v>0</v>
      </c>
      <c r="P640" s="130">
        <f>SUMIFS(ТГ_ИД!$E:$E,ТГ_ИД!$B:$B,ТГ!$G$8,ТГ_ИД!$D:$D,ТГ!$A641)</f>
        <v>0</v>
      </c>
      <c r="Q640" s="130">
        <f>SUMIFS(ТГ_ИД!$E:$E,ТГ_ИД!$B:$B,ТГ!$G$9,ТГ_ИД!$D:$D,ТГ!$A641)</f>
        <v>0</v>
      </c>
      <c r="R640" s="130">
        <f>SUMIFS(ТГ_ИД!$E:$E,ТГ_ИД!$B:$B,ТГ!$G$10,ТГ_ИД!$D:$D,ТГ!$A641)</f>
        <v>0</v>
      </c>
      <c r="S640" s="130">
        <f>SUMIFS(ТГ_ИД!$E:$E,ТГ_ИД!$B:$B,ТГ!$G$11,ТГ_ИД!$D:$D,ТГ!$A641)</f>
        <v>0</v>
      </c>
      <c r="T640" s="130">
        <f>SUMIFS(ТГ_ИД!$E:$E,ТГ_ИД!$B:$B,ТГ!$G$12,ТГ_ИД!$D:$D,ТГ!$A641)</f>
        <v>0</v>
      </c>
      <c r="U640" s="130">
        <f>SUMIFS(ТГ_ИД!$E:$E,ТГ_ИД!$B:$B,ТГ!$G$13,ТГ_ИД!$D:$D,ТГ!$A641)</f>
        <v>0</v>
      </c>
      <c r="V640" s="130">
        <f>SUMIFS(ТГ_ИД!$E:$E,ТГ_ИД!$B:$B,ТГ!$G$14,ТГ_ИД!$D:$D,ТГ!$A641)</f>
        <v>0</v>
      </c>
    </row>
    <row r="641" spans="1:22" x14ac:dyDescent="0.25">
      <c r="A641" s="116" t="str">
        <f t="shared" si="10"/>
        <v/>
      </c>
      <c r="K641" s="130">
        <f>SUMIFS(ТГ_ИД!$E:$E,ТГ_ИД!$B:$B,ТГ!$G$3,ТГ_ИД!$D:$D,ТГ!$A642)</f>
        <v>0</v>
      </c>
      <c r="L641" s="130">
        <f>SUMIFS(ТГ_ИД!$E:$E,ТГ_ИД!$B:$B,ТГ!$G$4,ТГ_ИД!$D:$D,ТГ!$A642)</f>
        <v>0</v>
      </c>
      <c r="M641" s="130">
        <f>SUMIFS(ТГ_ИД!$E:$E,ТГ_ИД!$B:$B,ТГ!$G$5,ТГ_ИД!$D:$D,ТГ!$A642)</f>
        <v>0</v>
      </c>
      <c r="N641" s="130">
        <f>SUMIFS(ТГ_ИД!$E:$E,ТГ_ИД!$B:$B,ТГ!$G$6,ТГ_ИД!$D:$D,ТГ!$A642)</f>
        <v>0</v>
      </c>
      <c r="O641" s="130">
        <f>SUMIFS(ТГ_ИД!$E:$E,ТГ_ИД!$B:$B,ТГ!$G$7,ТГ_ИД!$D:$D,ТГ!$A642)</f>
        <v>0</v>
      </c>
      <c r="P641" s="130">
        <f>SUMIFS(ТГ_ИД!$E:$E,ТГ_ИД!$B:$B,ТГ!$G$8,ТГ_ИД!$D:$D,ТГ!$A642)</f>
        <v>0</v>
      </c>
      <c r="Q641" s="130">
        <f>SUMIFS(ТГ_ИД!$E:$E,ТГ_ИД!$B:$B,ТГ!$G$9,ТГ_ИД!$D:$D,ТГ!$A642)</f>
        <v>0</v>
      </c>
      <c r="R641" s="130">
        <f>SUMIFS(ТГ_ИД!$E:$E,ТГ_ИД!$B:$B,ТГ!$G$10,ТГ_ИД!$D:$D,ТГ!$A642)</f>
        <v>0</v>
      </c>
      <c r="S641" s="130">
        <f>SUMIFS(ТГ_ИД!$E:$E,ТГ_ИД!$B:$B,ТГ!$G$11,ТГ_ИД!$D:$D,ТГ!$A642)</f>
        <v>0</v>
      </c>
      <c r="T641" s="130">
        <f>SUMIFS(ТГ_ИД!$E:$E,ТГ_ИД!$B:$B,ТГ!$G$12,ТГ_ИД!$D:$D,ТГ!$A642)</f>
        <v>0</v>
      </c>
      <c r="U641" s="130">
        <f>SUMIFS(ТГ_ИД!$E:$E,ТГ_ИД!$B:$B,ТГ!$G$13,ТГ_ИД!$D:$D,ТГ!$A642)</f>
        <v>0</v>
      </c>
      <c r="V641" s="130">
        <f>SUMIFS(ТГ_ИД!$E:$E,ТГ_ИД!$B:$B,ТГ!$G$14,ТГ_ИД!$D:$D,ТГ!$A642)</f>
        <v>0</v>
      </c>
    </row>
    <row r="642" spans="1:22" x14ac:dyDescent="0.25">
      <c r="A642" s="116" t="str">
        <f t="shared" si="10"/>
        <v/>
      </c>
      <c r="K642" s="130">
        <f>SUMIFS(ТГ_ИД!$E:$E,ТГ_ИД!$B:$B,ТГ!$G$3,ТГ_ИД!$D:$D,ТГ!$A643)</f>
        <v>0</v>
      </c>
      <c r="L642" s="130">
        <f>SUMIFS(ТГ_ИД!$E:$E,ТГ_ИД!$B:$B,ТГ!$G$4,ТГ_ИД!$D:$D,ТГ!$A643)</f>
        <v>0</v>
      </c>
      <c r="M642" s="130">
        <f>SUMIFS(ТГ_ИД!$E:$E,ТГ_ИД!$B:$B,ТГ!$G$5,ТГ_ИД!$D:$D,ТГ!$A643)</f>
        <v>0</v>
      </c>
      <c r="N642" s="130">
        <f>SUMIFS(ТГ_ИД!$E:$E,ТГ_ИД!$B:$B,ТГ!$G$6,ТГ_ИД!$D:$D,ТГ!$A643)</f>
        <v>0</v>
      </c>
      <c r="O642" s="130">
        <f>SUMIFS(ТГ_ИД!$E:$E,ТГ_ИД!$B:$B,ТГ!$G$7,ТГ_ИД!$D:$D,ТГ!$A643)</f>
        <v>0</v>
      </c>
      <c r="P642" s="130">
        <f>SUMIFS(ТГ_ИД!$E:$E,ТГ_ИД!$B:$B,ТГ!$G$8,ТГ_ИД!$D:$D,ТГ!$A643)</f>
        <v>0</v>
      </c>
      <c r="Q642" s="130">
        <f>SUMIFS(ТГ_ИД!$E:$E,ТГ_ИД!$B:$B,ТГ!$G$9,ТГ_ИД!$D:$D,ТГ!$A643)</f>
        <v>0</v>
      </c>
      <c r="R642" s="130">
        <f>SUMIFS(ТГ_ИД!$E:$E,ТГ_ИД!$B:$B,ТГ!$G$10,ТГ_ИД!$D:$D,ТГ!$A643)</f>
        <v>0</v>
      </c>
      <c r="S642" s="130">
        <f>SUMIFS(ТГ_ИД!$E:$E,ТГ_ИД!$B:$B,ТГ!$G$11,ТГ_ИД!$D:$D,ТГ!$A643)</f>
        <v>0</v>
      </c>
      <c r="T642" s="130">
        <f>SUMIFS(ТГ_ИД!$E:$E,ТГ_ИД!$B:$B,ТГ!$G$12,ТГ_ИД!$D:$D,ТГ!$A643)</f>
        <v>0</v>
      </c>
      <c r="U642" s="130">
        <f>SUMIFS(ТГ_ИД!$E:$E,ТГ_ИД!$B:$B,ТГ!$G$13,ТГ_ИД!$D:$D,ТГ!$A643)</f>
        <v>0</v>
      </c>
      <c r="V642" s="130">
        <f>SUMIFS(ТГ_ИД!$E:$E,ТГ_ИД!$B:$B,ТГ!$G$14,ТГ_ИД!$D:$D,ТГ!$A643)</f>
        <v>0</v>
      </c>
    </row>
    <row r="643" spans="1:22" x14ac:dyDescent="0.25">
      <c r="A643" s="116" t="str">
        <f t="shared" si="10"/>
        <v/>
      </c>
      <c r="K643" s="130">
        <f>SUMIFS(ТГ_ИД!$E:$E,ТГ_ИД!$B:$B,ТГ!$G$3,ТГ_ИД!$D:$D,ТГ!$A644)</f>
        <v>0</v>
      </c>
      <c r="L643" s="130">
        <f>SUMIFS(ТГ_ИД!$E:$E,ТГ_ИД!$B:$B,ТГ!$G$4,ТГ_ИД!$D:$D,ТГ!$A644)</f>
        <v>0</v>
      </c>
      <c r="M643" s="130">
        <f>SUMIFS(ТГ_ИД!$E:$E,ТГ_ИД!$B:$B,ТГ!$G$5,ТГ_ИД!$D:$D,ТГ!$A644)</f>
        <v>0</v>
      </c>
      <c r="N643" s="130">
        <f>SUMIFS(ТГ_ИД!$E:$E,ТГ_ИД!$B:$B,ТГ!$G$6,ТГ_ИД!$D:$D,ТГ!$A644)</f>
        <v>0</v>
      </c>
      <c r="O643" s="130">
        <f>SUMIFS(ТГ_ИД!$E:$E,ТГ_ИД!$B:$B,ТГ!$G$7,ТГ_ИД!$D:$D,ТГ!$A644)</f>
        <v>0</v>
      </c>
      <c r="P643" s="130">
        <f>SUMIFS(ТГ_ИД!$E:$E,ТГ_ИД!$B:$B,ТГ!$G$8,ТГ_ИД!$D:$D,ТГ!$A644)</f>
        <v>0</v>
      </c>
      <c r="Q643" s="130">
        <f>SUMIFS(ТГ_ИД!$E:$E,ТГ_ИД!$B:$B,ТГ!$G$9,ТГ_ИД!$D:$D,ТГ!$A644)</f>
        <v>0</v>
      </c>
      <c r="R643" s="130">
        <f>SUMIFS(ТГ_ИД!$E:$E,ТГ_ИД!$B:$B,ТГ!$G$10,ТГ_ИД!$D:$D,ТГ!$A644)</f>
        <v>0</v>
      </c>
      <c r="S643" s="130">
        <f>SUMIFS(ТГ_ИД!$E:$E,ТГ_ИД!$B:$B,ТГ!$G$11,ТГ_ИД!$D:$D,ТГ!$A644)</f>
        <v>0</v>
      </c>
      <c r="T643" s="130">
        <f>SUMIFS(ТГ_ИД!$E:$E,ТГ_ИД!$B:$B,ТГ!$G$12,ТГ_ИД!$D:$D,ТГ!$A644)</f>
        <v>0</v>
      </c>
      <c r="U643" s="130">
        <f>SUMIFS(ТГ_ИД!$E:$E,ТГ_ИД!$B:$B,ТГ!$G$13,ТГ_ИД!$D:$D,ТГ!$A644)</f>
        <v>0</v>
      </c>
      <c r="V643" s="130">
        <f>SUMIFS(ТГ_ИД!$E:$E,ТГ_ИД!$B:$B,ТГ!$G$14,ТГ_ИД!$D:$D,ТГ!$A644)</f>
        <v>0</v>
      </c>
    </row>
    <row r="644" spans="1:22" x14ac:dyDescent="0.25">
      <c r="A644" s="116" t="str">
        <f t="shared" si="10"/>
        <v/>
      </c>
      <c r="K644" s="130">
        <f>SUMIFS(ТГ_ИД!$E:$E,ТГ_ИД!$B:$B,ТГ!$G$3,ТГ_ИД!$D:$D,ТГ!$A645)</f>
        <v>0</v>
      </c>
      <c r="L644" s="130">
        <f>SUMIFS(ТГ_ИД!$E:$E,ТГ_ИД!$B:$B,ТГ!$G$4,ТГ_ИД!$D:$D,ТГ!$A645)</f>
        <v>0</v>
      </c>
      <c r="M644" s="130">
        <f>SUMIFS(ТГ_ИД!$E:$E,ТГ_ИД!$B:$B,ТГ!$G$5,ТГ_ИД!$D:$D,ТГ!$A645)</f>
        <v>0</v>
      </c>
      <c r="N644" s="130">
        <f>SUMIFS(ТГ_ИД!$E:$E,ТГ_ИД!$B:$B,ТГ!$G$6,ТГ_ИД!$D:$D,ТГ!$A645)</f>
        <v>0</v>
      </c>
      <c r="O644" s="130">
        <f>SUMIFS(ТГ_ИД!$E:$E,ТГ_ИД!$B:$B,ТГ!$G$7,ТГ_ИД!$D:$D,ТГ!$A645)</f>
        <v>0</v>
      </c>
      <c r="P644" s="130">
        <f>SUMIFS(ТГ_ИД!$E:$E,ТГ_ИД!$B:$B,ТГ!$G$8,ТГ_ИД!$D:$D,ТГ!$A645)</f>
        <v>0</v>
      </c>
      <c r="Q644" s="130">
        <f>SUMIFS(ТГ_ИД!$E:$E,ТГ_ИД!$B:$B,ТГ!$G$9,ТГ_ИД!$D:$D,ТГ!$A645)</f>
        <v>0</v>
      </c>
      <c r="R644" s="130">
        <f>SUMIFS(ТГ_ИД!$E:$E,ТГ_ИД!$B:$B,ТГ!$G$10,ТГ_ИД!$D:$D,ТГ!$A645)</f>
        <v>0</v>
      </c>
      <c r="S644" s="130">
        <f>SUMIFS(ТГ_ИД!$E:$E,ТГ_ИД!$B:$B,ТГ!$G$11,ТГ_ИД!$D:$D,ТГ!$A645)</f>
        <v>0</v>
      </c>
      <c r="T644" s="130">
        <f>SUMIFS(ТГ_ИД!$E:$E,ТГ_ИД!$B:$B,ТГ!$G$12,ТГ_ИД!$D:$D,ТГ!$A645)</f>
        <v>0</v>
      </c>
      <c r="U644" s="130">
        <f>SUMIFS(ТГ_ИД!$E:$E,ТГ_ИД!$B:$B,ТГ!$G$13,ТГ_ИД!$D:$D,ТГ!$A645)</f>
        <v>0</v>
      </c>
      <c r="V644" s="130">
        <f>SUMIFS(ТГ_ИД!$E:$E,ТГ_ИД!$B:$B,ТГ!$G$14,ТГ_ИД!$D:$D,ТГ!$A645)</f>
        <v>0</v>
      </c>
    </row>
    <row r="645" spans="1:22" x14ac:dyDescent="0.25">
      <c r="A645" s="116" t="str">
        <f t="shared" ref="A645:A708" si="11">IF(B645="","",TEXT(B645,"00000"))</f>
        <v/>
      </c>
      <c r="K645" s="130">
        <f>SUMIFS(ТГ_ИД!$E:$E,ТГ_ИД!$B:$B,ТГ!$G$3,ТГ_ИД!$D:$D,ТГ!$A646)</f>
        <v>0</v>
      </c>
      <c r="L645" s="130">
        <f>SUMIFS(ТГ_ИД!$E:$E,ТГ_ИД!$B:$B,ТГ!$G$4,ТГ_ИД!$D:$D,ТГ!$A646)</f>
        <v>0</v>
      </c>
      <c r="M645" s="130">
        <f>SUMIFS(ТГ_ИД!$E:$E,ТГ_ИД!$B:$B,ТГ!$G$5,ТГ_ИД!$D:$D,ТГ!$A646)</f>
        <v>0</v>
      </c>
      <c r="N645" s="130">
        <f>SUMIFS(ТГ_ИД!$E:$E,ТГ_ИД!$B:$B,ТГ!$G$6,ТГ_ИД!$D:$D,ТГ!$A646)</f>
        <v>0</v>
      </c>
      <c r="O645" s="130">
        <f>SUMIFS(ТГ_ИД!$E:$E,ТГ_ИД!$B:$B,ТГ!$G$7,ТГ_ИД!$D:$D,ТГ!$A646)</f>
        <v>0</v>
      </c>
      <c r="P645" s="130">
        <f>SUMIFS(ТГ_ИД!$E:$E,ТГ_ИД!$B:$B,ТГ!$G$8,ТГ_ИД!$D:$D,ТГ!$A646)</f>
        <v>0</v>
      </c>
      <c r="Q645" s="130">
        <f>SUMIFS(ТГ_ИД!$E:$E,ТГ_ИД!$B:$B,ТГ!$G$9,ТГ_ИД!$D:$D,ТГ!$A646)</f>
        <v>0</v>
      </c>
      <c r="R645" s="130">
        <f>SUMIFS(ТГ_ИД!$E:$E,ТГ_ИД!$B:$B,ТГ!$G$10,ТГ_ИД!$D:$D,ТГ!$A646)</f>
        <v>0</v>
      </c>
      <c r="S645" s="130">
        <f>SUMIFS(ТГ_ИД!$E:$E,ТГ_ИД!$B:$B,ТГ!$G$11,ТГ_ИД!$D:$D,ТГ!$A646)</f>
        <v>0</v>
      </c>
      <c r="T645" s="130">
        <f>SUMIFS(ТГ_ИД!$E:$E,ТГ_ИД!$B:$B,ТГ!$G$12,ТГ_ИД!$D:$D,ТГ!$A646)</f>
        <v>0</v>
      </c>
      <c r="U645" s="130">
        <f>SUMIFS(ТГ_ИД!$E:$E,ТГ_ИД!$B:$B,ТГ!$G$13,ТГ_ИД!$D:$D,ТГ!$A646)</f>
        <v>0</v>
      </c>
      <c r="V645" s="130">
        <f>SUMIFS(ТГ_ИД!$E:$E,ТГ_ИД!$B:$B,ТГ!$G$14,ТГ_ИД!$D:$D,ТГ!$A646)</f>
        <v>0</v>
      </c>
    </row>
    <row r="646" spans="1:22" x14ac:dyDescent="0.25">
      <c r="A646" s="116" t="str">
        <f t="shared" si="11"/>
        <v/>
      </c>
      <c r="K646" s="130">
        <f>SUMIFS(ТГ_ИД!$E:$E,ТГ_ИД!$B:$B,ТГ!$G$3,ТГ_ИД!$D:$D,ТГ!$A647)</f>
        <v>0</v>
      </c>
      <c r="L646" s="130">
        <f>SUMIFS(ТГ_ИД!$E:$E,ТГ_ИД!$B:$B,ТГ!$G$4,ТГ_ИД!$D:$D,ТГ!$A647)</f>
        <v>0</v>
      </c>
      <c r="M646" s="130">
        <f>SUMIFS(ТГ_ИД!$E:$E,ТГ_ИД!$B:$B,ТГ!$G$5,ТГ_ИД!$D:$D,ТГ!$A647)</f>
        <v>0</v>
      </c>
      <c r="N646" s="130">
        <f>SUMIFS(ТГ_ИД!$E:$E,ТГ_ИД!$B:$B,ТГ!$G$6,ТГ_ИД!$D:$D,ТГ!$A647)</f>
        <v>0</v>
      </c>
      <c r="O646" s="130">
        <f>SUMIFS(ТГ_ИД!$E:$E,ТГ_ИД!$B:$B,ТГ!$G$7,ТГ_ИД!$D:$D,ТГ!$A647)</f>
        <v>0</v>
      </c>
      <c r="P646" s="130">
        <f>SUMIFS(ТГ_ИД!$E:$E,ТГ_ИД!$B:$B,ТГ!$G$8,ТГ_ИД!$D:$D,ТГ!$A647)</f>
        <v>0</v>
      </c>
      <c r="Q646" s="130">
        <f>SUMIFS(ТГ_ИД!$E:$E,ТГ_ИД!$B:$B,ТГ!$G$9,ТГ_ИД!$D:$D,ТГ!$A647)</f>
        <v>0</v>
      </c>
      <c r="R646" s="130">
        <f>SUMIFS(ТГ_ИД!$E:$E,ТГ_ИД!$B:$B,ТГ!$G$10,ТГ_ИД!$D:$D,ТГ!$A647)</f>
        <v>0</v>
      </c>
      <c r="S646" s="130">
        <f>SUMIFS(ТГ_ИД!$E:$E,ТГ_ИД!$B:$B,ТГ!$G$11,ТГ_ИД!$D:$D,ТГ!$A647)</f>
        <v>0</v>
      </c>
      <c r="T646" s="130">
        <f>SUMIFS(ТГ_ИД!$E:$E,ТГ_ИД!$B:$B,ТГ!$G$12,ТГ_ИД!$D:$D,ТГ!$A647)</f>
        <v>0</v>
      </c>
      <c r="U646" s="130">
        <f>SUMIFS(ТГ_ИД!$E:$E,ТГ_ИД!$B:$B,ТГ!$G$13,ТГ_ИД!$D:$D,ТГ!$A647)</f>
        <v>0</v>
      </c>
      <c r="V646" s="130">
        <f>SUMIFS(ТГ_ИД!$E:$E,ТГ_ИД!$B:$B,ТГ!$G$14,ТГ_ИД!$D:$D,ТГ!$A647)</f>
        <v>0</v>
      </c>
    </row>
    <row r="647" spans="1:22" x14ac:dyDescent="0.25">
      <c r="A647" s="116" t="str">
        <f t="shared" si="11"/>
        <v/>
      </c>
      <c r="K647" s="130">
        <f>SUMIFS(ТГ_ИД!$E:$E,ТГ_ИД!$B:$B,ТГ!$G$3,ТГ_ИД!$D:$D,ТГ!$A648)</f>
        <v>0</v>
      </c>
      <c r="L647" s="130">
        <f>SUMIFS(ТГ_ИД!$E:$E,ТГ_ИД!$B:$B,ТГ!$G$4,ТГ_ИД!$D:$D,ТГ!$A648)</f>
        <v>0</v>
      </c>
      <c r="M647" s="130">
        <f>SUMIFS(ТГ_ИД!$E:$E,ТГ_ИД!$B:$B,ТГ!$G$5,ТГ_ИД!$D:$D,ТГ!$A648)</f>
        <v>0</v>
      </c>
      <c r="N647" s="130">
        <f>SUMIFS(ТГ_ИД!$E:$E,ТГ_ИД!$B:$B,ТГ!$G$6,ТГ_ИД!$D:$D,ТГ!$A648)</f>
        <v>0</v>
      </c>
      <c r="O647" s="130">
        <f>SUMIFS(ТГ_ИД!$E:$E,ТГ_ИД!$B:$B,ТГ!$G$7,ТГ_ИД!$D:$D,ТГ!$A648)</f>
        <v>0</v>
      </c>
      <c r="P647" s="130">
        <f>SUMIFS(ТГ_ИД!$E:$E,ТГ_ИД!$B:$B,ТГ!$G$8,ТГ_ИД!$D:$D,ТГ!$A648)</f>
        <v>0</v>
      </c>
      <c r="Q647" s="130">
        <f>SUMIFS(ТГ_ИД!$E:$E,ТГ_ИД!$B:$B,ТГ!$G$9,ТГ_ИД!$D:$D,ТГ!$A648)</f>
        <v>0</v>
      </c>
      <c r="R647" s="130">
        <f>SUMIFS(ТГ_ИД!$E:$E,ТГ_ИД!$B:$B,ТГ!$G$10,ТГ_ИД!$D:$D,ТГ!$A648)</f>
        <v>0</v>
      </c>
      <c r="S647" s="130">
        <f>SUMIFS(ТГ_ИД!$E:$E,ТГ_ИД!$B:$B,ТГ!$G$11,ТГ_ИД!$D:$D,ТГ!$A648)</f>
        <v>0</v>
      </c>
      <c r="T647" s="130">
        <f>SUMIFS(ТГ_ИД!$E:$E,ТГ_ИД!$B:$B,ТГ!$G$12,ТГ_ИД!$D:$D,ТГ!$A648)</f>
        <v>0</v>
      </c>
      <c r="U647" s="130">
        <f>SUMIFS(ТГ_ИД!$E:$E,ТГ_ИД!$B:$B,ТГ!$G$13,ТГ_ИД!$D:$D,ТГ!$A648)</f>
        <v>0</v>
      </c>
      <c r="V647" s="130">
        <f>SUMIFS(ТГ_ИД!$E:$E,ТГ_ИД!$B:$B,ТГ!$G$14,ТГ_ИД!$D:$D,ТГ!$A648)</f>
        <v>0</v>
      </c>
    </row>
    <row r="648" spans="1:22" x14ac:dyDescent="0.25">
      <c r="A648" s="116" t="str">
        <f t="shared" si="11"/>
        <v/>
      </c>
      <c r="K648" s="130">
        <f>SUMIFS(ТГ_ИД!$E:$E,ТГ_ИД!$B:$B,ТГ!$G$3,ТГ_ИД!$D:$D,ТГ!$A649)</f>
        <v>0</v>
      </c>
      <c r="L648" s="130">
        <f>SUMIFS(ТГ_ИД!$E:$E,ТГ_ИД!$B:$B,ТГ!$G$4,ТГ_ИД!$D:$D,ТГ!$A649)</f>
        <v>0</v>
      </c>
      <c r="M648" s="130">
        <f>SUMIFS(ТГ_ИД!$E:$E,ТГ_ИД!$B:$B,ТГ!$G$5,ТГ_ИД!$D:$D,ТГ!$A649)</f>
        <v>0</v>
      </c>
      <c r="N648" s="130">
        <f>SUMIFS(ТГ_ИД!$E:$E,ТГ_ИД!$B:$B,ТГ!$G$6,ТГ_ИД!$D:$D,ТГ!$A649)</f>
        <v>0</v>
      </c>
      <c r="O648" s="130">
        <f>SUMIFS(ТГ_ИД!$E:$E,ТГ_ИД!$B:$B,ТГ!$G$7,ТГ_ИД!$D:$D,ТГ!$A649)</f>
        <v>0</v>
      </c>
      <c r="P648" s="130">
        <f>SUMIFS(ТГ_ИД!$E:$E,ТГ_ИД!$B:$B,ТГ!$G$8,ТГ_ИД!$D:$D,ТГ!$A649)</f>
        <v>0</v>
      </c>
      <c r="Q648" s="130">
        <f>SUMIFS(ТГ_ИД!$E:$E,ТГ_ИД!$B:$B,ТГ!$G$9,ТГ_ИД!$D:$D,ТГ!$A649)</f>
        <v>0</v>
      </c>
      <c r="R648" s="130">
        <f>SUMIFS(ТГ_ИД!$E:$E,ТГ_ИД!$B:$B,ТГ!$G$10,ТГ_ИД!$D:$D,ТГ!$A649)</f>
        <v>0</v>
      </c>
      <c r="S648" s="130">
        <f>SUMIFS(ТГ_ИД!$E:$E,ТГ_ИД!$B:$B,ТГ!$G$11,ТГ_ИД!$D:$D,ТГ!$A649)</f>
        <v>0</v>
      </c>
      <c r="T648" s="130">
        <f>SUMIFS(ТГ_ИД!$E:$E,ТГ_ИД!$B:$B,ТГ!$G$12,ТГ_ИД!$D:$D,ТГ!$A649)</f>
        <v>0</v>
      </c>
      <c r="U648" s="130">
        <f>SUMIFS(ТГ_ИД!$E:$E,ТГ_ИД!$B:$B,ТГ!$G$13,ТГ_ИД!$D:$D,ТГ!$A649)</f>
        <v>0</v>
      </c>
      <c r="V648" s="130">
        <f>SUMIFS(ТГ_ИД!$E:$E,ТГ_ИД!$B:$B,ТГ!$G$14,ТГ_ИД!$D:$D,ТГ!$A649)</f>
        <v>0</v>
      </c>
    </row>
    <row r="649" spans="1:22" x14ac:dyDescent="0.25">
      <c r="A649" s="116" t="str">
        <f t="shared" si="11"/>
        <v/>
      </c>
      <c r="K649" s="130">
        <f>SUMIFS(ТГ_ИД!$E:$E,ТГ_ИД!$B:$B,ТГ!$G$3,ТГ_ИД!$D:$D,ТГ!$A650)</f>
        <v>0</v>
      </c>
      <c r="L649" s="130">
        <f>SUMIFS(ТГ_ИД!$E:$E,ТГ_ИД!$B:$B,ТГ!$G$4,ТГ_ИД!$D:$D,ТГ!$A650)</f>
        <v>0</v>
      </c>
      <c r="M649" s="130">
        <f>SUMIFS(ТГ_ИД!$E:$E,ТГ_ИД!$B:$B,ТГ!$G$5,ТГ_ИД!$D:$D,ТГ!$A650)</f>
        <v>0</v>
      </c>
      <c r="N649" s="130">
        <f>SUMIFS(ТГ_ИД!$E:$E,ТГ_ИД!$B:$B,ТГ!$G$6,ТГ_ИД!$D:$D,ТГ!$A650)</f>
        <v>0</v>
      </c>
      <c r="O649" s="130">
        <f>SUMIFS(ТГ_ИД!$E:$E,ТГ_ИД!$B:$B,ТГ!$G$7,ТГ_ИД!$D:$D,ТГ!$A650)</f>
        <v>0</v>
      </c>
      <c r="P649" s="130">
        <f>SUMIFS(ТГ_ИД!$E:$E,ТГ_ИД!$B:$B,ТГ!$G$8,ТГ_ИД!$D:$D,ТГ!$A650)</f>
        <v>0</v>
      </c>
      <c r="Q649" s="130">
        <f>SUMIFS(ТГ_ИД!$E:$E,ТГ_ИД!$B:$B,ТГ!$G$9,ТГ_ИД!$D:$D,ТГ!$A650)</f>
        <v>0</v>
      </c>
      <c r="R649" s="130">
        <f>SUMIFS(ТГ_ИД!$E:$E,ТГ_ИД!$B:$B,ТГ!$G$10,ТГ_ИД!$D:$D,ТГ!$A650)</f>
        <v>0</v>
      </c>
      <c r="S649" s="130">
        <f>SUMIFS(ТГ_ИД!$E:$E,ТГ_ИД!$B:$B,ТГ!$G$11,ТГ_ИД!$D:$D,ТГ!$A650)</f>
        <v>0</v>
      </c>
      <c r="T649" s="130">
        <f>SUMIFS(ТГ_ИД!$E:$E,ТГ_ИД!$B:$B,ТГ!$G$12,ТГ_ИД!$D:$D,ТГ!$A650)</f>
        <v>0</v>
      </c>
      <c r="U649" s="130">
        <f>SUMIFS(ТГ_ИД!$E:$E,ТГ_ИД!$B:$B,ТГ!$G$13,ТГ_ИД!$D:$D,ТГ!$A650)</f>
        <v>0</v>
      </c>
      <c r="V649" s="130">
        <f>SUMIFS(ТГ_ИД!$E:$E,ТГ_ИД!$B:$B,ТГ!$G$14,ТГ_ИД!$D:$D,ТГ!$A650)</f>
        <v>0</v>
      </c>
    </row>
    <row r="650" spans="1:22" x14ac:dyDescent="0.25">
      <c r="A650" s="116" t="str">
        <f t="shared" si="11"/>
        <v/>
      </c>
      <c r="K650" s="130">
        <f>SUMIFS(ТГ_ИД!$E:$E,ТГ_ИД!$B:$B,ТГ!$G$3,ТГ_ИД!$D:$D,ТГ!$A651)</f>
        <v>0</v>
      </c>
      <c r="L650" s="130">
        <f>SUMIFS(ТГ_ИД!$E:$E,ТГ_ИД!$B:$B,ТГ!$G$4,ТГ_ИД!$D:$D,ТГ!$A651)</f>
        <v>0</v>
      </c>
      <c r="M650" s="130">
        <f>SUMIFS(ТГ_ИД!$E:$E,ТГ_ИД!$B:$B,ТГ!$G$5,ТГ_ИД!$D:$D,ТГ!$A651)</f>
        <v>0</v>
      </c>
      <c r="N650" s="130">
        <f>SUMIFS(ТГ_ИД!$E:$E,ТГ_ИД!$B:$B,ТГ!$G$6,ТГ_ИД!$D:$D,ТГ!$A651)</f>
        <v>0</v>
      </c>
      <c r="O650" s="130">
        <f>SUMIFS(ТГ_ИД!$E:$E,ТГ_ИД!$B:$B,ТГ!$G$7,ТГ_ИД!$D:$D,ТГ!$A651)</f>
        <v>0</v>
      </c>
      <c r="P650" s="130">
        <f>SUMIFS(ТГ_ИД!$E:$E,ТГ_ИД!$B:$B,ТГ!$G$8,ТГ_ИД!$D:$D,ТГ!$A651)</f>
        <v>0</v>
      </c>
      <c r="Q650" s="130">
        <f>SUMIFS(ТГ_ИД!$E:$E,ТГ_ИД!$B:$B,ТГ!$G$9,ТГ_ИД!$D:$D,ТГ!$A651)</f>
        <v>0</v>
      </c>
      <c r="R650" s="130">
        <f>SUMIFS(ТГ_ИД!$E:$E,ТГ_ИД!$B:$B,ТГ!$G$10,ТГ_ИД!$D:$D,ТГ!$A651)</f>
        <v>0</v>
      </c>
      <c r="S650" s="130">
        <f>SUMIFS(ТГ_ИД!$E:$E,ТГ_ИД!$B:$B,ТГ!$G$11,ТГ_ИД!$D:$D,ТГ!$A651)</f>
        <v>0</v>
      </c>
      <c r="T650" s="130">
        <f>SUMIFS(ТГ_ИД!$E:$E,ТГ_ИД!$B:$B,ТГ!$G$12,ТГ_ИД!$D:$D,ТГ!$A651)</f>
        <v>0</v>
      </c>
      <c r="U650" s="130">
        <f>SUMIFS(ТГ_ИД!$E:$E,ТГ_ИД!$B:$B,ТГ!$G$13,ТГ_ИД!$D:$D,ТГ!$A651)</f>
        <v>0</v>
      </c>
      <c r="V650" s="130">
        <f>SUMIFS(ТГ_ИД!$E:$E,ТГ_ИД!$B:$B,ТГ!$G$14,ТГ_ИД!$D:$D,ТГ!$A651)</f>
        <v>0</v>
      </c>
    </row>
    <row r="651" spans="1:22" x14ac:dyDescent="0.25">
      <c r="A651" s="116" t="str">
        <f t="shared" si="11"/>
        <v/>
      </c>
      <c r="K651" s="130">
        <f>SUMIFS(ТГ_ИД!$E:$E,ТГ_ИД!$B:$B,ТГ!$G$3,ТГ_ИД!$D:$D,ТГ!$A652)</f>
        <v>0</v>
      </c>
      <c r="L651" s="130">
        <f>SUMIFS(ТГ_ИД!$E:$E,ТГ_ИД!$B:$B,ТГ!$G$4,ТГ_ИД!$D:$D,ТГ!$A652)</f>
        <v>0</v>
      </c>
      <c r="M651" s="130">
        <f>SUMIFS(ТГ_ИД!$E:$E,ТГ_ИД!$B:$B,ТГ!$G$5,ТГ_ИД!$D:$D,ТГ!$A652)</f>
        <v>0</v>
      </c>
      <c r="N651" s="130">
        <f>SUMIFS(ТГ_ИД!$E:$E,ТГ_ИД!$B:$B,ТГ!$G$6,ТГ_ИД!$D:$D,ТГ!$A652)</f>
        <v>0</v>
      </c>
      <c r="O651" s="130">
        <f>SUMIFS(ТГ_ИД!$E:$E,ТГ_ИД!$B:$B,ТГ!$G$7,ТГ_ИД!$D:$D,ТГ!$A652)</f>
        <v>0</v>
      </c>
      <c r="P651" s="130">
        <f>SUMIFS(ТГ_ИД!$E:$E,ТГ_ИД!$B:$B,ТГ!$G$8,ТГ_ИД!$D:$D,ТГ!$A652)</f>
        <v>0</v>
      </c>
      <c r="Q651" s="130">
        <f>SUMIFS(ТГ_ИД!$E:$E,ТГ_ИД!$B:$B,ТГ!$G$9,ТГ_ИД!$D:$D,ТГ!$A652)</f>
        <v>0</v>
      </c>
      <c r="R651" s="130">
        <f>SUMIFS(ТГ_ИД!$E:$E,ТГ_ИД!$B:$B,ТГ!$G$10,ТГ_ИД!$D:$D,ТГ!$A652)</f>
        <v>0</v>
      </c>
      <c r="S651" s="130">
        <f>SUMIFS(ТГ_ИД!$E:$E,ТГ_ИД!$B:$B,ТГ!$G$11,ТГ_ИД!$D:$D,ТГ!$A652)</f>
        <v>0</v>
      </c>
      <c r="T651" s="130">
        <f>SUMIFS(ТГ_ИД!$E:$E,ТГ_ИД!$B:$B,ТГ!$G$12,ТГ_ИД!$D:$D,ТГ!$A652)</f>
        <v>0</v>
      </c>
      <c r="U651" s="130">
        <f>SUMIFS(ТГ_ИД!$E:$E,ТГ_ИД!$B:$B,ТГ!$G$13,ТГ_ИД!$D:$D,ТГ!$A652)</f>
        <v>0</v>
      </c>
      <c r="V651" s="130">
        <f>SUMIFS(ТГ_ИД!$E:$E,ТГ_ИД!$B:$B,ТГ!$G$14,ТГ_ИД!$D:$D,ТГ!$A652)</f>
        <v>0</v>
      </c>
    </row>
    <row r="652" spans="1:22" x14ac:dyDescent="0.25">
      <c r="A652" s="116" t="str">
        <f t="shared" si="11"/>
        <v/>
      </c>
      <c r="K652" s="130">
        <f>SUMIFS(ТГ_ИД!$E:$E,ТГ_ИД!$B:$B,ТГ!$G$3,ТГ_ИД!$D:$D,ТГ!$A653)</f>
        <v>0</v>
      </c>
      <c r="L652" s="130">
        <f>SUMIFS(ТГ_ИД!$E:$E,ТГ_ИД!$B:$B,ТГ!$G$4,ТГ_ИД!$D:$D,ТГ!$A653)</f>
        <v>0</v>
      </c>
      <c r="M652" s="130">
        <f>SUMIFS(ТГ_ИД!$E:$E,ТГ_ИД!$B:$B,ТГ!$G$5,ТГ_ИД!$D:$D,ТГ!$A653)</f>
        <v>0</v>
      </c>
      <c r="N652" s="130">
        <f>SUMIFS(ТГ_ИД!$E:$E,ТГ_ИД!$B:$B,ТГ!$G$6,ТГ_ИД!$D:$D,ТГ!$A653)</f>
        <v>0</v>
      </c>
      <c r="O652" s="130">
        <f>SUMIFS(ТГ_ИД!$E:$E,ТГ_ИД!$B:$B,ТГ!$G$7,ТГ_ИД!$D:$D,ТГ!$A653)</f>
        <v>0</v>
      </c>
      <c r="P652" s="130">
        <f>SUMIFS(ТГ_ИД!$E:$E,ТГ_ИД!$B:$B,ТГ!$G$8,ТГ_ИД!$D:$D,ТГ!$A653)</f>
        <v>0</v>
      </c>
      <c r="Q652" s="130">
        <f>SUMIFS(ТГ_ИД!$E:$E,ТГ_ИД!$B:$B,ТГ!$G$9,ТГ_ИД!$D:$D,ТГ!$A653)</f>
        <v>0</v>
      </c>
      <c r="R652" s="130">
        <f>SUMIFS(ТГ_ИД!$E:$E,ТГ_ИД!$B:$B,ТГ!$G$10,ТГ_ИД!$D:$D,ТГ!$A653)</f>
        <v>0</v>
      </c>
      <c r="S652" s="130">
        <f>SUMIFS(ТГ_ИД!$E:$E,ТГ_ИД!$B:$B,ТГ!$G$11,ТГ_ИД!$D:$D,ТГ!$A653)</f>
        <v>0</v>
      </c>
      <c r="T652" s="130">
        <f>SUMIFS(ТГ_ИД!$E:$E,ТГ_ИД!$B:$B,ТГ!$G$12,ТГ_ИД!$D:$D,ТГ!$A653)</f>
        <v>0</v>
      </c>
      <c r="U652" s="130">
        <f>SUMIFS(ТГ_ИД!$E:$E,ТГ_ИД!$B:$B,ТГ!$G$13,ТГ_ИД!$D:$D,ТГ!$A653)</f>
        <v>0</v>
      </c>
      <c r="V652" s="130">
        <f>SUMIFS(ТГ_ИД!$E:$E,ТГ_ИД!$B:$B,ТГ!$G$14,ТГ_ИД!$D:$D,ТГ!$A653)</f>
        <v>0</v>
      </c>
    </row>
    <row r="653" spans="1:22" x14ac:dyDescent="0.25">
      <c r="A653" s="116" t="str">
        <f t="shared" si="11"/>
        <v/>
      </c>
      <c r="K653" s="130">
        <f>SUMIFS(ТГ_ИД!$E:$E,ТГ_ИД!$B:$B,ТГ!$G$3,ТГ_ИД!$D:$D,ТГ!$A654)</f>
        <v>0</v>
      </c>
      <c r="L653" s="130">
        <f>SUMIFS(ТГ_ИД!$E:$E,ТГ_ИД!$B:$B,ТГ!$G$4,ТГ_ИД!$D:$D,ТГ!$A654)</f>
        <v>0</v>
      </c>
      <c r="M653" s="130">
        <f>SUMIFS(ТГ_ИД!$E:$E,ТГ_ИД!$B:$B,ТГ!$G$5,ТГ_ИД!$D:$D,ТГ!$A654)</f>
        <v>0</v>
      </c>
      <c r="N653" s="130">
        <f>SUMIFS(ТГ_ИД!$E:$E,ТГ_ИД!$B:$B,ТГ!$G$6,ТГ_ИД!$D:$D,ТГ!$A654)</f>
        <v>0</v>
      </c>
      <c r="O653" s="130">
        <f>SUMIFS(ТГ_ИД!$E:$E,ТГ_ИД!$B:$B,ТГ!$G$7,ТГ_ИД!$D:$D,ТГ!$A654)</f>
        <v>0</v>
      </c>
      <c r="P653" s="130">
        <f>SUMIFS(ТГ_ИД!$E:$E,ТГ_ИД!$B:$B,ТГ!$G$8,ТГ_ИД!$D:$D,ТГ!$A654)</f>
        <v>0</v>
      </c>
      <c r="Q653" s="130">
        <f>SUMIFS(ТГ_ИД!$E:$E,ТГ_ИД!$B:$B,ТГ!$G$9,ТГ_ИД!$D:$D,ТГ!$A654)</f>
        <v>0</v>
      </c>
      <c r="R653" s="130">
        <f>SUMIFS(ТГ_ИД!$E:$E,ТГ_ИД!$B:$B,ТГ!$G$10,ТГ_ИД!$D:$D,ТГ!$A654)</f>
        <v>0</v>
      </c>
      <c r="S653" s="130">
        <f>SUMIFS(ТГ_ИД!$E:$E,ТГ_ИД!$B:$B,ТГ!$G$11,ТГ_ИД!$D:$D,ТГ!$A654)</f>
        <v>0</v>
      </c>
      <c r="T653" s="130">
        <f>SUMIFS(ТГ_ИД!$E:$E,ТГ_ИД!$B:$B,ТГ!$G$12,ТГ_ИД!$D:$D,ТГ!$A654)</f>
        <v>0</v>
      </c>
      <c r="U653" s="130">
        <f>SUMIFS(ТГ_ИД!$E:$E,ТГ_ИД!$B:$B,ТГ!$G$13,ТГ_ИД!$D:$D,ТГ!$A654)</f>
        <v>0</v>
      </c>
      <c r="V653" s="130">
        <f>SUMIFS(ТГ_ИД!$E:$E,ТГ_ИД!$B:$B,ТГ!$G$14,ТГ_ИД!$D:$D,ТГ!$A654)</f>
        <v>0</v>
      </c>
    </row>
    <row r="654" spans="1:22" x14ac:dyDescent="0.25">
      <c r="A654" s="116" t="str">
        <f t="shared" si="11"/>
        <v/>
      </c>
      <c r="K654" s="130">
        <f>SUMIFS(ТГ_ИД!$E:$E,ТГ_ИД!$B:$B,ТГ!$G$3,ТГ_ИД!$D:$D,ТГ!$A655)</f>
        <v>0</v>
      </c>
      <c r="L654" s="130">
        <f>SUMIFS(ТГ_ИД!$E:$E,ТГ_ИД!$B:$B,ТГ!$G$4,ТГ_ИД!$D:$D,ТГ!$A655)</f>
        <v>0</v>
      </c>
      <c r="M654" s="130">
        <f>SUMIFS(ТГ_ИД!$E:$E,ТГ_ИД!$B:$B,ТГ!$G$5,ТГ_ИД!$D:$D,ТГ!$A655)</f>
        <v>0</v>
      </c>
      <c r="N654" s="130">
        <f>SUMIFS(ТГ_ИД!$E:$E,ТГ_ИД!$B:$B,ТГ!$G$6,ТГ_ИД!$D:$D,ТГ!$A655)</f>
        <v>0</v>
      </c>
      <c r="O654" s="130">
        <f>SUMIFS(ТГ_ИД!$E:$E,ТГ_ИД!$B:$B,ТГ!$G$7,ТГ_ИД!$D:$D,ТГ!$A655)</f>
        <v>0</v>
      </c>
      <c r="P654" s="130">
        <f>SUMIFS(ТГ_ИД!$E:$E,ТГ_ИД!$B:$B,ТГ!$G$8,ТГ_ИД!$D:$D,ТГ!$A655)</f>
        <v>0</v>
      </c>
      <c r="Q654" s="130">
        <f>SUMIFS(ТГ_ИД!$E:$E,ТГ_ИД!$B:$B,ТГ!$G$9,ТГ_ИД!$D:$D,ТГ!$A655)</f>
        <v>0</v>
      </c>
      <c r="R654" s="130">
        <f>SUMIFS(ТГ_ИД!$E:$E,ТГ_ИД!$B:$B,ТГ!$G$10,ТГ_ИД!$D:$D,ТГ!$A655)</f>
        <v>0</v>
      </c>
      <c r="S654" s="130">
        <f>SUMIFS(ТГ_ИД!$E:$E,ТГ_ИД!$B:$B,ТГ!$G$11,ТГ_ИД!$D:$D,ТГ!$A655)</f>
        <v>0</v>
      </c>
      <c r="T654" s="130">
        <f>SUMIFS(ТГ_ИД!$E:$E,ТГ_ИД!$B:$B,ТГ!$G$12,ТГ_ИД!$D:$D,ТГ!$A655)</f>
        <v>0</v>
      </c>
      <c r="U654" s="130">
        <f>SUMIFS(ТГ_ИД!$E:$E,ТГ_ИД!$B:$B,ТГ!$G$13,ТГ_ИД!$D:$D,ТГ!$A655)</f>
        <v>0</v>
      </c>
      <c r="V654" s="130">
        <f>SUMIFS(ТГ_ИД!$E:$E,ТГ_ИД!$B:$B,ТГ!$G$14,ТГ_ИД!$D:$D,ТГ!$A655)</f>
        <v>0</v>
      </c>
    </row>
    <row r="655" spans="1:22" x14ac:dyDescent="0.25">
      <c r="A655" s="116" t="str">
        <f t="shared" si="11"/>
        <v/>
      </c>
      <c r="K655" s="130">
        <f>SUMIFS(ТГ_ИД!$E:$E,ТГ_ИД!$B:$B,ТГ!$G$3,ТГ_ИД!$D:$D,ТГ!$A656)</f>
        <v>0</v>
      </c>
      <c r="L655" s="130">
        <f>SUMIFS(ТГ_ИД!$E:$E,ТГ_ИД!$B:$B,ТГ!$G$4,ТГ_ИД!$D:$D,ТГ!$A656)</f>
        <v>0</v>
      </c>
      <c r="M655" s="130">
        <f>SUMIFS(ТГ_ИД!$E:$E,ТГ_ИД!$B:$B,ТГ!$G$5,ТГ_ИД!$D:$D,ТГ!$A656)</f>
        <v>0</v>
      </c>
      <c r="N655" s="130">
        <f>SUMIFS(ТГ_ИД!$E:$E,ТГ_ИД!$B:$B,ТГ!$G$6,ТГ_ИД!$D:$D,ТГ!$A656)</f>
        <v>0</v>
      </c>
      <c r="O655" s="130">
        <f>SUMIFS(ТГ_ИД!$E:$E,ТГ_ИД!$B:$B,ТГ!$G$7,ТГ_ИД!$D:$D,ТГ!$A656)</f>
        <v>0</v>
      </c>
      <c r="P655" s="130">
        <f>SUMIFS(ТГ_ИД!$E:$E,ТГ_ИД!$B:$B,ТГ!$G$8,ТГ_ИД!$D:$D,ТГ!$A656)</f>
        <v>0</v>
      </c>
      <c r="Q655" s="130">
        <f>SUMIFS(ТГ_ИД!$E:$E,ТГ_ИД!$B:$B,ТГ!$G$9,ТГ_ИД!$D:$D,ТГ!$A656)</f>
        <v>0</v>
      </c>
      <c r="R655" s="130">
        <f>SUMIFS(ТГ_ИД!$E:$E,ТГ_ИД!$B:$B,ТГ!$G$10,ТГ_ИД!$D:$D,ТГ!$A656)</f>
        <v>0</v>
      </c>
      <c r="S655" s="130">
        <f>SUMIFS(ТГ_ИД!$E:$E,ТГ_ИД!$B:$B,ТГ!$G$11,ТГ_ИД!$D:$D,ТГ!$A656)</f>
        <v>0</v>
      </c>
      <c r="T655" s="130">
        <f>SUMIFS(ТГ_ИД!$E:$E,ТГ_ИД!$B:$B,ТГ!$G$12,ТГ_ИД!$D:$D,ТГ!$A656)</f>
        <v>0</v>
      </c>
      <c r="U655" s="130">
        <f>SUMIFS(ТГ_ИД!$E:$E,ТГ_ИД!$B:$B,ТГ!$G$13,ТГ_ИД!$D:$D,ТГ!$A656)</f>
        <v>0</v>
      </c>
      <c r="V655" s="130">
        <f>SUMIFS(ТГ_ИД!$E:$E,ТГ_ИД!$B:$B,ТГ!$G$14,ТГ_ИД!$D:$D,ТГ!$A656)</f>
        <v>0</v>
      </c>
    </row>
    <row r="656" spans="1:22" x14ac:dyDescent="0.25">
      <c r="A656" s="116" t="str">
        <f t="shared" si="11"/>
        <v/>
      </c>
      <c r="K656" s="130">
        <f>SUMIFS(ТГ_ИД!$E:$E,ТГ_ИД!$B:$B,ТГ!$G$3,ТГ_ИД!$D:$D,ТГ!$A657)</f>
        <v>0</v>
      </c>
      <c r="L656" s="130">
        <f>SUMIFS(ТГ_ИД!$E:$E,ТГ_ИД!$B:$B,ТГ!$G$4,ТГ_ИД!$D:$D,ТГ!$A657)</f>
        <v>0</v>
      </c>
      <c r="M656" s="130">
        <f>SUMIFS(ТГ_ИД!$E:$E,ТГ_ИД!$B:$B,ТГ!$G$5,ТГ_ИД!$D:$D,ТГ!$A657)</f>
        <v>0</v>
      </c>
      <c r="N656" s="130">
        <f>SUMIFS(ТГ_ИД!$E:$E,ТГ_ИД!$B:$B,ТГ!$G$6,ТГ_ИД!$D:$D,ТГ!$A657)</f>
        <v>0</v>
      </c>
      <c r="O656" s="130">
        <f>SUMIFS(ТГ_ИД!$E:$E,ТГ_ИД!$B:$B,ТГ!$G$7,ТГ_ИД!$D:$D,ТГ!$A657)</f>
        <v>0</v>
      </c>
      <c r="P656" s="130">
        <f>SUMIFS(ТГ_ИД!$E:$E,ТГ_ИД!$B:$B,ТГ!$G$8,ТГ_ИД!$D:$D,ТГ!$A657)</f>
        <v>0</v>
      </c>
      <c r="Q656" s="130">
        <f>SUMIFS(ТГ_ИД!$E:$E,ТГ_ИД!$B:$B,ТГ!$G$9,ТГ_ИД!$D:$D,ТГ!$A657)</f>
        <v>0</v>
      </c>
      <c r="R656" s="130">
        <f>SUMIFS(ТГ_ИД!$E:$E,ТГ_ИД!$B:$B,ТГ!$G$10,ТГ_ИД!$D:$D,ТГ!$A657)</f>
        <v>0</v>
      </c>
      <c r="S656" s="130">
        <f>SUMIFS(ТГ_ИД!$E:$E,ТГ_ИД!$B:$B,ТГ!$G$11,ТГ_ИД!$D:$D,ТГ!$A657)</f>
        <v>0</v>
      </c>
      <c r="T656" s="130">
        <f>SUMIFS(ТГ_ИД!$E:$E,ТГ_ИД!$B:$B,ТГ!$G$12,ТГ_ИД!$D:$D,ТГ!$A657)</f>
        <v>0</v>
      </c>
      <c r="U656" s="130">
        <f>SUMIFS(ТГ_ИД!$E:$E,ТГ_ИД!$B:$B,ТГ!$G$13,ТГ_ИД!$D:$D,ТГ!$A657)</f>
        <v>0</v>
      </c>
      <c r="V656" s="130">
        <f>SUMIFS(ТГ_ИД!$E:$E,ТГ_ИД!$B:$B,ТГ!$G$14,ТГ_ИД!$D:$D,ТГ!$A657)</f>
        <v>0</v>
      </c>
    </row>
    <row r="657" spans="1:22" x14ac:dyDescent="0.25">
      <c r="A657" s="116" t="str">
        <f t="shared" si="11"/>
        <v/>
      </c>
      <c r="K657" s="130">
        <f>SUMIFS(ТГ_ИД!$E:$E,ТГ_ИД!$B:$B,ТГ!$G$3,ТГ_ИД!$D:$D,ТГ!$A658)</f>
        <v>0</v>
      </c>
      <c r="L657" s="130">
        <f>SUMIFS(ТГ_ИД!$E:$E,ТГ_ИД!$B:$B,ТГ!$G$4,ТГ_ИД!$D:$D,ТГ!$A658)</f>
        <v>0</v>
      </c>
      <c r="M657" s="130">
        <f>SUMIFS(ТГ_ИД!$E:$E,ТГ_ИД!$B:$B,ТГ!$G$5,ТГ_ИД!$D:$D,ТГ!$A658)</f>
        <v>0</v>
      </c>
      <c r="N657" s="130">
        <f>SUMIFS(ТГ_ИД!$E:$E,ТГ_ИД!$B:$B,ТГ!$G$6,ТГ_ИД!$D:$D,ТГ!$A658)</f>
        <v>0</v>
      </c>
      <c r="O657" s="130">
        <f>SUMIFS(ТГ_ИД!$E:$E,ТГ_ИД!$B:$B,ТГ!$G$7,ТГ_ИД!$D:$D,ТГ!$A658)</f>
        <v>0</v>
      </c>
      <c r="P657" s="130">
        <f>SUMIFS(ТГ_ИД!$E:$E,ТГ_ИД!$B:$B,ТГ!$G$8,ТГ_ИД!$D:$D,ТГ!$A658)</f>
        <v>0</v>
      </c>
      <c r="Q657" s="130">
        <f>SUMIFS(ТГ_ИД!$E:$E,ТГ_ИД!$B:$B,ТГ!$G$9,ТГ_ИД!$D:$D,ТГ!$A658)</f>
        <v>0</v>
      </c>
      <c r="R657" s="130">
        <f>SUMIFS(ТГ_ИД!$E:$E,ТГ_ИД!$B:$B,ТГ!$G$10,ТГ_ИД!$D:$D,ТГ!$A658)</f>
        <v>0</v>
      </c>
      <c r="S657" s="130">
        <f>SUMIFS(ТГ_ИД!$E:$E,ТГ_ИД!$B:$B,ТГ!$G$11,ТГ_ИД!$D:$D,ТГ!$A658)</f>
        <v>0</v>
      </c>
      <c r="T657" s="130">
        <f>SUMIFS(ТГ_ИД!$E:$E,ТГ_ИД!$B:$B,ТГ!$G$12,ТГ_ИД!$D:$D,ТГ!$A658)</f>
        <v>0</v>
      </c>
      <c r="U657" s="130">
        <f>SUMIFS(ТГ_ИД!$E:$E,ТГ_ИД!$B:$B,ТГ!$G$13,ТГ_ИД!$D:$D,ТГ!$A658)</f>
        <v>0</v>
      </c>
      <c r="V657" s="130">
        <f>SUMIFS(ТГ_ИД!$E:$E,ТГ_ИД!$B:$B,ТГ!$G$14,ТГ_ИД!$D:$D,ТГ!$A658)</f>
        <v>0</v>
      </c>
    </row>
    <row r="658" spans="1:22" x14ac:dyDescent="0.25">
      <c r="A658" s="116" t="str">
        <f t="shared" si="11"/>
        <v/>
      </c>
      <c r="K658" s="130">
        <f>SUMIFS(ТГ_ИД!$E:$E,ТГ_ИД!$B:$B,ТГ!$G$3,ТГ_ИД!$D:$D,ТГ!$A659)</f>
        <v>0</v>
      </c>
      <c r="L658" s="130">
        <f>SUMIFS(ТГ_ИД!$E:$E,ТГ_ИД!$B:$B,ТГ!$G$4,ТГ_ИД!$D:$D,ТГ!$A659)</f>
        <v>0</v>
      </c>
      <c r="M658" s="130">
        <f>SUMIFS(ТГ_ИД!$E:$E,ТГ_ИД!$B:$B,ТГ!$G$5,ТГ_ИД!$D:$D,ТГ!$A659)</f>
        <v>0</v>
      </c>
      <c r="N658" s="130">
        <f>SUMIFS(ТГ_ИД!$E:$E,ТГ_ИД!$B:$B,ТГ!$G$6,ТГ_ИД!$D:$D,ТГ!$A659)</f>
        <v>0</v>
      </c>
      <c r="O658" s="130">
        <f>SUMIFS(ТГ_ИД!$E:$E,ТГ_ИД!$B:$B,ТГ!$G$7,ТГ_ИД!$D:$D,ТГ!$A659)</f>
        <v>0</v>
      </c>
      <c r="P658" s="130">
        <f>SUMIFS(ТГ_ИД!$E:$E,ТГ_ИД!$B:$B,ТГ!$G$8,ТГ_ИД!$D:$D,ТГ!$A659)</f>
        <v>0</v>
      </c>
      <c r="Q658" s="130">
        <f>SUMIFS(ТГ_ИД!$E:$E,ТГ_ИД!$B:$B,ТГ!$G$9,ТГ_ИД!$D:$D,ТГ!$A659)</f>
        <v>0</v>
      </c>
      <c r="R658" s="130">
        <f>SUMIFS(ТГ_ИД!$E:$E,ТГ_ИД!$B:$B,ТГ!$G$10,ТГ_ИД!$D:$D,ТГ!$A659)</f>
        <v>0</v>
      </c>
      <c r="S658" s="130">
        <f>SUMIFS(ТГ_ИД!$E:$E,ТГ_ИД!$B:$B,ТГ!$G$11,ТГ_ИД!$D:$D,ТГ!$A659)</f>
        <v>0</v>
      </c>
      <c r="T658" s="130">
        <f>SUMIFS(ТГ_ИД!$E:$E,ТГ_ИД!$B:$B,ТГ!$G$12,ТГ_ИД!$D:$D,ТГ!$A659)</f>
        <v>0</v>
      </c>
      <c r="U658" s="130">
        <f>SUMIFS(ТГ_ИД!$E:$E,ТГ_ИД!$B:$B,ТГ!$G$13,ТГ_ИД!$D:$D,ТГ!$A659)</f>
        <v>0</v>
      </c>
      <c r="V658" s="130">
        <f>SUMIFS(ТГ_ИД!$E:$E,ТГ_ИД!$B:$B,ТГ!$G$14,ТГ_ИД!$D:$D,ТГ!$A659)</f>
        <v>0</v>
      </c>
    </row>
    <row r="659" spans="1:22" x14ac:dyDescent="0.25">
      <c r="A659" s="116" t="str">
        <f t="shared" si="11"/>
        <v/>
      </c>
      <c r="K659" s="130">
        <f>SUMIFS(ТГ_ИД!$E:$E,ТГ_ИД!$B:$B,ТГ!$G$3,ТГ_ИД!$D:$D,ТГ!$A660)</f>
        <v>0</v>
      </c>
      <c r="L659" s="130">
        <f>SUMIFS(ТГ_ИД!$E:$E,ТГ_ИД!$B:$B,ТГ!$G$4,ТГ_ИД!$D:$D,ТГ!$A660)</f>
        <v>0</v>
      </c>
      <c r="M659" s="130">
        <f>SUMIFS(ТГ_ИД!$E:$E,ТГ_ИД!$B:$B,ТГ!$G$5,ТГ_ИД!$D:$D,ТГ!$A660)</f>
        <v>0</v>
      </c>
      <c r="N659" s="130">
        <f>SUMIFS(ТГ_ИД!$E:$E,ТГ_ИД!$B:$B,ТГ!$G$6,ТГ_ИД!$D:$D,ТГ!$A660)</f>
        <v>0</v>
      </c>
      <c r="O659" s="130">
        <f>SUMIFS(ТГ_ИД!$E:$E,ТГ_ИД!$B:$B,ТГ!$G$7,ТГ_ИД!$D:$D,ТГ!$A660)</f>
        <v>0</v>
      </c>
      <c r="P659" s="130">
        <f>SUMIFS(ТГ_ИД!$E:$E,ТГ_ИД!$B:$B,ТГ!$G$8,ТГ_ИД!$D:$D,ТГ!$A660)</f>
        <v>0</v>
      </c>
      <c r="Q659" s="130">
        <f>SUMIFS(ТГ_ИД!$E:$E,ТГ_ИД!$B:$B,ТГ!$G$9,ТГ_ИД!$D:$D,ТГ!$A660)</f>
        <v>0</v>
      </c>
      <c r="R659" s="130">
        <f>SUMIFS(ТГ_ИД!$E:$E,ТГ_ИД!$B:$B,ТГ!$G$10,ТГ_ИД!$D:$D,ТГ!$A660)</f>
        <v>0</v>
      </c>
      <c r="S659" s="130">
        <f>SUMIFS(ТГ_ИД!$E:$E,ТГ_ИД!$B:$B,ТГ!$G$11,ТГ_ИД!$D:$D,ТГ!$A660)</f>
        <v>0</v>
      </c>
      <c r="T659" s="130">
        <f>SUMIFS(ТГ_ИД!$E:$E,ТГ_ИД!$B:$B,ТГ!$G$12,ТГ_ИД!$D:$D,ТГ!$A660)</f>
        <v>0</v>
      </c>
      <c r="U659" s="130">
        <f>SUMIFS(ТГ_ИД!$E:$E,ТГ_ИД!$B:$B,ТГ!$G$13,ТГ_ИД!$D:$D,ТГ!$A660)</f>
        <v>0</v>
      </c>
      <c r="V659" s="130">
        <f>SUMIFS(ТГ_ИД!$E:$E,ТГ_ИД!$B:$B,ТГ!$G$14,ТГ_ИД!$D:$D,ТГ!$A660)</f>
        <v>0</v>
      </c>
    </row>
    <row r="660" spans="1:22" x14ac:dyDescent="0.25">
      <c r="A660" s="116" t="str">
        <f t="shared" si="11"/>
        <v/>
      </c>
      <c r="K660" s="130">
        <f>SUMIFS(ТГ_ИД!$E:$E,ТГ_ИД!$B:$B,ТГ!$G$3,ТГ_ИД!$D:$D,ТГ!$A661)</f>
        <v>0</v>
      </c>
      <c r="L660" s="130">
        <f>SUMIFS(ТГ_ИД!$E:$E,ТГ_ИД!$B:$B,ТГ!$G$4,ТГ_ИД!$D:$D,ТГ!$A661)</f>
        <v>0</v>
      </c>
      <c r="M660" s="130">
        <f>SUMIFS(ТГ_ИД!$E:$E,ТГ_ИД!$B:$B,ТГ!$G$5,ТГ_ИД!$D:$D,ТГ!$A661)</f>
        <v>0</v>
      </c>
      <c r="N660" s="130">
        <f>SUMIFS(ТГ_ИД!$E:$E,ТГ_ИД!$B:$B,ТГ!$G$6,ТГ_ИД!$D:$D,ТГ!$A661)</f>
        <v>0</v>
      </c>
      <c r="O660" s="130">
        <f>SUMIFS(ТГ_ИД!$E:$E,ТГ_ИД!$B:$B,ТГ!$G$7,ТГ_ИД!$D:$D,ТГ!$A661)</f>
        <v>0</v>
      </c>
      <c r="P660" s="130">
        <f>SUMIFS(ТГ_ИД!$E:$E,ТГ_ИД!$B:$B,ТГ!$G$8,ТГ_ИД!$D:$D,ТГ!$A661)</f>
        <v>0</v>
      </c>
      <c r="Q660" s="130">
        <f>SUMIFS(ТГ_ИД!$E:$E,ТГ_ИД!$B:$B,ТГ!$G$9,ТГ_ИД!$D:$D,ТГ!$A661)</f>
        <v>0</v>
      </c>
      <c r="R660" s="130">
        <f>SUMIFS(ТГ_ИД!$E:$E,ТГ_ИД!$B:$B,ТГ!$G$10,ТГ_ИД!$D:$D,ТГ!$A661)</f>
        <v>0</v>
      </c>
      <c r="S660" s="130">
        <f>SUMIFS(ТГ_ИД!$E:$E,ТГ_ИД!$B:$B,ТГ!$G$11,ТГ_ИД!$D:$D,ТГ!$A661)</f>
        <v>0</v>
      </c>
      <c r="T660" s="130">
        <f>SUMIFS(ТГ_ИД!$E:$E,ТГ_ИД!$B:$B,ТГ!$G$12,ТГ_ИД!$D:$D,ТГ!$A661)</f>
        <v>0</v>
      </c>
      <c r="U660" s="130">
        <f>SUMIFS(ТГ_ИД!$E:$E,ТГ_ИД!$B:$B,ТГ!$G$13,ТГ_ИД!$D:$D,ТГ!$A661)</f>
        <v>0</v>
      </c>
      <c r="V660" s="130">
        <f>SUMIFS(ТГ_ИД!$E:$E,ТГ_ИД!$B:$B,ТГ!$G$14,ТГ_ИД!$D:$D,ТГ!$A661)</f>
        <v>0</v>
      </c>
    </row>
    <row r="661" spans="1:22" x14ac:dyDescent="0.25">
      <c r="A661" s="116" t="str">
        <f t="shared" si="11"/>
        <v/>
      </c>
      <c r="K661" s="130">
        <f>SUMIFS(ТГ_ИД!$E:$E,ТГ_ИД!$B:$B,ТГ!$G$3,ТГ_ИД!$D:$D,ТГ!$A662)</f>
        <v>0</v>
      </c>
      <c r="L661" s="130">
        <f>SUMIFS(ТГ_ИД!$E:$E,ТГ_ИД!$B:$B,ТГ!$G$4,ТГ_ИД!$D:$D,ТГ!$A662)</f>
        <v>0</v>
      </c>
      <c r="M661" s="130">
        <f>SUMIFS(ТГ_ИД!$E:$E,ТГ_ИД!$B:$B,ТГ!$G$5,ТГ_ИД!$D:$D,ТГ!$A662)</f>
        <v>0</v>
      </c>
      <c r="N661" s="130">
        <f>SUMIFS(ТГ_ИД!$E:$E,ТГ_ИД!$B:$B,ТГ!$G$6,ТГ_ИД!$D:$D,ТГ!$A662)</f>
        <v>0</v>
      </c>
      <c r="O661" s="130">
        <f>SUMIFS(ТГ_ИД!$E:$E,ТГ_ИД!$B:$B,ТГ!$G$7,ТГ_ИД!$D:$D,ТГ!$A662)</f>
        <v>0</v>
      </c>
      <c r="P661" s="130">
        <f>SUMIFS(ТГ_ИД!$E:$E,ТГ_ИД!$B:$B,ТГ!$G$8,ТГ_ИД!$D:$D,ТГ!$A662)</f>
        <v>0</v>
      </c>
      <c r="Q661" s="130">
        <f>SUMIFS(ТГ_ИД!$E:$E,ТГ_ИД!$B:$B,ТГ!$G$9,ТГ_ИД!$D:$D,ТГ!$A662)</f>
        <v>0</v>
      </c>
      <c r="R661" s="130">
        <f>SUMIFS(ТГ_ИД!$E:$E,ТГ_ИД!$B:$B,ТГ!$G$10,ТГ_ИД!$D:$D,ТГ!$A662)</f>
        <v>0</v>
      </c>
      <c r="S661" s="130">
        <f>SUMIFS(ТГ_ИД!$E:$E,ТГ_ИД!$B:$B,ТГ!$G$11,ТГ_ИД!$D:$D,ТГ!$A662)</f>
        <v>0</v>
      </c>
      <c r="T661" s="130">
        <f>SUMIFS(ТГ_ИД!$E:$E,ТГ_ИД!$B:$B,ТГ!$G$12,ТГ_ИД!$D:$D,ТГ!$A662)</f>
        <v>0</v>
      </c>
      <c r="U661" s="130">
        <f>SUMIFS(ТГ_ИД!$E:$E,ТГ_ИД!$B:$B,ТГ!$G$13,ТГ_ИД!$D:$D,ТГ!$A662)</f>
        <v>0</v>
      </c>
      <c r="V661" s="130">
        <f>SUMIFS(ТГ_ИД!$E:$E,ТГ_ИД!$B:$B,ТГ!$G$14,ТГ_ИД!$D:$D,ТГ!$A662)</f>
        <v>0</v>
      </c>
    </row>
    <row r="662" spans="1:22" x14ac:dyDescent="0.25">
      <c r="A662" s="116" t="str">
        <f t="shared" si="11"/>
        <v/>
      </c>
      <c r="K662" s="130">
        <f>SUMIFS(ТГ_ИД!$E:$E,ТГ_ИД!$B:$B,ТГ!$G$3,ТГ_ИД!$D:$D,ТГ!$A663)</f>
        <v>0</v>
      </c>
      <c r="L662" s="130">
        <f>SUMIFS(ТГ_ИД!$E:$E,ТГ_ИД!$B:$B,ТГ!$G$4,ТГ_ИД!$D:$D,ТГ!$A663)</f>
        <v>0</v>
      </c>
      <c r="M662" s="130">
        <f>SUMIFS(ТГ_ИД!$E:$E,ТГ_ИД!$B:$B,ТГ!$G$5,ТГ_ИД!$D:$D,ТГ!$A663)</f>
        <v>0</v>
      </c>
      <c r="N662" s="130">
        <f>SUMIFS(ТГ_ИД!$E:$E,ТГ_ИД!$B:$B,ТГ!$G$6,ТГ_ИД!$D:$D,ТГ!$A663)</f>
        <v>0</v>
      </c>
      <c r="O662" s="130">
        <f>SUMIFS(ТГ_ИД!$E:$E,ТГ_ИД!$B:$B,ТГ!$G$7,ТГ_ИД!$D:$D,ТГ!$A663)</f>
        <v>0</v>
      </c>
      <c r="P662" s="130">
        <f>SUMIFS(ТГ_ИД!$E:$E,ТГ_ИД!$B:$B,ТГ!$G$8,ТГ_ИД!$D:$D,ТГ!$A663)</f>
        <v>0</v>
      </c>
      <c r="Q662" s="130">
        <f>SUMIFS(ТГ_ИД!$E:$E,ТГ_ИД!$B:$B,ТГ!$G$9,ТГ_ИД!$D:$D,ТГ!$A663)</f>
        <v>0</v>
      </c>
      <c r="R662" s="130">
        <f>SUMIFS(ТГ_ИД!$E:$E,ТГ_ИД!$B:$B,ТГ!$G$10,ТГ_ИД!$D:$D,ТГ!$A663)</f>
        <v>0</v>
      </c>
      <c r="S662" s="130">
        <f>SUMIFS(ТГ_ИД!$E:$E,ТГ_ИД!$B:$B,ТГ!$G$11,ТГ_ИД!$D:$D,ТГ!$A663)</f>
        <v>0</v>
      </c>
      <c r="T662" s="130">
        <f>SUMIFS(ТГ_ИД!$E:$E,ТГ_ИД!$B:$B,ТГ!$G$12,ТГ_ИД!$D:$D,ТГ!$A663)</f>
        <v>0</v>
      </c>
      <c r="U662" s="130">
        <f>SUMIFS(ТГ_ИД!$E:$E,ТГ_ИД!$B:$B,ТГ!$G$13,ТГ_ИД!$D:$D,ТГ!$A663)</f>
        <v>0</v>
      </c>
      <c r="V662" s="130">
        <f>SUMIFS(ТГ_ИД!$E:$E,ТГ_ИД!$B:$B,ТГ!$G$14,ТГ_ИД!$D:$D,ТГ!$A663)</f>
        <v>0</v>
      </c>
    </row>
    <row r="663" spans="1:22" x14ac:dyDescent="0.25">
      <c r="A663" s="116" t="str">
        <f t="shared" si="11"/>
        <v/>
      </c>
      <c r="K663" s="130">
        <f>SUMIFS(ТГ_ИД!$E:$E,ТГ_ИД!$B:$B,ТГ!$G$3,ТГ_ИД!$D:$D,ТГ!$A664)</f>
        <v>0</v>
      </c>
      <c r="L663" s="130">
        <f>SUMIFS(ТГ_ИД!$E:$E,ТГ_ИД!$B:$B,ТГ!$G$4,ТГ_ИД!$D:$D,ТГ!$A664)</f>
        <v>0</v>
      </c>
      <c r="M663" s="130">
        <f>SUMIFS(ТГ_ИД!$E:$E,ТГ_ИД!$B:$B,ТГ!$G$5,ТГ_ИД!$D:$D,ТГ!$A664)</f>
        <v>0</v>
      </c>
      <c r="N663" s="130">
        <f>SUMIFS(ТГ_ИД!$E:$E,ТГ_ИД!$B:$B,ТГ!$G$6,ТГ_ИД!$D:$D,ТГ!$A664)</f>
        <v>0</v>
      </c>
      <c r="O663" s="130">
        <f>SUMIFS(ТГ_ИД!$E:$E,ТГ_ИД!$B:$B,ТГ!$G$7,ТГ_ИД!$D:$D,ТГ!$A664)</f>
        <v>0</v>
      </c>
      <c r="P663" s="130">
        <f>SUMIFS(ТГ_ИД!$E:$E,ТГ_ИД!$B:$B,ТГ!$G$8,ТГ_ИД!$D:$D,ТГ!$A664)</f>
        <v>0</v>
      </c>
      <c r="Q663" s="130">
        <f>SUMIFS(ТГ_ИД!$E:$E,ТГ_ИД!$B:$B,ТГ!$G$9,ТГ_ИД!$D:$D,ТГ!$A664)</f>
        <v>0</v>
      </c>
      <c r="R663" s="130">
        <f>SUMIFS(ТГ_ИД!$E:$E,ТГ_ИД!$B:$B,ТГ!$G$10,ТГ_ИД!$D:$D,ТГ!$A664)</f>
        <v>0</v>
      </c>
      <c r="S663" s="130">
        <f>SUMIFS(ТГ_ИД!$E:$E,ТГ_ИД!$B:$B,ТГ!$G$11,ТГ_ИД!$D:$D,ТГ!$A664)</f>
        <v>0</v>
      </c>
      <c r="T663" s="130">
        <f>SUMIFS(ТГ_ИД!$E:$E,ТГ_ИД!$B:$B,ТГ!$G$12,ТГ_ИД!$D:$D,ТГ!$A664)</f>
        <v>0</v>
      </c>
      <c r="U663" s="130">
        <f>SUMIFS(ТГ_ИД!$E:$E,ТГ_ИД!$B:$B,ТГ!$G$13,ТГ_ИД!$D:$D,ТГ!$A664)</f>
        <v>0</v>
      </c>
      <c r="V663" s="130">
        <f>SUMIFS(ТГ_ИД!$E:$E,ТГ_ИД!$B:$B,ТГ!$G$14,ТГ_ИД!$D:$D,ТГ!$A664)</f>
        <v>0</v>
      </c>
    </row>
    <row r="664" spans="1:22" x14ac:dyDescent="0.25">
      <c r="A664" s="116" t="str">
        <f t="shared" si="11"/>
        <v/>
      </c>
      <c r="K664" s="130">
        <f>SUMIFS(ТГ_ИД!$E:$E,ТГ_ИД!$B:$B,ТГ!$G$3,ТГ_ИД!$D:$D,ТГ!$A665)</f>
        <v>0</v>
      </c>
      <c r="L664" s="130">
        <f>SUMIFS(ТГ_ИД!$E:$E,ТГ_ИД!$B:$B,ТГ!$G$4,ТГ_ИД!$D:$D,ТГ!$A665)</f>
        <v>0</v>
      </c>
      <c r="M664" s="130">
        <f>SUMIFS(ТГ_ИД!$E:$E,ТГ_ИД!$B:$B,ТГ!$G$5,ТГ_ИД!$D:$D,ТГ!$A665)</f>
        <v>0</v>
      </c>
      <c r="N664" s="130">
        <f>SUMIFS(ТГ_ИД!$E:$E,ТГ_ИД!$B:$B,ТГ!$G$6,ТГ_ИД!$D:$D,ТГ!$A665)</f>
        <v>0</v>
      </c>
      <c r="O664" s="130">
        <f>SUMIFS(ТГ_ИД!$E:$E,ТГ_ИД!$B:$B,ТГ!$G$7,ТГ_ИД!$D:$D,ТГ!$A665)</f>
        <v>0</v>
      </c>
      <c r="P664" s="130">
        <f>SUMIFS(ТГ_ИД!$E:$E,ТГ_ИД!$B:$B,ТГ!$G$8,ТГ_ИД!$D:$D,ТГ!$A665)</f>
        <v>0</v>
      </c>
      <c r="Q664" s="130">
        <f>SUMIFS(ТГ_ИД!$E:$E,ТГ_ИД!$B:$B,ТГ!$G$9,ТГ_ИД!$D:$D,ТГ!$A665)</f>
        <v>0</v>
      </c>
      <c r="R664" s="130">
        <f>SUMIFS(ТГ_ИД!$E:$E,ТГ_ИД!$B:$B,ТГ!$G$10,ТГ_ИД!$D:$D,ТГ!$A665)</f>
        <v>0</v>
      </c>
      <c r="S664" s="130">
        <f>SUMIFS(ТГ_ИД!$E:$E,ТГ_ИД!$B:$B,ТГ!$G$11,ТГ_ИД!$D:$D,ТГ!$A665)</f>
        <v>0</v>
      </c>
      <c r="T664" s="130">
        <f>SUMIFS(ТГ_ИД!$E:$E,ТГ_ИД!$B:$B,ТГ!$G$12,ТГ_ИД!$D:$D,ТГ!$A665)</f>
        <v>0</v>
      </c>
      <c r="U664" s="130">
        <f>SUMIFS(ТГ_ИД!$E:$E,ТГ_ИД!$B:$B,ТГ!$G$13,ТГ_ИД!$D:$D,ТГ!$A665)</f>
        <v>0</v>
      </c>
      <c r="V664" s="130">
        <f>SUMIFS(ТГ_ИД!$E:$E,ТГ_ИД!$B:$B,ТГ!$G$14,ТГ_ИД!$D:$D,ТГ!$A665)</f>
        <v>0</v>
      </c>
    </row>
    <row r="665" spans="1:22" x14ac:dyDescent="0.25">
      <c r="A665" s="116" t="str">
        <f t="shared" si="11"/>
        <v/>
      </c>
      <c r="K665" s="130">
        <f>SUMIFS(ТГ_ИД!$E:$E,ТГ_ИД!$B:$B,ТГ!$G$3,ТГ_ИД!$D:$D,ТГ!$A666)</f>
        <v>0</v>
      </c>
      <c r="L665" s="130">
        <f>SUMIFS(ТГ_ИД!$E:$E,ТГ_ИД!$B:$B,ТГ!$G$4,ТГ_ИД!$D:$D,ТГ!$A666)</f>
        <v>0</v>
      </c>
      <c r="M665" s="130">
        <f>SUMIFS(ТГ_ИД!$E:$E,ТГ_ИД!$B:$B,ТГ!$G$5,ТГ_ИД!$D:$D,ТГ!$A666)</f>
        <v>0</v>
      </c>
      <c r="N665" s="130">
        <f>SUMIFS(ТГ_ИД!$E:$E,ТГ_ИД!$B:$B,ТГ!$G$6,ТГ_ИД!$D:$D,ТГ!$A666)</f>
        <v>0</v>
      </c>
      <c r="O665" s="130">
        <f>SUMIFS(ТГ_ИД!$E:$E,ТГ_ИД!$B:$B,ТГ!$G$7,ТГ_ИД!$D:$D,ТГ!$A666)</f>
        <v>0</v>
      </c>
      <c r="P665" s="130">
        <f>SUMIFS(ТГ_ИД!$E:$E,ТГ_ИД!$B:$B,ТГ!$G$8,ТГ_ИД!$D:$D,ТГ!$A666)</f>
        <v>0</v>
      </c>
      <c r="Q665" s="130">
        <f>SUMIFS(ТГ_ИД!$E:$E,ТГ_ИД!$B:$B,ТГ!$G$9,ТГ_ИД!$D:$D,ТГ!$A666)</f>
        <v>0</v>
      </c>
      <c r="R665" s="130">
        <f>SUMIFS(ТГ_ИД!$E:$E,ТГ_ИД!$B:$B,ТГ!$G$10,ТГ_ИД!$D:$D,ТГ!$A666)</f>
        <v>0</v>
      </c>
      <c r="S665" s="130">
        <f>SUMIFS(ТГ_ИД!$E:$E,ТГ_ИД!$B:$B,ТГ!$G$11,ТГ_ИД!$D:$D,ТГ!$A666)</f>
        <v>0</v>
      </c>
      <c r="T665" s="130">
        <f>SUMIFS(ТГ_ИД!$E:$E,ТГ_ИД!$B:$B,ТГ!$G$12,ТГ_ИД!$D:$D,ТГ!$A666)</f>
        <v>0</v>
      </c>
      <c r="U665" s="130">
        <f>SUMIFS(ТГ_ИД!$E:$E,ТГ_ИД!$B:$B,ТГ!$G$13,ТГ_ИД!$D:$D,ТГ!$A666)</f>
        <v>0</v>
      </c>
      <c r="V665" s="130">
        <f>SUMIFS(ТГ_ИД!$E:$E,ТГ_ИД!$B:$B,ТГ!$G$14,ТГ_ИД!$D:$D,ТГ!$A666)</f>
        <v>0</v>
      </c>
    </row>
    <row r="666" spans="1:22" x14ac:dyDescent="0.25">
      <c r="A666" s="116" t="str">
        <f t="shared" si="11"/>
        <v/>
      </c>
      <c r="K666" s="130">
        <f>SUMIFS(ТГ_ИД!$E:$E,ТГ_ИД!$B:$B,ТГ!$G$3,ТГ_ИД!$D:$D,ТГ!$A667)</f>
        <v>0</v>
      </c>
      <c r="L666" s="130">
        <f>SUMIFS(ТГ_ИД!$E:$E,ТГ_ИД!$B:$B,ТГ!$G$4,ТГ_ИД!$D:$D,ТГ!$A667)</f>
        <v>0</v>
      </c>
      <c r="M666" s="130">
        <f>SUMIFS(ТГ_ИД!$E:$E,ТГ_ИД!$B:$B,ТГ!$G$5,ТГ_ИД!$D:$D,ТГ!$A667)</f>
        <v>0</v>
      </c>
      <c r="N666" s="130">
        <f>SUMIFS(ТГ_ИД!$E:$E,ТГ_ИД!$B:$B,ТГ!$G$6,ТГ_ИД!$D:$D,ТГ!$A667)</f>
        <v>0</v>
      </c>
      <c r="O666" s="130">
        <f>SUMIFS(ТГ_ИД!$E:$E,ТГ_ИД!$B:$B,ТГ!$G$7,ТГ_ИД!$D:$D,ТГ!$A667)</f>
        <v>0</v>
      </c>
      <c r="P666" s="130">
        <f>SUMIFS(ТГ_ИД!$E:$E,ТГ_ИД!$B:$B,ТГ!$G$8,ТГ_ИД!$D:$D,ТГ!$A667)</f>
        <v>0</v>
      </c>
      <c r="Q666" s="130">
        <f>SUMIFS(ТГ_ИД!$E:$E,ТГ_ИД!$B:$B,ТГ!$G$9,ТГ_ИД!$D:$D,ТГ!$A667)</f>
        <v>0</v>
      </c>
      <c r="R666" s="130">
        <f>SUMIFS(ТГ_ИД!$E:$E,ТГ_ИД!$B:$B,ТГ!$G$10,ТГ_ИД!$D:$D,ТГ!$A667)</f>
        <v>0</v>
      </c>
      <c r="S666" s="130">
        <f>SUMIFS(ТГ_ИД!$E:$E,ТГ_ИД!$B:$B,ТГ!$G$11,ТГ_ИД!$D:$D,ТГ!$A667)</f>
        <v>0</v>
      </c>
      <c r="T666" s="130">
        <f>SUMIFS(ТГ_ИД!$E:$E,ТГ_ИД!$B:$B,ТГ!$G$12,ТГ_ИД!$D:$D,ТГ!$A667)</f>
        <v>0</v>
      </c>
      <c r="U666" s="130">
        <f>SUMIFS(ТГ_ИД!$E:$E,ТГ_ИД!$B:$B,ТГ!$G$13,ТГ_ИД!$D:$D,ТГ!$A667)</f>
        <v>0</v>
      </c>
      <c r="V666" s="130">
        <f>SUMIFS(ТГ_ИД!$E:$E,ТГ_ИД!$B:$B,ТГ!$G$14,ТГ_ИД!$D:$D,ТГ!$A667)</f>
        <v>0</v>
      </c>
    </row>
    <row r="667" spans="1:22" x14ac:dyDescent="0.25">
      <c r="A667" s="116" t="str">
        <f t="shared" si="11"/>
        <v/>
      </c>
      <c r="K667" s="130">
        <f>SUMIFS(ТГ_ИД!$E:$E,ТГ_ИД!$B:$B,ТГ!$G$3,ТГ_ИД!$D:$D,ТГ!$A668)</f>
        <v>0</v>
      </c>
      <c r="L667" s="130">
        <f>SUMIFS(ТГ_ИД!$E:$E,ТГ_ИД!$B:$B,ТГ!$G$4,ТГ_ИД!$D:$D,ТГ!$A668)</f>
        <v>0</v>
      </c>
      <c r="M667" s="130">
        <f>SUMIFS(ТГ_ИД!$E:$E,ТГ_ИД!$B:$B,ТГ!$G$5,ТГ_ИД!$D:$D,ТГ!$A668)</f>
        <v>0</v>
      </c>
      <c r="N667" s="130">
        <f>SUMIFS(ТГ_ИД!$E:$E,ТГ_ИД!$B:$B,ТГ!$G$6,ТГ_ИД!$D:$D,ТГ!$A668)</f>
        <v>0</v>
      </c>
      <c r="O667" s="130">
        <f>SUMIFS(ТГ_ИД!$E:$E,ТГ_ИД!$B:$B,ТГ!$G$7,ТГ_ИД!$D:$D,ТГ!$A668)</f>
        <v>0</v>
      </c>
      <c r="P667" s="130">
        <f>SUMIFS(ТГ_ИД!$E:$E,ТГ_ИД!$B:$B,ТГ!$G$8,ТГ_ИД!$D:$D,ТГ!$A668)</f>
        <v>0</v>
      </c>
      <c r="Q667" s="130">
        <f>SUMIFS(ТГ_ИД!$E:$E,ТГ_ИД!$B:$B,ТГ!$G$9,ТГ_ИД!$D:$D,ТГ!$A668)</f>
        <v>0</v>
      </c>
      <c r="R667" s="130">
        <f>SUMIFS(ТГ_ИД!$E:$E,ТГ_ИД!$B:$B,ТГ!$G$10,ТГ_ИД!$D:$D,ТГ!$A668)</f>
        <v>0</v>
      </c>
      <c r="S667" s="130">
        <f>SUMIFS(ТГ_ИД!$E:$E,ТГ_ИД!$B:$B,ТГ!$G$11,ТГ_ИД!$D:$D,ТГ!$A668)</f>
        <v>0</v>
      </c>
      <c r="T667" s="130">
        <f>SUMIFS(ТГ_ИД!$E:$E,ТГ_ИД!$B:$B,ТГ!$G$12,ТГ_ИД!$D:$D,ТГ!$A668)</f>
        <v>0</v>
      </c>
      <c r="U667" s="130">
        <f>SUMIFS(ТГ_ИД!$E:$E,ТГ_ИД!$B:$B,ТГ!$G$13,ТГ_ИД!$D:$D,ТГ!$A668)</f>
        <v>0</v>
      </c>
      <c r="V667" s="130">
        <f>SUMIFS(ТГ_ИД!$E:$E,ТГ_ИД!$B:$B,ТГ!$G$14,ТГ_ИД!$D:$D,ТГ!$A668)</f>
        <v>0</v>
      </c>
    </row>
    <row r="668" spans="1:22" x14ac:dyDescent="0.25">
      <c r="A668" s="116" t="str">
        <f t="shared" si="11"/>
        <v/>
      </c>
      <c r="K668" s="130">
        <f>SUMIFS(ТГ_ИД!$E:$E,ТГ_ИД!$B:$B,ТГ!$G$3,ТГ_ИД!$D:$D,ТГ!$A669)</f>
        <v>0</v>
      </c>
      <c r="L668" s="130">
        <f>SUMIFS(ТГ_ИД!$E:$E,ТГ_ИД!$B:$B,ТГ!$G$4,ТГ_ИД!$D:$D,ТГ!$A669)</f>
        <v>0</v>
      </c>
      <c r="M668" s="130">
        <f>SUMIFS(ТГ_ИД!$E:$E,ТГ_ИД!$B:$B,ТГ!$G$5,ТГ_ИД!$D:$D,ТГ!$A669)</f>
        <v>0</v>
      </c>
      <c r="N668" s="130">
        <f>SUMIFS(ТГ_ИД!$E:$E,ТГ_ИД!$B:$B,ТГ!$G$6,ТГ_ИД!$D:$D,ТГ!$A669)</f>
        <v>0</v>
      </c>
      <c r="O668" s="130">
        <f>SUMIFS(ТГ_ИД!$E:$E,ТГ_ИД!$B:$B,ТГ!$G$7,ТГ_ИД!$D:$D,ТГ!$A669)</f>
        <v>0</v>
      </c>
      <c r="P668" s="130">
        <f>SUMIFS(ТГ_ИД!$E:$E,ТГ_ИД!$B:$B,ТГ!$G$8,ТГ_ИД!$D:$D,ТГ!$A669)</f>
        <v>0</v>
      </c>
      <c r="Q668" s="130">
        <f>SUMIFS(ТГ_ИД!$E:$E,ТГ_ИД!$B:$B,ТГ!$G$9,ТГ_ИД!$D:$D,ТГ!$A669)</f>
        <v>0</v>
      </c>
      <c r="R668" s="130">
        <f>SUMIFS(ТГ_ИД!$E:$E,ТГ_ИД!$B:$B,ТГ!$G$10,ТГ_ИД!$D:$D,ТГ!$A669)</f>
        <v>0</v>
      </c>
      <c r="S668" s="130">
        <f>SUMIFS(ТГ_ИД!$E:$E,ТГ_ИД!$B:$B,ТГ!$G$11,ТГ_ИД!$D:$D,ТГ!$A669)</f>
        <v>0</v>
      </c>
      <c r="T668" s="130">
        <f>SUMIFS(ТГ_ИД!$E:$E,ТГ_ИД!$B:$B,ТГ!$G$12,ТГ_ИД!$D:$D,ТГ!$A669)</f>
        <v>0</v>
      </c>
      <c r="U668" s="130">
        <f>SUMIFS(ТГ_ИД!$E:$E,ТГ_ИД!$B:$B,ТГ!$G$13,ТГ_ИД!$D:$D,ТГ!$A669)</f>
        <v>0</v>
      </c>
      <c r="V668" s="130">
        <f>SUMIFS(ТГ_ИД!$E:$E,ТГ_ИД!$B:$B,ТГ!$G$14,ТГ_ИД!$D:$D,ТГ!$A669)</f>
        <v>0</v>
      </c>
    </row>
    <row r="669" spans="1:22" x14ac:dyDescent="0.25">
      <c r="A669" s="116" t="str">
        <f t="shared" si="11"/>
        <v/>
      </c>
      <c r="K669" s="130">
        <f>SUMIFS(ТГ_ИД!$E:$E,ТГ_ИД!$B:$B,ТГ!$G$3,ТГ_ИД!$D:$D,ТГ!$A670)</f>
        <v>0</v>
      </c>
      <c r="L669" s="130">
        <f>SUMIFS(ТГ_ИД!$E:$E,ТГ_ИД!$B:$B,ТГ!$G$4,ТГ_ИД!$D:$D,ТГ!$A670)</f>
        <v>0</v>
      </c>
      <c r="M669" s="130">
        <f>SUMIFS(ТГ_ИД!$E:$E,ТГ_ИД!$B:$B,ТГ!$G$5,ТГ_ИД!$D:$D,ТГ!$A670)</f>
        <v>0</v>
      </c>
      <c r="N669" s="130">
        <f>SUMIFS(ТГ_ИД!$E:$E,ТГ_ИД!$B:$B,ТГ!$G$6,ТГ_ИД!$D:$D,ТГ!$A670)</f>
        <v>0</v>
      </c>
      <c r="O669" s="130">
        <f>SUMIFS(ТГ_ИД!$E:$E,ТГ_ИД!$B:$B,ТГ!$G$7,ТГ_ИД!$D:$D,ТГ!$A670)</f>
        <v>0</v>
      </c>
      <c r="P669" s="130">
        <f>SUMIFS(ТГ_ИД!$E:$E,ТГ_ИД!$B:$B,ТГ!$G$8,ТГ_ИД!$D:$D,ТГ!$A670)</f>
        <v>0</v>
      </c>
      <c r="Q669" s="130">
        <f>SUMIFS(ТГ_ИД!$E:$E,ТГ_ИД!$B:$B,ТГ!$G$9,ТГ_ИД!$D:$D,ТГ!$A670)</f>
        <v>0</v>
      </c>
      <c r="R669" s="130">
        <f>SUMIFS(ТГ_ИД!$E:$E,ТГ_ИД!$B:$B,ТГ!$G$10,ТГ_ИД!$D:$D,ТГ!$A670)</f>
        <v>0</v>
      </c>
      <c r="S669" s="130">
        <f>SUMIFS(ТГ_ИД!$E:$E,ТГ_ИД!$B:$B,ТГ!$G$11,ТГ_ИД!$D:$D,ТГ!$A670)</f>
        <v>0</v>
      </c>
      <c r="T669" s="130">
        <f>SUMIFS(ТГ_ИД!$E:$E,ТГ_ИД!$B:$B,ТГ!$G$12,ТГ_ИД!$D:$D,ТГ!$A670)</f>
        <v>0</v>
      </c>
      <c r="U669" s="130">
        <f>SUMIFS(ТГ_ИД!$E:$E,ТГ_ИД!$B:$B,ТГ!$G$13,ТГ_ИД!$D:$D,ТГ!$A670)</f>
        <v>0</v>
      </c>
      <c r="V669" s="130">
        <f>SUMIFS(ТГ_ИД!$E:$E,ТГ_ИД!$B:$B,ТГ!$G$14,ТГ_ИД!$D:$D,ТГ!$A670)</f>
        <v>0</v>
      </c>
    </row>
    <row r="670" spans="1:22" x14ac:dyDescent="0.25">
      <c r="A670" s="116" t="str">
        <f t="shared" si="11"/>
        <v/>
      </c>
      <c r="K670" s="130">
        <f>SUMIFS(ТГ_ИД!$E:$E,ТГ_ИД!$B:$B,ТГ!$G$3,ТГ_ИД!$D:$D,ТГ!$A671)</f>
        <v>0</v>
      </c>
      <c r="L670" s="130">
        <f>SUMIFS(ТГ_ИД!$E:$E,ТГ_ИД!$B:$B,ТГ!$G$4,ТГ_ИД!$D:$D,ТГ!$A671)</f>
        <v>0</v>
      </c>
      <c r="M670" s="130">
        <f>SUMIFS(ТГ_ИД!$E:$E,ТГ_ИД!$B:$B,ТГ!$G$5,ТГ_ИД!$D:$D,ТГ!$A671)</f>
        <v>0</v>
      </c>
      <c r="N670" s="130">
        <f>SUMIFS(ТГ_ИД!$E:$E,ТГ_ИД!$B:$B,ТГ!$G$6,ТГ_ИД!$D:$D,ТГ!$A671)</f>
        <v>0</v>
      </c>
      <c r="O670" s="130">
        <f>SUMIFS(ТГ_ИД!$E:$E,ТГ_ИД!$B:$B,ТГ!$G$7,ТГ_ИД!$D:$D,ТГ!$A671)</f>
        <v>0</v>
      </c>
      <c r="P670" s="130">
        <f>SUMIFS(ТГ_ИД!$E:$E,ТГ_ИД!$B:$B,ТГ!$G$8,ТГ_ИД!$D:$D,ТГ!$A671)</f>
        <v>0</v>
      </c>
      <c r="Q670" s="130">
        <f>SUMIFS(ТГ_ИД!$E:$E,ТГ_ИД!$B:$B,ТГ!$G$9,ТГ_ИД!$D:$D,ТГ!$A671)</f>
        <v>0</v>
      </c>
      <c r="R670" s="130">
        <f>SUMIFS(ТГ_ИД!$E:$E,ТГ_ИД!$B:$B,ТГ!$G$10,ТГ_ИД!$D:$D,ТГ!$A671)</f>
        <v>0</v>
      </c>
      <c r="S670" s="130">
        <f>SUMIFS(ТГ_ИД!$E:$E,ТГ_ИД!$B:$B,ТГ!$G$11,ТГ_ИД!$D:$D,ТГ!$A671)</f>
        <v>0</v>
      </c>
      <c r="T670" s="130">
        <f>SUMIFS(ТГ_ИД!$E:$E,ТГ_ИД!$B:$B,ТГ!$G$12,ТГ_ИД!$D:$D,ТГ!$A671)</f>
        <v>0</v>
      </c>
      <c r="U670" s="130">
        <f>SUMIFS(ТГ_ИД!$E:$E,ТГ_ИД!$B:$B,ТГ!$G$13,ТГ_ИД!$D:$D,ТГ!$A671)</f>
        <v>0</v>
      </c>
      <c r="V670" s="130">
        <f>SUMIFS(ТГ_ИД!$E:$E,ТГ_ИД!$B:$B,ТГ!$G$14,ТГ_ИД!$D:$D,ТГ!$A671)</f>
        <v>0</v>
      </c>
    </row>
    <row r="671" spans="1:22" x14ac:dyDescent="0.25">
      <c r="A671" s="116" t="str">
        <f t="shared" si="11"/>
        <v/>
      </c>
      <c r="K671" s="130">
        <f>SUMIFS(ТГ_ИД!$E:$E,ТГ_ИД!$B:$B,ТГ!$G$3,ТГ_ИД!$D:$D,ТГ!$A672)</f>
        <v>0</v>
      </c>
      <c r="L671" s="130">
        <f>SUMIFS(ТГ_ИД!$E:$E,ТГ_ИД!$B:$B,ТГ!$G$4,ТГ_ИД!$D:$D,ТГ!$A672)</f>
        <v>0</v>
      </c>
      <c r="M671" s="130">
        <f>SUMIFS(ТГ_ИД!$E:$E,ТГ_ИД!$B:$B,ТГ!$G$5,ТГ_ИД!$D:$D,ТГ!$A672)</f>
        <v>0</v>
      </c>
      <c r="N671" s="130">
        <f>SUMIFS(ТГ_ИД!$E:$E,ТГ_ИД!$B:$B,ТГ!$G$6,ТГ_ИД!$D:$D,ТГ!$A672)</f>
        <v>0</v>
      </c>
      <c r="O671" s="130">
        <f>SUMIFS(ТГ_ИД!$E:$E,ТГ_ИД!$B:$B,ТГ!$G$7,ТГ_ИД!$D:$D,ТГ!$A672)</f>
        <v>0</v>
      </c>
      <c r="P671" s="130">
        <f>SUMIFS(ТГ_ИД!$E:$E,ТГ_ИД!$B:$B,ТГ!$G$8,ТГ_ИД!$D:$D,ТГ!$A672)</f>
        <v>0</v>
      </c>
      <c r="Q671" s="130">
        <f>SUMIFS(ТГ_ИД!$E:$E,ТГ_ИД!$B:$B,ТГ!$G$9,ТГ_ИД!$D:$D,ТГ!$A672)</f>
        <v>0</v>
      </c>
      <c r="R671" s="130">
        <f>SUMIFS(ТГ_ИД!$E:$E,ТГ_ИД!$B:$B,ТГ!$G$10,ТГ_ИД!$D:$D,ТГ!$A672)</f>
        <v>0</v>
      </c>
      <c r="S671" s="130">
        <f>SUMIFS(ТГ_ИД!$E:$E,ТГ_ИД!$B:$B,ТГ!$G$11,ТГ_ИД!$D:$D,ТГ!$A672)</f>
        <v>0</v>
      </c>
      <c r="T671" s="130">
        <f>SUMIFS(ТГ_ИД!$E:$E,ТГ_ИД!$B:$B,ТГ!$G$12,ТГ_ИД!$D:$D,ТГ!$A672)</f>
        <v>0</v>
      </c>
      <c r="U671" s="130">
        <f>SUMIFS(ТГ_ИД!$E:$E,ТГ_ИД!$B:$B,ТГ!$G$13,ТГ_ИД!$D:$D,ТГ!$A672)</f>
        <v>0</v>
      </c>
      <c r="V671" s="130">
        <f>SUMIFS(ТГ_ИД!$E:$E,ТГ_ИД!$B:$B,ТГ!$G$14,ТГ_ИД!$D:$D,ТГ!$A672)</f>
        <v>0</v>
      </c>
    </row>
    <row r="672" spans="1:22" x14ac:dyDescent="0.25">
      <c r="A672" s="116" t="str">
        <f t="shared" si="11"/>
        <v/>
      </c>
      <c r="K672" s="130">
        <f>SUMIFS(ТГ_ИД!$E:$E,ТГ_ИД!$B:$B,ТГ!$G$3,ТГ_ИД!$D:$D,ТГ!$A673)</f>
        <v>0</v>
      </c>
      <c r="L672" s="130">
        <f>SUMIFS(ТГ_ИД!$E:$E,ТГ_ИД!$B:$B,ТГ!$G$4,ТГ_ИД!$D:$D,ТГ!$A673)</f>
        <v>0</v>
      </c>
      <c r="M672" s="130">
        <f>SUMIFS(ТГ_ИД!$E:$E,ТГ_ИД!$B:$B,ТГ!$G$5,ТГ_ИД!$D:$D,ТГ!$A673)</f>
        <v>0</v>
      </c>
      <c r="N672" s="130">
        <f>SUMIFS(ТГ_ИД!$E:$E,ТГ_ИД!$B:$B,ТГ!$G$6,ТГ_ИД!$D:$D,ТГ!$A673)</f>
        <v>0</v>
      </c>
      <c r="O672" s="130">
        <f>SUMIFS(ТГ_ИД!$E:$E,ТГ_ИД!$B:$B,ТГ!$G$7,ТГ_ИД!$D:$D,ТГ!$A673)</f>
        <v>0</v>
      </c>
      <c r="P672" s="130">
        <f>SUMIFS(ТГ_ИД!$E:$E,ТГ_ИД!$B:$B,ТГ!$G$8,ТГ_ИД!$D:$D,ТГ!$A673)</f>
        <v>0</v>
      </c>
      <c r="Q672" s="130">
        <f>SUMIFS(ТГ_ИД!$E:$E,ТГ_ИД!$B:$B,ТГ!$G$9,ТГ_ИД!$D:$D,ТГ!$A673)</f>
        <v>0</v>
      </c>
      <c r="R672" s="130">
        <f>SUMIFS(ТГ_ИД!$E:$E,ТГ_ИД!$B:$B,ТГ!$G$10,ТГ_ИД!$D:$D,ТГ!$A673)</f>
        <v>0</v>
      </c>
      <c r="S672" s="130">
        <f>SUMIFS(ТГ_ИД!$E:$E,ТГ_ИД!$B:$B,ТГ!$G$11,ТГ_ИД!$D:$D,ТГ!$A673)</f>
        <v>0</v>
      </c>
      <c r="T672" s="130">
        <f>SUMIFS(ТГ_ИД!$E:$E,ТГ_ИД!$B:$B,ТГ!$G$12,ТГ_ИД!$D:$D,ТГ!$A673)</f>
        <v>0</v>
      </c>
      <c r="U672" s="130">
        <f>SUMIFS(ТГ_ИД!$E:$E,ТГ_ИД!$B:$B,ТГ!$G$13,ТГ_ИД!$D:$D,ТГ!$A673)</f>
        <v>0</v>
      </c>
      <c r="V672" s="130">
        <f>SUMIFS(ТГ_ИД!$E:$E,ТГ_ИД!$B:$B,ТГ!$G$14,ТГ_ИД!$D:$D,ТГ!$A673)</f>
        <v>0</v>
      </c>
    </row>
    <row r="673" spans="1:22" x14ac:dyDescent="0.25">
      <c r="A673" s="116" t="str">
        <f t="shared" si="11"/>
        <v/>
      </c>
      <c r="K673" s="130">
        <f>SUMIFS(ТГ_ИД!$E:$E,ТГ_ИД!$B:$B,ТГ!$G$3,ТГ_ИД!$D:$D,ТГ!$A674)</f>
        <v>0</v>
      </c>
      <c r="L673" s="130">
        <f>SUMIFS(ТГ_ИД!$E:$E,ТГ_ИД!$B:$B,ТГ!$G$4,ТГ_ИД!$D:$D,ТГ!$A674)</f>
        <v>0</v>
      </c>
      <c r="M673" s="130">
        <f>SUMIFS(ТГ_ИД!$E:$E,ТГ_ИД!$B:$B,ТГ!$G$5,ТГ_ИД!$D:$D,ТГ!$A674)</f>
        <v>0</v>
      </c>
      <c r="N673" s="130">
        <f>SUMIFS(ТГ_ИД!$E:$E,ТГ_ИД!$B:$B,ТГ!$G$6,ТГ_ИД!$D:$D,ТГ!$A674)</f>
        <v>0</v>
      </c>
      <c r="O673" s="130">
        <f>SUMIFS(ТГ_ИД!$E:$E,ТГ_ИД!$B:$B,ТГ!$G$7,ТГ_ИД!$D:$D,ТГ!$A674)</f>
        <v>0</v>
      </c>
      <c r="P673" s="130">
        <f>SUMIFS(ТГ_ИД!$E:$E,ТГ_ИД!$B:$B,ТГ!$G$8,ТГ_ИД!$D:$D,ТГ!$A674)</f>
        <v>0</v>
      </c>
      <c r="Q673" s="130">
        <f>SUMIFS(ТГ_ИД!$E:$E,ТГ_ИД!$B:$B,ТГ!$G$9,ТГ_ИД!$D:$D,ТГ!$A674)</f>
        <v>0</v>
      </c>
      <c r="R673" s="130">
        <f>SUMIFS(ТГ_ИД!$E:$E,ТГ_ИД!$B:$B,ТГ!$G$10,ТГ_ИД!$D:$D,ТГ!$A674)</f>
        <v>0</v>
      </c>
      <c r="S673" s="130">
        <f>SUMIFS(ТГ_ИД!$E:$E,ТГ_ИД!$B:$B,ТГ!$G$11,ТГ_ИД!$D:$D,ТГ!$A674)</f>
        <v>0</v>
      </c>
      <c r="T673" s="130">
        <f>SUMIFS(ТГ_ИД!$E:$E,ТГ_ИД!$B:$B,ТГ!$G$12,ТГ_ИД!$D:$D,ТГ!$A674)</f>
        <v>0</v>
      </c>
      <c r="U673" s="130">
        <f>SUMIFS(ТГ_ИД!$E:$E,ТГ_ИД!$B:$B,ТГ!$G$13,ТГ_ИД!$D:$D,ТГ!$A674)</f>
        <v>0</v>
      </c>
      <c r="V673" s="130">
        <f>SUMIFS(ТГ_ИД!$E:$E,ТГ_ИД!$B:$B,ТГ!$G$14,ТГ_ИД!$D:$D,ТГ!$A674)</f>
        <v>0</v>
      </c>
    </row>
    <row r="674" spans="1:22" x14ac:dyDescent="0.25">
      <c r="A674" s="116" t="str">
        <f t="shared" si="11"/>
        <v/>
      </c>
      <c r="K674" s="130">
        <f>SUMIFS(ТГ_ИД!$E:$E,ТГ_ИД!$B:$B,ТГ!$G$3,ТГ_ИД!$D:$D,ТГ!$A675)</f>
        <v>0</v>
      </c>
      <c r="L674" s="130">
        <f>SUMIFS(ТГ_ИД!$E:$E,ТГ_ИД!$B:$B,ТГ!$G$4,ТГ_ИД!$D:$D,ТГ!$A675)</f>
        <v>0</v>
      </c>
      <c r="M674" s="130">
        <f>SUMIFS(ТГ_ИД!$E:$E,ТГ_ИД!$B:$B,ТГ!$G$5,ТГ_ИД!$D:$D,ТГ!$A675)</f>
        <v>0</v>
      </c>
      <c r="N674" s="130">
        <f>SUMIFS(ТГ_ИД!$E:$E,ТГ_ИД!$B:$B,ТГ!$G$6,ТГ_ИД!$D:$D,ТГ!$A675)</f>
        <v>0</v>
      </c>
      <c r="O674" s="130">
        <f>SUMIFS(ТГ_ИД!$E:$E,ТГ_ИД!$B:$B,ТГ!$G$7,ТГ_ИД!$D:$D,ТГ!$A675)</f>
        <v>0</v>
      </c>
      <c r="P674" s="130">
        <f>SUMIFS(ТГ_ИД!$E:$E,ТГ_ИД!$B:$B,ТГ!$G$8,ТГ_ИД!$D:$D,ТГ!$A675)</f>
        <v>0</v>
      </c>
      <c r="Q674" s="130">
        <f>SUMIFS(ТГ_ИД!$E:$E,ТГ_ИД!$B:$B,ТГ!$G$9,ТГ_ИД!$D:$D,ТГ!$A675)</f>
        <v>0</v>
      </c>
      <c r="R674" s="130">
        <f>SUMIFS(ТГ_ИД!$E:$E,ТГ_ИД!$B:$B,ТГ!$G$10,ТГ_ИД!$D:$D,ТГ!$A675)</f>
        <v>0</v>
      </c>
      <c r="S674" s="130">
        <f>SUMIFS(ТГ_ИД!$E:$E,ТГ_ИД!$B:$B,ТГ!$G$11,ТГ_ИД!$D:$D,ТГ!$A675)</f>
        <v>0</v>
      </c>
      <c r="T674" s="130">
        <f>SUMIFS(ТГ_ИД!$E:$E,ТГ_ИД!$B:$B,ТГ!$G$12,ТГ_ИД!$D:$D,ТГ!$A675)</f>
        <v>0</v>
      </c>
      <c r="U674" s="130">
        <f>SUMIFS(ТГ_ИД!$E:$E,ТГ_ИД!$B:$B,ТГ!$G$13,ТГ_ИД!$D:$D,ТГ!$A675)</f>
        <v>0</v>
      </c>
      <c r="V674" s="130">
        <f>SUMIFS(ТГ_ИД!$E:$E,ТГ_ИД!$B:$B,ТГ!$G$14,ТГ_ИД!$D:$D,ТГ!$A675)</f>
        <v>0</v>
      </c>
    </row>
    <row r="675" spans="1:22" x14ac:dyDescent="0.25">
      <c r="A675" s="116" t="str">
        <f t="shared" si="11"/>
        <v/>
      </c>
      <c r="K675" s="130">
        <f>SUMIFS(ТГ_ИД!$E:$E,ТГ_ИД!$B:$B,ТГ!$G$3,ТГ_ИД!$D:$D,ТГ!$A676)</f>
        <v>0</v>
      </c>
      <c r="L675" s="130">
        <f>SUMIFS(ТГ_ИД!$E:$E,ТГ_ИД!$B:$B,ТГ!$G$4,ТГ_ИД!$D:$D,ТГ!$A676)</f>
        <v>0</v>
      </c>
      <c r="M675" s="130">
        <f>SUMIFS(ТГ_ИД!$E:$E,ТГ_ИД!$B:$B,ТГ!$G$5,ТГ_ИД!$D:$D,ТГ!$A676)</f>
        <v>0</v>
      </c>
      <c r="N675" s="130">
        <f>SUMIFS(ТГ_ИД!$E:$E,ТГ_ИД!$B:$B,ТГ!$G$6,ТГ_ИД!$D:$D,ТГ!$A676)</f>
        <v>0</v>
      </c>
      <c r="O675" s="130">
        <f>SUMIFS(ТГ_ИД!$E:$E,ТГ_ИД!$B:$B,ТГ!$G$7,ТГ_ИД!$D:$D,ТГ!$A676)</f>
        <v>0</v>
      </c>
      <c r="P675" s="130">
        <f>SUMIFS(ТГ_ИД!$E:$E,ТГ_ИД!$B:$B,ТГ!$G$8,ТГ_ИД!$D:$D,ТГ!$A676)</f>
        <v>0</v>
      </c>
      <c r="Q675" s="130">
        <f>SUMIFS(ТГ_ИД!$E:$E,ТГ_ИД!$B:$B,ТГ!$G$9,ТГ_ИД!$D:$D,ТГ!$A676)</f>
        <v>0</v>
      </c>
      <c r="R675" s="130">
        <f>SUMIFS(ТГ_ИД!$E:$E,ТГ_ИД!$B:$B,ТГ!$G$10,ТГ_ИД!$D:$D,ТГ!$A676)</f>
        <v>0</v>
      </c>
      <c r="S675" s="130">
        <f>SUMIFS(ТГ_ИД!$E:$E,ТГ_ИД!$B:$B,ТГ!$G$11,ТГ_ИД!$D:$D,ТГ!$A676)</f>
        <v>0</v>
      </c>
      <c r="T675" s="130">
        <f>SUMIFS(ТГ_ИД!$E:$E,ТГ_ИД!$B:$B,ТГ!$G$12,ТГ_ИД!$D:$D,ТГ!$A676)</f>
        <v>0</v>
      </c>
      <c r="U675" s="130">
        <f>SUMIFS(ТГ_ИД!$E:$E,ТГ_ИД!$B:$B,ТГ!$G$13,ТГ_ИД!$D:$D,ТГ!$A676)</f>
        <v>0</v>
      </c>
      <c r="V675" s="130">
        <f>SUMIFS(ТГ_ИД!$E:$E,ТГ_ИД!$B:$B,ТГ!$G$14,ТГ_ИД!$D:$D,ТГ!$A676)</f>
        <v>0</v>
      </c>
    </row>
    <row r="676" spans="1:22" x14ac:dyDescent="0.25">
      <c r="A676" s="116" t="str">
        <f t="shared" si="11"/>
        <v/>
      </c>
      <c r="K676" s="130">
        <f>SUMIFS(ТГ_ИД!$E:$E,ТГ_ИД!$B:$B,ТГ!$G$3,ТГ_ИД!$D:$D,ТГ!$A677)</f>
        <v>0</v>
      </c>
      <c r="L676" s="130">
        <f>SUMIFS(ТГ_ИД!$E:$E,ТГ_ИД!$B:$B,ТГ!$G$4,ТГ_ИД!$D:$D,ТГ!$A677)</f>
        <v>0</v>
      </c>
      <c r="M676" s="130">
        <f>SUMIFS(ТГ_ИД!$E:$E,ТГ_ИД!$B:$B,ТГ!$G$5,ТГ_ИД!$D:$D,ТГ!$A677)</f>
        <v>0</v>
      </c>
      <c r="N676" s="130">
        <f>SUMIFS(ТГ_ИД!$E:$E,ТГ_ИД!$B:$B,ТГ!$G$6,ТГ_ИД!$D:$D,ТГ!$A677)</f>
        <v>0</v>
      </c>
      <c r="O676" s="130">
        <f>SUMIFS(ТГ_ИД!$E:$E,ТГ_ИД!$B:$B,ТГ!$G$7,ТГ_ИД!$D:$D,ТГ!$A677)</f>
        <v>0</v>
      </c>
      <c r="P676" s="130">
        <f>SUMIFS(ТГ_ИД!$E:$E,ТГ_ИД!$B:$B,ТГ!$G$8,ТГ_ИД!$D:$D,ТГ!$A677)</f>
        <v>0</v>
      </c>
      <c r="Q676" s="130">
        <f>SUMIFS(ТГ_ИД!$E:$E,ТГ_ИД!$B:$B,ТГ!$G$9,ТГ_ИД!$D:$D,ТГ!$A677)</f>
        <v>0</v>
      </c>
      <c r="R676" s="130">
        <f>SUMIFS(ТГ_ИД!$E:$E,ТГ_ИД!$B:$B,ТГ!$G$10,ТГ_ИД!$D:$D,ТГ!$A677)</f>
        <v>0</v>
      </c>
      <c r="S676" s="130">
        <f>SUMIFS(ТГ_ИД!$E:$E,ТГ_ИД!$B:$B,ТГ!$G$11,ТГ_ИД!$D:$D,ТГ!$A677)</f>
        <v>0</v>
      </c>
      <c r="T676" s="130">
        <f>SUMIFS(ТГ_ИД!$E:$E,ТГ_ИД!$B:$B,ТГ!$G$12,ТГ_ИД!$D:$D,ТГ!$A677)</f>
        <v>0</v>
      </c>
      <c r="U676" s="130">
        <f>SUMIFS(ТГ_ИД!$E:$E,ТГ_ИД!$B:$B,ТГ!$G$13,ТГ_ИД!$D:$D,ТГ!$A677)</f>
        <v>0</v>
      </c>
      <c r="V676" s="130">
        <f>SUMIFS(ТГ_ИД!$E:$E,ТГ_ИД!$B:$B,ТГ!$G$14,ТГ_ИД!$D:$D,ТГ!$A677)</f>
        <v>0</v>
      </c>
    </row>
    <row r="677" spans="1:22" x14ac:dyDescent="0.25">
      <c r="A677" s="116" t="str">
        <f t="shared" si="11"/>
        <v/>
      </c>
      <c r="K677" s="130">
        <f>SUMIFS(ТГ_ИД!$E:$E,ТГ_ИД!$B:$B,ТГ!$G$3,ТГ_ИД!$D:$D,ТГ!$A678)</f>
        <v>0</v>
      </c>
      <c r="L677" s="130">
        <f>SUMIFS(ТГ_ИД!$E:$E,ТГ_ИД!$B:$B,ТГ!$G$4,ТГ_ИД!$D:$D,ТГ!$A678)</f>
        <v>0</v>
      </c>
      <c r="M677" s="130">
        <f>SUMIFS(ТГ_ИД!$E:$E,ТГ_ИД!$B:$B,ТГ!$G$5,ТГ_ИД!$D:$D,ТГ!$A678)</f>
        <v>0</v>
      </c>
      <c r="N677" s="130">
        <f>SUMIFS(ТГ_ИД!$E:$E,ТГ_ИД!$B:$B,ТГ!$G$6,ТГ_ИД!$D:$D,ТГ!$A678)</f>
        <v>0</v>
      </c>
      <c r="O677" s="130">
        <f>SUMIFS(ТГ_ИД!$E:$E,ТГ_ИД!$B:$B,ТГ!$G$7,ТГ_ИД!$D:$D,ТГ!$A678)</f>
        <v>0</v>
      </c>
      <c r="P677" s="130">
        <f>SUMIFS(ТГ_ИД!$E:$E,ТГ_ИД!$B:$B,ТГ!$G$8,ТГ_ИД!$D:$D,ТГ!$A678)</f>
        <v>0</v>
      </c>
      <c r="Q677" s="130">
        <f>SUMIFS(ТГ_ИД!$E:$E,ТГ_ИД!$B:$B,ТГ!$G$9,ТГ_ИД!$D:$D,ТГ!$A678)</f>
        <v>0</v>
      </c>
      <c r="R677" s="130">
        <f>SUMIFS(ТГ_ИД!$E:$E,ТГ_ИД!$B:$B,ТГ!$G$10,ТГ_ИД!$D:$D,ТГ!$A678)</f>
        <v>0</v>
      </c>
      <c r="S677" s="130">
        <f>SUMIFS(ТГ_ИД!$E:$E,ТГ_ИД!$B:$B,ТГ!$G$11,ТГ_ИД!$D:$D,ТГ!$A678)</f>
        <v>0</v>
      </c>
      <c r="T677" s="130">
        <f>SUMIFS(ТГ_ИД!$E:$E,ТГ_ИД!$B:$B,ТГ!$G$12,ТГ_ИД!$D:$D,ТГ!$A678)</f>
        <v>0</v>
      </c>
      <c r="U677" s="130">
        <f>SUMIFS(ТГ_ИД!$E:$E,ТГ_ИД!$B:$B,ТГ!$G$13,ТГ_ИД!$D:$D,ТГ!$A678)</f>
        <v>0</v>
      </c>
      <c r="V677" s="130">
        <f>SUMIFS(ТГ_ИД!$E:$E,ТГ_ИД!$B:$B,ТГ!$G$14,ТГ_ИД!$D:$D,ТГ!$A678)</f>
        <v>0</v>
      </c>
    </row>
    <row r="678" spans="1:22" x14ac:dyDescent="0.25">
      <c r="A678" s="116" t="str">
        <f t="shared" si="11"/>
        <v/>
      </c>
      <c r="K678" s="130">
        <f>SUMIFS(ТГ_ИД!$E:$E,ТГ_ИД!$B:$B,ТГ!$G$3,ТГ_ИД!$D:$D,ТГ!$A679)</f>
        <v>0</v>
      </c>
      <c r="L678" s="130">
        <f>SUMIFS(ТГ_ИД!$E:$E,ТГ_ИД!$B:$B,ТГ!$G$4,ТГ_ИД!$D:$D,ТГ!$A679)</f>
        <v>0</v>
      </c>
      <c r="M678" s="130">
        <f>SUMIFS(ТГ_ИД!$E:$E,ТГ_ИД!$B:$B,ТГ!$G$5,ТГ_ИД!$D:$D,ТГ!$A679)</f>
        <v>0</v>
      </c>
      <c r="N678" s="130">
        <f>SUMIFS(ТГ_ИД!$E:$E,ТГ_ИД!$B:$B,ТГ!$G$6,ТГ_ИД!$D:$D,ТГ!$A679)</f>
        <v>0</v>
      </c>
      <c r="O678" s="130">
        <f>SUMIFS(ТГ_ИД!$E:$E,ТГ_ИД!$B:$B,ТГ!$G$7,ТГ_ИД!$D:$D,ТГ!$A679)</f>
        <v>0</v>
      </c>
      <c r="P678" s="130">
        <f>SUMIFS(ТГ_ИД!$E:$E,ТГ_ИД!$B:$B,ТГ!$G$8,ТГ_ИД!$D:$D,ТГ!$A679)</f>
        <v>0</v>
      </c>
      <c r="Q678" s="130">
        <f>SUMIFS(ТГ_ИД!$E:$E,ТГ_ИД!$B:$B,ТГ!$G$9,ТГ_ИД!$D:$D,ТГ!$A679)</f>
        <v>0</v>
      </c>
      <c r="R678" s="130">
        <f>SUMIFS(ТГ_ИД!$E:$E,ТГ_ИД!$B:$B,ТГ!$G$10,ТГ_ИД!$D:$D,ТГ!$A679)</f>
        <v>0</v>
      </c>
      <c r="S678" s="130">
        <f>SUMIFS(ТГ_ИД!$E:$E,ТГ_ИД!$B:$B,ТГ!$G$11,ТГ_ИД!$D:$D,ТГ!$A679)</f>
        <v>0</v>
      </c>
      <c r="T678" s="130">
        <f>SUMIFS(ТГ_ИД!$E:$E,ТГ_ИД!$B:$B,ТГ!$G$12,ТГ_ИД!$D:$D,ТГ!$A679)</f>
        <v>0</v>
      </c>
      <c r="U678" s="130">
        <f>SUMIFS(ТГ_ИД!$E:$E,ТГ_ИД!$B:$B,ТГ!$G$13,ТГ_ИД!$D:$D,ТГ!$A679)</f>
        <v>0</v>
      </c>
      <c r="V678" s="130">
        <f>SUMIFS(ТГ_ИД!$E:$E,ТГ_ИД!$B:$B,ТГ!$G$14,ТГ_ИД!$D:$D,ТГ!$A679)</f>
        <v>0</v>
      </c>
    </row>
    <row r="679" spans="1:22" x14ac:dyDescent="0.25">
      <c r="A679" s="116" t="str">
        <f t="shared" si="11"/>
        <v/>
      </c>
      <c r="K679" s="130">
        <f>SUMIFS(ТГ_ИД!$E:$E,ТГ_ИД!$B:$B,ТГ!$G$3,ТГ_ИД!$D:$D,ТГ!$A680)</f>
        <v>0</v>
      </c>
      <c r="L679" s="130">
        <f>SUMIFS(ТГ_ИД!$E:$E,ТГ_ИД!$B:$B,ТГ!$G$4,ТГ_ИД!$D:$D,ТГ!$A680)</f>
        <v>0</v>
      </c>
      <c r="M679" s="130">
        <f>SUMIFS(ТГ_ИД!$E:$E,ТГ_ИД!$B:$B,ТГ!$G$5,ТГ_ИД!$D:$D,ТГ!$A680)</f>
        <v>0</v>
      </c>
      <c r="N679" s="130">
        <f>SUMIFS(ТГ_ИД!$E:$E,ТГ_ИД!$B:$B,ТГ!$G$6,ТГ_ИД!$D:$D,ТГ!$A680)</f>
        <v>0</v>
      </c>
      <c r="O679" s="130">
        <f>SUMIFS(ТГ_ИД!$E:$E,ТГ_ИД!$B:$B,ТГ!$G$7,ТГ_ИД!$D:$D,ТГ!$A680)</f>
        <v>0</v>
      </c>
      <c r="P679" s="130">
        <f>SUMIFS(ТГ_ИД!$E:$E,ТГ_ИД!$B:$B,ТГ!$G$8,ТГ_ИД!$D:$D,ТГ!$A680)</f>
        <v>0</v>
      </c>
      <c r="Q679" s="130">
        <f>SUMIFS(ТГ_ИД!$E:$E,ТГ_ИД!$B:$B,ТГ!$G$9,ТГ_ИД!$D:$D,ТГ!$A680)</f>
        <v>0</v>
      </c>
      <c r="R679" s="130">
        <f>SUMIFS(ТГ_ИД!$E:$E,ТГ_ИД!$B:$B,ТГ!$G$10,ТГ_ИД!$D:$D,ТГ!$A680)</f>
        <v>0</v>
      </c>
      <c r="S679" s="130">
        <f>SUMIFS(ТГ_ИД!$E:$E,ТГ_ИД!$B:$B,ТГ!$G$11,ТГ_ИД!$D:$D,ТГ!$A680)</f>
        <v>0</v>
      </c>
      <c r="T679" s="130">
        <f>SUMIFS(ТГ_ИД!$E:$E,ТГ_ИД!$B:$B,ТГ!$G$12,ТГ_ИД!$D:$D,ТГ!$A680)</f>
        <v>0</v>
      </c>
      <c r="U679" s="130">
        <f>SUMIFS(ТГ_ИД!$E:$E,ТГ_ИД!$B:$B,ТГ!$G$13,ТГ_ИД!$D:$D,ТГ!$A680)</f>
        <v>0</v>
      </c>
      <c r="V679" s="130">
        <f>SUMIFS(ТГ_ИД!$E:$E,ТГ_ИД!$B:$B,ТГ!$G$14,ТГ_ИД!$D:$D,ТГ!$A680)</f>
        <v>0</v>
      </c>
    </row>
    <row r="680" spans="1:22" x14ac:dyDescent="0.25">
      <c r="A680" s="116" t="str">
        <f t="shared" si="11"/>
        <v/>
      </c>
      <c r="K680" s="130">
        <f>SUMIFS(ТГ_ИД!$E:$E,ТГ_ИД!$B:$B,ТГ!$G$3,ТГ_ИД!$D:$D,ТГ!$A681)</f>
        <v>0</v>
      </c>
      <c r="L680" s="130">
        <f>SUMIFS(ТГ_ИД!$E:$E,ТГ_ИД!$B:$B,ТГ!$G$4,ТГ_ИД!$D:$D,ТГ!$A681)</f>
        <v>0</v>
      </c>
      <c r="M680" s="130">
        <f>SUMIFS(ТГ_ИД!$E:$E,ТГ_ИД!$B:$B,ТГ!$G$5,ТГ_ИД!$D:$D,ТГ!$A681)</f>
        <v>0</v>
      </c>
      <c r="N680" s="130">
        <f>SUMIFS(ТГ_ИД!$E:$E,ТГ_ИД!$B:$B,ТГ!$G$6,ТГ_ИД!$D:$D,ТГ!$A681)</f>
        <v>0</v>
      </c>
      <c r="O680" s="130">
        <f>SUMIFS(ТГ_ИД!$E:$E,ТГ_ИД!$B:$B,ТГ!$G$7,ТГ_ИД!$D:$D,ТГ!$A681)</f>
        <v>0</v>
      </c>
      <c r="P680" s="130">
        <f>SUMIFS(ТГ_ИД!$E:$E,ТГ_ИД!$B:$B,ТГ!$G$8,ТГ_ИД!$D:$D,ТГ!$A681)</f>
        <v>0</v>
      </c>
      <c r="Q680" s="130">
        <f>SUMIFS(ТГ_ИД!$E:$E,ТГ_ИД!$B:$B,ТГ!$G$9,ТГ_ИД!$D:$D,ТГ!$A681)</f>
        <v>0</v>
      </c>
      <c r="R680" s="130">
        <f>SUMIFS(ТГ_ИД!$E:$E,ТГ_ИД!$B:$B,ТГ!$G$10,ТГ_ИД!$D:$D,ТГ!$A681)</f>
        <v>0</v>
      </c>
      <c r="S680" s="130">
        <f>SUMIFS(ТГ_ИД!$E:$E,ТГ_ИД!$B:$B,ТГ!$G$11,ТГ_ИД!$D:$D,ТГ!$A681)</f>
        <v>0</v>
      </c>
      <c r="T680" s="130">
        <f>SUMIFS(ТГ_ИД!$E:$E,ТГ_ИД!$B:$B,ТГ!$G$12,ТГ_ИД!$D:$D,ТГ!$A681)</f>
        <v>0</v>
      </c>
      <c r="U680" s="130">
        <f>SUMIFS(ТГ_ИД!$E:$E,ТГ_ИД!$B:$B,ТГ!$G$13,ТГ_ИД!$D:$D,ТГ!$A681)</f>
        <v>0</v>
      </c>
      <c r="V680" s="130">
        <f>SUMIFS(ТГ_ИД!$E:$E,ТГ_ИД!$B:$B,ТГ!$G$14,ТГ_ИД!$D:$D,ТГ!$A681)</f>
        <v>0</v>
      </c>
    </row>
    <row r="681" spans="1:22" x14ac:dyDescent="0.25">
      <c r="A681" s="116" t="str">
        <f t="shared" si="11"/>
        <v/>
      </c>
      <c r="K681" s="130">
        <f>SUMIFS(ТГ_ИД!$E:$E,ТГ_ИД!$B:$B,ТГ!$G$3,ТГ_ИД!$D:$D,ТГ!$A682)</f>
        <v>0</v>
      </c>
      <c r="L681" s="130">
        <f>SUMIFS(ТГ_ИД!$E:$E,ТГ_ИД!$B:$B,ТГ!$G$4,ТГ_ИД!$D:$D,ТГ!$A682)</f>
        <v>0</v>
      </c>
      <c r="M681" s="130">
        <f>SUMIFS(ТГ_ИД!$E:$E,ТГ_ИД!$B:$B,ТГ!$G$5,ТГ_ИД!$D:$D,ТГ!$A682)</f>
        <v>0</v>
      </c>
      <c r="N681" s="130">
        <f>SUMIFS(ТГ_ИД!$E:$E,ТГ_ИД!$B:$B,ТГ!$G$6,ТГ_ИД!$D:$D,ТГ!$A682)</f>
        <v>0</v>
      </c>
      <c r="O681" s="130">
        <f>SUMIFS(ТГ_ИД!$E:$E,ТГ_ИД!$B:$B,ТГ!$G$7,ТГ_ИД!$D:$D,ТГ!$A682)</f>
        <v>0</v>
      </c>
      <c r="P681" s="130">
        <f>SUMIFS(ТГ_ИД!$E:$E,ТГ_ИД!$B:$B,ТГ!$G$8,ТГ_ИД!$D:$D,ТГ!$A682)</f>
        <v>0</v>
      </c>
      <c r="Q681" s="130">
        <f>SUMIFS(ТГ_ИД!$E:$E,ТГ_ИД!$B:$B,ТГ!$G$9,ТГ_ИД!$D:$D,ТГ!$A682)</f>
        <v>0</v>
      </c>
      <c r="R681" s="130">
        <f>SUMIFS(ТГ_ИД!$E:$E,ТГ_ИД!$B:$B,ТГ!$G$10,ТГ_ИД!$D:$D,ТГ!$A682)</f>
        <v>0</v>
      </c>
      <c r="S681" s="130">
        <f>SUMIFS(ТГ_ИД!$E:$E,ТГ_ИД!$B:$B,ТГ!$G$11,ТГ_ИД!$D:$D,ТГ!$A682)</f>
        <v>0</v>
      </c>
      <c r="T681" s="130">
        <f>SUMIFS(ТГ_ИД!$E:$E,ТГ_ИД!$B:$B,ТГ!$G$12,ТГ_ИД!$D:$D,ТГ!$A682)</f>
        <v>0</v>
      </c>
      <c r="U681" s="130">
        <f>SUMIFS(ТГ_ИД!$E:$E,ТГ_ИД!$B:$B,ТГ!$G$13,ТГ_ИД!$D:$D,ТГ!$A682)</f>
        <v>0</v>
      </c>
      <c r="V681" s="130">
        <f>SUMIFS(ТГ_ИД!$E:$E,ТГ_ИД!$B:$B,ТГ!$G$14,ТГ_ИД!$D:$D,ТГ!$A682)</f>
        <v>0</v>
      </c>
    </row>
    <row r="682" spans="1:22" x14ac:dyDescent="0.25">
      <c r="A682" s="116" t="str">
        <f t="shared" si="11"/>
        <v/>
      </c>
      <c r="K682" s="130">
        <f>SUMIFS(ТГ_ИД!$E:$E,ТГ_ИД!$B:$B,ТГ!$G$3,ТГ_ИД!$D:$D,ТГ!$A683)</f>
        <v>0</v>
      </c>
      <c r="L682" s="130">
        <f>SUMIFS(ТГ_ИД!$E:$E,ТГ_ИД!$B:$B,ТГ!$G$4,ТГ_ИД!$D:$D,ТГ!$A683)</f>
        <v>0</v>
      </c>
      <c r="M682" s="130">
        <f>SUMIFS(ТГ_ИД!$E:$E,ТГ_ИД!$B:$B,ТГ!$G$5,ТГ_ИД!$D:$D,ТГ!$A683)</f>
        <v>0</v>
      </c>
      <c r="N682" s="130">
        <f>SUMIFS(ТГ_ИД!$E:$E,ТГ_ИД!$B:$B,ТГ!$G$6,ТГ_ИД!$D:$D,ТГ!$A683)</f>
        <v>0</v>
      </c>
      <c r="O682" s="130">
        <f>SUMIFS(ТГ_ИД!$E:$E,ТГ_ИД!$B:$B,ТГ!$G$7,ТГ_ИД!$D:$D,ТГ!$A683)</f>
        <v>0</v>
      </c>
      <c r="P682" s="130">
        <f>SUMIFS(ТГ_ИД!$E:$E,ТГ_ИД!$B:$B,ТГ!$G$8,ТГ_ИД!$D:$D,ТГ!$A683)</f>
        <v>0</v>
      </c>
      <c r="Q682" s="130">
        <f>SUMIFS(ТГ_ИД!$E:$E,ТГ_ИД!$B:$B,ТГ!$G$9,ТГ_ИД!$D:$D,ТГ!$A683)</f>
        <v>0</v>
      </c>
      <c r="R682" s="130">
        <f>SUMIFS(ТГ_ИД!$E:$E,ТГ_ИД!$B:$B,ТГ!$G$10,ТГ_ИД!$D:$D,ТГ!$A683)</f>
        <v>0</v>
      </c>
      <c r="S682" s="130">
        <f>SUMIFS(ТГ_ИД!$E:$E,ТГ_ИД!$B:$B,ТГ!$G$11,ТГ_ИД!$D:$D,ТГ!$A683)</f>
        <v>0</v>
      </c>
      <c r="T682" s="130">
        <f>SUMIFS(ТГ_ИД!$E:$E,ТГ_ИД!$B:$B,ТГ!$G$12,ТГ_ИД!$D:$D,ТГ!$A683)</f>
        <v>0</v>
      </c>
      <c r="U682" s="130">
        <f>SUMIFS(ТГ_ИД!$E:$E,ТГ_ИД!$B:$B,ТГ!$G$13,ТГ_ИД!$D:$D,ТГ!$A683)</f>
        <v>0</v>
      </c>
      <c r="V682" s="130">
        <f>SUMIFS(ТГ_ИД!$E:$E,ТГ_ИД!$B:$B,ТГ!$G$14,ТГ_ИД!$D:$D,ТГ!$A683)</f>
        <v>0</v>
      </c>
    </row>
    <row r="683" spans="1:22" x14ac:dyDescent="0.25">
      <c r="A683" s="116" t="str">
        <f t="shared" si="11"/>
        <v/>
      </c>
      <c r="K683" s="130">
        <f>SUMIFS(ТГ_ИД!$E:$E,ТГ_ИД!$B:$B,ТГ!$G$3,ТГ_ИД!$D:$D,ТГ!$A684)</f>
        <v>0</v>
      </c>
      <c r="L683" s="130">
        <f>SUMIFS(ТГ_ИД!$E:$E,ТГ_ИД!$B:$B,ТГ!$G$4,ТГ_ИД!$D:$D,ТГ!$A684)</f>
        <v>0</v>
      </c>
      <c r="M683" s="130">
        <f>SUMIFS(ТГ_ИД!$E:$E,ТГ_ИД!$B:$B,ТГ!$G$5,ТГ_ИД!$D:$D,ТГ!$A684)</f>
        <v>0</v>
      </c>
      <c r="N683" s="130">
        <f>SUMIFS(ТГ_ИД!$E:$E,ТГ_ИД!$B:$B,ТГ!$G$6,ТГ_ИД!$D:$D,ТГ!$A684)</f>
        <v>0</v>
      </c>
      <c r="O683" s="130">
        <f>SUMIFS(ТГ_ИД!$E:$E,ТГ_ИД!$B:$B,ТГ!$G$7,ТГ_ИД!$D:$D,ТГ!$A684)</f>
        <v>0</v>
      </c>
      <c r="P683" s="130">
        <f>SUMIFS(ТГ_ИД!$E:$E,ТГ_ИД!$B:$B,ТГ!$G$8,ТГ_ИД!$D:$D,ТГ!$A684)</f>
        <v>0</v>
      </c>
      <c r="Q683" s="130">
        <f>SUMIFS(ТГ_ИД!$E:$E,ТГ_ИД!$B:$B,ТГ!$G$9,ТГ_ИД!$D:$D,ТГ!$A684)</f>
        <v>0</v>
      </c>
      <c r="R683" s="130">
        <f>SUMIFS(ТГ_ИД!$E:$E,ТГ_ИД!$B:$B,ТГ!$G$10,ТГ_ИД!$D:$D,ТГ!$A684)</f>
        <v>0</v>
      </c>
      <c r="S683" s="130">
        <f>SUMIFS(ТГ_ИД!$E:$E,ТГ_ИД!$B:$B,ТГ!$G$11,ТГ_ИД!$D:$D,ТГ!$A684)</f>
        <v>0</v>
      </c>
      <c r="T683" s="130">
        <f>SUMIFS(ТГ_ИД!$E:$E,ТГ_ИД!$B:$B,ТГ!$G$12,ТГ_ИД!$D:$D,ТГ!$A684)</f>
        <v>0</v>
      </c>
      <c r="U683" s="130">
        <f>SUMIFS(ТГ_ИД!$E:$E,ТГ_ИД!$B:$B,ТГ!$G$13,ТГ_ИД!$D:$D,ТГ!$A684)</f>
        <v>0</v>
      </c>
      <c r="V683" s="130">
        <f>SUMIFS(ТГ_ИД!$E:$E,ТГ_ИД!$B:$B,ТГ!$G$14,ТГ_ИД!$D:$D,ТГ!$A684)</f>
        <v>0</v>
      </c>
    </row>
    <row r="684" spans="1:22" x14ac:dyDescent="0.25">
      <c r="A684" s="116" t="str">
        <f t="shared" si="11"/>
        <v/>
      </c>
      <c r="K684" s="130">
        <f>SUMIFS(ТГ_ИД!$E:$E,ТГ_ИД!$B:$B,ТГ!$G$3,ТГ_ИД!$D:$D,ТГ!$A685)</f>
        <v>0</v>
      </c>
      <c r="L684" s="130">
        <f>SUMIFS(ТГ_ИД!$E:$E,ТГ_ИД!$B:$B,ТГ!$G$4,ТГ_ИД!$D:$D,ТГ!$A685)</f>
        <v>0</v>
      </c>
      <c r="M684" s="130">
        <f>SUMIFS(ТГ_ИД!$E:$E,ТГ_ИД!$B:$B,ТГ!$G$5,ТГ_ИД!$D:$D,ТГ!$A685)</f>
        <v>0</v>
      </c>
      <c r="N684" s="130">
        <f>SUMIFS(ТГ_ИД!$E:$E,ТГ_ИД!$B:$B,ТГ!$G$6,ТГ_ИД!$D:$D,ТГ!$A685)</f>
        <v>0</v>
      </c>
      <c r="O684" s="130">
        <f>SUMIFS(ТГ_ИД!$E:$E,ТГ_ИД!$B:$B,ТГ!$G$7,ТГ_ИД!$D:$D,ТГ!$A685)</f>
        <v>0</v>
      </c>
      <c r="P684" s="130">
        <f>SUMIFS(ТГ_ИД!$E:$E,ТГ_ИД!$B:$B,ТГ!$G$8,ТГ_ИД!$D:$D,ТГ!$A685)</f>
        <v>0</v>
      </c>
      <c r="Q684" s="130">
        <f>SUMIFS(ТГ_ИД!$E:$E,ТГ_ИД!$B:$B,ТГ!$G$9,ТГ_ИД!$D:$D,ТГ!$A685)</f>
        <v>0</v>
      </c>
      <c r="R684" s="130">
        <f>SUMIFS(ТГ_ИД!$E:$E,ТГ_ИД!$B:$B,ТГ!$G$10,ТГ_ИД!$D:$D,ТГ!$A685)</f>
        <v>0</v>
      </c>
      <c r="S684" s="130">
        <f>SUMIFS(ТГ_ИД!$E:$E,ТГ_ИД!$B:$B,ТГ!$G$11,ТГ_ИД!$D:$D,ТГ!$A685)</f>
        <v>0</v>
      </c>
      <c r="T684" s="130">
        <f>SUMIFS(ТГ_ИД!$E:$E,ТГ_ИД!$B:$B,ТГ!$G$12,ТГ_ИД!$D:$D,ТГ!$A685)</f>
        <v>0</v>
      </c>
      <c r="U684" s="130">
        <f>SUMIFS(ТГ_ИД!$E:$E,ТГ_ИД!$B:$B,ТГ!$G$13,ТГ_ИД!$D:$D,ТГ!$A685)</f>
        <v>0</v>
      </c>
      <c r="V684" s="130">
        <f>SUMIFS(ТГ_ИД!$E:$E,ТГ_ИД!$B:$B,ТГ!$G$14,ТГ_ИД!$D:$D,ТГ!$A685)</f>
        <v>0</v>
      </c>
    </row>
    <row r="685" spans="1:22" x14ac:dyDescent="0.25">
      <c r="A685" s="116" t="str">
        <f t="shared" si="11"/>
        <v/>
      </c>
      <c r="K685" s="130">
        <f>SUMIFS(ТГ_ИД!$E:$E,ТГ_ИД!$B:$B,ТГ!$G$3,ТГ_ИД!$D:$D,ТГ!$A686)</f>
        <v>0</v>
      </c>
      <c r="L685" s="130">
        <f>SUMIFS(ТГ_ИД!$E:$E,ТГ_ИД!$B:$B,ТГ!$G$4,ТГ_ИД!$D:$D,ТГ!$A686)</f>
        <v>0</v>
      </c>
      <c r="M685" s="130">
        <f>SUMIFS(ТГ_ИД!$E:$E,ТГ_ИД!$B:$B,ТГ!$G$5,ТГ_ИД!$D:$D,ТГ!$A686)</f>
        <v>0</v>
      </c>
      <c r="N685" s="130">
        <f>SUMIFS(ТГ_ИД!$E:$E,ТГ_ИД!$B:$B,ТГ!$G$6,ТГ_ИД!$D:$D,ТГ!$A686)</f>
        <v>0</v>
      </c>
      <c r="O685" s="130">
        <f>SUMIFS(ТГ_ИД!$E:$E,ТГ_ИД!$B:$B,ТГ!$G$7,ТГ_ИД!$D:$D,ТГ!$A686)</f>
        <v>0</v>
      </c>
      <c r="P685" s="130">
        <f>SUMIFS(ТГ_ИД!$E:$E,ТГ_ИД!$B:$B,ТГ!$G$8,ТГ_ИД!$D:$D,ТГ!$A686)</f>
        <v>0</v>
      </c>
      <c r="Q685" s="130">
        <f>SUMIFS(ТГ_ИД!$E:$E,ТГ_ИД!$B:$B,ТГ!$G$9,ТГ_ИД!$D:$D,ТГ!$A686)</f>
        <v>0</v>
      </c>
      <c r="R685" s="130">
        <f>SUMIFS(ТГ_ИД!$E:$E,ТГ_ИД!$B:$B,ТГ!$G$10,ТГ_ИД!$D:$D,ТГ!$A686)</f>
        <v>0</v>
      </c>
      <c r="S685" s="130">
        <f>SUMIFS(ТГ_ИД!$E:$E,ТГ_ИД!$B:$B,ТГ!$G$11,ТГ_ИД!$D:$D,ТГ!$A686)</f>
        <v>0</v>
      </c>
      <c r="T685" s="130">
        <f>SUMIFS(ТГ_ИД!$E:$E,ТГ_ИД!$B:$B,ТГ!$G$12,ТГ_ИД!$D:$D,ТГ!$A686)</f>
        <v>0</v>
      </c>
      <c r="U685" s="130">
        <f>SUMIFS(ТГ_ИД!$E:$E,ТГ_ИД!$B:$B,ТГ!$G$13,ТГ_ИД!$D:$D,ТГ!$A686)</f>
        <v>0</v>
      </c>
      <c r="V685" s="130">
        <f>SUMIFS(ТГ_ИД!$E:$E,ТГ_ИД!$B:$B,ТГ!$G$14,ТГ_ИД!$D:$D,ТГ!$A686)</f>
        <v>0</v>
      </c>
    </row>
    <row r="686" spans="1:22" x14ac:dyDescent="0.25">
      <c r="A686" s="116" t="str">
        <f t="shared" si="11"/>
        <v/>
      </c>
      <c r="K686" s="130">
        <f>SUMIFS(ТГ_ИД!$E:$E,ТГ_ИД!$B:$B,ТГ!$G$3,ТГ_ИД!$D:$D,ТГ!$A687)</f>
        <v>0</v>
      </c>
      <c r="L686" s="130">
        <f>SUMIFS(ТГ_ИД!$E:$E,ТГ_ИД!$B:$B,ТГ!$G$4,ТГ_ИД!$D:$D,ТГ!$A687)</f>
        <v>0</v>
      </c>
      <c r="M686" s="130">
        <f>SUMIFS(ТГ_ИД!$E:$E,ТГ_ИД!$B:$B,ТГ!$G$5,ТГ_ИД!$D:$D,ТГ!$A687)</f>
        <v>0</v>
      </c>
      <c r="N686" s="130">
        <f>SUMIFS(ТГ_ИД!$E:$E,ТГ_ИД!$B:$B,ТГ!$G$6,ТГ_ИД!$D:$D,ТГ!$A687)</f>
        <v>0</v>
      </c>
      <c r="O686" s="130">
        <f>SUMIFS(ТГ_ИД!$E:$E,ТГ_ИД!$B:$B,ТГ!$G$7,ТГ_ИД!$D:$D,ТГ!$A687)</f>
        <v>0</v>
      </c>
      <c r="P686" s="130">
        <f>SUMIFS(ТГ_ИД!$E:$E,ТГ_ИД!$B:$B,ТГ!$G$8,ТГ_ИД!$D:$D,ТГ!$A687)</f>
        <v>0</v>
      </c>
      <c r="Q686" s="130">
        <f>SUMIFS(ТГ_ИД!$E:$E,ТГ_ИД!$B:$B,ТГ!$G$9,ТГ_ИД!$D:$D,ТГ!$A687)</f>
        <v>0</v>
      </c>
      <c r="R686" s="130">
        <f>SUMIFS(ТГ_ИД!$E:$E,ТГ_ИД!$B:$B,ТГ!$G$10,ТГ_ИД!$D:$D,ТГ!$A687)</f>
        <v>0</v>
      </c>
      <c r="S686" s="130">
        <f>SUMIFS(ТГ_ИД!$E:$E,ТГ_ИД!$B:$B,ТГ!$G$11,ТГ_ИД!$D:$D,ТГ!$A687)</f>
        <v>0</v>
      </c>
      <c r="T686" s="130">
        <f>SUMIFS(ТГ_ИД!$E:$E,ТГ_ИД!$B:$B,ТГ!$G$12,ТГ_ИД!$D:$D,ТГ!$A687)</f>
        <v>0</v>
      </c>
      <c r="U686" s="130">
        <f>SUMIFS(ТГ_ИД!$E:$E,ТГ_ИД!$B:$B,ТГ!$G$13,ТГ_ИД!$D:$D,ТГ!$A687)</f>
        <v>0</v>
      </c>
      <c r="V686" s="130">
        <f>SUMIFS(ТГ_ИД!$E:$E,ТГ_ИД!$B:$B,ТГ!$G$14,ТГ_ИД!$D:$D,ТГ!$A687)</f>
        <v>0</v>
      </c>
    </row>
    <row r="687" spans="1:22" x14ac:dyDescent="0.25">
      <c r="A687" s="116" t="str">
        <f t="shared" si="11"/>
        <v/>
      </c>
      <c r="K687" s="130">
        <f>SUMIFS(ТГ_ИД!$E:$E,ТГ_ИД!$B:$B,ТГ!$G$3,ТГ_ИД!$D:$D,ТГ!$A688)</f>
        <v>0</v>
      </c>
      <c r="L687" s="130">
        <f>SUMIFS(ТГ_ИД!$E:$E,ТГ_ИД!$B:$B,ТГ!$G$4,ТГ_ИД!$D:$D,ТГ!$A688)</f>
        <v>0</v>
      </c>
      <c r="M687" s="130">
        <f>SUMIFS(ТГ_ИД!$E:$E,ТГ_ИД!$B:$B,ТГ!$G$5,ТГ_ИД!$D:$D,ТГ!$A688)</f>
        <v>0</v>
      </c>
      <c r="N687" s="130">
        <f>SUMIFS(ТГ_ИД!$E:$E,ТГ_ИД!$B:$B,ТГ!$G$6,ТГ_ИД!$D:$D,ТГ!$A688)</f>
        <v>0</v>
      </c>
      <c r="O687" s="130">
        <f>SUMIFS(ТГ_ИД!$E:$E,ТГ_ИД!$B:$B,ТГ!$G$7,ТГ_ИД!$D:$D,ТГ!$A688)</f>
        <v>0</v>
      </c>
      <c r="P687" s="130">
        <f>SUMIFS(ТГ_ИД!$E:$E,ТГ_ИД!$B:$B,ТГ!$G$8,ТГ_ИД!$D:$D,ТГ!$A688)</f>
        <v>0</v>
      </c>
      <c r="Q687" s="130">
        <f>SUMIFS(ТГ_ИД!$E:$E,ТГ_ИД!$B:$B,ТГ!$G$9,ТГ_ИД!$D:$D,ТГ!$A688)</f>
        <v>0</v>
      </c>
      <c r="R687" s="130">
        <f>SUMIFS(ТГ_ИД!$E:$E,ТГ_ИД!$B:$B,ТГ!$G$10,ТГ_ИД!$D:$D,ТГ!$A688)</f>
        <v>0</v>
      </c>
      <c r="S687" s="130">
        <f>SUMIFS(ТГ_ИД!$E:$E,ТГ_ИД!$B:$B,ТГ!$G$11,ТГ_ИД!$D:$D,ТГ!$A688)</f>
        <v>0</v>
      </c>
      <c r="T687" s="130">
        <f>SUMIFS(ТГ_ИД!$E:$E,ТГ_ИД!$B:$B,ТГ!$G$12,ТГ_ИД!$D:$D,ТГ!$A688)</f>
        <v>0</v>
      </c>
      <c r="U687" s="130">
        <f>SUMIFS(ТГ_ИД!$E:$E,ТГ_ИД!$B:$B,ТГ!$G$13,ТГ_ИД!$D:$D,ТГ!$A688)</f>
        <v>0</v>
      </c>
      <c r="V687" s="130">
        <f>SUMIFS(ТГ_ИД!$E:$E,ТГ_ИД!$B:$B,ТГ!$G$14,ТГ_ИД!$D:$D,ТГ!$A688)</f>
        <v>0</v>
      </c>
    </row>
    <row r="688" spans="1:22" x14ac:dyDescent="0.25">
      <c r="A688" s="116" t="str">
        <f t="shared" si="11"/>
        <v/>
      </c>
      <c r="K688" s="130">
        <f>SUMIFS(ТГ_ИД!$E:$E,ТГ_ИД!$B:$B,ТГ!$G$3,ТГ_ИД!$D:$D,ТГ!$A689)</f>
        <v>0</v>
      </c>
      <c r="L688" s="130">
        <f>SUMIFS(ТГ_ИД!$E:$E,ТГ_ИД!$B:$B,ТГ!$G$4,ТГ_ИД!$D:$D,ТГ!$A689)</f>
        <v>0</v>
      </c>
      <c r="M688" s="130">
        <f>SUMIFS(ТГ_ИД!$E:$E,ТГ_ИД!$B:$B,ТГ!$G$5,ТГ_ИД!$D:$D,ТГ!$A689)</f>
        <v>0</v>
      </c>
      <c r="N688" s="130">
        <f>SUMIFS(ТГ_ИД!$E:$E,ТГ_ИД!$B:$B,ТГ!$G$6,ТГ_ИД!$D:$D,ТГ!$A689)</f>
        <v>0</v>
      </c>
      <c r="O688" s="130">
        <f>SUMIFS(ТГ_ИД!$E:$E,ТГ_ИД!$B:$B,ТГ!$G$7,ТГ_ИД!$D:$D,ТГ!$A689)</f>
        <v>0</v>
      </c>
      <c r="P688" s="130">
        <f>SUMIFS(ТГ_ИД!$E:$E,ТГ_ИД!$B:$B,ТГ!$G$8,ТГ_ИД!$D:$D,ТГ!$A689)</f>
        <v>0</v>
      </c>
      <c r="Q688" s="130">
        <f>SUMIFS(ТГ_ИД!$E:$E,ТГ_ИД!$B:$B,ТГ!$G$9,ТГ_ИД!$D:$D,ТГ!$A689)</f>
        <v>0</v>
      </c>
      <c r="R688" s="130">
        <f>SUMIFS(ТГ_ИД!$E:$E,ТГ_ИД!$B:$B,ТГ!$G$10,ТГ_ИД!$D:$D,ТГ!$A689)</f>
        <v>0</v>
      </c>
      <c r="S688" s="130">
        <f>SUMIFS(ТГ_ИД!$E:$E,ТГ_ИД!$B:$B,ТГ!$G$11,ТГ_ИД!$D:$D,ТГ!$A689)</f>
        <v>0</v>
      </c>
      <c r="T688" s="130">
        <f>SUMIFS(ТГ_ИД!$E:$E,ТГ_ИД!$B:$B,ТГ!$G$12,ТГ_ИД!$D:$D,ТГ!$A689)</f>
        <v>0</v>
      </c>
      <c r="U688" s="130">
        <f>SUMIFS(ТГ_ИД!$E:$E,ТГ_ИД!$B:$B,ТГ!$G$13,ТГ_ИД!$D:$D,ТГ!$A689)</f>
        <v>0</v>
      </c>
      <c r="V688" s="130">
        <f>SUMIFS(ТГ_ИД!$E:$E,ТГ_ИД!$B:$B,ТГ!$G$14,ТГ_ИД!$D:$D,ТГ!$A689)</f>
        <v>0</v>
      </c>
    </row>
    <row r="689" spans="1:22" x14ac:dyDescent="0.25">
      <c r="A689" s="116" t="str">
        <f t="shared" si="11"/>
        <v/>
      </c>
      <c r="K689" s="130">
        <f>SUMIFS(ТГ_ИД!$E:$E,ТГ_ИД!$B:$B,ТГ!$G$3,ТГ_ИД!$D:$D,ТГ!$A690)</f>
        <v>0</v>
      </c>
      <c r="L689" s="130">
        <f>SUMIFS(ТГ_ИД!$E:$E,ТГ_ИД!$B:$B,ТГ!$G$4,ТГ_ИД!$D:$D,ТГ!$A690)</f>
        <v>0</v>
      </c>
      <c r="M689" s="130">
        <f>SUMIFS(ТГ_ИД!$E:$E,ТГ_ИД!$B:$B,ТГ!$G$5,ТГ_ИД!$D:$D,ТГ!$A690)</f>
        <v>0</v>
      </c>
      <c r="N689" s="130">
        <f>SUMIFS(ТГ_ИД!$E:$E,ТГ_ИД!$B:$B,ТГ!$G$6,ТГ_ИД!$D:$D,ТГ!$A690)</f>
        <v>0</v>
      </c>
      <c r="O689" s="130">
        <f>SUMIFS(ТГ_ИД!$E:$E,ТГ_ИД!$B:$B,ТГ!$G$7,ТГ_ИД!$D:$D,ТГ!$A690)</f>
        <v>0</v>
      </c>
      <c r="P689" s="130">
        <f>SUMIFS(ТГ_ИД!$E:$E,ТГ_ИД!$B:$B,ТГ!$G$8,ТГ_ИД!$D:$D,ТГ!$A690)</f>
        <v>0</v>
      </c>
      <c r="Q689" s="130">
        <f>SUMIFS(ТГ_ИД!$E:$E,ТГ_ИД!$B:$B,ТГ!$G$9,ТГ_ИД!$D:$D,ТГ!$A690)</f>
        <v>0</v>
      </c>
      <c r="R689" s="130">
        <f>SUMIFS(ТГ_ИД!$E:$E,ТГ_ИД!$B:$B,ТГ!$G$10,ТГ_ИД!$D:$D,ТГ!$A690)</f>
        <v>0</v>
      </c>
      <c r="S689" s="130">
        <f>SUMIFS(ТГ_ИД!$E:$E,ТГ_ИД!$B:$B,ТГ!$G$11,ТГ_ИД!$D:$D,ТГ!$A690)</f>
        <v>0</v>
      </c>
      <c r="T689" s="130">
        <f>SUMIFS(ТГ_ИД!$E:$E,ТГ_ИД!$B:$B,ТГ!$G$12,ТГ_ИД!$D:$D,ТГ!$A690)</f>
        <v>0</v>
      </c>
      <c r="U689" s="130">
        <f>SUMIFS(ТГ_ИД!$E:$E,ТГ_ИД!$B:$B,ТГ!$G$13,ТГ_ИД!$D:$D,ТГ!$A690)</f>
        <v>0</v>
      </c>
      <c r="V689" s="130">
        <f>SUMIFS(ТГ_ИД!$E:$E,ТГ_ИД!$B:$B,ТГ!$G$14,ТГ_ИД!$D:$D,ТГ!$A690)</f>
        <v>0</v>
      </c>
    </row>
    <row r="690" spans="1:22" x14ac:dyDescent="0.25">
      <c r="A690" s="116" t="str">
        <f t="shared" si="11"/>
        <v/>
      </c>
      <c r="K690" s="130">
        <f>SUMIFS(ТГ_ИД!$E:$E,ТГ_ИД!$B:$B,ТГ!$G$3,ТГ_ИД!$D:$D,ТГ!$A691)</f>
        <v>0</v>
      </c>
      <c r="L690" s="130">
        <f>SUMIFS(ТГ_ИД!$E:$E,ТГ_ИД!$B:$B,ТГ!$G$4,ТГ_ИД!$D:$D,ТГ!$A691)</f>
        <v>0</v>
      </c>
      <c r="M690" s="130">
        <f>SUMIFS(ТГ_ИД!$E:$E,ТГ_ИД!$B:$B,ТГ!$G$5,ТГ_ИД!$D:$D,ТГ!$A691)</f>
        <v>0</v>
      </c>
      <c r="N690" s="130">
        <f>SUMIFS(ТГ_ИД!$E:$E,ТГ_ИД!$B:$B,ТГ!$G$6,ТГ_ИД!$D:$D,ТГ!$A691)</f>
        <v>0</v>
      </c>
      <c r="O690" s="130">
        <f>SUMIFS(ТГ_ИД!$E:$E,ТГ_ИД!$B:$B,ТГ!$G$7,ТГ_ИД!$D:$D,ТГ!$A691)</f>
        <v>0</v>
      </c>
      <c r="P690" s="130">
        <f>SUMIFS(ТГ_ИД!$E:$E,ТГ_ИД!$B:$B,ТГ!$G$8,ТГ_ИД!$D:$D,ТГ!$A691)</f>
        <v>0</v>
      </c>
      <c r="Q690" s="130">
        <f>SUMIFS(ТГ_ИД!$E:$E,ТГ_ИД!$B:$B,ТГ!$G$9,ТГ_ИД!$D:$D,ТГ!$A691)</f>
        <v>0</v>
      </c>
      <c r="R690" s="130">
        <f>SUMIFS(ТГ_ИД!$E:$E,ТГ_ИД!$B:$B,ТГ!$G$10,ТГ_ИД!$D:$D,ТГ!$A691)</f>
        <v>0</v>
      </c>
      <c r="S690" s="130">
        <f>SUMIFS(ТГ_ИД!$E:$E,ТГ_ИД!$B:$B,ТГ!$G$11,ТГ_ИД!$D:$D,ТГ!$A691)</f>
        <v>0</v>
      </c>
      <c r="T690" s="130">
        <f>SUMIFS(ТГ_ИД!$E:$E,ТГ_ИД!$B:$B,ТГ!$G$12,ТГ_ИД!$D:$D,ТГ!$A691)</f>
        <v>0</v>
      </c>
      <c r="U690" s="130">
        <f>SUMIFS(ТГ_ИД!$E:$E,ТГ_ИД!$B:$B,ТГ!$G$13,ТГ_ИД!$D:$D,ТГ!$A691)</f>
        <v>0</v>
      </c>
      <c r="V690" s="130">
        <f>SUMIFS(ТГ_ИД!$E:$E,ТГ_ИД!$B:$B,ТГ!$G$14,ТГ_ИД!$D:$D,ТГ!$A691)</f>
        <v>0</v>
      </c>
    </row>
    <row r="691" spans="1:22" x14ac:dyDescent="0.25">
      <c r="A691" s="116" t="str">
        <f t="shared" si="11"/>
        <v/>
      </c>
      <c r="K691" s="130">
        <f>SUMIFS(ТГ_ИД!$E:$E,ТГ_ИД!$B:$B,ТГ!$G$3,ТГ_ИД!$D:$D,ТГ!$A692)</f>
        <v>0</v>
      </c>
      <c r="L691" s="130">
        <f>SUMIFS(ТГ_ИД!$E:$E,ТГ_ИД!$B:$B,ТГ!$G$4,ТГ_ИД!$D:$D,ТГ!$A692)</f>
        <v>0</v>
      </c>
      <c r="M691" s="130">
        <f>SUMIFS(ТГ_ИД!$E:$E,ТГ_ИД!$B:$B,ТГ!$G$5,ТГ_ИД!$D:$D,ТГ!$A692)</f>
        <v>0</v>
      </c>
      <c r="N691" s="130">
        <f>SUMIFS(ТГ_ИД!$E:$E,ТГ_ИД!$B:$B,ТГ!$G$6,ТГ_ИД!$D:$D,ТГ!$A692)</f>
        <v>0</v>
      </c>
      <c r="O691" s="130">
        <f>SUMIFS(ТГ_ИД!$E:$E,ТГ_ИД!$B:$B,ТГ!$G$7,ТГ_ИД!$D:$D,ТГ!$A692)</f>
        <v>0</v>
      </c>
      <c r="P691" s="130">
        <f>SUMIFS(ТГ_ИД!$E:$E,ТГ_ИД!$B:$B,ТГ!$G$8,ТГ_ИД!$D:$D,ТГ!$A692)</f>
        <v>0</v>
      </c>
      <c r="Q691" s="130">
        <f>SUMIFS(ТГ_ИД!$E:$E,ТГ_ИД!$B:$B,ТГ!$G$9,ТГ_ИД!$D:$D,ТГ!$A692)</f>
        <v>0</v>
      </c>
      <c r="R691" s="130">
        <f>SUMIFS(ТГ_ИД!$E:$E,ТГ_ИД!$B:$B,ТГ!$G$10,ТГ_ИД!$D:$D,ТГ!$A692)</f>
        <v>0</v>
      </c>
      <c r="S691" s="130">
        <f>SUMIFS(ТГ_ИД!$E:$E,ТГ_ИД!$B:$B,ТГ!$G$11,ТГ_ИД!$D:$D,ТГ!$A692)</f>
        <v>0</v>
      </c>
      <c r="T691" s="130">
        <f>SUMIFS(ТГ_ИД!$E:$E,ТГ_ИД!$B:$B,ТГ!$G$12,ТГ_ИД!$D:$D,ТГ!$A692)</f>
        <v>0</v>
      </c>
      <c r="U691" s="130">
        <f>SUMIFS(ТГ_ИД!$E:$E,ТГ_ИД!$B:$B,ТГ!$G$13,ТГ_ИД!$D:$D,ТГ!$A692)</f>
        <v>0</v>
      </c>
      <c r="V691" s="130">
        <f>SUMIFS(ТГ_ИД!$E:$E,ТГ_ИД!$B:$B,ТГ!$G$14,ТГ_ИД!$D:$D,ТГ!$A692)</f>
        <v>0</v>
      </c>
    </row>
    <row r="692" spans="1:22" x14ac:dyDescent="0.25">
      <c r="A692" s="116" t="str">
        <f t="shared" si="11"/>
        <v/>
      </c>
      <c r="K692" s="130">
        <f>SUMIFS(ТГ_ИД!$E:$E,ТГ_ИД!$B:$B,ТГ!$G$3,ТГ_ИД!$D:$D,ТГ!$A693)</f>
        <v>0</v>
      </c>
      <c r="L692" s="130">
        <f>SUMIFS(ТГ_ИД!$E:$E,ТГ_ИД!$B:$B,ТГ!$G$4,ТГ_ИД!$D:$D,ТГ!$A693)</f>
        <v>0</v>
      </c>
      <c r="M692" s="130">
        <f>SUMIFS(ТГ_ИД!$E:$E,ТГ_ИД!$B:$B,ТГ!$G$5,ТГ_ИД!$D:$D,ТГ!$A693)</f>
        <v>0</v>
      </c>
      <c r="N692" s="130">
        <f>SUMIFS(ТГ_ИД!$E:$E,ТГ_ИД!$B:$B,ТГ!$G$6,ТГ_ИД!$D:$D,ТГ!$A693)</f>
        <v>0</v>
      </c>
      <c r="O692" s="130">
        <f>SUMIFS(ТГ_ИД!$E:$E,ТГ_ИД!$B:$B,ТГ!$G$7,ТГ_ИД!$D:$D,ТГ!$A693)</f>
        <v>0</v>
      </c>
      <c r="P692" s="130">
        <f>SUMIFS(ТГ_ИД!$E:$E,ТГ_ИД!$B:$B,ТГ!$G$8,ТГ_ИД!$D:$D,ТГ!$A693)</f>
        <v>0</v>
      </c>
      <c r="Q692" s="130">
        <f>SUMIFS(ТГ_ИД!$E:$E,ТГ_ИД!$B:$B,ТГ!$G$9,ТГ_ИД!$D:$D,ТГ!$A693)</f>
        <v>0</v>
      </c>
      <c r="R692" s="130">
        <f>SUMIFS(ТГ_ИД!$E:$E,ТГ_ИД!$B:$B,ТГ!$G$10,ТГ_ИД!$D:$D,ТГ!$A693)</f>
        <v>0</v>
      </c>
      <c r="S692" s="130">
        <f>SUMIFS(ТГ_ИД!$E:$E,ТГ_ИД!$B:$B,ТГ!$G$11,ТГ_ИД!$D:$D,ТГ!$A693)</f>
        <v>0</v>
      </c>
      <c r="T692" s="130">
        <f>SUMIFS(ТГ_ИД!$E:$E,ТГ_ИД!$B:$B,ТГ!$G$12,ТГ_ИД!$D:$D,ТГ!$A693)</f>
        <v>0</v>
      </c>
      <c r="U692" s="130">
        <f>SUMIFS(ТГ_ИД!$E:$E,ТГ_ИД!$B:$B,ТГ!$G$13,ТГ_ИД!$D:$D,ТГ!$A693)</f>
        <v>0</v>
      </c>
      <c r="V692" s="130">
        <f>SUMIFS(ТГ_ИД!$E:$E,ТГ_ИД!$B:$B,ТГ!$G$14,ТГ_ИД!$D:$D,ТГ!$A693)</f>
        <v>0</v>
      </c>
    </row>
    <row r="693" spans="1:22" x14ac:dyDescent="0.25">
      <c r="A693" s="116" t="str">
        <f t="shared" si="11"/>
        <v/>
      </c>
      <c r="K693" s="130">
        <f>SUMIFS(ТГ_ИД!$E:$E,ТГ_ИД!$B:$B,ТГ!$G$3,ТГ_ИД!$D:$D,ТГ!$A694)</f>
        <v>0</v>
      </c>
      <c r="L693" s="130">
        <f>SUMIFS(ТГ_ИД!$E:$E,ТГ_ИД!$B:$B,ТГ!$G$4,ТГ_ИД!$D:$D,ТГ!$A694)</f>
        <v>0</v>
      </c>
      <c r="M693" s="130">
        <f>SUMIFS(ТГ_ИД!$E:$E,ТГ_ИД!$B:$B,ТГ!$G$5,ТГ_ИД!$D:$D,ТГ!$A694)</f>
        <v>0</v>
      </c>
      <c r="N693" s="130">
        <f>SUMIFS(ТГ_ИД!$E:$E,ТГ_ИД!$B:$B,ТГ!$G$6,ТГ_ИД!$D:$D,ТГ!$A694)</f>
        <v>0</v>
      </c>
      <c r="O693" s="130">
        <f>SUMIFS(ТГ_ИД!$E:$E,ТГ_ИД!$B:$B,ТГ!$G$7,ТГ_ИД!$D:$D,ТГ!$A694)</f>
        <v>0</v>
      </c>
      <c r="P693" s="130">
        <f>SUMIFS(ТГ_ИД!$E:$E,ТГ_ИД!$B:$B,ТГ!$G$8,ТГ_ИД!$D:$D,ТГ!$A694)</f>
        <v>0</v>
      </c>
      <c r="Q693" s="130">
        <f>SUMIFS(ТГ_ИД!$E:$E,ТГ_ИД!$B:$B,ТГ!$G$9,ТГ_ИД!$D:$D,ТГ!$A694)</f>
        <v>0</v>
      </c>
      <c r="R693" s="130">
        <f>SUMIFS(ТГ_ИД!$E:$E,ТГ_ИД!$B:$B,ТГ!$G$10,ТГ_ИД!$D:$D,ТГ!$A694)</f>
        <v>0</v>
      </c>
      <c r="S693" s="130">
        <f>SUMIFS(ТГ_ИД!$E:$E,ТГ_ИД!$B:$B,ТГ!$G$11,ТГ_ИД!$D:$D,ТГ!$A694)</f>
        <v>0</v>
      </c>
      <c r="T693" s="130">
        <f>SUMIFS(ТГ_ИД!$E:$E,ТГ_ИД!$B:$B,ТГ!$G$12,ТГ_ИД!$D:$D,ТГ!$A694)</f>
        <v>0</v>
      </c>
      <c r="U693" s="130">
        <f>SUMIFS(ТГ_ИД!$E:$E,ТГ_ИД!$B:$B,ТГ!$G$13,ТГ_ИД!$D:$D,ТГ!$A694)</f>
        <v>0</v>
      </c>
      <c r="V693" s="130">
        <f>SUMIFS(ТГ_ИД!$E:$E,ТГ_ИД!$B:$B,ТГ!$G$14,ТГ_ИД!$D:$D,ТГ!$A694)</f>
        <v>0</v>
      </c>
    </row>
    <row r="694" spans="1:22" x14ac:dyDescent="0.25">
      <c r="A694" s="116" t="str">
        <f t="shared" si="11"/>
        <v/>
      </c>
      <c r="K694" s="130">
        <f>SUMIFS(ТГ_ИД!$E:$E,ТГ_ИД!$B:$B,ТГ!$G$3,ТГ_ИД!$D:$D,ТГ!$A695)</f>
        <v>0</v>
      </c>
      <c r="L694" s="130">
        <f>SUMIFS(ТГ_ИД!$E:$E,ТГ_ИД!$B:$B,ТГ!$G$4,ТГ_ИД!$D:$D,ТГ!$A695)</f>
        <v>0</v>
      </c>
      <c r="M694" s="130">
        <f>SUMIFS(ТГ_ИД!$E:$E,ТГ_ИД!$B:$B,ТГ!$G$5,ТГ_ИД!$D:$D,ТГ!$A695)</f>
        <v>0</v>
      </c>
      <c r="N694" s="130">
        <f>SUMIFS(ТГ_ИД!$E:$E,ТГ_ИД!$B:$B,ТГ!$G$6,ТГ_ИД!$D:$D,ТГ!$A695)</f>
        <v>0</v>
      </c>
      <c r="O694" s="130">
        <f>SUMIFS(ТГ_ИД!$E:$E,ТГ_ИД!$B:$B,ТГ!$G$7,ТГ_ИД!$D:$D,ТГ!$A695)</f>
        <v>0</v>
      </c>
      <c r="P694" s="130">
        <f>SUMIFS(ТГ_ИД!$E:$E,ТГ_ИД!$B:$B,ТГ!$G$8,ТГ_ИД!$D:$D,ТГ!$A695)</f>
        <v>0</v>
      </c>
      <c r="Q694" s="130">
        <f>SUMIFS(ТГ_ИД!$E:$E,ТГ_ИД!$B:$B,ТГ!$G$9,ТГ_ИД!$D:$D,ТГ!$A695)</f>
        <v>0</v>
      </c>
      <c r="R694" s="130">
        <f>SUMIFS(ТГ_ИД!$E:$E,ТГ_ИД!$B:$B,ТГ!$G$10,ТГ_ИД!$D:$D,ТГ!$A695)</f>
        <v>0</v>
      </c>
      <c r="S694" s="130">
        <f>SUMIFS(ТГ_ИД!$E:$E,ТГ_ИД!$B:$B,ТГ!$G$11,ТГ_ИД!$D:$D,ТГ!$A695)</f>
        <v>0</v>
      </c>
      <c r="T694" s="130">
        <f>SUMIFS(ТГ_ИД!$E:$E,ТГ_ИД!$B:$B,ТГ!$G$12,ТГ_ИД!$D:$D,ТГ!$A695)</f>
        <v>0</v>
      </c>
      <c r="U694" s="130">
        <f>SUMIFS(ТГ_ИД!$E:$E,ТГ_ИД!$B:$B,ТГ!$G$13,ТГ_ИД!$D:$D,ТГ!$A695)</f>
        <v>0</v>
      </c>
      <c r="V694" s="130">
        <f>SUMIFS(ТГ_ИД!$E:$E,ТГ_ИД!$B:$B,ТГ!$G$14,ТГ_ИД!$D:$D,ТГ!$A695)</f>
        <v>0</v>
      </c>
    </row>
    <row r="695" spans="1:22" x14ac:dyDescent="0.25">
      <c r="A695" s="116" t="str">
        <f t="shared" si="11"/>
        <v/>
      </c>
      <c r="K695" s="130">
        <f>SUMIFS(ТГ_ИД!$E:$E,ТГ_ИД!$B:$B,ТГ!$G$3,ТГ_ИД!$D:$D,ТГ!$A696)</f>
        <v>0</v>
      </c>
      <c r="L695" s="130">
        <f>SUMIFS(ТГ_ИД!$E:$E,ТГ_ИД!$B:$B,ТГ!$G$4,ТГ_ИД!$D:$D,ТГ!$A696)</f>
        <v>0</v>
      </c>
      <c r="M695" s="130">
        <f>SUMIFS(ТГ_ИД!$E:$E,ТГ_ИД!$B:$B,ТГ!$G$5,ТГ_ИД!$D:$D,ТГ!$A696)</f>
        <v>0</v>
      </c>
      <c r="N695" s="130">
        <f>SUMIFS(ТГ_ИД!$E:$E,ТГ_ИД!$B:$B,ТГ!$G$6,ТГ_ИД!$D:$D,ТГ!$A696)</f>
        <v>0</v>
      </c>
      <c r="O695" s="130">
        <f>SUMIFS(ТГ_ИД!$E:$E,ТГ_ИД!$B:$B,ТГ!$G$7,ТГ_ИД!$D:$D,ТГ!$A696)</f>
        <v>0</v>
      </c>
      <c r="P695" s="130">
        <f>SUMIFS(ТГ_ИД!$E:$E,ТГ_ИД!$B:$B,ТГ!$G$8,ТГ_ИД!$D:$D,ТГ!$A696)</f>
        <v>0</v>
      </c>
      <c r="Q695" s="130">
        <f>SUMIFS(ТГ_ИД!$E:$E,ТГ_ИД!$B:$B,ТГ!$G$9,ТГ_ИД!$D:$D,ТГ!$A696)</f>
        <v>0</v>
      </c>
      <c r="R695" s="130">
        <f>SUMIFS(ТГ_ИД!$E:$E,ТГ_ИД!$B:$B,ТГ!$G$10,ТГ_ИД!$D:$D,ТГ!$A696)</f>
        <v>0</v>
      </c>
      <c r="S695" s="130">
        <f>SUMIFS(ТГ_ИД!$E:$E,ТГ_ИД!$B:$B,ТГ!$G$11,ТГ_ИД!$D:$D,ТГ!$A696)</f>
        <v>0</v>
      </c>
      <c r="T695" s="130">
        <f>SUMIFS(ТГ_ИД!$E:$E,ТГ_ИД!$B:$B,ТГ!$G$12,ТГ_ИД!$D:$D,ТГ!$A696)</f>
        <v>0</v>
      </c>
      <c r="U695" s="130">
        <f>SUMIFS(ТГ_ИД!$E:$E,ТГ_ИД!$B:$B,ТГ!$G$13,ТГ_ИД!$D:$D,ТГ!$A696)</f>
        <v>0</v>
      </c>
      <c r="V695" s="130">
        <f>SUMIFS(ТГ_ИД!$E:$E,ТГ_ИД!$B:$B,ТГ!$G$14,ТГ_ИД!$D:$D,ТГ!$A696)</f>
        <v>0</v>
      </c>
    </row>
    <row r="696" spans="1:22" x14ac:dyDescent="0.25">
      <c r="A696" s="116" t="str">
        <f t="shared" si="11"/>
        <v/>
      </c>
      <c r="K696" s="130">
        <f>SUMIFS(ТГ_ИД!$E:$E,ТГ_ИД!$B:$B,ТГ!$G$3,ТГ_ИД!$D:$D,ТГ!$A697)</f>
        <v>0</v>
      </c>
      <c r="L696" s="130">
        <f>SUMIFS(ТГ_ИД!$E:$E,ТГ_ИД!$B:$B,ТГ!$G$4,ТГ_ИД!$D:$D,ТГ!$A697)</f>
        <v>0</v>
      </c>
      <c r="M696" s="130">
        <f>SUMIFS(ТГ_ИД!$E:$E,ТГ_ИД!$B:$B,ТГ!$G$5,ТГ_ИД!$D:$D,ТГ!$A697)</f>
        <v>0</v>
      </c>
      <c r="N696" s="130">
        <f>SUMIFS(ТГ_ИД!$E:$E,ТГ_ИД!$B:$B,ТГ!$G$6,ТГ_ИД!$D:$D,ТГ!$A697)</f>
        <v>0</v>
      </c>
      <c r="O696" s="130">
        <f>SUMIFS(ТГ_ИД!$E:$E,ТГ_ИД!$B:$B,ТГ!$G$7,ТГ_ИД!$D:$D,ТГ!$A697)</f>
        <v>0</v>
      </c>
      <c r="P696" s="130">
        <f>SUMIFS(ТГ_ИД!$E:$E,ТГ_ИД!$B:$B,ТГ!$G$8,ТГ_ИД!$D:$D,ТГ!$A697)</f>
        <v>0</v>
      </c>
      <c r="Q696" s="130">
        <f>SUMIFS(ТГ_ИД!$E:$E,ТГ_ИД!$B:$B,ТГ!$G$9,ТГ_ИД!$D:$D,ТГ!$A697)</f>
        <v>0</v>
      </c>
      <c r="R696" s="130">
        <f>SUMIFS(ТГ_ИД!$E:$E,ТГ_ИД!$B:$B,ТГ!$G$10,ТГ_ИД!$D:$D,ТГ!$A697)</f>
        <v>0</v>
      </c>
      <c r="S696" s="130">
        <f>SUMIFS(ТГ_ИД!$E:$E,ТГ_ИД!$B:$B,ТГ!$G$11,ТГ_ИД!$D:$D,ТГ!$A697)</f>
        <v>0</v>
      </c>
      <c r="T696" s="130">
        <f>SUMIFS(ТГ_ИД!$E:$E,ТГ_ИД!$B:$B,ТГ!$G$12,ТГ_ИД!$D:$D,ТГ!$A697)</f>
        <v>0</v>
      </c>
      <c r="U696" s="130">
        <f>SUMIFS(ТГ_ИД!$E:$E,ТГ_ИД!$B:$B,ТГ!$G$13,ТГ_ИД!$D:$D,ТГ!$A697)</f>
        <v>0</v>
      </c>
      <c r="V696" s="130">
        <f>SUMIFS(ТГ_ИД!$E:$E,ТГ_ИД!$B:$B,ТГ!$G$14,ТГ_ИД!$D:$D,ТГ!$A697)</f>
        <v>0</v>
      </c>
    </row>
    <row r="697" spans="1:22" x14ac:dyDescent="0.25">
      <c r="A697" s="116" t="str">
        <f t="shared" si="11"/>
        <v/>
      </c>
      <c r="K697" s="130">
        <f>SUMIFS(ТГ_ИД!$E:$E,ТГ_ИД!$B:$B,ТГ!$G$3,ТГ_ИД!$D:$D,ТГ!$A698)</f>
        <v>0</v>
      </c>
      <c r="L697" s="130">
        <f>SUMIFS(ТГ_ИД!$E:$E,ТГ_ИД!$B:$B,ТГ!$G$4,ТГ_ИД!$D:$D,ТГ!$A698)</f>
        <v>0</v>
      </c>
      <c r="M697" s="130">
        <f>SUMIFS(ТГ_ИД!$E:$E,ТГ_ИД!$B:$B,ТГ!$G$5,ТГ_ИД!$D:$D,ТГ!$A698)</f>
        <v>0</v>
      </c>
      <c r="N697" s="130">
        <f>SUMIFS(ТГ_ИД!$E:$E,ТГ_ИД!$B:$B,ТГ!$G$6,ТГ_ИД!$D:$D,ТГ!$A698)</f>
        <v>0</v>
      </c>
      <c r="O697" s="130">
        <f>SUMIFS(ТГ_ИД!$E:$E,ТГ_ИД!$B:$B,ТГ!$G$7,ТГ_ИД!$D:$D,ТГ!$A698)</f>
        <v>0</v>
      </c>
      <c r="P697" s="130">
        <f>SUMIFS(ТГ_ИД!$E:$E,ТГ_ИД!$B:$B,ТГ!$G$8,ТГ_ИД!$D:$D,ТГ!$A698)</f>
        <v>0</v>
      </c>
      <c r="Q697" s="130">
        <f>SUMIFS(ТГ_ИД!$E:$E,ТГ_ИД!$B:$B,ТГ!$G$9,ТГ_ИД!$D:$D,ТГ!$A698)</f>
        <v>0</v>
      </c>
      <c r="R697" s="130">
        <f>SUMIFS(ТГ_ИД!$E:$E,ТГ_ИД!$B:$B,ТГ!$G$10,ТГ_ИД!$D:$D,ТГ!$A698)</f>
        <v>0</v>
      </c>
      <c r="S697" s="130">
        <f>SUMIFS(ТГ_ИД!$E:$E,ТГ_ИД!$B:$B,ТГ!$G$11,ТГ_ИД!$D:$D,ТГ!$A698)</f>
        <v>0</v>
      </c>
      <c r="T697" s="130">
        <f>SUMIFS(ТГ_ИД!$E:$E,ТГ_ИД!$B:$B,ТГ!$G$12,ТГ_ИД!$D:$D,ТГ!$A698)</f>
        <v>0</v>
      </c>
      <c r="U697" s="130">
        <f>SUMIFS(ТГ_ИД!$E:$E,ТГ_ИД!$B:$B,ТГ!$G$13,ТГ_ИД!$D:$D,ТГ!$A698)</f>
        <v>0</v>
      </c>
      <c r="V697" s="130">
        <f>SUMIFS(ТГ_ИД!$E:$E,ТГ_ИД!$B:$B,ТГ!$G$14,ТГ_ИД!$D:$D,ТГ!$A698)</f>
        <v>0</v>
      </c>
    </row>
    <row r="698" spans="1:22" x14ac:dyDescent="0.25">
      <c r="A698" s="116" t="str">
        <f t="shared" si="11"/>
        <v/>
      </c>
      <c r="K698" s="130">
        <f>SUMIFS(ТГ_ИД!$E:$E,ТГ_ИД!$B:$B,ТГ!$G$3,ТГ_ИД!$D:$D,ТГ!$A699)</f>
        <v>0</v>
      </c>
      <c r="L698" s="130">
        <f>SUMIFS(ТГ_ИД!$E:$E,ТГ_ИД!$B:$B,ТГ!$G$4,ТГ_ИД!$D:$D,ТГ!$A699)</f>
        <v>0</v>
      </c>
      <c r="M698" s="130">
        <f>SUMIFS(ТГ_ИД!$E:$E,ТГ_ИД!$B:$B,ТГ!$G$5,ТГ_ИД!$D:$D,ТГ!$A699)</f>
        <v>0</v>
      </c>
      <c r="N698" s="130">
        <f>SUMIFS(ТГ_ИД!$E:$E,ТГ_ИД!$B:$B,ТГ!$G$6,ТГ_ИД!$D:$D,ТГ!$A699)</f>
        <v>0</v>
      </c>
      <c r="O698" s="130">
        <f>SUMIFS(ТГ_ИД!$E:$E,ТГ_ИД!$B:$B,ТГ!$G$7,ТГ_ИД!$D:$D,ТГ!$A699)</f>
        <v>0</v>
      </c>
      <c r="P698" s="130">
        <f>SUMIFS(ТГ_ИД!$E:$E,ТГ_ИД!$B:$B,ТГ!$G$8,ТГ_ИД!$D:$D,ТГ!$A699)</f>
        <v>0</v>
      </c>
      <c r="Q698" s="130">
        <f>SUMIFS(ТГ_ИД!$E:$E,ТГ_ИД!$B:$B,ТГ!$G$9,ТГ_ИД!$D:$D,ТГ!$A699)</f>
        <v>0</v>
      </c>
      <c r="R698" s="130">
        <f>SUMIFS(ТГ_ИД!$E:$E,ТГ_ИД!$B:$B,ТГ!$G$10,ТГ_ИД!$D:$D,ТГ!$A699)</f>
        <v>0</v>
      </c>
      <c r="S698" s="130">
        <f>SUMIFS(ТГ_ИД!$E:$E,ТГ_ИД!$B:$B,ТГ!$G$11,ТГ_ИД!$D:$D,ТГ!$A699)</f>
        <v>0</v>
      </c>
      <c r="T698" s="130">
        <f>SUMIFS(ТГ_ИД!$E:$E,ТГ_ИД!$B:$B,ТГ!$G$12,ТГ_ИД!$D:$D,ТГ!$A699)</f>
        <v>0</v>
      </c>
      <c r="U698" s="130">
        <f>SUMIFS(ТГ_ИД!$E:$E,ТГ_ИД!$B:$B,ТГ!$G$13,ТГ_ИД!$D:$D,ТГ!$A699)</f>
        <v>0</v>
      </c>
      <c r="V698" s="130">
        <f>SUMIFS(ТГ_ИД!$E:$E,ТГ_ИД!$B:$B,ТГ!$G$14,ТГ_ИД!$D:$D,ТГ!$A699)</f>
        <v>0</v>
      </c>
    </row>
    <row r="699" spans="1:22" x14ac:dyDescent="0.25">
      <c r="A699" s="116" t="str">
        <f t="shared" si="11"/>
        <v/>
      </c>
      <c r="K699" s="130">
        <f>SUMIFS(ТГ_ИД!$E:$E,ТГ_ИД!$B:$B,ТГ!$G$3,ТГ_ИД!$D:$D,ТГ!$A700)</f>
        <v>0</v>
      </c>
      <c r="L699" s="130">
        <f>SUMIFS(ТГ_ИД!$E:$E,ТГ_ИД!$B:$B,ТГ!$G$4,ТГ_ИД!$D:$D,ТГ!$A700)</f>
        <v>0</v>
      </c>
      <c r="M699" s="130">
        <f>SUMIFS(ТГ_ИД!$E:$E,ТГ_ИД!$B:$B,ТГ!$G$5,ТГ_ИД!$D:$D,ТГ!$A700)</f>
        <v>0</v>
      </c>
      <c r="N699" s="130">
        <f>SUMIFS(ТГ_ИД!$E:$E,ТГ_ИД!$B:$B,ТГ!$G$6,ТГ_ИД!$D:$D,ТГ!$A700)</f>
        <v>0</v>
      </c>
      <c r="O699" s="130">
        <f>SUMIFS(ТГ_ИД!$E:$E,ТГ_ИД!$B:$B,ТГ!$G$7,ТГ_ИД!$D:$D,ТГ!$A700)</f>
        <v>0</v>
      </c>
      <c r="P699" s="130">
        <f>SUMIFS(ТГ_ИД!$E:$E,ТГ_ИД!$B:$B,ТГ!$G$8,ТГ_ИД!$D:$D,ТГ!$A700)</f>
        <v>0</v>
      </c>
      <c r="Q699" s="130">
        <f>SUMIFS(ТГ_ИД!$E:$E,ТГ_ИД!$B:$B,ТГ!$G$9,ТГ_ИД!$D:$D,ТГ!$A700)</f>
        <v>0</v>
      </c>
      <c r="R699" s="130">
        <f>SUMIFS(ТГ_ИД!$E:$E,ТГ_ИД!$B:$B,ТГ!$G$10,ТГ_ИД!$D:$D,ТГ!$A700)</f>
        <v>0</v>
      </c>
      <c r="S699" s="130">
        <f>SUMIFS(ТГ_ИД!$E:$E,ТГ_ИД!$B:$B,ТГ!$G$11,ТГ_ИД!$D:$D,ТГ!$A700)</f>
        <v>0</v>
      </c>
      <c r="T699" s="130">
        <f>SUMIFS(ТГ_ИД!$E:$E,ТГ_ИД!$B:$B,ТГ!$G$12,ТГ_ИД!$D:$D,ТГ!$A700)</f>
        <v>0</v>
      </c>
      <c r="U699" s="130">
        <f>SUMIFS(ТГ_ИД!$E:$E,ТГ_ИД!$B:$B,ТГ!$G$13,ТГ_ИД!$D:$D,ТГ!$A700)</f>
        <v>0</v>
      </c>
      <c r="V699" s="130">
        <f>SUMIFS(ТГ_ИД!$E:$E,ТГ_ИД!$B:$B,ТГ!$G$14,ТГ_ИД!$D:$D,ТГ!$A700)</f>
        <v>0</v>
      </c>
    </row>
    <row r="700" spans="1:22" x14ac:dyDescent="0.25">
      <c r="A700" s="116" t="str">
        <f t="shared" si="11"/>
        <v/>
      </c>
      <c r="K700" s="130">
        <f>SUMIFS(ТГ_ИД!$E:$E,ТГ_ИД!$B:$B,ТГ!$G$3,ТГ_ИД!$D:$D,ТГ!$A701)</f>
        <v>0</v>
      </c>
      <c r="L700" s="130">
        <f>SUMIFS(ТГ_ИД!$E:$E,ТГ_ИД!$B:$B,ТГ!$G$4,ТГ_ИД!$D:$D,ТГ!$A701)</f>
        <v>0</v>
      </c>
      <c r="M700" s="130">
        <f>SUMIFS(ТГ_ИД!$E:$E,ТГ_ИД!$B:$B,ТГ!$G$5,ТГ_ИД!$D:$D,ТГ!$A701)</f>
        <v>0</v>
      </c>
      <c r="N700" s="130">
        <f>SUMIFS(ТГ_ИД!$E:$E,ТГ_ИД!$B:$B,ТГ!$G$6,ТГ_ИД!$D:$D,ТГ!$A701)</f>
        <v>0</v>
      </c>
      <c r="O700" s="130">
        <f>SUMIFS(ТГ_ИД!$E:$E,ТГ_ИД!$B:$B,ТГ!$G$7,ТГ_ИД!$D:$D,ТГ!$A701)</f>
        <v>0</v>
      </c>
      <c r="P700" s="130">
        <f>SUMIFS(ТГ_ИД!$E:$E,ТГ_ИД!$B:$B,ТГ!$G$8,ТГ_ИД!$D:$D,ТГ!$A701)</f>
        <v>0</v>
      </c>
      <c r="Q700" s="130">
        <f>SUMIFS(ТГ_ИД!$E:$E,ТГ_ИД!$B:$B,ТГ!$G$9,ТГ_ИД!$D:$D,ТГ!$A701)</f>
        <v>0</v>
      </c>
      <c r="R700" s="130">
        <f>SUMIFS(ТГ_ИД!$E:$E,ТГ_ИД!$B:$B,ТГ!$G$10,ТГ_ИД!$D:$D,ТГ!$A701)</f>
        <v>0</v>
      </c>
      <c r="S700" s="130">
        <f>SUMIFS(ТГ_ИД!$E:$E,ТГ_ИД!$B:$B,ТГ!$G$11,ТГ_ИД!$D:$D,ТГ!$A701)</f>
        <v>0</v>
      </c>
      <c r="T700" s="130">
        <f>SUMIFS(ТГ_ИД!$E:$E,ТГ_ИД!$B:$B,ТГ!$G$12,ТГ_ИД!$D:$D,ТГ!$A701)</f>
        <v>0</v>
      </c>
      <c r="U700" s="130">
        <f>SUMIFS(ТГ_ИД!$E:$E,ТГ_ИД!$B:$B,ТГ!$G$13,ТГ_ИД!$D:$D,ТГ!$A701)</f>
        <v>0</v>
      </c>
      <c r="V700" s="130">
        <f>SUMIFS(ТГ_ИД!$E:$E,ТГ_ИД!$B:$B,ТГ!$G$14,ТГ_ИД!$D:$D,ТГ!$A701)</f>
        <v>0</v>
      </c>
    </row>
    <row r="701" spans="1:22" x14ac:dyDescent="0.25">
      <c r="A701" s="116" t="str">
        <f t="shared" si="11"/>
        <v/>
      </c>
      <c r="K701" s="130">
        <f>SUMIFS(ТГ_ИД!$E:$E,ТГ_ИД!$B:$B,ТГ!$G$3,ТГ_ИД!$D:$D,ТГ!$A702)</f>
        <v>0</v>
      </c>
      <c r="L701" s="130">
        <f>SUMIFS(ТГ_ИД!$E:$E,ТГ_ИД!$B:$B,ТГ!$G$4,ТГ_ИД!$D:$D,ТГ!$A702)</f>
        <v>0</v>
      </c>
      <c r="M701" s="130">
        <f>SUMIFS(ТГ_ИД!$E:$E,ТГ_ИД!$B:$B,ТГ!$G$5,ТГ_ИД!$D:$D,ТГ!$A702)</f>
        <v>0</v>
      </c>
      <c r="N701" s="130">
        <f>SUMIFS(ТГ_ИД!$E:$E,ТГ_ИД!$B:$B,ТГ!$G$6,ТГ_ИД!$D:$D,ТГ!$A702)</f>
        <v>0</v>
      </c>
      <c r="O701" s="130">
        <f>SUMIFS(ТГ_ИД!$E:$E,ТГ_ИД!$B:$B,ТГ!$G$7,ТГ_ИД!$D:$D,ТГ!$A702)</f>
        <v>0</v>
      </c>
      <c r="P701" s="130">
        <f>SUMIFS(ТГ_ИД!$E:$E,ТГ_ИД!$B:$B,ТГ!$G$8,ТГ_ИД!$D:$D,ТГ!$A702)</f>
        <v>0</v>
      </c>
      <c r="Q701" s="130">
        <f>SUMIFS(ТГ_ИД!$E:$E,ТГ_ИД!$B:$B,ТГ!$G$9,ТГ_ИД!$D:$D,ТГ!$A702)</f>
        <v>0</v>
      </c>
      <c r="R701" s="130">
        <f>SUMIFS(ТГ_ИД!$E:$E,ТГ_ИД!$B:$B,ТГ!$G$10,ТГ_ИД!$D:$D,ТГ!$A702)</f>
        <v>0</v>
      </c>
      <c r="S701" s="130">
        <f>SUMIFS(ТГ_ИД!$E:$E,ТГ_ИД!$B:$B,ТГ!$G$11,ТГ_ИД!$D:$D,ТГ!$A702)</f>
        <v>0</v>
      </c>
      <c r="T701" s="130">
        <f>SUMIFS(ТГ_ИД!$E:$E,ТГ_ИД!$B:$B,ТГ!$G$12,ТГ_ИД!$D:$D,ТГ!$A702)</f>
        <v>0</v>
      </c>
      <c r="U701" s="130">
        <f>SUMIFS(ТГ_ИД!$E:$E,ТГ_ИД!$B:$B,ТГ!$G$13,ТГ_ИД!$D:$D,ТГ!$A702)</f>
        <v>0</v>
      </c>
      <c r="V701" s="130">
        <f>SUMIFS(ТГ_ИД!$E:$E,ТГ_ИД!$B:$B,ТГ!$G$14,ТГ_ИД!$D:$D,ТГ!$A702)</f>
        <v>0</v>
      </c>
    </row>
    <row r="702" spans="1:22" x14ac:dyDescent="0.25">
      <c r="A702" s="116" t="str">
        <f t="shared" si="11"/>
        <v/>
      </c>
      <c r="K702" s="130">
        <f>SUMIFS(ТГ_ИД!$E:$E,ТГ_ИД!$B:$B,ТГ!$G$3,ТГ_ИД!$D:$D,ТГ!$A703)</f>
        <v>0</v>
      </c>
      <c r="L702" s="130">
        <f>SUMIFS(ТГ_ИД!$E:$E,ТГ_ИД!$B:$B,ТГ!$G$4,ТГ_ИД!$D:$D,ТГ!$A703)</f>
        <v>0</v>
      </c>
      <c r="M702" s="130">
        <f>SUMIFS(ТГ_ИД!$E:$E,ТГ_ИД!$B:$B,ТГ!$G$5,ТГ_ИД!$D:$D,ТГ!$A703)</f>
        <v>0</v>
      </c>
      <c r="N702" s="130">
        <f>SUMIFS(ТГ_ИД!$E:$E,ТГ_ИД!$B:$B,ТГ!$G$6,ТГ_ИД!$D:$D,ТГ!$A703)</f>
        <v>0</v>
      </c>
      <c r="O702" s="130">
        <f>SUMIFS(ТГ_ИД!$E:$E,ТГ_ИД!$B:$B,ТГ!$G$7,ТГ_ИД!$D:$D,ТГ!$A703)</f>
        <v>0</v>
      </c>
      <c r="P702" s="130">
        <f>SUMIFS(ТГ_ИД!$E:$E,ТГ_ИД!$B:$B,ТГ!$G$8,ТГ_ИД!$D:$D,ТГ!$A703)</f>
        <v>0</v>
      </c>
      <c r="Q702" s="130">
        <f>SUMIFS(ТГ_ИД!$E:$E,ТГ_ИД!$B:$B,ТГ!$G$9,ТГ_ИД!$D:$D,ТГ!$A703)</f>
        <v>0</v>
      </c>
      <c r="R702" s="130">
        <f>SUMIFS(ТГ_ИД!$E:$E,ТГ_ИД!$B:$B,ТГ!$G$10,ТГ_ИД!$D:$D,ТГ!$A703)</f>
        <v>0</v>
      </c>
      <c r="S702" s="130">
        <f>SUMIFS(ТГ_ИД!$E:$E,ТГ_ИД!$B:$B,ТГ!$G$11,ТГ_ИД!$D:$D,ТГ!$A703)</f>
        <v>0</v>
      </c>
      <c r="T702" s="130">
        <f>SUMIFS(ТГ_ИД!$E:$E,ТГ_ИД!$B:$B,ТГ!$G$12,ТГ_ИД!$D:$D,ТГ!$A703)</f>
        <v>0</v>
      </c>
      <c r="U702" s="130">
        <f>SUMIFS(ТГ_ИД!$E:$E,ТГ_ИД!$B:$B,ТГ!$G$13,ТГ_ИД!$D:$D,ТГ!$A703)</f>
        <v>0</v>
      </c>
      <c r="V702" s="130">
        <f>SUMIFS(ТГ_ИД!$E:$E,ТГ_ИД!$B:$B,ТГ!$G$14,ТГ_ИД!$D:$D,ТГ!$A703)</f>
        <v>0</v>
      </c>
    </row>
    <row r="703" spans="1:22" x14ac:dyDescent="0.25">
      <c r="A703" s="116" t="str">
        <f t="shared" si="11"/>
        <v/>
      </c>
      <c r="K703" s="130">
        <f>SUMIFS(ТГ_ИД!$E:$E,ТГ_ИД!$B:$B,ТГ!$G$3,ТГ_ИД!$D:$D,ТГ!$A704)</f>
        <v>0</v>
      </c>
      <c r="L703" s="130">
        <f>SUMIFS(ТГ_ИД!$E:$E,ТГ_ИД!$B:$B,ТГ!$G$4,ТГ_ИД!$D:$D,ТГ!$A704)</f>
        <v>0</v>
      </c>
      <c r="M703" s="130">
        <f>SUMIFS(ТГ_ИД!$E:$E,ТГ_ИД!$B:$B,ТГ!$G$5,ТГ_ИД!$D:$D,ТГ!$A704)</f>
        <v>0</v>
      </c>
      <c r="N703" s="130">
        <f>SUMIFS(ТГ_ИД!$E:$E,ТГ_ИД!$B:$B,ТГ!$G$6,ТГ_ИД!$D:$D,ТГ!$A704)</f>
        <v>0</v>
      </c>
      <c r="O703" s="130">
        <f>SUMIFS(ТГ_ИД!$E:$E,ТГ_ИД!$B:$B,ТГ!$G$7,ТГ_ИД!$D:$D,ТГ!$A704)</f>
        <v>0</v>
      </c>
      <c r="P703" s="130">
        <f>SUMIFS(ТГ_ИД!$E:$E,ТГ_ИД!$B:$B,ТГ!$G$8,ТГ_ИД!$D:$D,ТГ!$A704)</f>
        <v>0</v>
      </c>
      <c r="Q703" s="130">
        <f>SUMIFS(ТГ_ИД!$E:$E,ТГ_ИД!$B:$B,ТГ!$G$9,ТГ_ИД!$D:$D,ТГ!$A704)</f>
        <v>0</v>
      </c>
      <c r="R703" s="130">
        <f>SUMIFS(ТГ_ИД!$E:$E,ТГ_ИД!$B:$B,ТГ!$G$10,ТГ_ИД!$D:$D,ТГ!$A704)</f>
        <v>0</v>
      </c>
      <c r="S703" s="130">
        <f>SUMIFS(ТГ_ИД!$E:$E,ТГ_ИД!$B:$B,ТГ!$G$11,ТГ_ИД!$D:$D,ТГ!$A704)</f>
        <v>0</v>
      </c>
      <c r="T703" s="130">
        <f>SUMIFS(ТГ_ИД!$E:$E,ТГ_ИД!$B:$B,ТГ!$G$12,ТГ_ИД!$D:$D,ТГ!$A704)</f>
        <v>0</v>
      </c>
      <c r="U703" s="130">
        <f>SUMIFS(ТГ_ИД!$E:$E,ТГ_ИД!$B:$B,ТГ!$G$13,ТГ_ИД!$D:$D,ТГ!$A704)</f>
        <v>0</v>
      </c>
      <c r="V703" s="130">
        <f>SUMIFS(ТГ_ИД!$E:$E,ТГ_ИД!$B:$B,ТГ!$G$14,ТГ_ИД!$D:$D,ТГ!$A704)</f>
        <v>0</v>
      </c>
    </row>
    <row r="704" spans="1:22" x14ac:dyDescent="0.25">
      <c r="A704" s="116" t="str">
        <f t="shared" si="11"/>
        <v/>
      </c>
      <c r="K704" s="130">
        <f>SUMIFS(ТГ_ИД!$E:$E,ТГ_ИД!$B:$B,ТГ!$G$3,ТГ_ИД!$D:$D,ТГ!$A705)</f>
        <v>0</v>
      </c>
      <c r="L704" s="130">
        <f>SUMIFS(ТГ_ИД!$E:$E,ТГ_ИД!$B:$B,ТГ!$G$4,ТГ_ИД!$D:$D,ТГ!$A705)</f>
        <v>0</v>
      </c>
      <c r="M704" s="130">
        <f>SUMIFS(ТГ_ИД!$E:$E,ТГ_ИД!$B:$B,ТГ!$G$5,ТГ_ИД!$D:$D,ТГ!$A705)</f>
        <v>0</v>
      </c>
      <c r="N704" s="130">
        <f>SUMIFS(ТГ_ИД!$E:$E,ТГ_ИД!$B:$B,ТГ!$G$6,ТГ_ИД!$D:$D,ТГ!$A705)</f>
        <v>0</v>
      </c>
      <c r="O704" s="130">
        <f>SUMIFS(ТГ_ИД!$E:$E,ТГ_ИД!$B:$B,ТГ!$G$7,ТГ_ИД!$D:$D,ТГ!$A705)</f>
        <v>0</v>
      </c>
      <c r="P704" s="130">
        <f>SUMIFS(ТГ_ИД!$E:$E,ТГ_ИД!$B:$B,ТГ!$G$8,ТГ_ИД!$D:$D,ТГ!$A705)</f>
        <v>0</v>
      </c>
      <c r="Q704" s="130">
        <f>SUMIFS(ТГ_ИД!$E:$E,ТГ_ИД!$B:$B,ТГ!$G$9,ТГ_ИД!$D:$D,ТГ!$A705)</f>
        <v>0</v>
      </c>
      <c r="R704" s="130">
        <f>SUMIFS(ТГ_ИД!$E:$E,ТГ_ИД!$B:$B,ТГ!$G$10,ТГ_ИД!$D:$D,ТГ!$A705)</f>
        <v>0</v>
      </c>
      <c r="S704" s="130">
        <f>SUMIFS(ТГ_ИД!$E:$E,ТГ_ИД!$B:$B,ТГ!$G$11,ТГ_ИД!$D:$D,ТГ!$A705)</f>
        <v>0</v>
      </c>
      <c r="T704" s="130">
        <f>SUMIFS(ТГ_ИД!$E:$E,ТГ_ИД!$B:$B,ТГ!$G$12,ТГ_ИД!$D:$D,ТГ!$A705)</f>
        <v>0</v>
      </c>
      <c r="U704" s="130">
        <f>SUMIFS(ТГ_ИД!$E:$E,ТГ_ИД!$B:$B,ТГ!$G$13,ТГ_ИД!$D:$D,ТГ!$A705)</f>
        <v>0</v>
      </c>
      <c r="V704" s="130">
        <f>SUMIFS(ТГ_ИД!$E:$E,ТГ_ИД!$B:$B,ТГ!$G$14,ТГ_ИД!$D:$D,ТГ!$A705)</f>
        <v>0</v>
      </c>
    </row>
    <row r="705" spans="1:22" x14ac:dyDescent="0.25">
      <c r="A705" s="116" t="str">
        <f t="shared" si="11"/>
        <v/>
      </c>
      <c r="K705" s="130">
        <f>SUMIFS(ТГ_ИД!$E:$E,ТГ_ИД!$B:$B,ТГ!$G$3,ТГ_ИД!$D:$D,ТГ!$A706)</f>
        <v>0</v>
      </c>
      <c r="L705" s="130">
        <f>SUMIFS(ТГ_ИД!$E:$E,ТГ_ИД!$B:$B,ТГ!$G$4,ТГ_ИД!$D:$D,ТГ!$A706)</f>
        <v>0</v>
      </c>
      <c r="M705" s="130">
        <f>SUMIFS(ТГ_ИД!$E:$E,ТГ_ИД!$B:$B,ТГ!$G$5,ТГ_ИД!$D:$D,ТГ!$A706)</f>
        <v>0</v>
      </c>
      <c r="N705" s="130">
        <f>SUMIFS(ТГ_ИД!$E:$E,ТГ_ИД!$B:$B,ТГ!$G$6,ТГ_ИД!$D:$D,ТГ!$A706)</f>
        <v>0</v>
      </c>
      <c r="O705" s="130">
        <f>SUMIFS(ТГ_ИД!$E:$E,ТГ_ИД!$B:$B,ТГ!$G$7,ТГ_ИД!$D:$D,ТГ!$A706)</f>
        <v>0</v>
      </c>
      <c r="P705" s="130">
        <f>SUMIFS(ТГ_ИД!$E:$E,ТГ_ИД!$B:$B,ТГ!$G$8,ТГ_ИД!$D:$D,ТГ!$A706)</f>
        <v>0</v>
      </c>
      <c r="Q705" s="130">
        <f>SUMIFS(ТГ_ИД!$E:$E,ТГ_ИД!$B:$B,ТГ!$G$9,ТГ_ИД!$D:$D,ТГ!$A706)</f>
        <v>0</v>
      </c>
      <c r="R705" s="130">
        <f>SUMIFS(ТГ_ИД!$E:$E,ТГ_ИД!$B:$B,ТГ!$G$10,ТГ_ИД!$D:$D,ТГ!$A706)</f>
        <v>0</v>
      </c>
      <c r="S705" s="130">
        <f>SUMIFS(ТГ_ИД!$E:$E,ТГ_ИД!$B:$B,ТГ!$G$11,ТГ_ИД!$D:$D,ТГ!$A706)</f>
        <v>0</v>
      </c>
      <c r="T705" s="130">
        <f>SUMIFS(ТГ_ИД!$E:$E,ТГ_ИД!$B:$B,ТГ!$G$12,ТГ_ИД!$D:$D,ТГ!$A706)</f>
        <v>0</v>
      </c>
      <c r="U705" s="130">
        <f>SUMIFS(ТГ_ИД!$E:$E,ТГ_ИД!$B:$B,ТГ!$G$13,ТГ_ИД!$D:$D,ТГ!$A706)</f>
        <v>0</v>
      </c>
      <c r="V705" s="130">
        <f>SUMIFS(ТГ_ИД!$E:$E,ТГ_ИД!$B:$B,ТГ!$G$14,ТГ_ИД!$D:$D,ТГ!$A706)</f>
        <v>0</v>
      </c>
    </row>
    <row r="706" spans="1:22" x14ac:dyDescent="0.25">
      <c r="A706" s="116" t="str">
        <f t="shared" si="11"/>
        <v/>
      </c>
      <c r="K706" s="130">
        <f>SUMIFS(ТГ_ИД!$E:$E,ТГ_ИД!$B:$B,ТГ!$G$3,ТГ_ИД!$D:$D,ТГ!$A707)</f>
        <v>0</v>
      </c>
      <c r="L706" s="130">
        <f>SUMIFS(ТГ_ИД!$E:$E,ТГ_ИД!$B:$B,ТГ!$G$4,ТГ_ИД!$D:$D,ТГ!$A707)</f>
        <v>0</v>
      </c>
      <c r="M706" s="130">
        <f>SUMIFS(ТГ_ИД!$E:$E,ТГ_ИД!$B:$B,ТГ!$G$5,ТГ_ИД!$D:$D,ТГ!$A707)</f>
        <v>0</v>
      </c>
      <c r="N706" s="130">
        <f>SUMIFS(ТГ_ИД!$E:$E,ТГ_ИД!$B:$B,ТГ!$G$6,ТГ_ИД!$D:$D,ТГ!$A707)</f>
        <v>0</v>
      </c>
      <c r="O706" s="130">
        <f>SUMIFS(ТГ_ИД!$E:$E,ТГ_ИД!$B:$B,ТГ!$G$7,ТГ_ИД!$D:$D,ТГ!$A707)</f>
        <v>0</v>
      </c>
      <c r="P706" s="130">
        <f>SUMIFS(ТГ_ИД!$E:$E,ТГ_ИД!$B:$B,ТГ!$G$8,ТГ_ИД!$D:$D,ТГ!$A707)</f>
        <v>0</v>
      </c>
      <c r="Q706" s="130">
        <f>SUMIFS(ТГ_ИД!$E:$E,ТГ_ИД!$B:$B,ТГ!$G$9,ТГ_ИД!$D:$D,ТГ!$A707)</f>
        <v>0</v>
      </c>
      <c r="R706" s="130">
        <f>SUMIFS(ТГ_ИД!$E:$E,ТГ_ИД!$B:$B,ТГ!$G$10,ТГ_ИД!$D:$D,ТГ!$A707)</f>
        <v>0</v>
      </c>
      <c r="S706" s="130">
        <f>SUMIFS(ТГ_ИД!$E:$E,ТГ_ИД!$B:$B,ТГ!$G$11,ТГ_ИД!$D:$D,ТГ!$A707)</f>
        <v>0</v>
      </c>
      <c r="T706" s="130">
        <f>SUMIFS(ТГ_ИД!$E:$E,ТГ_ИД!$B:$B,ТГ!$G$12,ТГ_ИД!$D:$D,ТГ!$A707)</f>
        <v>0</v>
      </c>
      <c r="U706" s="130">
        <f>SUMIFS(ТГ_ИД!$E:$E,ТГ_ИД!$B:$B,ТГ!$G$13,ТГ_ИД!$D:$D,ТГ!$A707)</f>
        <v>0</v>
      </c>
      <c r="V706" s="130">
        <f>SUMIFS(ТГ_ИД!$E:$E,ТГ_ИД!$B:$B,ТГ!$G$14,ТГ_ИД!$D:$D,ТГ!$A707)</f>
        <v>0</v>
      </c>
    </row>
    <row r="707" spans="1:22" x14ac:dyDescent="0.25">
      <c r="A707" s="116" t="str">
        <f t="shared" si="11"/>
        <v/>
      </c>
      <c r="K707" s="130">
        <f>SUMIFS(ТГ_ИД!$E:$E,ТГ_ИД!$B:$B,ТГ!$G$3,ТГ_ИД!$D:$D,ТГ!$A708)</f>
        <v>0</v>
      </c>
      <c r="L707" s="130">
        <f>SUMIFS(ТГ_ИД!$E:$E,ТГ_ИД!$B:$B,ТГ!$G$4,ТГ_ИД!$D:$D,ТГ!$A708)</f>
        <v>0</v>
      </c>
      <c r="M707" s="130">
        <f>SUMIFS(ТГ_ИД!$E:$E,ТГ_ИД!$B:$B,ТГ!$G$5,ТГ_ИД!$D:$D,ТГ!$A708)</f>
        <v>0</v>
      </c>
      <c r="N707" s="130">
        <f>SUMIFS(ТГ_ИД!$E:$E,ТГ_ИД!$B:$B,ТГ!$G$6,ТГ_ИД!$D:$D,ТГ!$A708)</f>
        <v>0</v>
      </c>
      <c r="O707" s="130">
        <f>SUMIFS(ТГ_ИД!$E:$E,ТГ_ИД!$B:$B,ТГ!$G$7,ТГ_ИД!$D:$D,ТГ!$A708)</f>
        <v>0</v>
      </c>
      <c r="P707" s="130">
        <f>SUMIFS(ТГ_ИД!$E:$E,ТГ_ИД!$B:$B,ТГ!$G$8,ТГ_ИД!$D:$D,ТГ!$A708)</f>
        <v>0</v>
      </c>
      <c r="Q707" s="130">
        <f>SUMIFS(ТГ_ИД!$E:$E,ТГ_ИД!$B:$B,ТГ!$G$9,ТГ_ИД!$D:$D,ТГ!$A708)</f>
        <v>0</v>
      </c>
      <c r="R707" s="130">
        <f>SUMIFS(ТГ_ИД!$E:$E,ТГ_ИД!$B:$B,ТГ!$G$10,ТГ_ИД!$D:$D,ТГ!$A708)</f>
        <v>0</v>
      </c>
      <c r="S707" s="130">
        <f>SUMIFS(ТГ_ИД!$E:$E,ТГ_ИД!$B:$B,ТГ!$G$11,ТГ_ИД!$D:$D,ТГ!$A708)</f>
        <v>0</v>
      </c>
      <c r="T707" s="130">
        <f>SUMIFS(ТГ_ИД!$E:$E,ТГ_ИД!$B:$B,ТГ!$G$12,ТГ_ИД!$D:$D,ТГ!$A708)</f>
        <v>0</v>
      </c>
      <c r="U707" s="130">
        <f>SUMIFS(ТГ_ИД!$E:$E,ТГ_ИД!$B:$B,ТГ!$G$13,ТГ_ИД!$D:$D,ТГ!$A708)</f>
        <v>0</v>
      </c>
      <c r="V707" s="130">
        <f>SUMIFS(ТГ_ИД!$E:$E,ТГ_ИД!$B:$B,ТГ!$G$14,ТГ_ИД!$D:$D,ТГ!$A708)</f>
        <v>0</v>
      </c>
    </row>
    <row r="708" spans="1:22" x14ac:dyDescent="0.25">
      <c r="A708" s="116" t="str">
        <f t="shared" si="11"/>
        <v/>
      </c>
      <c r="K708" s="130">
        <f>SUMIFS(ТГ_ИД!$E:$E,ТГ_ИД!$B:$B,ТГ!$G$3,ТГ_ИД!$D:$D,ТГ!$A709)</f>
        <v>0</v>
      </c>
      <c r="L708" s="130">
        <f>SUMIFS(ТГ_ИД!$E:$E,ТГ_ИД!$B:$B,ТГ!$G$4,ТГ_ИД!$D:$D,ТГ!$A709)</f>
        <v>0</v>
      </c>
      <c r="M708" s="130">
        <f>SUMIFS(ТГ_ИД!$E:$E,ТГ_ИД!$B:$B,ТГ!$G$5,ТГ_ИД!$D:$D,ТГ!$A709)</f>
        <v>0</v>
      </c>
      <c r="N708" s="130">
        <f>SUMIFS(ТГ_ИД!$E:$E,ТГ_ИД!$B:$B,ТГ!$G$6,ТГ_ИД!$D:$D,ТГ!$A709)</f>
        <v>0</v>
      </c>
      <c r="O708" s="130">
        <f>SUMIFS(ТГ_ИД!$E:$E,ТГ_ИД!$B:$B,ТГ!$G$7,ТГ_ИД!$D:$D,ТГ!$A709)</f>
        <v>0</v>
      </c>
      <c r="P708" s="130">
        <f>SUMIFS(ТГ_ИД!$E:$E,ТГ_ИД!$B:$B,ТГ!$G$8,ТГ_ИД!$D:$D,ТГ!$A709)</f>
        <v>0</v>
      </c>
      <c r="Q708" s="130">
        <f>SUMIFS(ТГ_ИД!$E:$E,ТГ_ИД!$B:$B,ТГ!$G$9,ТГ_ИД!$D:$D,ТГ!$A709)</f>
        <v>0</v>
      </c>
      <c r="R708" s="130">
        <f>SUMIFS(ТГ_ИД!$E:$E,ТГ_ИД!$B:$B,ТГ!$G$10,ТГ_ИД!$D:$D,ТГ!$A709)</f>
        <v>0</v>
      </c>
      <c r="S708" s="130">
        <f>SUMIFS(ТГ_ИД!$E:$E,ТГ_ИД!$B:$B,ТГ!$G$11,ТГ_ИД!$D:$D,ТГ!$A709)</f>
        <v>0</v>
      </c>
      <c r="T708" s="130">
        <f>SUMIFS(ТГ_ИД!$E:$E,ТГ_ИД!$B:$B,ТГ!$G$12,ТГ_ИД!$D:$D,ТГ!$A709)</f>
        <v>0</v>
      </c>
      <c r="U708" s="130">
        <f>SUMIFS(ТГ_ИД!$E:$E,ТГ_ИД!$B:$B,ТГ!$G$13,ТГ_ИД!$D:$D,ТГ!$A709)</f>
        <v>0</v>
      </c>
      <c r="V708" s="130">
        <f>SUMIFS(ТГ_ИД!$E:$E,ТГ_ИД!$B:$B,ТГ!$G$14,ТГ_ИД!$D:$D,ТГ!$A709)</f>
        <v>0</v>
      </c>
    </row>
    <row r="709" spans="1:22" x14ac:dyDescent="0.25">
      <c r="A709" s="116" t="str">
        <f t="shared" ref="A709:A772" si="12">IF(B709="","",TEXT(B709,"00000"))</f>
        <v/>
      </c>
      <c r="K709" s="130">
        <f>SUMIFS(ТГ_ИД!$E:$E,ТГ_ИД!$B:$B,ТГ!$G$3,ТГ_ИД!$D:$D,ТГ!$A710)</f>
        <v>0</v>
      </c>
      <c r="L709" s="130">
        <f>SUMIFS(ТГ_ИД!$E:$E,ТГ_ИД!$B:$B,ТГ!$G$4,ТГ_ИД!$D:$D,ТГ!$A710)</f>
        <v>0</v>
      </c>
      <c r="M709" s="130">
        <f>SUMIFS(ТГ_ИД!$E:$E,ТГ_ИД!$B:$B,ТГ!$G$5,ТГ_ИД!$D:$D,ТГ!$A710)</f>
        <v>0</v>
      </c>
      <c r="N709" s="130">
        <f>SUMIFS(ТГ_ИД!$E:$E,ТГ_ИД!$B:$B,ТГ!$G$6,ТГ_ИД!$D:$D,ТГ!$A710)</f>
        <v>0</v>
      </c>
      <c r="O709" s="130">
        <f>SUMIFS(ТГ_ИД!$E:$E,ТГ_ИД!$B:$B,ТГ!$G$7,ТГ_ИД!$D:$D,ТГ!$A710)</f>
        <v>0</v>
      </c>
      <c r="P709" s="130">
        <f>SUMIFS(ТГ_ИД!$E:$E,ТГ_ИД!$B:$B,ТГ!$G$8,ТГ_ИД!$D:$D,ТГ!$A710)</f>
        <v>0</v>
      </c>
      <c r="Q709" s="130">
        <f>SUMIFS(ТГ_ИД!$E:$E,ТГ_ИД!$B:$B,ТГ!$G$9,ТГ_ИД!$D:$D,ТГ!$A710)</f>
        <v>0</v>
      </c>
      <c r="R709" s="130">
        <f>SUMIFS(ТГ_ИД!$E:$E,ТГ_ИД!$B:$B,ТГ!$G$10,ТГ_ИД!$D:$D,ТГ!$A710)</f>
        <v>0</v>
      </c>
      <c r="S709" s="130">
        <f>SUMIFS(ТГ_ИД!$E:$E,ТГ_ИД!$B:$B,ТГ!$G$11,ТГ_ИД!$D:$D,ТГ!$A710)</f>
        <v>0</v>
      </c>
      <c r="T709" s="130">
        <f>SUMIFS(ТГ_ИД!$E:$E,ТГ_ИД!$B:$B,ТГ!$G$12,ТГ_ИД!$D:$D,ТГ!$A710)</f>
        <v>0</v>
      </c>
      <c r="U709" s="130">
        <f>SUMIFS(ТГ_ИД!$E:$E,ТГ_ИД!$B:$B,ТГ!$G$13,ТГ_ИД!$D:$D,ТГ!$A710)</f>
        <v>0</v>
      </c>
      <c r="V709" s="130">
        <f>SUMIFS(ТГ_ИД!$E:$E,ТГ_ИД!$B:$B,ТГ!$G$14,ТГ_ИД!$D:$D,ТГ!$A710)</f>
        <v>0</v>
      </c>
    </row>
    <row r="710" spans="1:22" x14ac:dyDescent="0.25">
      <c r="A710" s="116" t="str">
        <f t="shared" si="12"/>
        <v/>
      </c>
      <c r="K710" s="130">
        <f>SUMIFS(ТГ_ИД!$E:$E,ТГ_ИД!$B:$B,ТГ!$G$3,ТГ_ИД!$D:$D,ТГ!$A711)</f>
        <v>0</v>
      </c>
      <c r="L710" s="130">
        <f>SUMIFS(ТГ_ИД!$E:$E,ТГ_ИД!$B:$B,ТГ!$G$4,ТГ_ИД!$D:$D,ТГ!$A711)</f>
        <v>0</v>
      </c>
      <c r="M710" s="130">
        <f>SUMIFS(ТГ_ИД!$E:$E,ТГ_ИД!$B:$B,ТГ!$G$5,ТГ_ИД!$D:$D,ТГ!$A711)</f>
        <v>0</v>
      </c>
      <c r="N710" s="130">
        <f>SUMIFS(ТГ_ИД!$E:$E,ТГ_ИД!$B:$B,ТГ!$G$6,ТГ_ИД!$D:$D,ТГ!$A711)</f>
        <v>0</v>
      </c>
      <c r="O710" s="130">
        <f>SUMIFS(ТГ_ИД!$E:$E,ТГ_ИД!$B:$B,ТГ!$G$7,ТГ_ИД!$D:$D,ТГ!$A711)</f>
        <v>0</v>
      </c>
      <c r="P710" s="130">
        <f>SUMIFS(ТГ_ИД!$E:$E,ТГ_ИД!$B:$B,ТГ!$G$8,ТГ_ИД!$D:$D,ТГ!$A711)</f>
        <v>0</v>
      </c>
      <c r="Q710" s="130">
        <f>SUMIFS(ТГ_ИД!$E:$E,ТГ_ИД!$B:$B,ТГ!$G$9,ТГ_ИД!$D:$D,ТГ!$A711)</f>
        <v>0</v>
      </c>
      <c r="R710" s="130">
        <f>SUMIFS(ТГ_ИД!$E:$E,ТГ_ИД!$B:$B,ТГ!$G$10,ТГ_ИД!$D:$D,ТГ!$A711)</f>
        <v>0</v>
      </c>
      <c r="S710" s="130">
        <f>SUMIFS(ТГ_ИД!$E:$E,ТГ_ИД!$B:$B,ТГ!$G$11,ТГ_ИД!$D:$D,ТГ!$A711)</f>
        <v>0</v>
      </c>
      <c r="T710" s="130">
        <f>SUMIFS(ТГ_ИД!$E:$E,ТГ_ИД!$B:$B,ТГ!$G$12,ТГ_ИД!$D:$D,ТГ!$A711)</f>
        <v>0</v>
      </c>
      <c r="U710" s="130">
        <f>SUMIFS(ТГ_ИД!$E:$E,ТГ_ИД!$B:$B,ТГ!$G$13,ТГ_ИД!$D:$D,ТГ!$A711)</f>
        <v>0</v>
      </c>
      <c r="V710" s="130">
        <f>SUMIFS(ТГ_ИД!$E:$E,ТГ_ИД!$B:$B,ТГ!$G$14,ТГ_ИД!$D:$D,ТГ!$A711)</f>
        <v>0</v>
      </c>
    </row>
    <row r="711" spans="1:22" x14ac:dyDescent="0.25">
      <c r="A711" s="116" t="str">
        <f t="shared" si="12"/>
        <v/>
      </c>
      <c r="K711" s="130">
        <f>SUMIFS(ТГ_ИД!$E:$E,ТГ_ИД!$B:$B,ТГ!$G$3,ТГ_ИД!$D:$D,ТГ!$A712)</f>
        <v>0</v>
      </c>
      <c r="L711" s="130">
        <f>SUMIFS(ТГ_ИД!$E:$E,ТГ_ИД!$B:$B,ТГ!$G$4,ТГ_ИД!$D:$D,ТГ!$A712)</f>
        <v>0</v>
      </c>
      <c r="M711" s="130">
        <f>SUMIFS(ТГ_ИД!$E:$E,ТГ_ИД!$B:$B,ТГ!$G$5,ТГ_ИД!$D:$D,ТГ!$A712)</f>
        <v>0</v>
      </c>
      <c r="N711" s="130">
        <f>SUMIFS(ТГ_ИД!$E:$E,ТГ_ИД!$B:$B,ТГ!$G$6,ТГ_ИД!$D:$D,ТГ!$A712)</f>
        <v>0</v>
      </c>
      <c r="O711" s="130">
        <f>SUMIFS(ТГ_ИД!$E:$E,ТГ_ИД!$B:$B,ТГ!$G$7,ТГ_ИД!$D:$D,ТГ!$A712)</f>
        <v>0</v>
      </c>
      <c r="P711" s="130">
        <f>SUMIFS(ТГ_ИД!$E:$E,ТГ_ИД!$B:$B,ТГ!$G$8,ТГ_ИД!$D:$D,ТГ!$A712)</f>
        <v>0</v>
      </c>
      <c r="Q711" s="130">
        <f>SUMIFS(ТГ_ИД!$E:$E,ТГ_ИД!$B:$B,ТГ!$G$9,ТГ_ИД!$D:$D,ТГ!$A712)</f>
        <v>0</v>
      </c>
      <c r="R711" s="130">
        <f>SUMIFS(ТГ_ИД!$E:$E,ТГ_ИД!$B:$B,ТГ!$G$10,ТГ_ИД!$D:$D,ТГ!$A712)</f>
        <v>0</v>
      </c>
      <c r="S711" s="130">
        <f>SUMIFS(ТГ_ИД!$E:$E,ТГ_ИД!$B:$B,ТГ!$G$11,ТГ_ИД!$D:$D,ТГ!$A712)</f>
        <v>0</v>
      </c>
      <c r="T711" s="130">
        <f>SUMIFS(ТГ_ИД!$E:$E,ТГ_ИД!$B:$B,ТГ!$G$12,ТГ_ИД!$D:$D,ТГ!$A712)</f>
        <v>0</v>
      </c>
      <c r="U711" s="130">
        <f>SUMIFS(ТГ_ИД!$E:$E,ТГ_ИД!$B:$B,ТГ!$G$13,ТГ_ИД!$D:$D,ТГ!$A712)</f>
        <v>0</v>
      </c>
      <c r="V711" s="130">
        <f>SUMIFS(ТГ_ИД!$E:$E,ТГ_ИД!$B:$B,ТГ!$G$14,ТГ_ИД!$D:$D,ТГ!$A712)</f>
        <v>0</v>
      </c>
    </row>
    <row r="712" spans="1:22" x14ac:dyDescent="0.25">
      <c r="A712" s="116" t="str">
        <f t="shared" si="12"/>
        <v/>
      </c>
      <c r="K712" s="130">
        <f>SUMIFS(ТГ_ИД!$E:$E,ТГ_ИД!$B:$B,ТГ!$G$3,ТГ_ИД!$D:$D,ТГ!$A713)</f>
        <v>0</v>
      </c>
      <c r="L712" s="130">
        <f>SUMIFS(ТГ_ИД!$E:$E,ТГ_ИД!$B:$B,ТГ!$G$4,ТГ_ИД!$D:$D,ТГ!$A713)</f>
        <v>0</v>
      </c>
      <c r="M712" s="130">
        <f>SUMIFS(ТГ_ИД!$E:$E,ТГ_ИД!$B:$B,ТГ!$G$5,ТГ_ИД!$D:$D,ТГ!$A713)</f>
        <v>0</v>
      </c>
      <c r="N712" s="130">
        <f>SUMIFS(ТГ_ИД!$E:$E,ТГ_ИД!$B:$B,ТГ!$G$6,ТГ_ИД!$D:$D,ТГ!$A713)</f>
        <v>0</v>
      </c>
      <c r="O712" s="130">
        <f>SUMIFS(ТГ_ИД!$E:$E,ТГ_ИД!$B:$B,ТГ!$G$7,ТГ_ИД!$D:$D,ТГ!$A713)</f>
        <v>0</v>
      </c>
      <c r="P712" s="130">
        <f>SUMIFS(ТГ_ИД!$E:$E,ТГ_ИД!$B:$B,ТГ!$G$8,ТГ_ИД!$D:$D,ТГ!$A713)</f>
        <v>0</v>
      </c>
      <c r="Q712" s="130">
        <f>SUMIFS(ТГ_ИД!$E:$E,ТГ_ИД!$B:$B,ТГ!$G$9,ТГ_ИД!$D:$D,ТГ!$A713)</f>
        <v>0</v>
      </c>
      <c r="R712" s="130">
        <f>SUMIFS(ТГ_ИД!$E:$E,ТГ_ИД!$B:$B,ТГ!$G$10,ТГ_ИД!$D:$D,ТГ!$A713)</f>
        <v>0</v>
      </c>
      <c r="S712" s="130">
        <f>SUMIFS(ТГ_ИД!$E:$E,ТГ_ИД!$B:$B,ТГ!$G$11,ТГ_ИД!$D:$D,ТГ!$A713)</f>
        <v>0</v>
      </c>
      <c r="T712" s="130">
        <f>SUMIFS(ТГ_ИД!$E:$E,ТГ_ИД!$B:$B,ТГ!$G$12,ТГ_ИД!$D:$D,ТГ!$A713)</f>
        <v>0</v>
      </c>
      <c r="U712" s="130">
        <f>SUMIFS(ТГ_ИД!$E:$E,ТГ_ИД!$B:$B,ТГ!$G$13,ТГ_ИД!$D:$D,ТГ!$A713)</f>
        <v>0</v>
      </c>
      <c r="V712" s="130">
        <f>SUMIFS(ТГ_ИД!$E:$E,ТГ_ИД!$B:$B,ТГ!$G$14,ТГ_ИД!$D:$D,ТГ!$A713)</f>
        <v>0</v>
      </c>
    </row>
    <row r="713" spans="1:22" x14ac:dyDescent="0.25">
      <c r="A713" s="116" t="str">
        <f t="shared" si="12"/>
        <v/>
      </c>
      <c r="K713" s="130">
        <f>SUMIFS(ТГ_ИД!$E:$E,ТГ_ИД!$B:$B,ТГ!$G$3,ТГ_ИД!$D:$D,ТГ!$A714)</f>
        <v>0</v>
      </c>
      <c r="L713" s="130">
        <f>SUMIFS(ТГ_ИД!$E:$E,ТГ_ИД!$B:$B,ТГ!$G$4,ТГ_ИД!$D:$D,ТГ!$A714)</f>
        <v>0</v>
      </c>
      <c r="M713" s="130">
        <f>SUMIFS(ТГ_ИД!$E:$E,ТГ_ИД!$B:$B,ТГ!$G$5,ТГ_ИД!$D:$D,ТГ!$A714)</f>
        <v>0</v>
      </c>
      <c r="N713" s="130">
        <f>SUMIFS(ТГ_ИД!$E:$E,ТГ_ИД!$B:$B,ТГ!$G$6,ТГ_ИД!$D:$D,ТГ!$A714)</f>
        <v>0</v>
      </c>
      <c r="O713" s="130">
        <f>SUMIFS(ТГ_ИД!$E:$E,ТГ_ИД!$B:$B,ТГ!$G$7,ТГ_ИД!$D:$D,ТГ!$A714)</f>
        <v>0</v>
      </c>
      <c r="P713" s="130">
        <f>SUMIFS(ТГ_ИД!$E:$E,ТГ_ИД!$B:$B,ТГ!$G$8,ТГ_ИД!$D:$D,ТГ!$A714)</f>
        <v>0</v>
      </c>
      <c r="Q713" s="130">
        <f>SUMIFS(ТГ_ИД!$E:$E,ТГ_ИД!$B:$B,ТГ!$G$9,ТГ_ИД!$D:$D,ТГ!$A714)</f>
        <v>0</v>
      </c>
      <c r="R713" s="130">
        <f>SUMIFS(ТГ_ИД!$E:$E,ТГ_ИД!$B:$B,ТГ!$G$10,ТГ_ИД!$D:$D,ТГ!$A714)</f>
        <v>0</v>
      </c>
      <c r="S713" s="130">
        <f>SUMIFS(ТГ_ИД!$E:$E,ТГ_ИД!$B:$B,ТГ!$G$11,ТГ_ИД!$D:$D,ТГ!$A714)</f>
        <v>0</v>
      </c>
      <c r="T713" s="130">
        <f>SUMIFS(ТГ_ИД!$E:$E,ТГ_ИД!$B:$B,ТГ!$G$12,ТГ_ИД!$D:$D,ТГ!$A714)</f>
        <v>0</v>
      </c>
      <c r="U713" s="130">
        <f>SUMIFS(ТГ_ИД!$E:$E,ТГ_ИД!$B:$B,ТГ!$G$13,ТГ_ИД!$D:$D,ТГ!$A714)</f>
        <v>0</v>
      </c>
      <c r="V713" s="130">
        <f>SUMIFS(ТГ_ИД!$E:$E,ТГ_ИД!$B:$B,ТГ!$G$14,ТГ_ИД!$D:$D,ТГ!$A714)</f>
        <v>0</v>
      </c>
    </row>
    <row r="714" spans="1:22" x14ac:dyDescent="0.25">
      <c r="A714" s="116" t="str">
        <f t="shared" si="12"/>
        <v/>
      </c>
      <c r="K714" s="130">
        <f>SUMIFS(ТГ_ИД!$E:$E,ТГ_ИД!$B:$B,ТГ!$G$3,ТГ_ИД!$D:$D,ТГ!$A715)</f>
        <v>0</v>
      </c>
      <c r="L714" s="130">
        <f>SUMIFS(ТГ_ИД!$E:$E,ТГ_ИД!$B:$B,ТГ!$G$4,ТГ_ИД!$D:$D,ТГ!$A715)</f>
        <v>0</v>
      </c>
      <c r="M714" s="130">
        <f>SUMIFS(ТГ_ИД!$E:$E,ТГ_ИД!$B:$B,ТГ!$G$5,ТГ_ИД!$D:$D,ТГ!$A715)</f>
        <v>0</v>
      </c>
      <c r="N714" s="130">
        <f>SUMIFS(ТГ_ИД!$E:$E,ТГ_ИД!$B:$B,ТГ!$G$6,ТГ_ИД!$D:$D,ТГ!$A715)</f>
        <v>0</v>
      </c>
      <c r="O714" s="130">
        <f>SUMIFS(ТГ_ИД!$E:$E,ТГ_ИД!$B:$B,ТГ!$G$7,ТГ_ИД!$D:$D,ТГ!$A715)</f>
        <v>0</v>
      </c>
      <c r="P714" s="130">
        <f>SUMIFS(ТГ_ИД!$E:$E,ТГ_ИД!$B:$B,ТГ!$G$8,ТГ_ИД!$D:$D,ТГ!$A715)</f>
        <v>0</v>
      </c>
      <c r="Q714" s="130">
        <f>SUMIFS(ТГ_ИД!$E:$E,ТГ_ИД!$B:$B,ТГ!$G$9,ТГ_ИД!$D:$D,ТГ!$A715)</f>
        <v>0</v>
      </c>
      <c r="R714" s="130">
        <f>SUMIFS(ТГ_ИД!$E:$E,ТГ_ИД!$B:$B,ТГ!$G$10,ТГ_ИД!$D:$D,ТГ!$A715)</f>
        <v>0</v>
      </c>
      <c r="S714" s="130">
        <f>SUMIFS(ТГ_ИД!$E:$E,ТГ_ИД!$B:$B,ТГ!$G$11,ТГ_ИД!$D:$D,ТГ!$A715)</f>
        <v>0</v>
      </c>
      <c r="T714" s="130">
        <f>SUMIFS(ТГ_ИД!$E:$E,ТГ_ИД!$B:$B,ТГ!$G$12,ТГ_ИД!$D:$D,ТГ!$A715)</f>
        <v>0</v>
      </c>
      <c r="U714" s="130">
        <f>SUMIFS(ТГ_ИД!$E:$E,ТГ_ИД!$B:$B,ТГ!$G$13,ТГ_ИД!$D:$D,ТГ!$A715)</f>
        <v>0</v>
      </c>
      <c r="V714" s="130">
        <f>SUMIFS(ТГ_ИД!$E:$E,ТГ_ИД!$B:$B,ТГ!$G$14,ТГ_ИД!$D:$D,ТГ!$A715)</f>
        <v>0</v>
      </c>
    </row>
    <row r="715" spans="1:22" x14ac:dyDescent="0.25">
      <c r="A715" s="116" t="str">
        <f t="shared" si="12"/>
        <v/>
      </c>
      <c r="K715" s="130">
        <f>SUMIFS(ТГ_ИД!$E:$E,ТГ_ИД!$B:$B,ТГ!$G$3,ТГ_ИД!$D:$D,ТГ!$A716)</f>
        <v>0</v>
      </c>
      <c r="L715" s="130">
        <f>SUMIFS(ТГ_ИД!$E:$E,ТГ_ИД!$B:$B,ТГ!$G$4,ТГ_ИД!$D:$D,ТГ!$A716)</f>
        <v>0</v>
      </c>
      <c r="M715" s="130">
        <f>SUMIFS(ТГ_ИД!$E:$E,ТГ_ИД!$B:$B,ТГ!$G$5,ТГ_ИД!$D:$D,ТГ!$A716)</f>
        <v>0</v>
      </c>
      <c r="N715" s="130">
        <f>SUMIFS(ТГ_ИД!$E:$E,ТГ_ИД!$B:$B,ТГ!$G$6,ТГ_ИД!$D:$D,ТГ!$A716)</f>
        <v>0</v>
      </c>
      <c r="O715" s="130">
        <f>SUMIFS(ТГ_ИД!$E:$E,ТГ_ИД!$B:$B,ТГ!$G$7,ТГ_ИД!$D:$D,ТГ!$A716)</f>
        <v>0</v>
      </c>
      <c r="P715" s="130">
        <f>SUMIFS(ТГ_ИД!$E:$E,ТГ_ИД!$B:$B,ТГ!$G$8,ТГ_ИД!$D:$D,ТГ!$A716)</f>
        <v>0</v>
      </c>
      <c r="Q715" s="130">
        <f>SUMIFS(ТГ_ИД!$E:$E,ТГ_ИД!$B:$B,ТГ!$G$9,ТГ_ИД!$D:$D,ТГ!$A716)</f>
        <v>0</v>
      </c>
      <c r="R715" s="130">
        <f>SUMIFS(ТГ_ИД!$E:$E,ТГ_ИД!$B:$B,ТГ!$G$10,ТГ_ИД!$D:$D,ТГ!$A716)</f>
        <v>0</v>
      </c>
      <c r="S715" s="130">
        <f>SUMIFS(ТГ_ИД!$E:$E,ТГ_ИД!$B:$B,ТГ!$G$11,ТГ_ИД!$D:$D,ТГ!$A716)</f>
        <v>0</v>
      </c>
      <c r="T715" s="130">
        <f>SUMIFS(ТГ_ИД!$E:$E,ТГ_ИД!$B:$B,ТГ!$G$12,ТГ_ИД!$D:$D,ТГ!$A716)</f>
        <v>0</v>
      </c>
      <c r="U715" s="130">
        <f>SUMIFS(ТГ_ИД!$E:$E,ТГ_ИД!$B:$B,ТГ!$G$13,ТГ_ИД!$D:$D,ТГ!$A716)</f>
        <v>0</v>
      </c>
      <c r="V715" s="130">
        <f>SUMIFS(ТГ_ИД!$E:$E,ТГ_ИД!$B:$B,ТГ!$G$14,ТГ_ИД!$D:$D,ТГ!$A716)</f>
        <v>0</v>
      </c>
    </row>
    <row r="716" spans="1:22" x14ac:dyDescent="0.25">
      <c r="A716" s="116" t="str">
        <f t="shared" si="12"/>
        <v/>
      </c>
      <c r="K716" s="130">
        <f>SUMIFS(ТГ_ИД!$E:$E,ТГ_ИД!$B:$B,ТГ!$G$3,ТГ_ИД!$D:$D,ТГ!$A717)</f>
        <v>0</v>
      </c>
      <c r="L716" s="130">
        <f>SUMIFS(ТГ_ИД!$E:$E,ТГ_ИД!$B:$B,ТГ!$G$4,ТГ_ИД!$D:$D,ТГ!$A717)</f>
        <v>0</v>
      </c>
      <c r="M716" s="130">
        <f>SUMIFS(ТГ_ИД!$E:$E,ТГ_ИД!$B:$B,ТГ!$G$5,ТГ_ИД!$D:$D,ТГ!$A717)</f>
        <v>0</v>
      </c>
      <c r="N716" s="130">
        <f>SUMIFS(ТГ_ИД!$E:$E,ТГ_ИД!$B:$B,ТГ!$G$6,ТГ_ИД!$D:$D,ТГ!$A717)</f>
        <v>0</v>
      </c>
      <c r="O716" s="130">
        <f>SUMIFS(ТГ_ИД!$E:$E,ТГ_ИД!$B:$B,ТГ!$G$7,ТГ_ИД!$D:$D,ТГ!$A717)</f>
        <v>0</v>
      </c>
      <c r="P716" s="130">
        <f>SUMIFS(ТГ_ИД!$E:$E,ТГ_ИД!$B:$B,ТГ!$G$8,ТГ_ИД!$D:$D,ТГ!$A717)</f>
        <v>0</v>
      </c>
      <c r="Q716" s="130">
        <f>SUMIFS(ТГ_ИД!$E:$E,ТГ_ИД!$B:$B,ТГ!$G$9,ТГ_ИД!$D:$D,ТГ!$A717)</f>
        <v>0</v>
      </c>
      <c r="R716" s="130">
        <f>SUMIFS(ТГ_ИД!$E:$E,ТГ_ИД!$B:$B,ТГ!$G$10,ТГ_ИД!$D:$D,ТГ!$A717)</f>
        <v>0</v>
      </c>
      <c r="S716" s="130">
        <f>SUMIFS(ТГ_ИД!$E:$E,ТГ_ИД!$B:$B,ТГ!$G$11,ТГ_ИД!$D:$D,ТГ!$A717)</f>
        <v>0</v>
      </c>
      <c r="T716" s="130">
        <f>SUMIFS(ТГ_ИД!$E:$E,ТГ_ИД!$B:$B,ТГ!$G$12,ТГ_ИД!$D:$D,ТГ!$A717)</f>
        <v>0</v>
      </c>
      <c r="U716" s="130">
        <f>SUMIFS(ТГ_ИД!$E:$E,ТГ_ИД!$B:$B,ТГ!$G$13,ТГ_ИД!$D:$D,ТГ!$A717)</f>
        <v>0</v>
      </c>
      <c r="V716" s="130">
        <f>SUMIFS(ТГ_ИД!$E:$E,ТГ_ИД!$B:$B,ТГ!$G$14,ТГ_ИД!$D:$D,ТГ!$A717)</f>
        <v>0</v>
      </c>
    </row>
    <row r="717" spans="1:22" x14ac:dyDescent="0.25">
      <c r="A717" s="116" t="str">
        <f t="shared" si="12"/>
        <v/>
      </c>
      <c r="K717" s="130">
        <f>SUMIFS(ТГ_ИД!$E:$E,ТГ_ИД!$B:$B,ТГ!$G$3,ТГ_ИД!$D:$D,ТГ!$A718)</f>
        <v>0</v>
      </c>
      <c r="L717" s="130">
        <f>SUMIFS(ТГ_ИД!$E:$E,ТГ_ИД!$B:$B,ТГ!$G$4,ТГ_ИД!$D:$D,ТГ!$A718)</f>
        <v>0</v>
      </c>
      <c r="M717" s="130">
        <f>SUMIFS(ТГ_ИД!$E:$E,ТГ_ИД!$B:$B,ТГ!$G$5,ТГ_ИД!$D:$D,ТГ!$A718)</f>
        <v>0</v>
      </c>
      <c r="N717" s="130">
        <f>SUMIFS(ТГ_ИД!$E:$E,ТГ_ИД!$B:$B,ТГ!$G$6,ТГ_ИД!$D:$D,ТГ!$A718)</f>
        <v>0</v>
      </c>
      <c r="O717" s="130">
        <f>SUMIFS(ТГ_ИД!$E:$E,ТГ_ИД!$B:$B,ТГ!$G$7,ТГ_ИД!$D:$D,ТГ!$A718)</f>
        <v>0</v>
      </c>
      <c r="P717" s="130">
        <f>SUMIFS(ТГ_ИД!$E:$E,ТГ_ИД!$B:$B,ТГ!$G$8,ТГ_ИД!$D:$D,ТГ!$A718)</f>
        <v>0</v>
      </c>
      <c r="Q717" s="130">
        <f>SUMIFS(ТГ_ИД!$E:$E,ТГ_ИД!$B:$B,ТГ!$G$9,ТГ_ИД!$D:$D,ТГ!$A718)</f>
        <v>0</v>
      </c>
      <c r="R717" s="130">
        <f>SUMIFS(ТГ_ИД!$E:$E,ТГ_ИД!$B:$B,ТГ!$G$10,ТГ_ИД!$D:$D,ТГ!$A718)</f>
        <v>0</v>
      </c>
      <c r="S717" s="130">
        <f>SUMIFS(ТГ_ИД!$E:$E,ТГ_ИД!$B:$B,ТГ!$G$11,ТГ_ИД!$D:$D,ТГ!$A718)</f>
        <v>0</v>
      </c>
      <c r="T717" s="130">
        <f>SUMIFS(ТГ_ИД!$E:$E,ТГ_ИД!$B:$B,ТГ!$G$12,ТГ_ИД!$D:$D,ТГ!$A718)</f>
        <v>0</v>
      </c>
      <c r="U717" s="130">
        <f>SUMIFS(ТГ_ИД!$E:$E,ТГ_ИД!$B:$B,ТГ!$G$13,ТГ_ИД!$D:$D,ТГ!$A718)</f>
        <v>0</v>
      </c>
      <c r="V717" s="130">
        <f>SUMIFS(ТГ_ИД!$E:$E,ТГ_ИД!$B:$B,ТГ!$G$14,ТГ_ИД!$D:$D,ТГ!$A718)</f>
        <v>0</v>
      </c>
    </row>
    <row r="718" spans="1:22" x14ac:dyDescent="0.25">
      <c r="A718" s="116" t="str">
        <f t="shared" si="12"/>
        <v/>
      </c>
      <c r="K718" s="130">
        <f>SUMIFS(ТГ_ИД!$E:$E,ТГ_ИД!$B:$B,ТГ!$G$3,ТГ_ИД!$D:$D,ТГ!$A719)</f>
        <v>0</v>
      </c>
      <c r="L718" s="130">
        <f>SUMIFS(ТГ_ИД!$E:$E,ТГ_ИД!$B:$B,ТГ!$G$4,ТГ_ИД!$D:$D,ТГ!$A719)</f>
        <v>0</v>
      </c>
      <c r="M718" s="130">
        <f>SUMIFS(ТГ_ИД!$E:$E,ТГ_ИД!$B:$B,ТГ!$G$5,ТГ_ИД!$D:$D,ТГ!$A719)</f>
        <v>0</v>
      </c>
      <c r="N718" s="130">
        <f>SUMIFS(ТГ_ИД!$E:$E,ТГ_ИД!$B:$B,ТГ!$G$6,ТГ_ИД!$D:$D,ТГ!$A719)</f>
        <v>0</v>
      </c>
      <c r="O718" s="130">
        <f>SUMIFS(ТГ_ИД!$E:$E,ТГ_ИД!$B:$B,ТГ!$G$7,ТГ_ИД!$D:$D,ТГ!$A719)</f>
        <v>0</v>
      </c>
      <c r="P718" s="130">
        <f>SUMIFS(ТГ_ИД!$E:$E,ТГ_ИД!$B:$B,ТГ!$G$8,ТГ_ИД!$D:$D,ТГ!$A719)</f>
        <v>0</v>
      </c>
      <c r="Q718" s="130">
        <f>SUMIFS(ТГ_ИД!$E:$E,ТГ_ИД!$B:$B,ТГ!$G$9,ТГ_ИД!$D:$D,ТГ!$A719)</f>
        <v>0</v>
      </c>
      <c r="R718" s="130">
        <f>SUMIFS(ТГ_ИД!$E:$E,ТГ_ИД!$B:$B,ТГ!$G$10,ТГ_ИД!$D:$D,ТГ!$A719)</f>
        <v>0</v>
      </c>
      <c r="S718" s="130">
        <f>SUMIFS(ТГ_ИД!$E:$E,ТГ_ИД!$B:$B,ТГ!$G$11,ТГ_ИД!$D:$D,ТГ!$A719)</f>
        <v>0</v>
      </c>
      <c r="T718" s="130">
        <f>SUMIFS(ТГ_ИД!$E:$E,ТГ_ИД!$B:$B,ТГ!$G$12,ТГ_ИД!$D:$D,ТГ!$A719)</f>
        <v>0</v>
      </c>
      <c r="U718" s="130">
        <f>SUMIFS(ТГ_ИД!$E:$E,ТГ_ИД!$B:$B,ТГ!$G$13,ТГ_ИД!$D:$D,ТГ!$A719)</f>
        <v>0</v>
      </c>
      <c r="V718" s="130">
        <f>SUMIFS(ТГ_ИД!$E:$E,ТГ_ИД!$B:$B,ТГ!$G$14,ТГ_ИД!$D:$D,ТГ!$A719)</f>
        <v>0</v>
      </c>
    </row>
    <row r="719" spans="1:22" x14ac:dyDescent="0.25">
      <c r="A719" s="116" t="str">
        <f t="shared" si="12"/>
        <v/>
      </c>
      <c r="K719" s="130">
        <f>SUMIFS(ТГ_ИД!$E:$E,ТГ_ИД!$B:$B,ТГ!$G$3,ТГ_ИД!$D:$D,ТГ!$A720)</f>
        <v>0</v>
      </c>
      <c r="L719" s="130">
        <f>SUMIFS(ТГ_ИД!$E:$E,ТГ_ИД!$B:$B,ТГ!$G$4,ТГ_ИД!$D:$D,ТГ!$A720)</f>
        <v>0</v>
      </c>
      <c r="M719" s="130">
        <f>SUMIFS(ТГ_ИД!$E:$E,ТГ_ИД!$B:$B,ТГ!$G$5,ТГ_ИД!$D:$D,ТГ!$A720)</f>
        <v>0</v>
      </c>
      <c r="N719" s="130">
        <f>SUMIFS(ТГ_ИД!$E:$E,ТГ_ИД!$B:$B,ТГ!$G$6,ТГ_ИД!$D:$D,ТГ!$A720)</f>
        <v>0</v>
      </c>
      <c r="O719" s="130">
        <f>SUMIFS(ТГ_ИД!$E:$E,ТГ_ИД!$B:$B,ТГ!$G$7,ТГ_ИД!$D:$D,ТГ!$A720)</f>
        <v>0</v>
      </c>
      <c r="P719" s="130">
        <f>SUMIFS(ТГ_ИД!$E:$E,ТГ_ИД!$B:$B,ТГ!$G$8,ТГ_ИД!$D:$D,ТГ!$A720)</f>
        <v>0</v>
      </c>
      <c r="Q719" s="130">
        <f>SUMIFS(ТГ_ИД!$E:$E,ТГ_ИД!$B:$B,ТГ!$G$9,ТГ_ИД!$D:$D,ТГ!$A720)</f>
        <v>0</v>
      </c>
      <c r="R719" s="130">
        <f>SUMIFS(ТГ_ИД!$E:$E,ТГ_ИД!$B:$B,ТГ!$G$10,ТГ_ИД!$D:$D,ТГ!$A720)</f>
        <v>0</v>
      </c>
      <c r="S719" s="130">
        <f>SUMIFS(ТГ_ИД!$E:$E,ТГ_ИД!$B:$B,ТГ!$G$11,ТГ_ИД!$D:$D,ТГ!$A720)</f>
        <v>0</v>
      </c>
      <c r="T719" s="130">
        <f>SUMIFS(ТГ_ИД!$E:$E,ТГ_ИД!$B:$B,ТГ!$G$12,ТГ_ИД!$D:$D,ТГ!$A720)</f>
        <v>0</v>
      </c>
      <c r="U719" s="130">
        <f>SUMIFS(ТГ_ИД!$E:$E,ТГ_ИД!$B:$B,ТГ!$G$13,ТГ_ИД!$D:$D,ТГ!$A720)</f>
        <v>0</v>
      </c>
      <c r="V719" s="130">
        <f>SUMIFS(ТГ_ИД!$E:$E,ТГ_ИД!$B:$B,ТГ!$G$14,ТГ_ИД!$D:$D,ТГ!$A720)</f>
        <v>0</v>
      </c>
    </row>
    <row r="720" spans="1:22" x14ac:dyDescent="0.25">
      <c r="A720" s="116" t="str">
        <f t="shared" si="12"/>
        <v/>
      </c>
      <c r="K720" s="130">
        <f>SUMIFS(ТГ_ИД!$E:$E,ТГ_ИД!$B:$B,ТГ!$G$3,ТГ_ИД!$D:$D,ТГ!$A721)</f>
        <v>0</v>
      </c>
      <c r="L720" s="130">
        <f>SUMIFS(ТГ_ИД!$E:$E,ТГ_ИД!$B:$B,ТГ!$G$4,ТГ_ИД!$D:$D,ТГ!$A721)</f>
        <v>0</v>
      </c>
      <c r="M720" s="130">
        <f>SUMIFS(ТГ_ИД!$E:$E,ТГ_ИД!$B:$B,ТГ!$G$5,ТГ_ИД!$D:$D,ТГ!$A721)</f>
        <v>0</v>
      </c>
      <c r="N720" s="130">
        <f>SUMIFS(ТГ_ИД!$E:$E,ТГ_ИД!$B:$B,ТГ!$G$6,ТГ_ИД!$D:$D,ТГ!$A721)</f>
        <v>0</v>
      </c>
      <c r="O720" s="130">
        <f>SUMIFS(ТГ_ИД!$E:$E,ТГ_ИД!$B:$B,ТГ!$G$7,ТГ_ИД!$D:$D,ТГ!$A721)</f>
        <v>0</v>
      </c>
      <c r="P720" s="130">
        <f>SUMIFS(ТГ_ИД!$E:$E,ТГ_ИД!$B:$B,ТГ!$G$8,ТГ_ИД!$D:$D,ТГ!$A721)</f>
        <v>0</v>
      </c>
      <c r="Q720" s="130">
        <f>SUMIFS(ТГ_ИД!$E:$E,ТГ_ИД!$B:$B,ТГ!$G$9,ТГ_ИД!$D:$D,ТГ!$A721)</f>
        <v>0</v>
      </c>
      <c r="R720" s="130">
        <f>SUMIFS(ТГ_ИД!$E:$E,ТГ_ИД!$B:$B,ТГ!$G$10,ТГ_ИД!$D:$D,ТГ!$A721)</f>
        <v>0</v>
      </c>
      <c r="S720" s="130">
        <f>SUMIFS(ТГ_ИД!$E:$E,ТГ_ИД!$B:$B,ТГ!$G$11,ТГ_ИД!$D:$D,ТГ!$A721)</f>
        <v>0</v>
      </c>
      <c r="T720" s="130">
        <f>SUMIFS(ТГ_ИД!$E:$E,ТГ_ИД!$B:$B,ТГ!$G$12,ТГ_ИД!$D:$D,ТГ!$A721)</f>
        <v>0</v>
      </c>
      <c r="U720" s="130">
        <f>SUMIFS(ТГ_ИД!$E:$E,ТГ_ИД!$B:$B,ТГ!$G$13,ТГ_ИД!$D:$D,ТГ!$A721)</f>
        <v>0</v>
      </c>
      <c r="V720" s="130">
        <f>SUMIFS(ТГ_ИД!$E:$E,ТГ_ИД!$B:$B,ТГ!$G$14,ТГ_ИД!$D:$D,ТГ!$A721)</f>
        <v>0</v>
      </c>
    </row>
    <row r="721" spans="1:22" x14ac:dyDescent="0.25">
      <c r="A721" s="116" t="str">
        <f t="shared" si="12"/>
        <v/>
      </c>
      <c r="K721" s="130">
        <f>SUMIFS(ТГ_ИД!$E:$E,ТГ_ИД!$B:$B,ТГ!$G$3,ТГ_ИД!$D:$D,ТГ!$A722)</f>
        <v>0</v>
      </c>
      <c r="L721" s="130">
        <f>SUMIFS(ТГ_ИД!$E:$E,ТГ_ИД!$B:$B,ТГ!$G$4,ТГ_ИД!$D:$D,ТГ!$A722)</f>
        <v>0</v>
      </c>
      <c r="M721" s="130">
        <f>SUMIFS(ТГ_ИД!$E:$E,ТГ_ИД!$B:$B,ТГ!$G$5,ТГ_ИД!$D:$D,ТГ!$A722)</f>
        <v>0</v>
      </c>
      <c r="N721" s="130">
        <f>SUMIFS(ТГ_ИД!$E:$E,ТГ_ИД!$B:$B,ТГ!$G$6,ТГ_ИД!$D:$D,ТГ!$A722)</f>
        <v>0</v>
      </c>
      <c r="O721" s="130">
        <f>SUMIFS(ТГ_ИД!$E:$E,ТГ_ИД!$B:$B,ТГ!$G$7,ТГ_ИД!$D:$D,ТГ!$A722)</f>
        <v>0</v>
      </c>
      <c r="P721" s="130">
        <f>SUMIFS(ТГ_ИД!$E:$E,ТГ_ИД!$B:$B,ТГ!$G$8,ТГ_ИД!$D:$D,ТГ!$A722)</f>
        <v>0</v>
      </c>
      <c r="Q721" s="130">
        <f>SUMIFS(ТГ_ИД!$E:$E,ТГ_ИД!$B:$B,ТГ!$G$9,ТГ_ИД!$D:$D,ТГ!$A722)</f>
        <v>0</v>
      </c>
      <c r="R721" s="130">
        <f>SUMIFS(ТГ_ИД!$E:$E,ТГ_ИД!$B:$B,ТГ!$G$10,ТГ_ИД!$D:$D,ТГ!$A722)</f>
        <v>0</v>
      </c>
      <c r="S721" s="130">
        <f>SUMIFS(ТГ_ИД!$E:$E,ТГ_ИД!$B:$B,ТГ!$G$11,ТГ_ИД!$D:$D,ТГ!$A722)</f>
        <v>0</v>
      </c>
      <c r="T721" s="130">
        <f>SUMIFS(ТГ_ИД!$E:$E,ТГ_ИД!$B:$B,ТГ!$G$12,ТГ_ИД!$D:$D,ТГ!$A722)</f>
        <v>0</v>
      </c>
      <c r="U721" s="130">
        <f>SUMIFS(ТГ_ИД!$E:$E,ТГ_ИД!$B:$B,ТГ!$G$13,ТГ_ИД!$D:$D,ТГ!$A722)</f>
        <v>0</v>
      </c>
      <c r="V721" s="130">
        <f>SUMIFS(ТГ_ИД!$E:$E,ТГ_ИД!$B:$B,ТГ!$G$14,ТГ_ИД!$D:$D,ТГ!$A722)</f>
        <v>0</v>
      </c>
    </row>
    <row r="722" spans="1:22" x14ac:dyDescent="0.25">
      <c r="A722" s="116" t="str">
        <f t="shared" si="12"/>
        <v/>
      </c>
      <c r="K722" s="130">
        <f>SUMIFS(ТГ_ИД!$E:$E,ТГ_ИД!$B:$B,ТГ!$G$3,ТГ_ИД!$D:$D,ТГ!$A723)</f>
        <v>0</v>
      </c>
      <c r="L722" s="130">
        <f>SUMIFS(ТГ_ИД!$E:$E,ТГ_ИД!$B:$B,ТГ!$G$4,ТГ_ИД!$D:$D,ТГ!$A723)</f>
        <v>0</v>
      </c>
      <c r="M722" s="130">
        <f>SUMIFS(ТГ_ИД!$E:$E,ТГ_ИД!$B:$B,ТГ!$G$5,ТГ_ИД!$D:$D,ТГ!$A723)</f>
        <v>0</v>
      </c>
      <c r="N722" s="130">
        <f>SUMIFS(ТГ_ИД!$E:$E,ТГ_ИД!$B:$B,ТГ!$G$6,ТГ_ИД!$D:$D,ТГ!$A723)</f>
        <v>0</v>
      </c>
      <c r="O722" s="130">
        <f>SUMIFS(ТГ_ИД!$E:$E,ТГ_ИД!$B:$B,ТГ!$G$7,ТГ_ИД!$D:$D,ТГ!$A723)</f>
        <v>0</v>
      </c>
      <c r="P722" s="130">
        <f>SUMIFS(ТГ_ИД!$E:$E,ТГ_ИД!$B:$B,ТГ!$G$8,ТГ_ИД!$D:$D,ТГ!$A723)</f>
        <v>0</v>
      </c>
      <c r="Q722" s="130">
        <f>SUMIFS(ТГ_ИД!$E:$E,ТГ_ИД!$B:$B,ТГ!$G$9,ТГ_ИД!$D:$D,ТГ!$A723)</f>
        <v>0</v>
      </c>
      <c r="R722" s="130">
        <f>SUMIFS(ТГ_ИД!$E:$E,ТГ_ИД!$B:$B,ТГ!$G$10,ТГ_ИД!$D:$D,ТГ!$A723)</f>
        <v>0</v>
      </c>
      <c r="S722" s="130">
        <f>SUMIFS(ТГ_ИД!$E:$E,ТГ_ИД!$B:$B,ТГ!$G$11,ТГ_ИД!$D:$D,ТГ!$A723)</f>
        <v>0</v>
      </c>
      <c r="T722" s="130">
        <f>SUMIFS(ТГ_ИД!$E:$E,ТГ_ИД!$B:$B,ТГ!$G$12,ТГ_ИД!$D:$D,ТГ!$A723)</f>
        <v>0</v>
      </c>
      <c r="U722" s="130">
        <f>SUMIFS(ТГ_ИД!$E:$E,ТГ_ИД!$B:$B,ТГ!$G$13,ТГ_ИД!$D:$D,ТГ!$A723)</f>
        <v>0</v>
      </c>
      <c r="V722" s="130">
        <f>SUMIFS(ТГ_ИД!$E:$E,ТГ_ИД!$B:$B,ТГ!$G$14,ТГ_ИД!$D:$D,ТГ!$A723)</f>
        <v>0</v>
      </c>
    </row>
    <row r="723" spans="1:22" x14ac:dyDescent="0.25">
      <c r="A723" s="116" t="str">
        <f t="shared" si="12"/>
        <v/>
      </c>
      <c r="K723" s="130">
        <f>SUMIFS(ТГ_ИД!$E:$E,ТГ_ИД!$B:$B,ТГ!$G$3,ТГ_ИД!$D:$D,ТГ!$A724)</f>
        <v>0</v>
      </c>
      <c r="L723" s="130">
        <f>SUMIFS(ТГ_ИД!$E:$E,ТГ_ИД!$B:$B,ТГ!$G$4,ТГ_ИД!$D:$D,ТГ!$A724)</f>
        <v>0</v>
      </c>
      <c r="M723" s="130">
        <f>SUMIFS(ТГ_ИД!$E:$E,ТГ_ИД!$B:$B,ТГ!$G$5,ТГ_ИД!$D:$D,ТГ!$A724)</f>
        <v>0</v>
      </c>
      <c r="N723" s="130">
        <f>SUMIFS(ТГ_ИД!$E:$E,ТГ_ИД!$B:$B,ТГ!$G$6,ТГ_ИД!$D:$D,ТГ!$A724)</f>
        <v>0</v>
      </c>
      <c r="O723" s="130">
        <f>SUMIFS(ТГ_ИД!$E:$E,ТГ_ИД!$B:$B,ТГ!$G$7,ТГ_ИД!$D:$D,ТГ!$A724)</f>
        <v>0</v>
      </c>
      <c r="P723" s="130">
        <f>SUMIFS(ТГ_ИД!$E:$E,ТГ_ИД!$B:$B,ТГ!$G$8,ТГ_ИД!$D:$D,ТГ!$A724)</f>
        <v>0</v>
      </c>
      <c r="Q723" s="130">
        <f>SUMIFS(ТГ_ИД!$E:$E,ТГ_ИД!$B:$B,ТГ!$G$9,ТГ_ИД!$D:$D,ТГ!$A724)</f>
        <v>0</v>
      </c>
      <c r="R723" s="130">
        <f>SUMIFS(ТГ_ИД!$E:$E,ТГ_ИД!$B:$B,ТГ!$G$10,ТГ_ИД!$D:$D,ТГ!$A724)</f>
        <v>0</v>
      </c>
      <c r="S723" s="130">
        <f>SUMIFS(ТГ_ИД!$E:$E,ТГ_ИД!$B:$B,ТГ!$G$11,ТГ_ИД!$D:$D,ТГ!$A724)</f>
        <v>0</v>
      </c>
      <c r="T723" s="130">
        <f>SUMIFS(ТГ_ИД!$E:$E,ТГ_ИД!$B:$B,ТГ!$G$12,ТГ_ИД!$D:$D,ТГ!$A724)</f>
        <v>0</v>
      </c>
      <c r="U723" s="130">
        <f>SUMIFS(ТГ_ИД!$E:$E,ТГ_ИД!$B:$B,ТГ!$G$13,ТГ_ИД!$D:$D,ТГ!$A724)</f>
        <v>0</v>
      </c>
      <c r="V723" s="130">
        <f>SUMIFS(ТГ_ИД!$E:$E,ТГ_ИД!$B:$B,ТГ!$G$14,ТГ_ИД!$D:$D,ТГ!$A724)</f>
        <v>0</v>
      </c>
    </row>
    <row r="724" spans="1:22" x14ac:dyDescent="0.25">
      <c r="A724" s="116" t="str">
        <f t="shared" si="12"/>
        <v/>
      </c>
      <c r="K724" s="130">
        <f>SUMIFS(ТГ_ИД!$E:$E,ТГ_ИД!$B:$B,ТГ!$G$3,ТГ_ИД!$D:$D,ТГ!$A725)</f>
        <v>0</v>
      </c>
      <c r="L724" s="130">
        <f>SUMIFS(ТГ_ИД!$E:$E,ТГ_ИД!$B:$B,ТГ!$G$4,ТГ_ИД!$D:$D,ТГ!$A725)</f>
        <v>0</v>
      </c>
      <c r="M724" s="130">
        <f>SUMIFS(ТГ_ИД!$E:$E,ТГ_ИД!$B:$B,ТГ!$G$5,ТГ_ИД!$D:$D,ТГ!$A725)</f>
        <v>0</v>
      </c>
      <c r="N724" s="130">
        <f>SUMIFS(ТГ_ИД!$E:$E,ТГ_ИД!$B:$B,ТГ!$G$6,ТГ_ИД!$D:$D,ТГ!$A725)</f>
        <v>0</v>
      </c>
      <c r="O724" s="130">
        <f>SUMIFS(ТГ_ИД!$E:$E,ТГ_ИД!$B:$B,ТГ!$G$7,ТГ_ИД!$D:$D,ТГ!$A725)</f>
        <v>0</v>
      </c>
      <c r="P724" s="130">
        <f>SUMIFS(ТГ_ИД!$E:$E,ТГ_ИД!$B:$B,ТГ!$G$8,ТГ_ИД!$D:$D,ТГ!$A725)</f>
        <v>0</v>
      </c>
      <c r="Q724" s="130">
        <f>SUMIFS(ТГ_ИД!$E:$E,ТГ_ИД!$B:$B,ТГ!$G$9,ТГ_ИД!$D:$D,ТГ!$A725)</f>
        <v>0</v>
      </c>
      <c r="R724" s="130">
        <f>SUMIFS(ТГ_ИД!$E:$E,ТГ_ИД!$B:$B,ТГ!$G$10,ТГ_ИД!$D:$D,ТГ!$A725)</f>
        <v>0</v>
      </c>
      <c r="S724" s="130">
        <f>SUMIFS(ТГ_ИД!$E:$E,ТГ_ИД!$B:$B,ТГ!$G$11,ТГ_ИД!$D:$D,ТГ!$A725)</f>
        <v>0</v>
      </c>
      <c r="T724" s="130">
        <f>SUMIFS(ТГ_ИД!$E:$E,ТГ_ИД!$B:$B,ТГ!$G$12,ТГ_ИД!$D:$D,ТГ!$A725)</f>
        <v>0</v>
      </c>
      <c r="U724" s="130">
        <f>SUMIFS(ТГ_ИД!$E:$E,ТГ_ИД!$B:$B,ТГ!$G$13,ТГ_ИД!$D:$D,ТГ!$A725)</f>
        <v>0</v>
      </c>
      <c r="V724" s="130">
        <f>SUMIFS(ТГ_ИД!$E:$E,ТГ_ИД!$B:$B,ТГ!$G$14,ТГ_ИД!$D:$D,ТГ!$A725)</f>
        <v>0</v>
      </c>
    </row>
    <row r="725" spans="1:22" x14ac:dyDescent="0.25">
      <c r="A725" s="116" t="str">
        <f t="shared" si="12"/>
        <v/>
      </c>
      <c r="K725" s="130">
        <f>SUMIFS(ТГ_ИД!$E:$E,ТГ_ИД!$B:$B,ТГ!$G$3,ТГ_ИД!$D:$D,ТГ!$A726)</f>
        <v>0</v>
      </c>
      <c r="L725" s="130">
        <f>SUMIFS(ТГ_ИД!$E:$E,ТГ_ИД!$B:$B,ТГ!$G$4,ТГ_ИД!$D:$D,ТГ!$A726)</f>
        <v>0</v>
      </c>
      <c r="M725" s="130">
        <f>SUMIFS(ТГ_ИД!$E:$E,ТГ_ИД!$B:$B,ТГ!$G$5,ТГ_ИД!$D:$D,ТГ!$A726)</f>
        <v>0</v>
      </c>
      <c r="N725" s="130">
        <f>SUMIFS(ТГ_ИД!$E:$E,ТГ_ИД!$B:$B,ТГ!$G$6,ТГ_ИД!$D:$D,ТГ!$A726)</f>
        <v>0</v>
      </c>
      <c r="O725" s="130">
        <f>SUMIFS(ТГ_ИД!$E:$E,ТГ_ИД!$B:$B,ТГ!$G$7,ТГ_ИД!$D:$D,ТГ!$A726)</f>
        <v>0</v>
      </c>
      <c r="P725" s="130">
        <f>SUMIFS(ТГ_ИД!$E:$E,ТГ_ИД!$B:$B,ТГ!$G$8,ТГ_ИД!$D:$D,ТГ!$A726)</f>
        <v>0</v>
      </c>
      <c r="Q725" s="130">
        <f>SUMIFS(ТГ_ИД!$E:$E,ТГ_ИД!$B:$B,ТГ!$G$9,ТГ_ИД!$D:$D,ТГ!$A726)</f>
        <v>0</v>
      </c>
      <c r="R725" s="130">
        <f>SUMIFS(ТГ_ИД!$E:$E,ТГ_ИД!$B:$B,ТГ!$G$10,ТГ_ИД!$D:$D,ТГ!$A726)</f>
        <v>0</v>
      </c>
      <c r="S725" s="130">
        <f>SUMIFS(ТГ_ИД!$E:$E,ТГ_ИД!$B:$B,ТГ!$G$11,ТГ_ИД!$D:$D,ТГ!$A726)</f>
        <v>0</v>
      </c>
      <c r="T725" s="130">
        <f>SUMIFS(ТГ_ИД!$E:$E,ТГ_ИД!$B:$B,ТГ!$G$12,ТГ_ИД!$D:$D,ТГ!$A726)</f>
        <v>0</v>
      </c>
      <c r="U725" s="130">
        <f>SUMIFS(ТГ_ИД!$E:$E,ТГ_ИД!$B:$B,ТГ!$G$13,ТГ_ИД!$D:$D,ТГ!$A726)</f>
        <v>0</v>
      </c>
      <c r="V725" s="130">
        <f>SUMIFS(ТГ_ИД!$E:$E,ТГ_ИД!$B:$B,ТГ!$G$14,ТГ_ИД!$D:$D,ТГ!$A726)</f>
        <v>0</v>
      </c>
    </row>
    <row r="726" spans="1:22" x14ac:dyDescent="0.25">
      <c r="A726" s="116" t="str">
        <f t="shared" si="12"/>
        <v/>
      </c>
      <c r="K726" s="130">
        <f>SUMIFS(ТГ_ИД!$E:$E,ТГ_ИД!$B:$B,ТГ!$G$3,ТГ_ИД!$D:$D,ТГ!$A727)</f>
        <v>0</v>
      </c>
      <c r="L726" s="130">
        <f>SUMIFS(ТГ_ИД!$E:$E,ТГ_ИД!$B:$B,ТГ!$G$4,ТГ_ИД!$D:$D,ТГ!$A727)</f>
        <v>0</v>
      </c>
      <c r="M726" s="130">
        <f>SUMIFS(ТГ_ИД!$E:$E,ТГ_ИД!$B:$B,ТГ!$G$5,ТГ_ИД!$D:$D,ТГ!$A727)</f>
        <v>0</v>
      </c>
      <c r="N726" s="130">
        <f>SUMIFS(ТГ_ИД!$E:$E,ТГ_ИД!$B:$B,ТГ!$G$6,ТГ_ИД!$D:$D,ТГ!$A727)</f>
        <v>0</v>
      </c>
      <c r="O726" s="130">
        <f>SUMIFS(ТГ_ИД!$E:$E,ТГ_ИД!$B:$B,ТГ!$G$7,ТГ_ИД!$D:$D,ТГ!$A727)</f>
        <v>0</v>
      </c>
      <c r="P726" s="130">
        <f>SUMIFS(ТГ_ИД!$E:$E,ТГ_ИД!$B:$B,ТГ!$G$8,ТГ_ИД!$D:$D,ТГ!$A727)</f>
        <v>0</v>
      </c>
      <c r="Q726" s="130">
        <f>SUMIFS(ТГ_ИД!$E:$E,ТГ_ИД!$B:$B,ТГ!$G$9,ТГ_ИД!$D:$D,ТГ!$A727)</f>
        <v>0</v>
      </c>
      <c r="R726" s="130">
        <f>SUMIFS(ТГ_ИД!$E:$E,ТГ_ИД!$B:$B,ТГ!$G$10,ТГ_ИД!$D:$D,ТГ!$A727)</f>
        <v>0</v>
      </c>
      <c r="S726" s="130">
        <f>SUMIFS(ТГ_ИД!$E:$E,ТГ_ИД!$B:$B,ТГ!$G$11,ТГ_ИД!$D:$D,ТГ!$A727)</f>
        <v>0</v>
      </c>
      <c r="T726" s="130">
        <f>SUMIFS(ТГ_ИД!$E:$E,ТГ_ИД!$B:$B,ТГ!$G$12,ТГ_ИД!$D:$D,ТГ!$A727)</f>
        <v>0</v>
      </c>
      <c r="U726" s="130">
        <f>SUMIFS(ТГ_ИД!$E:$E,ТГ_ИД!$B:$B,ТГ!$G$13,ТГ_ИД!$D:$D,ТГ!$A727)</f>
        <v>0</v>
      </c>
      <c r="V726" s="130">
        <f>SUMIFS(ТГ_ИД!$E:$E,ТГ_ИД!$B:$B,ТГ!$G$14,ТГ_ИД!$D:$D,ТГ!$A727)</f>
        <v>0</v>
      </c>
    </row>
    <row r="727" spans="1:22" x14ac:dyDescent="0.25">
      <c r="A727" s="116" t="str">
        <f t="shared" si="12"/>
        <v/>
      </c>
      <c r="K727" s="130">
        <f>SUMIFS(ТГ_ИД!$E:$E,ТГ_ИД!$B:$B,ТГ!$G$3,ТГ_ИД!$D:$D,ТГ!$A728)</f>
        <v>0</v>
      </c>
      <c r="L727" s="130">
        <f>SUMIFS(ТГ_ИД!$E:$E,ТГ_ИД!$B:$B,ТГ!$G$4,ТГ_ИД!$D:$D,ТГ!$A728)</f>
        <v>0</v>
      </c>
      <c r="M727" s="130">
        <f>SUMIFS(ТГ_ИД!$E:$E,ТГ_ИД!$B:$B,ТГ!$G$5,ТГ_ИД!$D:$D,ТГ!$A728)</f>
        <v>0</v>
      </c>
      <c r="N727" s="130">
        <f>SUMIFS(ТГ_ИД!$E:$E,ТГ_ИД!$B:$B,ТГ!$G$6,ТГ_ИД!$D:$D,ТГ!$A728)</f>
        <v>0</v>
      </c>
      <c r="O727" s="130">
        <f>SUMIFS(ТГ_ИД!$E:$E,ТГ_ИД!$B:$B,ТГ!$G$7,ТГ_ИД!$D:$D,ТГ!$A728)</f>
        <v>0</v>
      </c>
      <c r="P727" s="130">
        <f>SUMIFS(ТГ_ИД!$E:$E,ТГ_ИД!$B:$B,ТГ!$G$8,ТГ_ИД!$D:$D,ТГ!$A728)</f>
        <v>0</v>
      </c>
      <c r="Q727" s="130">
        <f>SUMIFS(ТГ_ИД!$E:$E,ТГ_ИД!$B:$B,ТГ!$G$9,ТГ_ИД!$D:$D,ТГ!$A728)</f>
        <v>0</v>
      </c>
      <c r="R727" s="130">
        <f>SUMIFS(ТГ_ИД!$E:$E,ТГ_ИД!$B:$B,ТГ!$G$10,ТГ_ИД!$D:$D,ТГ!$A728)</f>
        <v>0</v>
      </c>
      <c r="S727" s="130">
        <f>SUMIFS(ТГ_ИД!$E:$E,ТГ_ИД!$B:$B,ТГ!$G$11,ТГ_ИД!$D:$D,ТГ!$A728)</f>
        <v>0</v>
      </c>
      <c r="T727" s="130">
        <f>SUMIFS(ТГ_ИД!$E:$E,ТГ_ИД!$B:$B,ТГ!$G$12,ТГ_ИД!$D:$D,ТГ!$A728)</f>
        <v>0</v>
      </c>
      <c r="U727" s="130">
        <f>SUMIFS(ТГ_ИД!$E:$E,ТГ_ИД!$B:$B,ТГ!$G$13,ТГ_ИД!$D:$D,ТГ!$A728)</f>
        <v>0</v>
      </c>
      <c r="V727" s="130">
        <f>SUMIFS(ТГ_ИД!$E:$E,ТГ_ИД!$B:$B,ТГ!$G$14,ТГ_ИД!$D:$D,ТГ!$A728)</f>
        <v>0</v>
      </c>
    </row>
    <row r="728" spans="1:22" x14ac:dyDescent="0.25">
      <c r="A728" s="116" t="str">
        <f t="shared" si="12"/>
        <v/>
      </c>
      <c r="K728" s="130">
        <f>SUMIFS(ТГ_ИД!$E:$E,ТГ_ИД!$B:$B,ТГ!$G$3,ТГ_ИД!$D:$D,ТГ!$A729)</f>
        <v>0</v>
      </c>
      <c r="L728" s="130">
        <f>SUMIFS(ТГ_ИД!$E:$E,ТГ_ИД!$B:$B,ТГ!$G$4,ТГ_ИД!$D:$D,ТГ!$A729)</f>
        <v>0</v>
      </c>
      <c r="M728" s="130">
        <f>SUMIFS(ТГ_ИД!$E:$E,ТГ_ИД!$B:$B,ТГ!$G$5,ТГ_ИД!$D:$D,ТГ!$A729)</f>
        <v>0</v>
      </c>
      <c r="N728" s="130">
        <f>SUMIFS(ТГ_ИД!$E:$E,ТГ_ИД!$B:$B,ТГ!$G$6,ТГ_ИД!$D:$D,ТГ!$A729)</f>
        <v>0</v>
      </c>
      <c r="O728" s="130">
        <f>SUMIFS(ТГ_ИД!$E:$E,ТГ_ИД!$B:$B,ТГ!$G$7,ТГ_ИД!$D:$D,ТГ!$A729)</f>
        <v>0</v>
      </c>
      <c r="P728" s="130">
        <f>SUMIFS(ТГ_ИД!$E:$E,ТГ_ИД!$B:$B,ТГ!$G$8,ТГ_ИД!$D:$D,ТГ!$A729)</f>
        <v>0</v>
      </c>
      <c r="Q728" s="130">
        <f>SUMIFS(ТГ_ИД!$E:$E,ТГ_ИД!$B:$B,ТГ!$G$9,ТГ_ИД!$D:$D,ТГ!$A729)</f>
        <v>0</v>
      </c>
      <c r="R728" s="130">
        <f>SUMIFS(ТГ_ИД!$E:$E,ТГ_ИД!$B:$B,ТГ!$G$10,ТГ_ИД!$D:$D,ТГ!$A729)</f>
        <v>0</v>
      </c>
      <c r="S728" s="130">
        <f>SUMIFS(ТГ_ИД!$E:$E,ТГ_ИД!$B:$B,ТГ!$G$11,ТГ_ИД!$D:$D,ТГ!$A729)</f>
        <v>0</v>
      </c>
      <c r="T728" s="130">
        <f>SUMIFS(ТГ_ИД!$E:$E,ТГ_ИД!$B:$B,ТГ!$G$12,ТГ_ИД!$D:$D,ТГ!$A729)</f>
        <v>0</v>
      </c>
      <c r="U728" s="130">
        <f>SUMIFS(ТГ_ИД!$E:$E,ТГ_ИД!$B:$B,ТГ!$G$13,ТГ_ИД!$D:$D,ТГ!$A729)</f>
        <v>0</v>
      </c>
      <c r="V728" s="130">
        <f>SUMIFS(ТГ_ИД!$E:$E,ТГ_ИД!$B:$B,ТГ!$G$14,ТГ_ИД!$D:$D,ТГ!$A729)</f>
        <v>0</v>
      </c>
    </row>
    <row r="729" spans="1:22" x14ac:dyDescent="0.25">
      <c r="A729" s="116" t="str">
        <f t="shared" si="12"/>
        <v/>
      </c>
      <c r="K729" s="130">
        <f>SUMIFS(ТГ_ИД!$E:$E,ТГ_ИД!$B:$B,ТГ!$G$3,ТГ_ИД!$D:$D,ТГ!$A730)</f>
        <v>0</v>
      </c>
      <c r="L729" s="130">
        <f>SUMIFS(ТГ_ИД!$E:$E,ТГ_ИД!$B:$B,ТГ!$G$4,ТГ_ИД!$D:$D,ТГ!$A730)</f>
        <v>0</v>
      </c>
      <c r="M729" s="130">
        <f>SUMIFS(ТГ_ИД!$E:$E,ТГ_ИД!$B:$B,ТГ!$G$5,ТГ_ИД!$D:$D,ТГ!$A730)</f>
        <v>0</v>
      </c>
      <c r="N729" s="130">
        <f>SUMIFS(ТГ_ИД!$E:$E,ТГ_ИД!$B:$B,ТГ!$G$6,ТГ_ИД!$D:$D,ТГ!$A730)</f>
        <v>0</v>
      </c>
      <c r="O729" s="130">
        <f>SUMIFS(ТГ_ИД!$E:$E,ТГ_ИД!$B:$B,ТГ!$G$7,ТГ_ИД!$D:$D,ТГ!$A730)</f>
        <v>0</v>
      </c>
      <c r="P729" s="130">
        <f>SUMIFS(ТГ_ИД!$E:$E,ТГ_ИД!$B:$B,ТГ!$G$8,ТГ_ИД!$D:$D,ТГ!$A730)</f>
        <v>0</v>
      </c>
      <c r="Q729" s="130">
        <f>SUMIFS(ТГ_ИД!$E:$E,ТГ_ИД!$B:$B,ТГ!$G$9,ТГ_ИД!$D:$D,ТГ!$A730)</f>
        <v>0</v>
      </c>
      <c r="R729" s="130">
        <f>SUMIFS(ТГ_ИД!$E:$E,ТГ_ИД!$B:$B,ТГ!$G$10,ТГ_ИД!$D:$D,ТГ!$A730)</f>
        <v>0</v>
      </c>
      <c r="S729" s="130">
        <f>SUMIFS(ТГ_ИД!$E:$E,ТГ_ИД!$B:$B,ТГ!$G$11,ТГ_ИД!$D:$D,ТГ!$A730)</f>
        <v>0</v>
      </c>
      <c r="T729" s="130">
        <f>SUMIFS(ТГ_ИД!$E:$E,ТГ_ИД!$B:$B,ТГ!$G$12,ТГ_ИД!$D:$D,ТГ!$A730)</f>
        <v>0</v>
      </c>
      <c r="U729" s="130">
        <f>SUMIFS(ТГ_ИД!$E:$E,ТГ_ИД!$B:$B,ТГ!$G$13,ТГ_ИД!$D:$D,ТГ!$A730)</f>
        <v>0</v>
      </c>
      <c r="V729" s="130">
        <f>SUMIFS(ТГ_ИД!$E:$E,ТГ_ИД!$B:$B,ТГ!$G$14,ТГ_ИД!$D:$D,ТГ!$A730)</f>
        <v>0</v>
      </c>
    </row>
    <row r="730" spans="1:22" x14ac:dyDescent="0.25">
      <c r="A730" s="116" t="str">
        <f t="shared" si="12"/>
        <v/>
      </c>
      <c r="K730" s="130">
        <f>SUMIFS(ТГ_ИД!$E:$E,ТГ_ИД!$B:$B,ТГ!$G$3,ТГ_ИД!$D:$D,ТГ!$A731)</f>
        <v>0</v>
      </c>
      <c r="L730" s="130">
        <f>SUMIFS(ТГ_ИД!$E:$E,ТГ_ИД!$B:$B,ТГ!$G$4,ТГ_ИД!$D:$D,ТГ!$A731)</f>
        <v>0</v>
      </c>
      <c r="M730" s="130">
        <f>SUMIFS(ТГ_ИД!$E:$E,ТГ_ИД!$B:$B,ТГ!$G$5,ТГ_ИД!$D:$D,ТГ!$A731)</f>
        <v>0</v>
      </c>
      <c r="N730" s="130">
        <f>SUMIFS(ТГ_ИД!$E:$E,ТГ_ИД!$B:$B,ТГ!$G$6,ТГ_ИД!$D:$D,ТГ!$A731)</f>
        <v>0</v>
      </c>
      <c r="O730" s="130">
        <f>SUMIFS(ТГ_ИД!$E:$E,ТГ_ИД!$B:$B,ТГ!$G$7,ТГ_ИД!$D:$D,ТГ!$A731)</f>
        <v>0</v>
      </c>
      <c r="P730" s="130">
        <f>SUMIFS(ТГ_ИД!$E:$E,ТГ_ИД!$B:$B,ТГ!$G$8,ТГ_ИД!$D:$D,ТГ!$A731)</f>
        <v>0</v>
      </c>
      <c r="Q730" s="130">
        <f>SUMIFS(ТГ_ИД!$E:$E,ТГ_ИД!$B:$B,ТГ!$G$9,ТГ_ИД!$D:$D,ТГ!$A731)</f>
        <v>0</v>
      </c>
      <c r="R730" s="130">
        <f>SUMIFS(ТГ_ИД!$E:$E,ТГ_ИД!$B:$B,ТГ!$G$10,ТГ_ИД!$D:$D,ТГ!$A731)</f>
        <v>0</v>
      </c>
      <c r="S730" s="130">
        <f>SUMIFS(ТГ_ИД!$E:$E,ТГ_ИД!$B:$B,ТГ!$G$11,ТГ_ИД!$D:$D,ТГ!$A731)</f>
        <v>0</v>
      </c>
      <c r="T730" s="130">
        <f>SUMIFS(ТГ_ИД!$E:$E,ТГ_ИД!$B:$B,ТГ!$G$12,ТГ_ИД!$D:$D,ТГ!$A731)</f>
        <v>0</v>
      </c>
      <c r="U730" s="130">
        <f>SUMIFS(ТГ_ИД!$E:$E,ТГ_ИД!$B:$B,ТГ!$G$13,ТГ_ИД!$D:$D,ТГ!$A731)</f>
        <v>0</v>
      </c>
      <c r="V730" s="130">
        <f>SUMIFS(ТГ_ИД!$E:$E,ТГ_ИД!$B:$B,ТГ!$G$14,ТГ_ИД!$D:$D,ТГ!$A731)</f>
        <v>0</v>
      </c>
    </row>
    <row r="731" spans="1:22" x14ac:dyDescent="0.25">
      <c r="A731" s="116" t="str">
        <f t="shared" si="12"/>
        <v/>
      </c>
      <c r="K731" s="130">
        <f>SUMIFS(ТГ_ИД!$E:$E,ТГ_ИД!$B:$B,ТГ!$G$3,ТГ_ИД!$D:$D,ТГ!$A732)</f>
        <v>0</v>
      </c>
      <c r="L731" s="130">
        <f>SUMIFS(ТГ_ИД!$E:$E,ТГ_ИД!$B:$B,ТГ!$G$4,ТГ_ИД!$D:$D,ТГ!$A732)</f>
        <v>0</v>
      </c>
      <c r="M731" s="130">
        <f>SUMIFS(ТГ_ИД!$E:$E,ТГ_ИД!$B:$B,ТГ!$G$5,ТГ_ИД!$D:$D,ТГ!$A732)</f>
        <v>0</v>
      </c>
      <c r="N731" s="130">
        <f>SUMIFS(ТГ_ИД!$E:$E,ТГ_ИД!$B:$B,ТГ!$G$6,ТГ_ИД!$D:$D,ТГ!$A732)</f>
        <v>0</v>
      </c>
      <c r="O731" s="130">
        <f>SUMIFS(ТГ_ИД!$E:$E,ТГ_ИД!$B:$B,ТГ!$G$7,ТГ_ИД!$D:$D,ТГ!$A732)</f>
        <v>0</v>
      </c>
      <c r="P731" s="130">
        <f>SUMIFS(ТГ_ИД!$E:$E,ТГ_ИД!$B:$B,ТГ!$G$8,ТГ_ИД!$D:$D,ТГ!$A732)</f>
        <v>0</v>
      </c>
      <c r="Q731" s="130">
        <f>SUMIFS(ТГ_ИД!$E:$E,ТГ_ИД!$B:$B,ТГ!$G$9,ТГ_ИД!$D:$D,ТГ!$A732)</f>
        <v>0</v>
      </c>
      <c r="R731" s="130">
        <f>SUMIFS(ТГ_ИД!$E:$E,ТГ_ИД!$B:$B,ТГ!$G$10,ТГ_ИД!$D:$D,ТГ!$A732)</f>
        <v>0</v>
      </c>
      <c r="S731" s="130">
        <f>SUMIFS(ТГ_ИД!$E:$E,ТГ_ИД!$B:$B,ТГ!$G$11,ТГ_ИД!$D:$D,ТГ!$A732)</f>
        <v>0</v>
      </c>
      <c r="T731" s="130">
        <f>SUMIFS(ТГ_ИД!$E:$E,ТГ_ИД!$B:$B,ТГ!$G$12,ТГ_ИД!$D:$D,ТГ!$A732)</f>
        <v>0</v>
      </c>
      <c r="U731" s="130">
        <f>SUMIFS(ТГ_ИД!$E:$E,ТГ_ИД!$B:$B,ТГ!$G$13,ТГ_ИД!$D:$D,ТГ!$A732)</f>
        <v>0</v>
      </c>
      <c r="V731" s="130">
        <f>SUMIFS(ТГ_ИД!$E:$E,ТГ_ИД!$B:$B,ТГ!$G$14,ТГ_ИД!$D:$D,ТГ!$A732)</f>
        <v>0</v>
      </c>
    </row>
    <row r="732" spans="1:22" x14ac:dyDescent="0.25">
      <c r="A732" s="116" t="str">
        <f t="shared" si="12"/>
        <v/>
      </c>
      <c r="K732" s="130">
        <f>SUMIFS(ТГ_ИД!$E:$E,ТГ_ИД!$B:$B,ТГ!$G$3,ТГ_ИД!$D:$D,ТГ!$A733)</f>
        <v>0</v>
      </c>
      <c r="L732" s="130">
        <f>SUMIFS(ТГ_ИД!$E:$E,ТГ_ИД!$B:$B,ТГ!$G$4,ТГ_ИД!$D:$D,ТГ!$A733)</f>
        <v>0</v>
      </c>
      <c r="M732" s="130">
        <f>SUMIFS(ТГ_ИД!$E:$E,ТГ_ИД!$B:$B,ТГ!$G$5,ТГ_ИД!$D:$D,ТГ!$A733)</f>
        <v>0</v>
      </c>
      <c r="N732" s="130">
        <f>SUMIFS(ТГ_ИД!$E:$E,ТГ_ИД!$B:$B,ТГ!$G$6,ТГ_ИД!$D:$D,ТГ!$A733)</f>
        <v>0</v>
      </c>
      <c r="O732" s="130">
        <f>SUMIFS(ТГ_ИД!$E:$E,ТГ_ИД!$B:$B,ТГ!$G$7,ТГ_ИД!$D:$D,ТГ!$A733)</f>
        <v>0</v>
      </c>
      <c r="P732" s="130">
        <f>SUMIFS(ТГ_ИД!$E:$E,ТГ_ИД!$B:$B,ТГ!$G$8,ТГ_ИД!$D:$D,ТГ!$A733)</f>
        <v>0</v>
      </c>
      <c r="Q732" s="130">
        <f>SUMIFS(ТГ_ИД!$E:$E,ТГ_ИД!$B:$B,ТГ!$G$9,ТГ_ИД!$D:$D,ТГ!$A733)</f>
        <v>0</v>
      </c>
      <c r="R732" s="130">
        <f>SUMIFS(ТГ_ИД!$E:$E,ТГ_ИД!$B:$B,ТГ!$G$10,ТГ_ИД!$D:$D,ТГ!$A733)</f>
        <v>0</v>
      </c>
      <c r="S732" s="130">
        <f>SUMIFS(ТГ_ИД!$E:$E,ТГ_ИД!$B:$B,ТГ!$G$11,ТГ_ИД!$D:$D,ТГ!$A733)</f>
        <v>0</v>
      </c>
      <c r="T732" s="130">
        <f>SUMIFS(ТГ_ИД!$E:$E,ТГ_ИД!$B:$B,ТГ!$G$12,ТГ_ИД!$D:$D,ТГ!$A733)</f>
        <v>0</v>
      </c>
      <c r="U732" s="130">
        <f>SUMIFS(ТГ_ИД!$E:$E,ТГ_ИД!$B:$B,ТГ!$G$13,ТГ_ИД!$D:$D,ТГ!$A733)</f>
        <v>0</v>
      </c>
      <c r="V732" s="130">
        <f>SUMIFS(ТГ_ИД!$E:$E,ТГ_ИД!$B:$B,ТГ!$G$14,ТГ_ИД!$D:$D,ТГ!$A733)</f>
        <v>0</v>
      </c>
    </row>
    <row r="733" spans="1:22" x14ac:dyDescent="0.25">
      <c r="A733" s="116" t="str">
        <f t="shared" si="12"/>
        <v/>
      </c>
      <c r="K733" s="130">
        <f>SUMIFS(ТГ_ИД!$E:$E,ТГ_ИД!$B:$B,ТГ!$G$3,ТГ_ИД!$D:$D,ТГ!$A734)</f>
        <v>0</v>
      </c>
      <c r="L733" s="130">
        <f>SUMIFS(ТГ_ИД!$E:$E,ТГ_ИД!$B:$B,ТГ!$G$4,ТГ_ИД!$D:$D,ТГ!$A734)</f>
        <v>0</v>
      </c>
      <c r="M733" s="130">
        <f>SUMIFS(ТГ_ИД!$E:$E,ТГ_ИД!$B:$B,ТГ!$G$5,ТГ_ИД!$D:$D,ТГ!$A734)</f>
        <v>0</v>
      </c>
      <c r="N733" s="130">
        <f>SUMIFS(ТГ_ИД!$E:$E,ТГ_ИД!$B:$B,ТГ!$G$6,ТГ_ИД!$D:$D,ТГ!$A734)</f>
        <v>0</v>
      </c>
      <c r="O733" s="130">
        <f>SUMIFS(ТГ_ИД!$E:$E,ТГ_ИД!$B:$B,ТГ!$G$7,ТГ_ИД!$D:$D,ТГ!$A734)</f>
        <v>0</v>
      </c>
      <c r="P733" s="130">
        <f>SUMIFS(ТГ_ИД!$E:$E,ТГ_ИД!$B:$B,ТГ!$G$8,ТГ_ИД!$D:$D,ТГ!$A734)</f>
        <v>0</v>
      </c>
      <c r="Q733" s="130">
        <f>SUMIFS(ТГ_ИД!$E:$E,ТГ_ИД!$B:$B,ТГ!$G$9,ТГ_ИД!$D:$D,ТГ!$A734)</f>
        <v>0</v>
      </c>
      <c r="R733" s="130">
        <f>SUMIFS(ТГ_ИД!$E:$E,ТГ_ИД!$B:$B,ТГ!$G$10,ТГ_ИД!$D:$D,ТГ!$A734)</f>
        <v>0</v>
      </c>
      <c r="S733" s="130">
        <f>SUMIFS(ТГ_ИД!$E:$E,ТГ_ИД!$B:$B,ТГ!$G$11,ТГ_ИД!$D:$D,ТГ!$A734)</f>
        <v>0</v>
      </c>
      <c r="T733" s="130">
        <f>SUMIFS(ТГ_ИД!$E:$E,ТГ_ИД!$B:$B,ТГ!$G$12,ТГ_ИД!$D:$D,ТГ!$A734)</f>
        <v>0</v>
      </c>
      <c r="U733" s="130">
        <f>SUMIFS(ТГ_ИД!$E:$E,ТГ_ИД!$B:$B,ТГ!$G$13,ТГ_ИД!$D:$D,ТГ!$A734)</f>
        <v>0</v>
      </c>
      <c r="V733" s="130">
        <f>SUMIFS(ТГ_ИД!$E:$E,ТГ_ИД!$B:$B,ТГ!$G$14,ТГ_ИД!$D:$D,ТГ!$A734)</f>
        <v>0</v>
      </c>
    </row>
    <row r="734" spans="1:22" x14ac:dyDescent="0.25">
      <c r="A734" s="116" t="str">
        <f t="shared" si="12"/>
        <v/>
      </c>
      <c r="K734" s="130">
        <f>SUMIFS(ТГ_ИД!$E:$E,ТГ_ИД!$B:$B,ТГ!$G$3,ТГ_ИД!$D:$D,ТГ!$A735)</f>
        <v>0</v>
      </c>
      <c r="L734" s="130">
        <f>SUMIFS(ТГ_ИД!$E:$E,ТГ_ИД!$B:$B,ТГ!$G$4,ТГ_ИД!$D:$D,ТГ!$A735)</f>
        <v>0</v>
      </c>
      <c r="M734" s="130">
        <f>SUMIFS(ТГ_ИД!$E:$E,ТГ_ИД!$B:$B,ТГ!$G$5,ТГ_ИД!$D:$D,ТГ!$A735)</f>
        <v>0</v>
      </c>
      <c r="N734" s="130">
        <f>SUMIFS(ТГ_ИД!$E:$E,ТГ_ИД!$B:$B,ТГ!$G$6,ТГ_ИД!$D:$D,ТГ!$A735)</f>
        <v>0</v>
      </c>
      <c r="O734" s="130">
        <f>SUMIFS(ТГ_ИД!$E:$E,ТГ_ИД!$B:$B,ТГ!$G$7,ТГ_ИД!$D:$D,ТГ!$A735)</f>
        <v>0</v>
      </c>
      <c r="P734" s="130">
        <f>SUMIFS(ТГ_ИД!$E:$E,ТГ_ИД!$B:$B,ТГ!$G$8,ТГ_ИД!$D:$D,ТГ!$A735)</f>
        <v>0</v>
      </c>
      <c r="Q734" s="130">
        <f>SUMIFS(ТГ_ИД!$E:$E,ТГ_ИД!$B:$B,ТГ!$G$9,ТГ_ИД!$D:$D,ТГ!$A735)</f>
        <v>0</v>
      </c>
      <c r="R734" s="130">
        <f>SUMIFS(ТГ_ИД!$E:$E,ТГ_ИД!$B:$B,ТГ!$G$10,ТГ_ИД!$D:$D,ТГ!$A735)</f>
        <v>0</v>
      </c>
      <c r="S734" s="130">
        <f>SUMIFS(ТГ_ИД!$E:$E,ТГ_ИД!$B:$B,ТГ!$G$11,ТГ_ИД!$D:$D,ТГ!$A735)</f>
        <v>0</v>
      </c>
      <c r="T734" s="130">
        <f>SUMIFS(ТГ_ИД!$E:$E,ТГ_ИД!$B:$B,ТГ!$G$12,ТГ_ИД!$D:$D,ТГ!$A735)</f>
        <v>0</v>
      </c>
      <c r="U734" s="130">
        <f>SUMIFS(ТГ_ИД!$E:$E,ТГ_ИД!$B:$B,ТГ!$G$13,ТГ_ИД!$D:$D,ТГ!$A735)</f>
        <v>0</v>
      </c>
      <c r="V734" s="130">
        <f>SUMIFS(ТГ_ИД!$E:$E,ТГ_ИД!$B:$B,ТГ!$G$14,ТГ_ИД!$D:$D,ТГ!$A735)</f>
        <v>0</v>
      </c>
    </row>
    <row r="735" spans="1:22" x14ac:dyDescent="0.25">
      <c r="A735" s="116" t="str">
        <f t="shared" si="12"/>
        <v/>
      </c>
      <c r="K735" s="130">
        <f>SUMIFS(ТГ_ИД!$E:$E,ТГ_ИД!$B:$B,ТГ!$G$3,ТГ_ИД!$D:$D,ТГ!$A736)</f>
        <v>0</v>
      </c>
      <c r="L735" s="130">
        <f>SUMIFS(ТГ_ИД!$E:$E,ТГ_ИД!$B:$B,ТГ!$G$4,ТГ_ИД!$D:$D,ТГ!$A736)</f>
        <v>0</v>
      </c>
      <c r="M735" s="130">
        <f>SUMIFS(ТГ_ИД!$E:$E,ТГ_ИД!$B:$B,ТГ!$G$5,ТГ_ИД!$D:$D,ТГ!$A736)</f>
        <v>0</v>
      </c>
      <c r="N735" s="130">
        <f>SUMIFS(ТГ_ИД!$E:$E,ТГ_ИД!$B:$B,ТГ!$G$6,ТГ_ИД!$D:$D,ТГ!$A736)</f>
        <v>0</v>
      </c>
      <c r="O735" s="130">
        <f>SUMIFS(ТГ_ИД!$E:$E,ТГ_ИД!$B:$B,ТГ!$G$7,ТГ_ИД!$D:$D,ТГ!$A736)</f>
        <v>0</v>
      </c>
      <c r="P735" s="130">
        <f>SUMIFS(ТГ_ИД!$E:$E,ТГ_ИД!$B:$B,ТГ!$G$8,ТГ_ИД!$D:$D,ТГ!$A736)</f>
        <v>0</v>
      </c>
      <c r="Q735" s="130">
        <f>SUMIFS(ТГ_ИД!$E:$E,ТГ_ИД!$B:$B,ТГ!$G$9,ТГ_ИД!$D:$D,ТГ!$A736)</f>
        <v>0</v>
      </c>
      <c r="R735" s="130">
        <f>SUMIFS(ТГ_ИД!$E:$E,ТГ_ИД!$B:$B,ТГ!$G$10,ТГ_ИД!$D:$D,ТГ!$A736)</f>
        <v>0</v>
      </c>
      <c r="S735" s="130">
        <f>SUMIFS(ТГ_ИД!$E:$E,ТГ_ИД!$B:$B,ТГ!$G$11,ТГ_ИД!$D:$D,ТГ!$A736)</f>
        <v>0</v>
      </c>
      <c r="T735" s="130">
        <f>SUMIFS(ТГ_ИД!$E:$E,ТГ_ИД!$B:$B,ТГ!$G$12,ТГ_ИД!$D:$D,ТГ!$A736)</f>
        <v>0</v>
      </c>
      <c r="U735" s="130">
        <f>SUMIFS(ТГ_ИД!$E:$E,ТГ_ИД!$B:$B,ТГ!$G$13,ТГ_ИД!$D:$D,ТГ!$A736)</f>
        <v>0</v>
      </c>
      <c r="V735" s="130">
        <f>SUMIFS(ТГ_ИД!$E:$E,ТГ_ИД!$B:$B,ТГ!$G$14,ТГ_ИД!$D:$D,ТГ!$A736)</f>
        <v>0</v>
      </c>
    </row>
    <row r="736" spans="1:22" x14ac:dyDescent="0.25">
      <c r="A736" s="116" t="str">
        <f t="shared" si="12"/>
        <v/>
      </c>
      <c r="K736" s="130">
        <f>SUMIFS(ТГ_ИД!$E:$E,ТГ_ИД!$B:$B,ТГ!$G$3,ТГ_ИД!$D:$D,ТГ!$A737)</f>
        <v>0</v>
      </c>
      <c r="L736" s="130">
        <f>SUMIFS(ТГ_ИД!$E:$E,ТГ_ИД!$B:$B,ТГ!$G$4,ТГ_ИД!$D:$D,ТГ!$A737)</f>
        <v>0</v>
      </c>
      <c r="M736" s="130">
        <f>SUMIFS(ТГ_ИД!$E:$E,ТГ_ИД!$B:$B,ТГ!$G$5,ТГ_ИД!$D:$D,ТГ!$A737)</f>
        <v>0</v>
      </c>
      <c r="N736" s="130">
        <f>SUMIFS(ТГ_ИД!$E:$E,ТГ_ИД!$B:$B,ТГ!$G$6,ТГ_ИД!$D:$D,ТГ!$A737)</f>
        <v>0</v>
      </c>
      <c r="O736" s="130">
        <f>SUMIFS(ТГ_ИД!$E:$E,ТГ_ИД!$B:$B,ТГ!$G$7,ТГ_ИД!$D:$D,ТГ!$A737)</f>
        <v>0</v>
      </c>
      <c r="P736" s="130">
        <f>SUMIFS(ТГ_ИД!$E:$E,ТГ_ИД!$B:$B,ТГ!$G$8,ТГ_ИД!$D:$D,ТГ!$A737)</f>
        <v>0</v>
      </c>
      <c r="Q736" s="130">
        <f>SUMIFS(ТГ_ИД!$E:$E,ТГ_ИД!$B:$B,ТГ!$G$9,ТГ_ИД!$D:$D,ТГ!$A737)</f>
        <v>0</v>
      </c>
      <c r="R736" s="130">
        <f>SUMIFS(ТГ_ИД!$E:$E,ТГ_ИД!$B:$B,ТГ!$G$10,ТГ_ИД!$D:$D,ТГ!$A737)</f>
        <v>0</v>
      </c>
      <c r="S736" s="130">
        <f>SUMIFS(ТГ_ИД!$E:$E,ТГ_ИД!$B:$B,ТГ!$G$11,ТГ_ИД!$D:$D,ТГ!$A737)</f>
        <v>0</v>
      </c>
      <c r="T736" s="130">
        <f>SUMIFS(ТГ_ИД!$E:$E,ТГ_ИД!$B:$B,ТГ!$G$12,ТГ_ИД!$D:$D,ТГ!$A737)</f>
        <v>0</v>
      </c>
      <c r="U736" s="130">
        <f>SUMIFS(ТГ_ИД!$E:$E,ТГ_ИД!$B:$B,ТГ!$G$13,ТГ_ИД!$D:$D,ТГ!$A737)</f>
        <v>0</v>
      </c>
      <c r="V736" s="130">
        <f>SUMIFS(ТГ_ИД!$E:$E,ТГ_ИД!$B:$B,ТГ!$G$14,ТГ_ИД!$D:$D,ТГ!$A737)</f>
        <v>0</v>
      </c>
    </row>
    <row r="737" spans="1:22" x14ac:dyDescent="0.25">
      <c r="A737" s="116" t="str">
        <f t="shared" si="12"/>
        <v/>
      </c>
      <c r="K737" s="130">
        <f>SUMIFS(ТГ_ИД!$E:$E,ТГ_ИД!$B:$B,ТГ!$G$3,ТГ_ИД!$D:$D,ТГ!$A738)</f>
        <v>0</v>
      </c>
      <c r="L737" s="130">
        <f>SUMIFS(ТГ_ИД!$E:$E,ТГ_ИД!$B:$B,ТГ!$G$4,ТГ_ИД!$D:$D,ТГ!$A738)</f>
        <v>0</v>
      </c>
      <c r="M737" s="130">
        <f>SUMIFS(ТГ_ИД!$E:$E,ТГ_ИД!$B:$B,ТГ!$G$5,ТГ_ИД!$D:$D,ТГ!$A738)</f>
        <v>0</v>
      </c>
      <c r="N737" s="130">
        <f>SUMIFS(ТГ_ИД!$E:$E,ТГ_ИД!$B:$B,ТГ!$G$6,ТГ_ИД!$D:$D,ТГ!$A738)</f>
        <v>0</v>
      </c>
      <c r="O737" s="130">
        <f>SUMIFS(ТГ_ИД!$E:$E,ТГ_ИД!$B:$B,ТГ!$G$7,ТГ_ИД!$D:$D,ТГ!$A738)</f>
        <v>0</v>
      </c>
      <c r="P737" s="130">
        <f>SUMIFS(ТГ_ИД!$E:$E,ТГ_ИД!$B:$B,ТГ!$G$8,ТГ_ИД!$D:$D,ТГ!$A738)</f>
        <v>0</v>
      </c>
      <c r="Q737" s="130">
        <f>SUMIFS(ТГ_ИД!$E:$E,ТГ_ИД!$B:$B,ТГ!$G$9,ТГ_ИД!$D:$D,ТГ!$A738)</f>
        <v>0</v>
      </c>
      <c r="R737" s="130">
        <f>SUMIFS(ТГ_ИД!$E:$E,ТГ_ИД!$B:$B,ТГ!$G$10,ТГ_ИД!$D:$D,ТГ!$A738)</f>
        <v>0</v>
      </c>
      <c r="S737" s="130">
        <f>SUMIFS(ТГ_ИД!$E:$E,ТГ_ИД!$B:$B,ТГ!$G$11,ТГ_ИД!$D:$D,ТГ!$A738)</f>
        <v>0</v>
      </c>
      <c r="T737" s="130">
        <f>SUMIFS(ТГ_ИД!$E:$E,ТГ_ИД!$B:$B,ТГ!$G$12,ТГ_ИД!$D:$D,ТГ!$A738)</f>
        <v>0</v>
      </c>
      <c r="U737" s="130">
        <f>SUMIFS(ТГ_ИД!$E:$E,ТГ_ИД!$B:$B,ТГ!$G$13,ТГ_ИД!$D:$D,ТГ!$A738)</f>
        <v>0</v>
      </c>
      <c r="V737" s="130">
        <f>SUMIFS(ТГ_ИД!$E:$E,ТГ_ИД!$B:$B,ТГ!$G$14,ТГ_ИД!$D:$D,ТГ!$A738)</f>
        <v>0</v>
      </c>
    </row>
    <row r="738" spans="1:22" x14ac:dyDescent="0.25">
      <c r="A738" s="116" t="str">
        <f t="shared" si="12"/>
        <v/>
      </c>
      <c r="K738" s="130">
        <f>SUMIFS(ТГ_ИД!$E:$E,ТГ_ИД!$B:$B,ТГ!$G$3,ТГ_ИД!$D:$D,ТГ!$A739)</f>
        <v>0</v>
      </c>
      <c r="L738" s="130">
        <f>SUMIFS(ТГ_ИД!$E:$E,ТГ_ИД!$B:$B,ТГ!$G$4,ТГ_ИД!$D:$D,ТГ!$A739)</f>
        <v>0</v>
      </c>
      <c r="M738" s="130">
        <f>SUMIFS(ТГ_ИД!$E:$E,ТГ_ИД!$B:$B,ТГ!$G$5,ТГ_ИД!$D:$D,ТГ!$A739)</f>
        <v>0</v>
      </c>
      <c r="N738" s="130">
        <f>SUMIFS(ТГ_ИД!$E:$E,ТГ_ИД!$B:$B,ТГ!$G$6,ТГ_ИД!$D:$D,ТГ!$A739)</f>
        <v>0</v>
      </c>
      <c r="O738" s="130">
        <f>SUMIFS(ТГ_ИД!$E:$E,ТГ_ИД!$B:$B,ТГ!$G$7,ТГ_ИД!$D:$D,ТГ!$A739)</f>
        <v>0</v>
      </c>
      <c r="P738" s="130">
        <f>SUMIFS(ТГ_ИД!$E:$E,ТГ_ИД!$B:$B,ТГ!$G$8,ТГ_ИД!$D:$D,ТГ!$A739)</f>
        <v>0</v>
      </c>
      <c r="Q738" s="130">
        <f>SUMIFS(ТГ_ИД!$E:$E,ТГ_ИД!$B:$B,ТГ!$G$9,ТГ_ИД!$D:$D,ТГ!$A739)</f>
        <v>0</v>
      </c>
      <c r="R738" s="130">
        <f>SUMIFS(ТГ_ИД!$E:$E,ТГ_ИД!$B:$B,ТГ!$G$10,ТГ_ИД!$D:$D,ТГ!$A739)</f>
        <v>0</v>
      </c>
      <c r="S738" s="130">
        <f>SUMIFS(ТГ_ИД!$E:$E,ТГ_ИД!$B:$B,ТГ!$G$11,ТГ_ИД!$D:$D,ТГ!$A739)</f>
        <v>0</v>
      </c>
      <c r="T738" s="130">
        <f>SUMIFS(ТГ_ИД!$E:$E,ТГ_ИД!$B:$B,ТГ!$G$12,ТГ_ИД!$D:$D,ТГ!$A739)</f>
        <v>0</v>
      </c>
      <c r="U738" s="130">
        <f>SUMIFS(ТГ_ИД!$E:$E,ТГ_ИД!$B:$B,ТГ!$G$13,ТГ_ИД!$D:$D,ТГ!$A739)</f>
        <v>0</v>
      </c>
      <c r="V738" s="130">
        <f>SUMIFS(ТГ_ИД!$E:$E,ТГ_ИД!$B:$B,ТГ!$G$14,ТГ_ИД!$D:$D,ТГ!$A739)</f>
        <v>0</v>
      </c>
    </row>
    <row r="739" spans="1:22" x14ac:dyDescent="0.25">
      <c r="A739" s="116" t="str">
        <f t="shared" si="12"/>
        <v/>
      </c>
      <c r="K739" s="130">
        <f>SUMIFS(ТГ_ИД!$E:$E,ТГ_ИД!$B:$B,ТГ!$G$3,ТГ_ИД!$D:$D,ТГ!$A740)</f>
        <v>0</v>
      </c>
      <c r="L739" s="130">
        <f>SUMIFS(ТГ_ИД!$E:$E,ТГ_ИД!$B:$B,ТГ!$G$4,ТГ_ИД!$D:$D,ТГ!$A740)</f>
        <v>0</v>
      </c>
      <c r="M739" s="130">
        <f>SUMIFS(ТГ_ИД!$E:$E,ТГ_ИД!$B:$B,ТГ!$G$5,ТГ_ИД!$D:$D,ТГ!$A740)</f>
        <v>0</v>
      </c>
      <c r="N739" s="130">
        <f>SUMIFS(ТГ_ИД!$E:$E,ТГ_ИД!$B:$B,ТГ!$G$6,ТГ_ИД!$D:$D,ТГ!$A740)</f>
        <v>0</v>
      </c>
      <c r="O739" s="130">
        <f>SUMIFS(ТГ_ИД!$E:$E,ТГ_ИД!$B:$B,ТГ!$G$7,ТГ_ИД!$D:$D,ТГ!$A740)</f>
        <v>0</v>
      </c>
      <c r="P739" s="130">
        <f>SUMIFS(ТГ_ИД!$E:$E,ТГ_ИД!$B:$B,ТГ!$G$8,ТГ_ИД!$D:$D,ТГ!$A740)</f>
        <v>0</v>
      </c>
      <c r="Q739" s="130">
        <f>SUMIFS(ТГ_ИД!$E:$E,ТГ_ИД!$B:$B,ТГ!$G$9,ТГ_ИД!$D:$D,ТГ!$A740)</f>
        <v>0</v>
      </c>
      <c r="R739" s="130">
        <f>SUMIFS(ТГ_ИД!$E:$E,ТГ_ИД!$B:$B,ТГ!$G$10,ТГ_ИД!$D:$D,ТГ!$A740)</f>
        <v>0</v>
      </c>
      <c r="S739" s="130">
        <f>SUMIFS(ТГ_ИД!$E:$E,ТГ_ИД!$B:$B,ТГ!$G$11,ТГ_ИД!$D:$D,ТГ!$A740)</f>
        <v>0</v>
      </c>
      <c r="T739" s="130">
        <f>SUMIFS(ТГ_ИД!$E:$E,ТГ_ИД!$B:$B,ТГ!$G$12,ТГ_ИД!$D:$D,ТГ!$A740)</f>
        <v>0</v>
      </c>
      <c r="U739" s="130">
        <f>SUMIFS(ТГ_ИД!$E:$E,ТГ_ИД!$B:$B,ТГ!$G$13,ТГ_ИД!$D:$D,ТГ!$A740)</f>
        <v>0</v>
      </c>
      <c r="V739" s="130">
        <f>SUMIFS(ТГ_ИД!$E:$E,ТГ_ИД!$B:$B,ТГ!$G$14,ТГ_ИД!$D:$D,ТГ!$A740)</f>
        <v>0</v>
      </c>
    </row>
    <row r="740" spans="1:22" x14ac:dyDescent="0.25">
      <c r="A740" s="116" t="str">
        <f t="shared" si="12"/>
        <v/>
      </c>
      <c r="K740" s="130">
        <f>SUMIFS(ТГ_ИД!$E:$E,ТГ_ИД!$B:$B,ТГ!$G$3,ТГ_ИД!$D:$D,ТГ!$A741)</f>
        <v>0</v>
      </c>
      <c r="L740" s="130">
        <f>SUMIFS(ТГ_ИД!$E:$E,ТГ_ИД!$B:$B,ТГ!$G$4,ТГ_ИД!$D:$D,ТГ!$A741)</f>
        <v>0</v>
      </c>
      <c r="M740" s="130">
        <f>SUMIFS(ТГ_ИД!$E:$E,ТГ_ИД!$B:$B,ТГ!$G$5,ТГ_ИД!$D:$D,ТГ!$A741)</f>
        <v>0</v>
      </c>
      <c r="N740" s="130">
        <f>SUMIFS(ТГ_ИД!$E:$E,ТГ_ИД!$B:$B,ТГ!$G$6,ТГ_ИД!$D:$D,ТГ!$A741)</f>
        <v>0</v>
      </c>
      <c r="O740" s="130">
        <f>SUMIFS(ТГ_ИД!$E:$E,ТГ_ИД!$B:$B,ТГ!$G$7,ТГ_ИД!$D:$D,ТГ!$A741)</f>
        <v>0</v>
      </c>
      <c r="P740" s="130">
        <f>SUMIFS(ТГ_ИД!$E:$E,ТГ_ИД!$B:$B,ТГ!$G$8,ТГ_ИД!$D:$D,ТГ!$A741)</f>
        <v>0</v>
      </c>
      <c r="Q740" s="130">
        <f>SUMIFS(ТГ_ИД!$E:$E,ТГ_ИД!$B:$B,ТГ!$G$9,ТГ_ИД!$D:$D,ТГ!$A741)</f>
        <v>0</v>
      </c>
      <c r="R740" s="130">
        <f>SUMIFS(ТГ_ИД!$E:$E,ТГ_ИД!$B:$B,ТГ!$G$10,ТГ_ИД!$D:$D,ТГ!$A741)</f>
        <v>0</v>
      </c>
      <c r="S740" s="130">
        <f>SUMIFS(ТГ_ИД!$E:$E,ТГ_ИД!$B:$B,ТГ!$G$11,ТГ_ИД!$D:$D,ТГ!$A741)</f>
        <v>0</v>
      </c>
      <c r="T740" s="130">
        <f>SUMIFS(ТГ_ИД!$E:$E,ТГ_ИД!$B:$B,ТГ!$G$12,ТГ_ИД!$D:$D,ТГ!$A741)</f>
        <v>0</v>
      </c>
      <c r="U740" s="130">
        <f>SUMIFS(ТГ_ИД!$E:$E,ТГ_ИД!$B:$B,ТГ!$G$13,ТГ_ИД!$D:$D,ТГ!$A741)</f>
        <v>0</v>
      </c>
      <c r="V740" s="130">
        <f>SUMIFS(ТГ_ИД!$E:$E,ТГ_ИД!$B:$B,ТГ!$G$14,ТГ_ИД!$D:$D,ТГ!$A741)</f>
        <v>0</v>
      </c>
    </row>
    <row r="741" spans="1:22" x14ac:dyDescent="0.25">
      <c r="A741" s="116" t="str">
        <f t="shared" si="12"/>
        <v/>
      </c>
      <c r="K741" s="130">
        <f>SUMIFS(ТГ_ИД!$E:$E,ТГ_ИД!$B:$B,ТГ!$G$3,ТГ_ИД!$D:$D,ТГ!$A742)</f>
        <v>0</v>
      </c>
      <c r="L741" s="130">
        <f>SUMIFS(ТГ_ИД!$E:$E,ТГ_ИД!$B:$B,ТГ!$G$4,ТГ_ИД!$D:$D,ТГ!$A742)</f>
        <v>0</v>
      </c>
      <c r="M741" s="130">
        <f>SUMIFS(ТГ_ИД!$E:$E,ТГ_ИД!$B:$B,ТГ!$G$5,ТГ_ИД!$D:$D,ТГ!$A742)</f>
        <v>0</v>
      </c>
      <c r="N741" s="130">
        <f>SUMIFS(ТГ_ИД!$E:$E,ТГ_ИД!$B:$B,ТГ!$G$6,ТГ_ИД!$D:$D,ТГ!$A742)</f>
        <v>0</v>
      </c>
      <c r="O741" s="130">
        <f>SUMIFS(ТГ_ИД!$E:$E,ТГ_ИД!$B:$B,ТГ!$G$7,ТГ_ИД!$D:$D,ТГ!$A742)</f>
        <v>0</v>
      </c>
      <c r="P741" s="130">
        <f>SUMIFS(ТГ_ИД!$E:$E,ТГ_ИД!$B:$B,ТГ!$G$8,ТГ_ИД!$D:$D,ТГ!$A742)</f>
        <v>0</v>
      </c>
      <c r="Q741" s="130">
        <f>SUMIFS(ТГ_ИД!$E:$E,ТГ_ИД!$B:$B,ТГ!$G$9,ТГ_ИД!$D:$D,ТГ!$A742)</f>
        <v>0</v>
      </c>
      <c r="R741" s="130">
        <f>SUMIFS(ТГ_ИД!$E:$E,ТГ_ИД!$B:$B,ТГ!$G$10,ТГ_ИД!$D:$D,ТГ!$A742)</f>
        <v>0</v>
      </c>
      <c r="S741" s="130">
        <f>SUMIFS(ТГ_ИД!$E:$E,ТГ_ИД!$B:$B,ТГ!$G$11,ТГ_ИД!$D:$D,ТГ!$A742)</f>
        <v>0</v>
      </c>
      <c r="T741" s="130">
        <f>SUMIFS(ТГ_ИД!$E:$E,ТГ_ИД!$B:$B,ТГ!$G$12,ТГ_ИД!$D:$D,ТГ!$A742)</f>
        <v>0</v>
      </c>
      <c r="U741" s="130">
        <f>SUMIFS(ТГ_ИД!$E:$E,ТГ_ИД!$B:$B,ТГ!$G$13,ТГ_ИД!$D:$D,ТГ!$A742)</f>
        <v>0</v>
      </c>
      <c r="V741" s="130">
        <f>SUMIFS(ТГ_ИД!$E:$E,ТГ_ИД!$B:$B,ТГ!$G$14,ТГ_ИД!$D:$D,ТГ!$A742)</f>
        <v>0</v>
      </c>
    </row>
    <row r="742" spans="1:22" x14ac:dyDescent="0.25">
      <c r="A742" s="116" t="str">
        <f t="shared" si="12"/>
        <v/>
      </c>
      <c r="K742" s="130">
        <f>SUMIFS(ТГ_ИД!$E:$E,ТГ_ИД!$B:$B,ТГ!$G$3,ТГ_ИД!$D:$D,ТГ!$A743)</f>
        <v>0</v>
      </c>
      <c r="L742" s="130">
        <f>SUMIFS(ТГ_ИД!$E:$E,ТГ_ИД!$B:$B,ТГ!$G$4,ТГ_ИД!$D:$D,ТГ!$A743)</f>
        <v>0</v>
      </c>
      <c r="M742" s="130">
        <f>SUMIFS(ТГ_ИД!$E:$E,ТГ_ИД!$B:$B,ТГ!$G$5,ТГ_ИД!$D:$D,ТГ!$A743)</f>
        <v>0</v>
      </c>
      <c r="N742" s="130">
        <f>SUMIFS(ТГ_ИД!$E:$E,ТГ_ИД!$B:$B,ТГ!$G$6,ТГ_ИД!$D:$D,ТГ!$A743)</f>
        <v>0</v>
      </c>
      <c r="O742" s="130">
        <f>SUMIFS(ТГ_ИД!$E:$E,ТГ_ИД!$B:$B,ТГ!$G$7,ТГ_ИД!$D:$D,ТГ!$A743)</f>
        <v>0</v>
      </c>
      <c r="P742" s="130">
        <f>SUMIFS(ТГ_ИД!$E:$E,ТГ_ИД!$B:$B,ТГ!$G$8,ТГ_ИД!$D:$D,ТГ!$A743)</f>
        <v>0</v>
      </c>
      <c r="Q742" s="130">
        <f>SUMIFS(ТГ_ИД!$E:$E,ТГ_ИД!$B:$B,ТГ!$G$9,ТГ_ИД!$D:$D,ТГ!$A743)</f>
        <v>0</v>
      </c>
      <c r="R742" s="130">
        <f>SUMIFS(ТГ_ИД!$E:$E,ТГ_ИД!$B:$B,ТГ!$G$10,ТГ_ИД!$D:$D,ТГ!$A743)</f>
        <v>0</v>
      </c>
      <c r="S742" s="130">
        <f>SUMIFS(ТГ_ИД!$E:$E,ТГ_ИД!$B:$B,ТГ!$G$11,ТГ_ИД!$D:$D,ТГ!$A743)</f>
        <v>0</v>
      </c>
      <c r="T742" s="130">
        <f>SUMIFS(ТГ_ИД!$E:$E,ТГ_ИД!$B:$B,ТГ!$G$12,ТГ_ИД!$D:$D,ТГ!$A743)</f>
        <v>0</v>
      </c>
      <c r="U742" s="130">
        <f>SUMIFS(ТГ_ИД!$E:$E,ТГ_ИД!$B:$B,ТГ!$G$13,ТГ_ИД!$D:$D,ТГ!$A743)</f>
        <v>0</v>
      </c>
      <c r="V742" s="130">
        <f>SUMIFS(ТГ_ИД!$E:$E,ТГ_ИД!$B:$B,ТГ!$G$14,ТГ_ИД!$D:$D,ТГ!$A743)</f>
        <v>0</v>
      </c>
    </row>
    <row r="743" spans="1:22" x14ac:dyDescent="0.25">
      <c r="A743" s="116" t="str">
        <f t="shared" si="12"/>
        <v/>
      </c>
      <c r="K743" s="130">
        <f>SUMIFS(ТГ_ИД!$E:$E,ТГ_ИД!$B:$B,ТГ!$G$3,ТГ_ИД!$D:$D,ТГ!$A744)</f>
        <v>0</v>
      </c>
      <c r="L743" s="130">
        <f>SUMIFS(ТГ_ИД!$E:$E,ТГ_ИД!$B:$B,ТГ!$G$4,ТГ_ИД!$D:$D,ТГ!$A744)</f>
        <v>0</v>
      </c>
      <c r="M743" s="130">
        <f>SUMIFS(ТГ_ИД!$E:$E,ТГ_ИД!$B:$B,ТГ!$G$5,ТГ_ИД!$D:$D,ТГ!$A744)</f>
        <v>0</v>
      </c>
      <c r="N743" s="130">
        <f>SUMIFS(ТГ_ИД!$E:$E,ТГ_ИД!$B:$B,ТГ!$G$6,ТГ_ИД!$D:$D,ТГ!$A744)</f>
        <v>0</v>
      </c>
      <c r="O743" s="130">
        <f>SUMIFS(ТГ_ИД!$E:$E,ТГ_ИД!$B:$B,ТГ!$G$7,ТГ_ИД!$D:$D,ТГ!$A744)</f>
        <v>0</v>
      </c>
      <c r="P743" s="130">
        <f>SUMIFS(ТГ_ИД!$E:$E,ТГ_ИД!$B:$B,ТГ!$G$8,ТГ_ИД!$D:$D,ТГ!$A744)</f>
        <v>0</v>
      </c>
      <c r="Q743" s="130">
        <f>SUMIFS(ТГ_ИД!$E:$E,ТГ_ИД!$B:$B,ТГ!$G$9,ТГ_ИД!$D:$D,ТГ!$A744)</f>
        <v>0</v>
      </c>
      <c r="R743" s="130">
        <f>SUMIFS(ТГ_ИД!$E:$E,ТГ_ИД!$B:$B,ТГ!$G$10,ТГ_ИД!$D:$D,ТГ!$A744)</f>
        <v>0</v>
      </c>
      <c r="S743" s="130">
        <f>SUMIFS(ТГ_ИД!$E:$E,ТГ_ИД!$B:$B,ТГ!$G$11,ТГ_ИД!$D:$D,ТГ!$A744)</f>
        <v>0</v>
      </c>
      <c r="T743" s="130">
        <f>SUMIFS(ТГ_ИД!$E:$E,ТГ_ИД!$B:$B,ТГ!$G$12,ТГ_ИД!$D:$D,ТГ!$A744)</f>
        <v>0</v>
      </c>
      <c r="U743" s="130">
        <f>SUMIFS(ТГ_ИД!$E:$E,ТГ_ИД!$B:$B,ТГ!$G$13,ТГ_ИД!$D:$D,ТГ!$A744)</f>
        <v>0</v>
      </c>
      <c r="V743" s="130">
        <f>SUMIFS(ТГ_ИД!$E:$E,ТГ_ИД!$B:$B,ТГ!$G$14,ТГ_ИД!$D:$D,ТГ!$A744)</f>
        <v>0</v>
      </c>
    </row>
    <row r="744" spans="1:22" x14ac:dyDescent="0.25">
      <c r="A744" s="116" t="str">
        <f t="shared" si="12"/>
        <v/>
      </c>
      <c r="K744" s="130">
        <f>SUMIFS(ТГ_ИД!$E:$E,ТГ_ИД!$B:$B,ТГ!$G$3,ТГ_ИД!$D:$D,ТГ!$A745)</f>
        <v>0</v>
      </c>
      <c r="L744" s="130">
        <f>SUMIFS(ТГ_ИД!$E:$E,ТГ_ИД!$B:$B,ТГ!$G$4,ТГ_ИД!$D:$D,ТГ!$A745)</f>
        <v>0</v>
      </c>
      <c r="M744" s="130">
        <f>SUMIFS(ТГ_ИД!$E:$E,ТГ_ИД!$B:$B,ТГ!$G$5,ТГ_ИД!$D:$D,ТГ!$A745)</f>
        <v>0</v>
      </c>
      <c r="N744" s="130">
        <f>SUMIFS(ТГ_ИД!$E:$E,ТГ_ИД!$B:$B,ТГ!$G$6,ТГ_ИД!$D:$D,ТГ!$A745)</f>
        <v>0</v>
      </c>
      <c r="O744" s="130">
        <f>SUMIFS(ТГ_ИД!$E:$E,ТГ_ИД!$B:$B,ТГ!$G$7,ТГ_ИД!$D:$D,ТГ!$A745)</f>
        <v>0</v>
      </c>
      <c r="P744" s="130">
        <f>SUMIFS(ТГ_ИД!$E:$E,ТГ_ИД!$B:$B,ТГ!$G$8,ТГ_ИД!$D:$D,ТГ!$A745)</f>
        <v>0</v>
      </c>
      <c r="Q744" s="130">
        <f>SUMIFS(ТГ_ИД!$E:$E,ТГ_ИД!$B:$B,ТГ!$G$9,ТГ_ИД!$D:$D,ТГ!$A745)</f>
        <v>0</v>
      </c>
      <c r="R744" s="130">
        <f>SUMIFS(ТГ_ИД!$E:$E,ТГ_ИД!$B:$B,ТГ!$G$10,ТГ_ИД!$D:$D,ТГ!$A745)</f>
        <v>0</v>
      </c>
      <c r="S744" s="130">
        <f>SUMIFS(ТГ_ИД!$E:$E,ТГ_ИД!$B:$B,ТГ!$G$11,ТГ_ИД!$D:$D,ТГ!$A745)</f>
        <v>0</v>
      </c>
      <c r="T744" s="130">
        <f>SUMIFS(ТГ_ИД!$E:$E,ТГ_ИД!$B:$B,ТГ!$G$12,ТГ_ИД!$D:$D,ТГ!$A745)</f>
        <v>0</v>
      </c>
      <c r="U744" s="130">
        <f>SUMIFS(ТГ_ИД!$E:$E,ТГ_ИД!$B:$B,ТГ!$G$13,ТГ_ИД!$D:$D,ТГ!$A745)</f>
        <v>0</v>
      </c>
      <c r="V744" s="130">
        <f>SUMIFS(ТГ_ИД!$E:$E,ТГ_ИД!$B:$B,ТГ!$G$14,ТГ_ИД!$D:$D,ТГ!$A745)</f>
        <v>0</v>
      </c>
    </row>
    <row r="745" spans="1:22" x14ac:dyDescent="0.25">
      <c r="A745" s="116" t="str">
        <f t="shared" si="12"/>
        <v/>
      </c>
      <c r="K745" s="130">
        <f>SUMIFS(ТГ_ИД!$E:$E,ТГ_ИД!$B:$B,ТГ!$G$3,ТГ_ИД!$D:$D,ТГ!$A746)</f>
        <v>0</v>
      </c>
      <c r="L745" s="130">
        <f>SUMIFS(ТГ_ИД!$E:$E,ТГ_ИД!$B:$B,ТГ!$G$4,ТГ_ИД!$D:$D,ТГ!$A746)</f>
        <v>0</v>
      </c>
      <c r="M745" s="130">
        <f>SUMIFS(ТГ_ИД!$E:$E,ТГ_ИД!$B:$B,ТГ!$G$5,ТГ_ИД!$D:$D,ТГ!$A746)</f>
        <v>0</v>
      </c>
      <c r="N745" s="130">
        <f>SUMIFS(ТГ_ИД!$E:$E,ТГ_ИД!$B:$B,ТГ!$G$6,ТГ_ИД!$D:$D,ТГ!$A746)</f>
        <v>0</v>
      </c>
      <c r="O745" s="130">
        <f>SUMIFS(ТГ_ИД!$E:$E,ТГ_ИД!$B:$B,ТГ!$G$7,ТГ_ИД!$D:$D,ТГ!$A746)</f>
        <v>0</v>
      </c>
      <c r="P745" s="130">
        <f>SUMIFS(ТГ_ИД!$E:$E,ТГ_ИД!$B:$B,ТГ!$G$8,ТГ_ИД!$D:$D,ТГ!$A746)</f>
        <v>0</v>
      </c>
      <c r="Q745" s="130">
        <f>SUMIFS(ТГ_ИД!$E:$E,ТГ_ИД!$B:$B,ТГ!$G$9,ТГ_ИД!$D:$D,ТГ!$A746)</f>
        <v>0</v>
      </c>
      <c r="R745" s="130">
        <f>SUMIFS(ТГ_ИД!$E:$E,ТГ_ИД!$B:$B,ТГ!$G$10,ТГ_ИД!$D:$D,ТГ!$A746)</f>
        <v>0</v>
      </c>
      <c r="S745" s="130">
        <f>SUMIFS(ТГ_ИД!$E:$E,ТГ_ИД!$B:$B,ТГ!$G$11,ТГ_ИД!$D:$D,ТГ!$A746)</f>
        <v>0</v>
      </c>
      <c r="T745" s="130">
        <f>SUMIFS(ТГ_ИД!$E:$E,ТГ_ИД!$B:$B,ТГ!$G$12,ТГ_ИД!$D:$D,ТГ!$A746)</f>
        <v>0</v>
      </c>
      <c r="U745" s="130">
        <f>SUMIFS(ТГ_ИД!$E:$E,ТГ_ИД!$B:$B,ТГ!$G$13,ТГ_ИД!$D:$D,ТГ!$A746)</f>
        <v>0</v>
      </c>
      <c r="V745" s="130">
        <f>SUMIFS(ТГ_ИД!$E:$E,ТГ_ИД!$B:$B,ТГ!$G$14,ТГ_ИД!$D:$D,ТГ!$A746)</f>
        <v>0</v>
      </c>
    </row>
    <row r="746" spans="1:22" x14ac:dyDescent="0.25">
      <c r="A746" s="116" t="str">
        <f t="shared" si="12"/>
        <v/>
      </c>
      <c r="K746" s="130">
        <f>SUMIFS(ТГ_ИД!$E:$E,ТГ_ИД!$B:$B,ТГ!$G$3,ТГ_ИД!$D:$D,ТГ!$A747)</f>
        <v>0</v>
      </c>
      <c r="L746" s="130">
        <f>SUMIFS(ТГ_ИД!$E:$E,ТГ_ИД!$B:$B,ТГ!$G$4,ТГ_ИД!$D:$D,ТГ!$A747)</f>
        <v>0</v>
      </c>
      <c r="M746" s="130">
        <f>SUMIFS(ТГ_ИД!$E:$E,ТГ_ИД!$B:$B,ТГ!$G$5,ТГ_ИД!$D:$D,ТГ!$A747)</f>
        <v>0</v>
      </c>
      <c r="N746" s="130">
        <f>SUMIFS(ТГ_ИД!$E:$E,ТГ_ИД!$B:$B,ТГ!$G$6,ТГ_ИД!$D:$D,ТГ!$A747)</f>
        <v>0</v>
      </c>
      <c r="O746" s="130">
        <f>SUMIFS(ТГ_ИД!$E:$E,ТГ_ИД!$B:$B,ТГ!$G$7,ТГ_ИД!$D:$D,ТГ!$A747)</f>
        <v>0</v>
      </c>
      <c r="P746" s="130">
        <f>SUMIFS(ТГ_ИД!$E:$E,ТГ_ИД!$B:$B,ТГ!$G$8,ТГ_ИД!$D:$D,ТГ!$A747)</f>
        <v>0</v>
      </c>
      <c r="Q746" s="130">
        <f>SUMIFS(ТГ_ИД!$E:$E,ТГ_ИД!$B:$B,ТГ!$G$9,ТГ_ИД!$D:$D,ТГ!$A747)</f>
        <v>0</v>
      </c>
      <c r="R746" s="130">
        <f>SUMIFS(ТГ_ИД!$E:$E,ТГ_ИД!$B:$B,ТГ!$G$10,ТГ_ИД!$D:$D,ТГ!$A747)</f>
        <v>0</v>
      </c>
      <c r="S746" s="130">
        <f>SUMIFS(ТГ_ИД!$E:$E,ТГ_ИД!$B:$B,ТГ!$G$11,ТГ_ИД!$D:$D,ТГ!$A747)</f>
        <v>0</v>
      </c>
      <c r="T746" s="130">
        <f>SUMIFS(ТГ_ИД!$E:$E,ТГ_ИД!$B:$B,ТГ!$G$12,ТГ_ИД!$D:$D,ТГ!$A747)</f>
        <v>0</v>
      </c>
      <c r="U746" s="130">
        <f>SUMIFS(ТГ_ИД!$E:$E,ТГ_ИД!$B:$B,ТГ!$G$13,ТГ_ИД!$D:$D,ТГ!$A747)</f>
        <v>0</v>
      </c>
      <c r="V746" s="130">
        <f>SUMIFS(ТГ_ИД!$E:$E,ТГ_ИД!$B:$B,ТГ!$G$14,ТГ_ИД!$D:$D,ТГ!$A747)</f>
        <v>0</v>
      </c>
    </row>
    <row r="747" spans="1:22" x14ac:dyDescent="0.25">
      <c r="A747" s="116" t="str">
        <f t="shared" si="12"/>
        <v/>
      </c>
      <c r="K747" s="130">
        <f>SUMIFS(ТГ_ИД!$E:$E,ТГ_ИД!$B:$B,ТГ!$G$3,ТГ_ИД!$D:$D,ТГ!$A748)</f>
        <v>0</v>
      </c>
      <c r="L747" s="130">
        <f>SUMIFS(ТГ_ИД!$E:$E,ТГ_ИД!$B:$B,ТГ!$G$4,ТГ_ИД!$D:$D,ТГ!$A748)</f>
        <v>0</v>
      </c>
      <c r="M747" s="130">
        <f>SUMIFS(ТГ_ИД!$E:$E,ТГ_ИД!$B:$B,ТГ!$G$5,ТГ_ИД!$D:$D,ТГ!$A748)</f>
        <v>0</v>
      </c>
      <c r="N747" s="130">
        <f>SUMIFS(ТГ_ИД!$E:$E,ТГ_ИД!$B:$B,ТГ!$G$6,ТГ_ИД!$D:$D,ТГ!$A748)</f>
        <v>0</v>
      </c>
      <c r="O747" s="130">
        <f>SUMIFS(ТГ_ИД!$E:$E,ТГ_ИД!$B:$B,ТГ!$G$7,ТГ_ИД!$D:$D,ТГ!$A748)</f>
        <v>0</v>
      </c>
      <c r="P747" s="130">
        <f>SUMIFS(ТГ_ИД!$E:$E,ТГ_ИД!$B:$B,ТГ!$G$8,ТГ_ИД!$D:$D,ТГ!$A748)</f>
        <v>0</v>
      </c>
      <c r="Q747" s="130">
        <f>SUMIFS(ТГ_ИД!$E:$E,ТГ_ИД!$B:$B,ТГ!$G$9,ТГ_ИД!$D:$D,ТГ!$A748)</f>
        <v>0</v>
      </c>
      <c r="R747" s="130">
        <f>SUMIFS(ТГ_ИД!$E:$E,ТГ_ИД!$B:$B,ТГ!$G$10,ТГ_ИД!$D:$D,ТГ!$A748)</f>
        <v>0</v>
      </c>
      <c r="S747" s="130">
        <f>SUMIFS(ТГ_ИД!$E:$E,ТГ_ИД!$B:$B,ТГ!$G$11,ТГ_ИД!$D:$D,ТГ!$A748)</f>
        <v>0</v>
      </c>
      <c r="T747" s="130">
        <f>SUMIFS(ТГ_ИД!$E:$E,ТГ_ИД!$B:$B,ТГ!$G$12,ТГ_ИД!$D:$D,ТГ!$A748)</f>
        <v>0</v>
      </c>
      <c r="U747" s="130">
        <f>SUMIFS(ТГ_ИД!$E:$E,ТГ_ИД!$B:$B,ТГ!$G$13,ТГ_ИД!$D:$D,ТГ!$A748)</f>
        <v>0</v>
      </c>
      <c r="V747" s="130">
        <f>SUMIFS(ТГ_ИД!$E:$E,ТГ_ИД!$B:$B,ТГ!$G$14,ТГ_ИД!$D:$D,ТГ!$A748)</f>
        <v>0</v>
      </c>
    </row>
    <row r="748" spans="1:22" x14ac:dyDescent="0.25">
      <c r="A748" s="116" t="str">
        <f t="shared" si="12"/>
        <v/>
      </c>
      <c r="K748" s="130">
        <f>SUMIFS(ТГ_ИД!$E:$E,ТГ_ИД!$B:$B,ТГ!$G$3,ТГ_ИД!$D:$D,ТГ!$A749)</f>
        <v>0</v>
      </c>
      <c r="L748" s="130">
        <f>SUMIFS(ТГ_ИД!$E:$E,ТГ_ИД!$B:$B,ТГ!$G$4,ТГ_ИД!$D:$D,ТГ!$A749)</f>
        <v>0</v>
      </c>
      <c r="M748" s="130">
        <f>SUMIFS(ТГ_ИД!$E:$E,ТГ_ИД!$B:$B,ТГ!$G$5,ТГ_ИД!$D:$D,ТГ!$A749)</f>
        <v>0</v>
      </c>
      <c r="N748" s="130">
        <f>SUMIFS(ТГ_ИД!$E:$E,ТГ_ИД!$B:$B,ТГ!$G$6,ТГ_ИД!$D:$D,ТГ!$A749)</f>
        <v>0</v>
      </c>
      <c r="O748" s="130">
        <f>SUMIFS(ТГ_ИД!$E:$E,ТГ_ИД!$B:$B,ТГ!$G$7,ТГ_ИД!$D:$D,ТГ!$A749)</f>
        <v>0</v>
      </c>
      <c r="P748" s="130">
        <f>SUMIFS(ТГ_ИД!$E:$E,ТГ_ИД!$B:$B,ТГ!$G$8,ТГ_ИД!$D:$D,ТГ!$A749)</f>
        <v>0</v>
      </c>
      <c r="Q748" s="130">
        <f>SUMIFS(ТГ_ИД!$E:$E,ТГ_ИД!$B:$B,ТГ!$G$9,ТГ_ИД!$D:$D,ТГ!$A749)</f>
        <v>0</v>
      </c>
      <c r="R748" s="130">
        <f>SUMIFS(ТГ_ИД!$E:$E,ТГ_ИД!$B:$B,ТГ!$G$10,ТГ_ИД!$D:$D,ТГ!$A749)</f>
        <v>0</v>
      </c>
      <c r="S748" s="130">
        <f>SUMIFS(ТГ_ИД!$E:$E,ТГ_ИД!$B:$B,ТГ!$G$11,ТГ_ИД!$D:$D,ТГ!$A749)</f>
        <v>0</v>
      </c>
      <c r="T748" s="130">
        <f>SUMIFS(ТГ_ИД!$E:$E,ТГ_ИД!$B:$B,ТГ!$G$12,ТГ_ИД!$D:$D,ТГ!$A749)</f>
        <v>0</v>
      </c>
      <c r="U748" s="130">
        <f>SUMIFS(ТГ_ИД!$E:$E,ТГ_ИД!$B:$B,ТГ!$G$13,ТГ_ИД!$D:$D,ТГ!$A749)</f>
        <v>0</v>
      </c>
      <c r="V748" s="130">
        <f>SUMIFS(ТГ_ИД!$E:$E,ТГ_ИД!$B:$B,ТГ!$G$14,ТГ_ИД!$D:$D,ТГ!$A749)</f>
        <v>0</v>
      </c>
    </row>
    <row r="749" spans="1:22" x14ac:dyDescent="0.25">
      <c r="A749" s="116" t="str">
        <f t="shared" si="12"/>
        <v/>
      </c>
      <c r="K749" s="130">
        <f>SUMIFS(ТГ_ИД!$E:$E,ТГ_ИД!$B:$B,ТГ!$G$3,ТГ_ИД!$D:$D,ТГ!$A750)</f>
        <v>0</v>
      </c>
      <c r="L749" s="130">
        <f>SUMIFS(ТГ_ИД!$E:$E,ТГ_ИД!$B:$B,ТГ!$G$4,ТГ_ИД!$D:$D,ТГ!$A750)</f>
        <v>0</v>
      </c>
      <c r="M749" s="130">
        <f>SUMIFS(ТГ_ИД!$E:$E,ТГ_ИД!$B:$B,ТГ!$G$5,ТГ_ИД!$D:$D,ТГ!$A750)</f>
        <v>0</v>
      </c>
      <c r="N749" s="130">
        <f>SUMIFS(ТГ_ИД!$E:$E,ТГ_ИД!$B:$B,ТГ!$G$6,ТГ_ИД!$D:$D,ТГ!$A750)</f>
        <v>0</v>
      </c>
      <c r="O749" s="130">
        <f>SUMIFS(ТГ_ИД!$E:$E,ТГ_ИД!$B:$B,ТГ!$G$7,ТГ_ИД!$D:$D,ТГ!$A750)</f>
        <v>0</v>
      </c>
      <c r="P749" s="130">
        <f>SUMIFS(ТГ_ИД!$E:$E,ТГ_ИД!$B:$B,ТГ!$G$8,ТГ_ИД!$D:$D,ТГ!$A750)</f>
        <v>0</v>
      </c>
      <c r="Q749" s="130">
        <f>SUMIFS(ТГ_ИД!$E:$E,ТГ_ИД!$B:$B,ТГ!$G$9,ТГ_ИД!$D:$D,ТГ!$A750)</f>
        <v>0</v>
      </c>
      <c r="R749" s="130">
        <f>SUMIFS(ТГ_ИД!$E:$E,ТГ_ИД!$B:$B,ТГ!$G$10,ТГ_ИД!$D:$D,ТГ!$A750)</f>
        <v>0</v>
      </c>
      <c r="S749" s="130">
        <f>SUMIFS(ТГ_ИД!$E:$E,ТГ_ИД!$B:$B,ТГ!$G$11,ТГ_ИД!$D:$D,ТГ!$A750)</f>
        <v>0</v>
      </c>
      <c r="T749" s="130">
        <f>SUMIFS(ТГ_ИД!$E:$E,ТГ_ИД!$B:$B,ТГ!$G$12,ТГ_ИД!$D:$D,ТГ!$A750)</f>
        <v>0</v>
      </c>
      <c r="U749" s="130">
        <f>SUMIFS(ТГ_ИД!$E:$E,ТГ_ИД!$B:$B,ТГ!$G$13,ТГ_ИД!$D:$D,ТГ!$A750)</f>
        <v>0</v>
      </c>
      <c r="V749" s="130">
        <f>SUMIFS(ТГ_ИД!$E:$E,ТГ_ИД!$B:$B,ТГ!$G$14,ТГ_ИД!$D:$D,ТГ!$A750)</f>
        <v>0</v>
      </c>
    </row>
    <row r="750" spans="1:22" x14ac:dyDescent="0.25">
      <c r="A750" s="116" t="str">
        <f t="shared" si="12"/>
        <v/>
      </c>
      <c r="K750" s="130">
        <f>SUMIFS(ТГ_ИД!$E:$E,ТГ_ИД!$B:$B,ТГ!$G$3,ТГ_ИД!$D:$D,ТГ!$A751)</f>
        <v>0</v>
      </c>
      <c r="L750" s="130">
        <f>SUMIFS(ТГ_ИД!$E:$E,ТГ_ИД!$B:$B,ТГ!$G$4,ТГ_ИД!$D:$D,ТГ!$A751)</f>
        <v>0</v>
      </c>
      <c r="M750" s="130">
        <f>SUMIFS(ТГ_ИД!$E:$E,ТГ_ИД!$B:$B,ТГ!$G$5,ТГ_ИД!$D:$D,ТГ!$A751)</f>
        <v>0</v>
      </c>
      <c r="N750" s="130">
        <f>SUMIFS(ТГ_ИД!$E:$E,ТГ_ИД!$B:$B,ТГ!$G$6,ТГ_ИД!$D:$D,ТГ!$A751)</f>
        <v>0</v>
      </c>
      <c r="O750" s="130">
        <f>SUMIFS(ТГ_ИД!$E:$E,ТГ_ИД!$B:$B,ТГ!$G$7,ТГ_ИД!$D:$D,ТГ!$A751)</f>
        <v>0</v>
      </c>
      <c r="P750" s="130">
        <f>SUMIFS(ТГ_ИД!$E:$E,ТГ_ИД!$B:$B,ТГ!$G$8,ТГ_ИД!$D:$D,ТГ!$A751)</f>
        <v>0</v>
      </c>
      <c r="Q750" s="130">
        <f>SUMIFS(ТГ_ИД!$E:$E,ТГ_ИД!$B:$B,ТГ!$G$9,ТГ_ИД!$D:$D,ТГ!$A751)</f>
        <v>0</v>
      </c>
      <c r="R750" s="130">
        <f>SUMIFS(ТГ_ИД!$E:$E,ТГ_ИД!$B:$B,ТГ!$G$10,ТГ_ИД!$D:$D,ТГ!$A751)</f>
        <v>0</v>
      </c>
      <c r="S750" s="130">
        <f>SUMIFS(ТГ_ИД!$E:$E,ТГ_ИД!$B:$B,ТГ!$G$11,ТГ_ИД!$D:$D,ТГ!$A751)</f>
        <v>0</v>
      </c>
      <c r="T750" s="130">
        <f>SUMIFS(ТГ_ИД!$E:$E,ТГ_ИД!$B:$B,ТГ!$G$12,ТГ_ИД!$D:$D,ТГ!$A751)</f>
        <v>0</v>
      </c>
      <c r="U750" s="130">
        <f>SUMIFS(ТГ_ИД!$E:$E,ТГ_ИД!$B:$B,ТГ!$G$13,ТГ_ИД!$D:$D,ТГ!$A751)</f>
        <v>0</v>
      </c>
      <c r="V750" s="130">
        <f>SUMIFS(ТГ_ИД!$E:$E,ТГ_ИД!$B:$B,ТГ!$G$14,ТГ_ИД!$D:$D,ТГ!$A751)</f>
        <v>0</v>
      </c>
    </row>
    <row r="751" spans="1:22" x14ac:dyDescent="0.25">
      <c r="A751" s="116" t="str">
        <f t="shared" si="12"/>
        <v/>
      </c>
      <c r="K751" s="130">
        <f>SUMIFS(ТГ_ИД!$E:$E,ТГ_ИД!$B:$B,ТГ!$G$3,ТГ_ИД!$D:$D,ТГ!$A752)</f>
        <v>0</v>
      </c>
      <c r="L751" s="130">
        <f>SUMIFS(ТГ_ИД!$E:$E,ТГ_ИД!$B:$B,ТГ!$G$4,ТГ_ИД!$D:$D,ТГ!$A752)</f>
        <v>0</v>
      </c>
      <c r="M751" s="130">
        <f>SUMIFS(ТГ_ИД!$E:$E,ТГ_ИД!$B:$B,ТГ!$G$5,ТГ_ИД!$D:$D,ТГ!$A752)</f>
        <v>0</v>
      </c>
      <c r="N751" s="130">
        <f>SUMIFS(ТГ_ИД!$E:$E,ТГ_ИД!$B:$B,ТГ!$G$6,ТГ_ИД!$D:$D,ТГ!$A752)</f>
        <v>0</v>
      </c>
      <c r="O751" s="130">
        <f>SUMIFS(ТГ_ИД!$E:$E,ТГ_ИД!$B:$B,ТГ!$G$7,ТГ_ИД!$D:$D,ТГ!$A752)</f>
        <v>0</v>
      </c>
      <c r="P751" s="130">
        <f>SUMIFS(ТГ_ИД!$E:$E,ТГ_ИД!$B:$B,ТГ!$G$8,ТГ_ИД!$D:$D,ТГ!$A752)</f>
        <v>0</v>
      </c>
      <c r="Q751" s="130">
        <f>SUMIFS(ТГ_ИД!$E:$E,ТГ_ИД!$B:$B,ТГ!$G$9,ТГ_ИД!$D:$D,ТГ!$A752)</f>
        <v>0</v>
      </c>
      <c r="R751" s="130">
        <f>SUMIFS(ТГ_ИД!$E:$E,ТГ_ИД!$B:$B,ТГ!$G$10,ТГ_ИД!$D:$D,ТГ!$A752)</f>
        <v>0</v>
      </c>
      <c r="S751" s="130">
        <f>SUMIFS(ТГ_ИД!$E:$E,ТГ_ИД!$B:$B,ТГ!$G$11,ТГ_ИД!$D:$D,ТГ!$A752)</f>
        <v>0</v>
      </c>
      <c r="T751" s="130">
        <f>SUMIFS(ТГ_ИД!$E:$E,ТГ_ИД!$B:$B,ТГ!$G$12,ТГ_ИД!$D:$D,ТГ!$A752)</f>
        <v>0</v>
      </c>
      <c r="U751" s="130">
        <f>SUMIFS(ТГ_ИД!$E:$E,ТГ_ИД!$B:$B,ТГ!$G$13,ТГ_ИД!$D:$D,ТГ!$A752)</f>
        <v>0</v>
      </c>
      <c r="V751" s="130">
        <f>SUMIFS(ТГ_ИД!$E:$E,ТГ_ИД!$B:$B,ТГ!$G$14,ТГ_ИД!$D:$D,ТГ!$A752)</f>
        <v>0</v>
      </c>
    </row>
    <row r="752" spans="1:22" x14ac:dyDescent="0.25">
      <c r="A752" s="116" t="str">
        <f t="shared" si="12"/>
        <v/>
      </c>
      <c r="K752" s="130">
        <f>SUMIFS(ТГ_ИД!$E:$E,ТГ_ИД!$B:$B,ТГ!$G$3,ТГ_ИД!$D:$D,ТГ!$A753)</f>
        <v>0</v>
      </c>
      <c r="L752" s="130">
        <f>SUMIFS(ТГ_ИД!$E:$E,ТГ_ИД!$B:$B,ТГ!$G$4,ТГ_ИД!$D:$D,ТГ!$A753)</f>
        <v>0</v>
      </c>
      <c r="M752" s="130">
        <f>SUMIFS(ТГ_ИД!$E:$E,ТГ_ИД!$B:$B,ТГ!$G$5,ТГ_ИД!$D:$D,ТГ!$A753)</f>
        <v>0</v>
      </c>
      <c r="N752" s="130">
        <f>SUMIFS(ТГ_ИД!$E:$E,ТГ_ИД!$B:$B,ТГ!$G$6,ТГ_ИД!$D:$D,ТГ!$A753)</f>
        <v>0</v>
      </c>
      <c r="O752" s="130">
        <f>SUMIFS(ТГ_ИД!$E:$E,ТГ_ИД!$B:$B,ТГ!$G$7,ТГ_ИД!$D:$D,ТГ!$A753)</f>
        <v>0</v>
      </c>
      <c r="P752" s="130">
        <f>SUMIFS(ТГ_ИД!$E:$E,ТГ_ИД!$B:$B,ТГ!$G$8,ТГ_ИД!$D:$D,ТГ!$A753)</f>
        <v>0</v>
      </c>
      <c r="Q752" s="130">
        <f>SUMIFS(ТГ_ИД!$E:$E,ТГ_ИД!$B:$B,ТГ!$G$9,ТГ_ИД!$D:$D,ТГ!$A753)</f>
        <v>0</v>
      </c>
      <c r="R752" s="130">
        <f>SUMIFS(ТГ_ИД!$E:$E,ТГ_ИД!$B:$B,ТГ!$G$10,ТГ_ИД!$D:$D,ТГ!$A753)</f>
        <v>0</v>
      </c>
      <c r="S752" s="130">
        <f>SUMIFS(ТГ_ИД!$E:$E,ТГ_ИД!$B:$B,ТГ!$G$11,ТГ_ИД!$D:$D,ТГ!$A753)</f>
        <v>0</v>
      </c>
      <c r="T752" s="130">
        <f>SUMIFS(ТГ_ИД!$E:$E,ТГ_ИД!$B:$B,ТГ!$G$12,ТГ_ИД!$D:$D,ТГ!$A753)</f>
        <v>0</v>
      </c>
      <c r="U752" s="130">
        <f>SUMIFS(ТГ_ИД!$E:$E,ТГ_ИД!$B:$B,ТГ!$G$13,ТГ_ИД!$D:$D,ТГ!$A753)</f>
        <v>0</v>
      </c>
      <c r="V752" s="130">
        <f>SUMIFS(ТГ_ИД!$E:$E,ТГ_ИД!$B:$B,ТГ!$G$14,ТГ_ИД!$D:$D,ТГ!$A753)</f>
        <v>0</v>
      </c>
    </row>
    <row r="753" spans="1:22" x14ac:dyDescent="0.25">
      <c r="A753" s="116" t="str">
        <f t="shared" si="12"/>
        <v/>
      </c>
      <c r="K753" s="130">
        <f>SUMIFS(ТГ_ИД!$E:$E,ТГ_ИД!$B:$B,ТГ!$G$3,ТГ_ИД!$D:$D,ТГ!$A754)</f>
        <v>0</v>
      </c>
      <c r="L753" s="130">
        <f>SUMIFS(ТГ_ИД!$E:$E,ТГ_ИД!$B:$B,ТГ!$G$4,ТГ_ИД!$D:$D,ТГ!$A754)</f>
        <v>0</v>
      </c>
      <c r="M753" s="130">
        <f>SUMIFS(ТГ_ИД!$E:$E,ТГ_ИД!$B:$B,ТГ!$G$5,ТГ_ИД!$D:$D,ТГ!$A754)</f>
        <v>0</v>
      </c>
      <c r="N753" s="130">
        <f>SUMIFS(ТГ_ИД!$E:$E,ТГ_ИД!$B:$B,ТГ!$G$6,ТГ_ИД!$D:$D,ТГ!$A754)</f>
        <v>0</v>
      </c>
      <c r="O753" s="130">
        <f>SUMIFS(ТГ_ИД!$E:$E,ТГ_ИД!$B:$B,ТГ!$G$7,ТГ_ИД!$D:$D,ТГ!$A754)</f>
        <v>0</v>
      </c>
      <c r="P753" s="130">
        <f>SUMIFS(ТГ_ИД!$E:$E,ТГ_ИД!$B:$B,ТГ!$G$8,ТГ_ИД!$D:$D,ТГ!$A754)</f>
        <v>0</v>
      </c>
      <c r="Q753" s="130">
        <f>SUMIFS(ТГ_ИД!$E:$E,ТГ_ИД!$B:$B,ТГ!$G$9,ТГ_ИД!$D:$D,ТГ!$A754)</f>
        <v>0</v>
      </c>
      <c r="R753" s="130">
        <f>SUMIFS(ТГ_ИД!$E:$E,ТГ_ИД!$B:$B,ТГ!$G$10,ТГ_ИД!$D:$D,ТГ!$A754)</f>
        <v>0</v>
      </c>
      <c r="S753" s="130">
        <f>SUMIFS(ТГ_ИД!$E:$E,ТГ_ИД!$B:$B,ТГ!$G$11,ТГ_ИД!$D:$D,ТГ!$A754)</f>
        <v>0</v>
      </c>
      <c r="T753" s="130">
        <f>SUMIFS(ТГ_ИД!$E:$E,ТГ_ИД!$B:$B,ТГ!$G$12,ТГ_ИД!$D:$D,ТГ!$A754)</f>
        <v>0</v>
      </c>
      <c r="U753" s="130">
        <f>SUMIFS(ТГ_ИД!$E:$E,ТГ_ИД!$B:$B,ТГ!$G$13,ТГ_ИД!$D:$D,ТГ!$A754)</f>
        <v>0</v>
      </c>
      <c r="V753" s="130">
        <f>SUMIFS(ТГ_ИД!$E:$E,ТГ_ИД!$B:$B,ТГ!$G$14,ТГ_ИД!$D:$D,ТГ!$A754)</f>
        <v>0</v>
      </c>
    </row>
    <row r="754" spans="1:22" x14ac:dyDescent="0.25">
      <c r="A754" s="116" t="str">
        <f t="shared" si="12"/>
        <v/>
      </c>
      <c r="K754" s="130">
        <f>SUMIFS(ТГ_ИД!$E:$E,ТГ_ИД!$B:$B,ТГ!$G$3,ТГ_ИД!$D:$D,ТГ!$A755)</f>
        <v>0</v>
      </c>
      <c r="L754" s="130">
        <f>SUMIFS(ТГ_ИД!$E:$E,ТГ_ИД!$B:$B,ТГ!$G$4,ТГ_ИД!$D:$D,ТГ!$A755)</f>
        <v>0</v>
      </c>
      <c r="M754" s="130">
        <f>SUMIFS(ТГ_ИД!$E:$E,ТГ_ИД!$B:$B,ТГ!$G$5,ТГ_ИД!$D:$D,ТГ!$A755)</f>
        <v>0</v>
      </c>
      <c r="N754" s="130">
        <f>SUMIFS(ТГ_ИД!$E:$E,ТГ_ИД!$B:$B,ТГ!$G$6,ТГ_ИД!$D:$D,ТГ!$A755)</f>
        <v>0</v>
      </c>
      <c r="O754" s="130">
        <f>SUMIFS(ТГ_ИД!$E:$E,ТГ_ИД!$B:$B,ТГ!$G$7,ТГ_ИД!$D:$D,ТГ!$A755)</f>
        <v>0</v>
      </c>
      <c r="P754" s="130">
        <f>SUMIFS(ТГ_ИД!$E:$E,ТГ_ИД!$B:$B,ТГ!$G$8,ТГ_ИД!$D:$D,ТГ!$A755)</f>
        <v>0</v>
      </c>
      <c r="Q754" s="130">
        <f>SUMIFS(ТГ_ИД!$E:$E,ТГ_ИД!$B:$B,ТГ!$G$9,ТГ_ИД!$D:$D,ТГ!$A755)</f>
        <v>0</v>
      </c>
      <c r="R754" s="130">
        <f>SUMIFS(ТГ_ИД!$E:$E,ТГ_ИД!$B:$B,ТГ!$G$10,ТГ_ИД!$D:$D,ТГ!$A755)</f>
        <v>0</v>
      </c>
      <c r="S754" s="130">
        <f>SUMIFS(ТГ_ИД!$E:$E,ТГ_ИД!$B:$B,ТГ!$G$11,ТГ_ИД!$D:$D,ТГ!$A755)</f>
        <v>0</v>
      </c>
      <c r="T754" s="130">
        <f>SUMIFS(ТГ_ИД!$E:$E,ТГ_ИД!$B:$B,ТГ!$G$12,ТГ_ИД!$D:$D,ТГ!$A755)</f>
        <v>0</v>
      </c>
      <c r="U754" s="130">
        <f>SUMIFS(ТГ_ИД!$E:$E,ТГ_ИД!$B:$B,ТГ!$G$13,ТГ_ИД!$D:$D,ТГ!$A755)</f>
        <v>0</v>
      </c>
      <c r="V754" s="130">
        <f>SUMIFS(ТГ_ИД!$E:$E,ТГ_ИД!$B:$B,ТГ!$G$14,ТГ_ИД!$D:$D,ТГ!$A755)</f>
        <v>0</v>
      </c>
    </row>
    <row r="755" spans="1:22" x14ac:dyDescent="0.25">
      <c r="A755" s="116" t="str">
        <f t="shared" si="12"/>
        <v/>
      </c>
      <c r="K755" s="130">
        <f>SUMIFS(ТГ_ИД!$E:$E,ТГ_ИД!$B:$B,ТГ!$G$3,ТГ_ИД!$D:$D,ТГ!$A756)</f>
        <v>0</v>
      </c>
      <c r="L755" s="130">
        <f>SUMIFS(ТГ_ИД!$E:$E,ТГ_ИД!$B:$B,ТГ!$G$4,ТГ_ИД!$D:$D,ТГ!$A756)</f>
        <v>0</v>
      </c>
      <c r="M755" s="130">
        <f>SUMIFS(ТГ_ИД!$E:$E,ТГ_ИД!$B:$B,ТГ!$G$5,ТГ_ИД!$D:$D,ТГ!$A756)</f>
        <v>0</v>
      </c>
      <c r="N755" s="130">
        <f>SUMIFS(ТГ_ИД!$E:$E,ТГ_ИД!$B:$B,ТГ!$G$6,ТГ_ИД!$D:$D,ТГ!$A756)</f>
        <v>0</v>
      </c>
      <c r="O755" s="130">
        <f>SUMIFS(ТГ_ИД!$E:$E,ТГ_ИД!$B:$B,ТГ!$G$7,ТГ_ИД!$D:$D,ТГ!$A756)</f>
        <v>0</v>
      </c>
      <c r="P755" s="130">
        <f>SUMIFS(ТГ_ИД!$E:$E,ТГ_ИД!$B:$B,ТГ!$G$8,ТГ_ИД!$D:$D,ТГ!$A756)</f>
        <v>0</v>
      </c>
      <c r="Q755" s="130">
        <f>SUMIFS(ТГ_ИД!$E:$E,ТГ_ИД!$B:$B,ТГ!$G$9,ТГ_ИД!$D:$D,ТГ!$A756)</f>
        <v>0</v>
      </c>
      <c r="R755" s="130">
        <f>SUMIFS(ТГ_ИД!$E:$E,ТГ_ИД!$B:$B,ТГ!$G$10,ТГ_ИД!$D:$D,ТГ!$A756)</f>
        <v>0</v>
      </c>
      <c r="S755" s="130">
        <f>SUMIFS(ТГ_ИД!$E:$E,ТГ_ИД!$B:$B,ТГ!$G$11,ТГ_ИД!$D:$D,ТГ!$A756)</f>
        <v>0</v>
      </c>
      <c r="T755" s="130">
        <f>SUMIFS(ТГ_ИД!$E:$E,ТГ_ИД!$B:$B,ТГ!$G$12,ТГ_ИД!$D:$D,ТГ!$A756)</f>
        <v>0</v>
      </c>
      <c r="U755" s="130">
        <f>SUMIFS(ТГ_ИД!$E:$E,ТГ_ИД!$B:$B,ТГ!$G$13,ТГ_ИД!$D:$D,ТГ!$A756)</f>
        <v>0</v>
      </c>
      <c r="V755" s="130">
        <f>SUMIFS(ТГ_ИД!$E:$E,ТГ_ИД!$B:$B,ТГ!$G$14,ТГ_ИД!$D:$D,ТГ!$A756)</f>
        <v>0</v>
      </c>
    </row>
    <row r="756" spans="1:22" x14ac:dyDescent="0.25">
      <c r="A756" s="116" t="str">
        <f t="shared" si="12"/>
        <v/>
      </c>
      <c r="K756" s="130">
        <f>SUMIFS(ТГ_ИД!$E:$E,ТГ_ИД!$B:$B,ТГ!$G$3,ТГ_ИД!$D:$D,ТГ!$A757)</f>
        <v>0</v>
      </c>
      <c r="L756" s="130">
        <f>SUMIFS(ТГ_ИД!$E:$E,ТГ_ИД!$B:$B,ТГ!$G$4,ТГ_ИД!$D:$D,ТГ!$A757)</f>
        <v>0</v>
      </c>
      <c r="M756" s="130">
        <f>SUMIFS(ТГ_ИД!$E:$E,ТГ_ИД!$B:$B,ТГ!$G$5,ТГ_ИД!$D:$D,ТГ!$A757)</f>
        <v>0</v>
      </c>
      <c r="N756" s="130">
        <f>SUMIFS(ТГ_ИД!$E:$E,ТГ_ИД!$B:$B,ТГ!$G$6,ТГ_ИД!$D:$D,ТГ!$A757)</f>
        <v>0</v>
      </c>
      <c r="O756" s="130">
        <f>SUMIFS(ТГ_ИД!$E:$E,ТГ_ИД!$B:$B,ТГ!$G$7,ТГ_ИД!$D:$D,ТГ!$A757)</f>
        <v>0</v>
      </c>
      <c r="P756" s="130">
        <f>SUMIFS(ТГ_ИД!$E:$E,ТГ_ИД!$B:$B,ТГ!$G$8,ТГ_ИД!$D:$D,ТГ!$A757)</f>
        <v>0</v>
      </c>
      <c r="Q756" s="130">
        <f>SUMIFS(ТГ_ИД!$E:$E,ТГ_ИД!$B:$B,ТГ!$G$9,ТГ_ИД!$D:$D,ТГ!$A757)</f>
        <v>0</v>
      </c>
      <c r="R756" s="130">
        <f>SUMIFS(ТГ_ИД!$E:$E,ТГ_ИД!$B:$B,ТГ!$G$10,ТГ_ИД!$D:$D,ТГ!$A757)</f>
        <v>0</v>
      </c>
      <c r="S756" s="130">
        <f>SUMIFS(ТГ_ИД!$E:$E,ТГ_ИД!$B:$B,ТГ!$G$11,ТГ_ИД!$D:$D,ТГ!$A757)</f>
        <v>0</v>
      </c>
      <c r="T756" s="130">
        <f>SUMIFS(ТГ_ИД!$E:$E,ТГ_ИД!$B:$B,ТГ!$G$12,ТГ_ИД!$D:$D,ТГ!$A757)</f>
        <v>0</v>
      </c>
      <c r="U756" s="130">
        <f>SUMIFS(ТГ_ИД!$E:$E,ТГ_ИД!$B:$B,ТГ!$G$13,ТГ_ИД!$D:$D,ТГ!$A757)</f>
        <v>0</v>
      </c>
      <c r="V756" s="130">
        <f>SUMIFS(ТГ_ИД!$E:$E,ТГ_ИД!$B:$B,ТГ!$G$14,ТГ_ИД!$D:$D,ТГ!$A757)</f>
        <v>0</v>
      </c>
    </row>
    <row r="757" spans="1:22" x14ac:dyDescent="0.25">
      <c r="A757" s="116" t="str">
        <f t="shared" si="12"/>
        <v/>
      </c>
      <c r="K757" s="130">
        <f>SUMIFS(ТГ_ИД!$E:$E,ТГ_ИД!$B:$B,ТГ!$G$3,ТГ_ИД!$D:$D,ТГ!$A758)</f>
        <v>0</v>
      </c>
      <c r="L757" s="130">
        <f>SUMIFS(ТГ_ИД!$E:$E,ТГ_ИД!$B:$B,ТГ!$G$4,ТГ_ИД!$D:$D,ТГ!$A758)</f>
        <v>0</v>
      </c>
      <c r="M757" s="130">
        <f>SUMIFS(ТГ_ИД!$E:$E,ТГ_ИД!$B:$B,ТГ!$G$5,ТГ_ИД!$D:$D,ТГ!$A758)</f>
        <v>0</v>
      </c>
      <c r="N757" s="130">
        <f>SUMIFS(ТГ_ИД!$E:$E,ТГ_ИД!$B:$B,ТГ!$G$6,ТГ_ИД!$D:$D,ТГ!$A758)</f>
        <v>0</v>
      </c>
      <c r="O757" s="130">
        <f>SUMIFS(ТГ_ИД!$E:$E,ТГ_ИД!$B:$B,ТГ!$G$7,ТГ_ИД!$D:$D,ТГ!$A758)</f>
        <v>0</v>
      </c>
      <c r="P757" s="130">
        <f>SUMIFS(ТГ_ИД!$E:$E,ТГ_ИД!$B:$B,ТГ!$G$8,ТГ_ИД!$D:$D,ТГ!$A758)</f>
        <v>0</v>
      </c>
      <c r="Q757" s="130">
        <f>SUMIFS(ТГ_ИД!$E:$E,ТГ_ИД!$B:$B,ТГ!$G$9,ТГ_ИД!$D:$D,ТГ!$A758)</f>
        <v>0</v>
      </c>
      <c r="R757" s="130">
        <f>SUMIFS(ТГ_ИД!$E:$E,ТГ_ИД!$B:$B,ТГ!$G$10,ТГ_ИД!$D:$D,ТГ!$A758)</f>
        <v>0</v>
      </c>
      <c r="S757" s="130">
        <f>SUMIFS(ТГ_ИД!$E:$E,ТГ_ИД!$B:$B,ТГ!$G$11,ТГ_ИД!$D:$D,ТГ!$A758)</f>
        <v>0</v>
      </c>
      <c r="T757" s="130">
        <f>SUMIFS(ТГ_ИД!$E:$E,ТГ_ИД!$B:$B,ТГ!$G$12,ТГ_ИД!$D:$D,ТГ!$A758)</f>
        <v>0</v>
      </c>
      <c r="U757" s="130">
        <f>SUMIFS(ТГ_ИД!$E:$E,ТГ_ИД!$B:$B,ТГ!$G$13,ТГ_ИД!$D:$D,ТГ!$A758)</f>
        <v>0</v>
      </c>
      <c r="V757" s="130">
        <f>SUMIFS(ТГ_ИД!$E:$E,ТГ_ИД!$B:$B,ТГ!$G$14,ТГ_ИД!$D:$D,ТГ!$A758)</f>
        <v>0</v>
      </c>
    </row>
    <row r="758" spans="1:22" x14ac:dyDescent="0.25">
      <c r="A758" s="116" t="str">
        <f t="shared" si="12"/>
        <v/>
      </c>
      <c r="K758" s="130">
        <f>SUMIFS(ТГ_ИД!$E:$E,ТГ_ИД!$B:$B,ТГ!$G$3,ТГ_ИД!$D:$D,ТГ!$A759)</f>
        <v>0</v>
      </c>
      <c r="L758" s="130">
        <f>SUMIFS(ТГ_ИД!$E:$E,ТГ_ИД!$B:$B,ТГ!$G$4,ТГ_ИД!$D:$D,ТГ!$A759)</f>
        <v>0</v>
      </c>
      <c r="M758" s="130">
        <f>SUMIFS(ТГ_ИД!$E:$E,ТГ_ИД!$B:$B,ТГ!$G$5,ТГ_ИД!$D:$D,ТГ!$A759)</f>
        <v>0</v>
      </c>
      <c r="N758" s="130">
        <f>SUMIFS(ТГ_ИД!$E:$E,ТГ_ИД!$B:$B,ТГ!$G$6,ТГ_ИД!$D:$D,ТГ!$A759)</f>
        <v>0</v>
      </c>
      <c r="O758" s="130">
        <f>SUMIFS(ТГ_ИД!$E:$E,ТГ_ИД!$B:$B,ТГ!$G$7,ТГ_ИД!$D:$D,ТГ!$A759)</f>
        <v>0</v>
      </c>
      <c r="P758" s="130">
        <f>SUMIFS(ТГ_ИД!$E:$E,ТГ_ИД!$B:$B,ТГ!$G$8,ТГ_ИД!$D:$D,ТГ!$A759)</f>
        <v>0</v>
      </c>
      <c r="Q758" s="130">
        <f>SUMIFS(ТГ_ИД!$E:$E,ТГ_ИД!$B:$B,ТГ!$G$9,ТГ_ИД!$D:$D,ТГ!$A759)</f>
        <v>0</v>
      </c>
      <c r="R758" s="130">
        <f>SUMIFS(ТГ_ИД!$E:$E,ТГ_ИД!$B:$B,ТГ!$G$10,ТГ_ИД!$D:$D,ТГ!$A759)</f>
        <v>0</v>
      </c>
      <c r="S758" s="130">
        <f>SUMIFS(ТГ_ИД!$E:$E,ТГ_ИД!$B:$B,ТГ!$G$11,ТГ_ИД!$D:$D,ТГ!$A759)</f>
        <v>0</v>
      </c>
      <c r="T758" s="130">
        <f>SUMIFS(ТГ_ИД!$E:$E,ТГ_ИД!$B:$B,ТГ!$G$12,ТГ_ИД!$D:$D,ТГ!$A759)</f>
        <v>0</v>
      </c>
      <c r="U758" s="130">
        <f>SUMIFS(ТГ_ИД!$E:$E,ТГ_ИД!$B:$B,ТГ!$G$13,ТГ_ИД!$D:$D,ТГ!$A759)</f>
        <v>0</v>
      </c>
      <c r="V758" s="130">
        <f>SUMIFS(ТГ_ИД!$E:$E,ТГ_ИД!$B:$B,ТГ!$G$14,ТГ_ИД!$D:$D,ТГ!$A759)</f>
        <v>0</v>
      </c>
    </row>
    <row r="759" spans="1:22" x14ac:dyDescent="0.25">
      <c r="A759" s="116" t="str">
        <f t="shared" si="12"/>
        <v/>
      </c>
      <c r="K759" s="130">
        <f>SUMIFS(ТГ_ИД!$E:$E,ТГ_ИД!$B:$B,ТГ!$G$3,ТГ_ИД!$D:$D,ТГ!$A760)</f>
        <v>0</v>
      </c>
      <c r="L759" s="130">
        <f>SUMIFS(ТГ_ИД!$E:$E,ТГ_ИД!$B:$B,ТГ!$G$4,ТГ_ИД!$D:$D,ТГ!$A760)</f>
        <v>0</v>
      </c>
      <c r="M759" s="130">
        <f>SUMIFS(ТГ_ИД!$E:$E,ТГ_ИД!$B:$B,ТГ!$G$5,ТГ_ИД!$D:$D,ТГ!$A760)</f>
        <v>0</v>
      </c>
      <c r="N759" s="130">
        <f>SUMIFS(ТГ_ИД!$E:$E,ТГ_ИД!$B:$B,ТГ!$G$6,ТГ_ИД!$D:$D,ТГ!$A760)</f>
        <v>0</v>
      </c>
      <c r="O759" s="130">
        <f>SUMIFS(ТГ_ИД!$E:$E,ТГ_ИД!$B:$B,ТГ!$G$7,ТГ_ИД!$D:$D,ТГ!$A760)</f>
        <v>0</v>
      </c>
      <c r="P759" s="130">
        <f>SUMIFS(ТГ_ИД!$E:$E,ТГ_ИД!$B:$B,ТГ!$G$8,ТГ_ИД!$D:$D,ТГ!$A760)</f>
        <v>0</v>
      </c>
      <c r="Q759" s="130">
        <f>SUMIFS(ТГ_ИД!$E:$E,ТГ_ИД!$B:$B,ТГ!$G$9,ТГ_ИД!$D:$D,ТГ!$A760)</f>
        <v>0</v>
      </c>
      <c r="R759" s="130">
        <f>SUMIFS(ТГ_ИД!$E:$E,ТГ_ИД!$B:$B,ТГ!$G$10,ТГ_ИД!$D:$D,ТГ!$A760)</f>
        <v>0</v>
      </c>
      <c r="S759" s="130">
        <f>SUMIFS(ТГ_ИД!$E:$E,ТГ_ИД!$B:$B,ТГ!$G$11,ТГ_ИД!$D:$D,ТГ!$A760)</f>
        <v>0</v>
      </c>
      <c r="T759" s="130">
        <f>SUMIFS(ТГ_ИД!$E:$E,ТГ_ИД!$B:$B,ТГ!$G$12,ТГ_ИД!$D:$D,ТГ!$A760)</f>
        <v>0</v>
      </c>
      <c r="U759" s="130">
        <f>SUMIFS(ТГ_ИД!$E:$E,ТГ_ИД!$B:$B,ТГ!$G$13,ТГ_ИД!$D:$D,ТГ!$A760)</f>
        <v>0</v>
      </c>
      <c r="V759" s="130">
        <f>SUMIFS(ТГ_ИД!$E:$E,ТГ_ИД!$B:$B,ТГ!$G$14,ТГ_ИД!$D:$D,ТГ!$A760)</f>
        <v>0</v>
      </c>
    </row>
    <row r="760" spans="1:22" x14ac:dyDescent="0.25">
      <c r="A760" s="116" t="str">
        <f t="shared" si="12"/>
        <v/>
      </c>
      <c r="K760" s="130">
        <f>SUMIFS(ТГ_ИД!$E:$E,ТГ_ИД!$B:$B,ТГ!$G$3,ТГ_ИД!$D:$D,ТГ!$A761)</f>
        <v>0</v>
      </c>
      <c r="L760" s="130">
        <f>SUMIFS(ТГ_ИД!$E:$E,ТГ_ИД!$B:$B,ТГ!$G$4,ТГ_ИД!$D:$D,ТГ!$A761)</f>
        <v>0</v>
      </c>
      <c r="M760" s="130">
        <f>SUMIFS(ТГ_ИД!$E:$E,ТГ_ИД!$B:$B,ТГ!$G$5,ТГ_ИД!$D:$D,ТГ!$A761)</f>
        <v>0</v>
      </c>
      <c r="N760" s="130">
        <f>SUMIFS(ТГ_ИД!$E:$E,ТГ_ИД!$B:$B,ТГ!$G$6,ТГ_ИД!$D:$D,ТГ!$A761)</f>
        <v>0</v>
      </c>
      <c r="O760" s="130">
        <f>SUMIFS(ТГ_ИД!$E:$E,ТГ_ИД!$B:$B,ТГ!$G$7,ТГ_ИД!$D:$D,ТГ!$A761)</f>
        <v>0</v>
      </c>
      <c r="P760" s="130">
        <f>SUMIFS(ТГ_ИД!$E:$E,ТГ_ИД!$B:$B,ТГ!$G$8,ТГ_ИД!$D:$D,ТГ!$A761)</f>
        <v>0</v>
      </c>
      <c r="Q760" s="130">
        <f>SUMIFS(ТГ_ИД!$E:$E,ТГ_ИД!$B:$B,ТГ!$G$9,ТГ_ИД!$D:$D,ТГ!$A761)</f>
        <v>0</v>
      </c>
      <c r="R760" s="130">
        <f>SUMIFS(ТГ_ИД!$E:$E,ТГ_ИД!$B:$B,ТГ!$G$10,ТГ_ИД!$D:$D,ТГ!$A761)</f>
        <v>0</v>
      </c>
      <c r="S760" s="130">
        <f>SUMIFS(ТГ_ИД!$E:$E,ТГ_ИД!$B:$B,ТГ!$G$11,ТГ_ИД!$D:$D,ТГ!$A761)</f>
        <v>0</v>
      </c>
      <c r="T760" s="130">
        <f>SUMIFS(ТГ_ИД!$E:$E,ТГ_ИД!$B:$B,ТГ!$G$12,ТГ_ИД!$D:$D,ТГ!$A761)</f>
        <v>0</v>
      </c>
      <c r="U760" s="130">
        <f>SUMIFS(ТГ_ИД!$E:$E,ТГ_ИД!$B:$B,ТГ!$G$13,ТГ_ИД!$D:$D,ТГ!$A761)</f>
        <v>0</v>
      </c>
      <c r="V760" s="130">
        <f>SUMIFS(ТГ_ИД!$E:$E,ТГ_ИД!$B:$B,ТГ!$G$14,ТГ_ИД!$D:$D,ТГ!$A761)</f>
        <v>0</v>
      </c>
    </row>
    <row r="761" spans="1:22" x14ac:dyDescent="0.25">
      <c r="A761" s="116" t="str">
        <f t="shared" si="12"/>
        <v/>
      </c>
      <c r="K761" s="130">
        <f>SUMIFS(ТГ_ИД!$E:$E,ТГ_ИД!$B:$B,ТГ!$G$3,ТГ_ИД!$D:$D,ТГ!$A762)</f>
        <v>0</v>
      </c>
      <c r="L761" s="130">
        <f>SUMIFS(ТГ_ИД!$E:$E,ТГ_ИД!$B:$B,ТГ!$G$4,ТГ_ИД!$D:$D,ТГ!$A762)</f>
        <v>0</v>
      </c>
      <c r="M761" s="130">
        <f>SUMIFS(ТГ_ИД!$E:$E,ТГ_ИД!$B:$B,ТГ!$G$5,ТГ_ИД!$D:$D,ТГ!$A762)</f>
        <v>0</v>
      </c>
      <c r="N761" s="130">
        <f>SUMIFS(ТГ_ИД!$E:$E,ТГ_ИД!$B:$B,ТГ!$G$6,ТГ_ИД!$D:$D,ТГ!$A762)</f>
        <v>0</v>
      </c>
      <c r="O761" s="130">
        <f>SUMIFS(ТГ_ИД!$E:$E,ТГ_ИД!$B:$B,ТГ!$G$7,ТГ_ИД!$D:$D,ТГ!$A762)</f>
        <v>0</v>
      </c>
      <c r="P761" s="130">
        <f>SUMIFS(ТГ_ИД!$E:$E,ТГ_ИД!$B:$B,ТГ!$G$8,ТГ_ИД!$D:$D,ТГ!$A762)</f>
        <v>0</v>
      </c>
      <c r="Q761" s="130">
        <f>SUMIFS(ТГ_ИД!$E:$E,ТГ_ИД!$B:$B,ТГ!$G$9,ТГ_ИД!$D:$D,ТГ!$A762)</f>
        <v>0</v>
      </c>
      <c r="R761" s="130">
        <f>SUMIFS(ТГ_ИД!$E:$E,ТГ_ИД!$B:$B,ТГ!$G$10,ТГ_ИД!$D:$D,ТГ!$A762)</f>
        <v>0</v>
      </c>
      <c r="S761" s="130">
        <f>SUMIFS(ТГ_ИД!$E:$E,ТГ_ИД!$B:$B,ТГ!$G$11,ТГ_ИД!$D:$D,ТГ!$A762)</f>
        <v>0</v>
      </c>
      <c r="T761" s="130">
        <f>SUMIFS(ТГ_ИД!$E:$E,ТГ_ИД!$B:$B,ТГ!$G$12,ТГ_ИД!$D:$D,ТГ!$A762)</f>
        <v>0</v>
      </c>
      <c r="U761" s="130">
        <f>SUMIFS(ТГ_ИД!$E:$E,ТГ_ИД!$B:$B,ТГ!$G$13,ТГ_ИД!$D:$D,ТГ!$A762)</f>
        <v>0</v>
      </c>
      <c r="V761" s="130">
        <f>SUMIFS(ТГ_ИД!$E:$E,ТГ_ИД!$B:$B,ТГ!$G$14,ТГ_ИД!$D:$D,ТГ!$A762)</f>
        <v>0</v>
      </c>
    </row>
    <row r="762" spans="1:22" x14ac:dyDescent="0.25">
      <c r="A762" s="116" t="str">
        <f t="shared" si="12"/>
        <v/>
      </c>
      <c r="K762" s="130">
        <f>SUMIFS(ТГ_ИД!$E:$E,ТГ_ИД!$B:$B,ТГ!$G$3,ТГ_ИД!$D:$D,ТГ!$A763)</f>
        <v>0</v>
      </c>
      <c r="L762" s="130">
        <f>SUMIFS(ТГ_ИД!$E:$E,ТГ_ИД!$B:$B,ТГ!$G$4,ТГ_ИД!$D:$D,ТГ!$A763)</f>
        <v>0</v>
      </c>
      <c r="M762" s="130">
        <f>SUMIFS(ТГ_ИД!$E:$E,ТГ_ИД!$B:$B,ТГ!$G$5,ТГ_ИД!$D:$D,ТГ!$A763)</f>
        <v>0</v>
      </c>
      <c r="N762" s="130">
        <f>SUMIFS(ТГ_ИД!$E:$E,ТГ_ИД!$B:$B,ТГ!$G$6,ТГ_ИД!$D:$D,ТГ!$A763)</f>
        <v>0</v>
      </c>
      <c r="O762" s="130">
        <f>SUMIFS(ТГ_ИД!$E:$E,ТГ_ИД!$B:$B,ТГ!$G$7,ТГ_ИД!$D:$D,ТГ!$A763)</f>
        <v>0</v>
      </c>
      <c r="P762" s="130">
        <f>SUMIFS(ТГ_ИД!$E:$E,ТГ_ИД!$B:$B,ТГ!$G$8,ТГ_ИД!$D:$D,ТГ!$A763)</f>
        <v>0</v>
      </c>
      <c r="Q762" s="130">
        <f>SUMIFS(ТГ_ИД!$E:$E,ТГ_ИД!$B:$B,ТГ!$G$9,ТГ_ИД!$D:$D,ТГ!$A763)</f>
        <v>0</v>
      </c>
      <c r="R762" s="130">
        <f>SUMIFS(ТГ_ИД!$E:$E,ТГ_ИД!$B:$B,ТГ!$G$10,ТГ_ИД!$D:$D,ТГ!$A763)</f>
        <v>0</v>
      </c>
      <c r="S762" s="130">
        <f>SUMIFS(ТГ_ИД!$E:$E,ТГ_ИД!$B:$B,ТГ!$G$11,ТГ_ИД!$D:$D,ТГ!$A763)</f>
        <v>0</v>
      </c>
      <c r="T762" s="130">
        <f>SUMIFS(ТГ_ИД!$E:$E,ТГ_ИД!$B:$B,ТГ!$G$12,ТГ_ИД!$D:$D,ТГ!$A763)</f>
        <v>0</v>
      </c>
      <c r="U762" s="130">
        <f>SUMIFS(ТГ_ИД!$E:$E,ТГ_ИД!$B:$B,ТГ!$G$13,ТГ_ИД!$D:$D,ТГ!$A763)</f>
        <v>0</v>
      </c>
      <c r="V762" s="130">
        <f>SUMIFS(ТГ_ИД!$E:$E,ТГ_ИД!$B:$B,ТГ!$G$14,ТГ_ИД!$D:$D,ТГ!$A763)</f>
        <v>0</v>
      </c>
    </row>
    <row r="763" spans="1:22" x14ac:dyDescent="0.25">
      <c r="A763" s="116" t="str">
        <f t="shared" si="12"/>
        <v/>
      </c>
      <c r="K763" s="130">
        <f>SUMIFS(ТГ_ИД!$E:$E,ТГ_ИД!$B:$B,ТГ!$G$3,ТГ_ИД!$D:$D,ТГ!$A764)</f>
        <v>0</v>
      </c>
      <c r="L763" s="130">
        <f>SUMIFS(ТГ_ИД!$E:$E,ТГ_ИД!$B:$B,ТГ!$G$4,ТГ_ИД!$D:$D,ТГ!$A764)</f>
        <v>0</v>
      </c>
      <c r="M763" s="130">
        <f>SUMIFS(ТГ_ИД!$E:$E,ТГ_ИД!$B:$B,ТГ!$G$5,ТГ_ИД!$D:$D,ТГ!$A764)</f>
        <v>0</v>
      </c>
      <c r="N763" s="130">
        <f>SUMIFS(ТГ_ИД!$E:$E,ТГ_ИД!$B:$B,ТГ!$G$6,ТГ_ИД!$D:$D,ТГ!$A764)</f>
        <v>0</v>
      </c>
      <c r="O763" s="130">
        <f>SUMIFS(ТГ_ИД!$E:$E,ТГ_ИД!$B:$B,ТГ!$G$7,ТГ_ИД!$D:$D,ТГ!$A764)</f>
        <v>0</v>
      </c>
      <c r="P763" s="130">
        <f>SUMIFS(ТГ_ИД!$E:$E,ТГ_ИД!$B:$B,ТГ!$G$8,ТГ_ИД!$D:$D,ТГ!$A764)</f>
        <v>0</v>
      </c>
      <c r="Q763" s="130">
        <f>SUMIFS(ТГ_ИД!$E:$E,ТГ_ИД!$B:$B,ТГ!$G$9,ТГ_ИД!$D:$D,ТГ!$A764)</f>
        <v>0</v>
      </c>
      <c r="R763" s="130">
        <f>SUMIFS(ТГ_ИД!$E:$E,ТГ_ИД!$B:$B,ТГ!$G$10,ТГ_ИД!$D:$D,ТГ!$A764)</f>
        <v>0</v>
      </c>
      <c r="S763" s="130">
        <f>SUMIFS(ТГ_ИД!$E:$E,ТГ_ИД!$B:$B,ТГ!$G$11,ТГ_ИД!$D:$D,ТГ!$A764)</f>
        <v>0</v>
      </c>
      <c r="T763" s="130">
        <f>SUMIFS(ТГ_ИД!$E:$E,ТГ_ИД!$B:$B,ТГ!$G$12,ТГ_ИД!$D:$D,ТГ!$A764)</f>
        <v>0</v>
      </c>
      <c r="U763" s="130">
        <f>SUMIFS(ТГ_ИД!$E:$E,ТГ_ИД!$B:$B,ТГ!$G$13,ТГ_ИД!$D:$D,ТГ!$A764)</f>
        <v>0</v>
      </c>
      <c r="V763" s="130">
        <f>SUMIFS(ТГ_ИД!$E:$E,ТГ_ИД!$B:$B,ТГ!$G$14,ТГ_ИД!$D:$D,ТГ!$A764)</f>
        <v>0</v>
      </c>
    </row>
    <row r="764" spans="1:22" x14ac:dyDescent="0.25">
      <c r="A764" s="116" t="str">
        <f t="shared" si="12"/>
        <v/>
      </c>
      <c r="K764" s="130">
        <f>SUMIFS(ТГ_ИД!$E:$E,ТГ_ИД!$B:$B,ТГ!$G$3,ТГ_ИД!$D:$D,ТГ!$A765)</f>
        <v>0</v>
      </c>
      <c r="L764" s="130">
        <f>SUMIFS(ТГ_ИД!$E:$E,ТГ_ИД!$B:$B,ТГ!$G$4,ТГ_ИД!$D:$D,ТГ!$A765)</f>
        <v>0</v>
      </c>
      <c r="M764" s="130">
        <f>SUMIFS(ТГ_ИД!$E:$E,ТГ_ИД!$B:$B,ТГ!$G$5,ТГ_ИД!$D:$D,ТГ!$A765)</f>
        <v>0</v>
      </c>
      <c r="N764" s="130">
        <f>SUMIFS(ТГ_ИД!$E:$E,ТГ_ИД!$B:$B,ТГ!$G$6,ТГ_ИД!$D:$D,ТГ!$A765)</f>
        <v>0</v>
      </c>
      <c r="O764" s="130">
        <f>SUMIFS(ТГ_ИД!$E:$E,ТГ_ИД!$B:$B,ТГ!$G$7,ТГ_ИД!$D:$D,ТГ!$A765)</f>
        <v>0</v>
      </c>
      <c r="P764" s="130">
        <f>SUMIFS(ТГ_ИД!$E:$E,ТГ_ИД!$B:$B,ТГ!$G$8,ТГ_ИД!$D:$D,ТГ!$A765)</f>
        <v>0</v>
      </c>
      <c r="Q764" s="130">
        <f>SUMIFS(ТГ_ИД!$E:$E,ТГ_ИД!$B:$B,ТГ!$G$9,ТГ_ИД!$D:$D,ТГ!$A765)</f>
        <v>0</v>
      </c>
      <c r="R764" s="130">
        <f>SUMIFS(ТГ_ИД!$E:$E,ТГ_ИД!$B:$B,ТГ!$G$10,ТГ_ИД!$D:$D,ТГ!$A765)</f>
        <v>0</v>
      </c>
      <c r="S764" s="130">
        <f>SUMIFS(ТГ_ИД!$E:$E,ТГ_ИД!$B:$B,ТГ!$G$11,ТГ_ИД!$D:$D,ТГ!$A765)</f>
        <v>0</v>
      </c>
      <c r="T764" s="130">
        <f>SUMIFS(ТГ_ИД!$E:$E,ТГ_ИД!$B:$B,ТГ!$G$12,ТГ_ИД!$D:$D,ТГ!$A765)</f>
        <v>0</v>
      </c>
      <c r="U764" s="130">
        <f>SUMIFS(ТГ_ИД!$E:$E,ТГ_ИД!$B:$B,ТГ!$G$13,ТГ_ИД!$D:$D,ТГ!$A765)</f>
        <v>0</v>
      </c>
      <c r="V764" s="130">
        <f>SUMIFS(ТГ_ИД!$E:$E,ТГ_ИД!$B:$B,ТГ!$G$14,ТГ_ИД!$D:$D,ТГ!$A765)</f>
        <v>0</v>
      </c>
    </row>
    <row r="765" spans="1:22" x14ac:dyDescent="0.25">
      <c r="A765" s="116" t="str">
        <f t="shared" si="12"/>
        <v/>
      </c>
      <c r="K765" s="130">
        <f>SUMIFS(ТГ_ИД!$E:$E,ТГ_ИД!$B:$B,ТГ!$G$3,ТГ_ИД!$D:$D,ТГ!$A766)</f>
        <v>0</v>
      </c>
      <c r="L765" s="130">
        <f>SUMIFS(ТГ_ИД!$E:$E,ТГ_ИД!$B:$B,ТГ!$G$4,ТГ_ИД!$D:$D,ТГ!$A766)</f>
        <v>0</v>
      </c>
      <c r="M765" s="130">
        <f>SUMIFS(ТГ_ИД!$E:$E,ТГ_ИД!$B:$B,ТГ!$G$5,ТГ_ИД!$D:$D,ТГ!$A766)</f>
        <v>0</v>
      </c>
      <c r="N765" s="130">
        <f>SUMIFS(ТГ_ИД!$E:$E,ТГ_ИД!$B:$B,ТГ!$G$6,ТГ_ИД!$D:$D,ТГ!$A766)</f>
        <v>0</v>
      </c>
      <c r="O765" s="130">
        <f>SUMIFS(ТГ_ИД!$E:$E,ТГ_ИД!$B:$B,ТГ!$G$7,ТГ_ИД!$D:$D,ТГ!$A766)</f>
        <v>0</v>
      </c>
      <c r="P765" s="130">
        <f>SUMIFS(ТГ_ИД!$E:$E,ТГ_ИД!$B:$B,ТГ!$G$8,ТГ_ИД!$D:$D,ТГ!$A766)</f>
        <v>0</v>
      </c>
      <c r="Q765" s="130">
        <f>SUMIFS(ТГ_ИД!$E:$E,ТГ_ИД!$B:$B,ТГ!$G$9,ТГ_ИД!$D:$D,ТГ!$A766)</f>
        <v>0</v>
      </c>
      <c r="R765" s="130">
        <f>SUMIFS(ТГ_ИД!$E:$E,ТГ_ИД!$B:$B,ТГ!$G$10,ТГ_ИД!$D:$D,ТГ!$A766)</f>
        <v>0</v>
      </c>
      <c r="S765" s="130">
        <f>SUMIFS(ТГ_ИД!$E:$E,ТГ_ИД!$B:$B,ТГ!$G$11,ТГ_ИД!$D:$D,ТГ!$A766)</f>
        <v>0</v>
      </c>
      <c r="T765" s="130">
        <f>SUMIFS(ТГ_ИД!$E:$E,ТГ_ИД!$B:$B,ТГ!$G$12,ТГ_ИД!$D:$D,ТГ!$A766)</f>
        <v>0</v>
      </c>
      <c r="U765" s="130">
        <f>SUMIFS(ТГ_ИД!$E:$E,ТГ_ИД!$B:$B,ТГ!$G$13,ТГ_ИД!$D:$D,ТГ!$A766)</f>
        <v>0</v>
      </c>
      <c r="V765" s="130">
        <f>SUMIFS(ТГ_ИД!$E:$E,ТГ_ИД!$B:$B,ТГ!$G$14,ТГ_ИД!$D:$D,ТГ!$A766)</f>
        <v>0</v>
      </c>
    </row>
    <row r="766" spans="1:22" x14ac:dyDescent="0.25">
      <c r="A766" s="116" t="str">
        <f t="shared" si="12"/>
        <v/>
      </c>
      <c r="K766" s="130">
        <f>SUMIFS(ТГ_ИД!$E:$E,ТГ_ИД!$B:$B,ТГ!$G$3,ТГ_ИД!$D:$D,ТГ!$A767)</f>
        <v>0</v>
      </c>
      <c r="L766" s="130">
        <f>SUMIFS(ТГ_ИД!$E:$E,ТГ_ИД!$B:$B,ТГ!$G$4,ТГ_ИД!$D:$D,ТГ!$A767)</f>
        <v>0</v>
      </c>
      <c r="M766" s="130">
        <f>SUMIFS(ТГ_ИД!$E:$E,ТГ_ИД!$B:$B,ТГ!$G$5,ТГ_ИД!$D:$D,ТГ!$A767)</f>
        <v>0</v>
      </c>
      <c r="N766" s="130">
        <f>SUMIFS(ТГ_ИД!$E:$E,ТГ_ИД!$B:$B,ТГ!$G$6,ТГ_ИД!$D:$D,ТГ!$A767)</f>
        <v>0</v>
      </c>
      <c r="O766" s="130">
        <f>SUMIFS(ТГ_ИД!$E:$E,ТГ_ИД!$B:$B,ТГ!$G$7,ТГ_ИД!$D:$D,ТГ!$A767)</f>
        <v>0</v>
      </c>
      <c r="P766" s="130">
        <f>SUMIFS(ТГ_ИД!$E:$E,ТГ_ИД!$B:$B,ТГ!$G$8,ТГ_ИД!$D:$D,ТГ!$A767)</f>
        <v>0</v>
      </c>
      <c r="Q766" s="130">
        <f>SUMIFS(ТГ_ИД!$E:$E,ТГ_ИД!$B:$B,ТГ!$G$9,ТГ_ИД!$D:$D,ТГ!$A767)</f>
        <v>0</v>
      </c>
      <c r="R766" s="130">
        <f>SUMIFS(ТГ_ИД!$E:$E,ТГ_ИД!$B:$B,ТГ!$G$10,ТГ_ИД!$D:$D,ТГ!$A767)</f>
        <v>0</v>
      </c>
      <c r="S766" s="130">
        <f>SUMIFS(ТГ_ИД!$E:$E,ТГ_ИД!$B:$B,ТГ!$G$11,ТГ_ИД!$D:$D,ТГ!$A767)</f>
        <v>0</v>
      </c>
      <c r="T766" s="130">
        <f>SUMIFS(ТГ_ИД!$E:$E,ТГ_ИД!$B:$B,ТГ!$G$12,ТГ_ИД!$D:$D,ТГ!$A767)</f>
        <v>0</v>
      </c>
      <c r="U766" s="130">
        <f>SUMIFS(ТГ_ИД!$E:$E,ТГ_ИД!$B:$B,ТГ!$G$13,ТГ_ИД!$D:$D,ТГ!$A767)</f>
        <v>0</v>
      </c>
      <c r="V766" s="130">
        <f>SUMIFS(ТГ_ИД!$E:$E,ТГ_ИД!$B:$B,ТГ!$G$14,ТГ_ИД!$D:$D,ТГ!$A767)</f>
        <v>0</v>
      </c>
    </row>
    <row r="767" spans="1:22" x14ac:dyDescent="0.25">
      <c r="A767" s="116" t="str">
        <f t="shared" si="12"/>
        <v/>
      </c>
      <c r="K767" s="130">
        <f>SUMIFS(ТГ_ИД!$E:$E,ТГ_ИД!$B:$B,ТГ!$G$3,ТГ_ИД!$D:$D,ТГ!$A768)</f>
        <v>0</v>
      </c>
      <c r="L767" s="130">
        <f>SUMIFS(ТГ_ИД!$E:$E,ТГ_ИД!$B:$B,ТГ!$G$4,ТГ_ИД!$D:$D,ТГ!$A768)</f>
        <v>0</v>
      </c>
      <c r="M767" s="130">
        <f>SUMIFS(ТГ_ИД!$E:$E,ТГ_ИД!$B:$B,ТГ!$G$5,ТГ_ИД!$D:$D,ТГ!$A768)</f>
        <v>0</v>
      </c>
      <c r="N767" s="130">
        <f>SUMIFS(ТГ_ИД!$E:$E,ТГ_ИД!$B:$B,ТГ!$G$6,ТГ_ИД!$D:$D,ТГ!$A768)</f>
        <v>0</v>
      </c>
      <c r="O767" s="130">
        <f>SUMIFS(ТГ_ИД!$E:$E,ТГ_ИД!$B:$B,ТГ!$G$7,ТГ_ИД!$D:$D,ТГ!$A768)</f>
        <v>0</v>
      </c>
      <c r="P767" s="130">
        <f>SUMIFS(ТГ_ИД!$E:$E,ТГ_ИД!$B:$B,ТГ!$G$8,ТГ_ИД!$D:$D,ТГ!$A768)</f>
        <v>0</v>
      </c>
      <c r="Q767" s="130">
        <f>SUMIFS(ТГ_ИД!$E:$E,ТГ_ИД!$B:$B,ТГ!$G$9,ТГ_ИД!$D:$D,ТГ!$A768)</f>
        <v>0</v>
      </c>
      <c r="R767" s="130">
        <f>SUMIFS(ТГ_ИД!$E:$E,ТГ_ИД!$B:$B,ТГ!$G$10,ТГ_ИД!$D:$D,ТГ!$A768)</f>
        <v>0</v>
      </c>
      <c r="S767" s="130">
        <f>SUMIFS(ТГ_ИД!$E:$E,ТГ_ИД!$B:$B,ТГ!$G$11,ТГ_ИД!$D:$D,ТГ!$A768)</f>
        <v>0</v>
      </c>
      <c r="T767" s="130">
        <f>SUMIFS(ТГ_ИД!$E:$E,ТГ_ИД!$B:$B,ТГ!$G$12,ТГ_ИД!$D:$D,ТГ!$A768)</f>
        <v>0</v>
      </c>
      <c r="U767" s="130">
        <f>SUMIFS(ТГ_ИД!$E:$E,ТГ_ИД!$B:$B,ТГ!$G$13,ТГ_ИД!$D:$D,ТГ!$A768)</f>
        <v>0</v>
      </c>
      <c r="V767" s="130">
        <f>SUMIFS(ТГ_ИД!$E:$E,ТГ_ИД!$B:$B,ТГ!$G$14,ТГ_ИД!$D:$D,ТГ!$A768)</f>
        <v>0</v>
      </c>
    </row>
    <row r="768" spans="1:22" x14ac:dyDescent="0.25">
      <c r="A768" s="116" t="str">
        <f t="shared" si="12"/>
        <v/>
      </c>
      <c r="K768" s="130">
        <f>SUMIFS(ТГ_ИД!$E:$E,ТГ_ИД!$B:$B,ТГ!$G$3,ТГ_ИД!$D:$D,ТГ!$A769)</f>
        <v>0</v>
      </c>
      <c r="L768" s="130">
        <f>SUMIFS(ТГ_ИД!$E:$E,ТГ_ИД!$B:$B,ТГ!$G$4,ТГ_ИД!$D:$D,ТГ!$A769)</f>
        <v>0</v>
      </c>
      <c r="M768" s="130">
        <f>SUMIFS(ТГ_ИД!$E:$E,ТГ_ИД!$B:$B,ТГ!$G$5,ТГ_ИД!$D:$D,ТГ!$A769)</f>
        <v>0</v>
      </c>
      <c r="N768" s="130">
        <f>SUMIFS(ТГ_ИД!$E:$E,ТГ_ИД!$B:$B,ТГ!$G$6,ТГ_ИД!$D:$D,ТГ!$A769)</f>
        <v>0</v>
      </c>
      <c r="O768" s="130">
        <f>SUMIFS(ТГ_ИД!$E:$E,ТГ_ИД!$B:$B,ТГ!$G$7,ТГ_ИД!$D:$D,ТГ!$A769)</f>
        <v>0</v>
      </c>
      <c r="P768" s="130">
        <f>SUMIFS(ТГ_ИД!$E:$E,ТГ_ИД!$B:$B,ТГ!$G$8,ТГ_ИД!$D:$D,ТГ!$A769)</f>
        <v>0</v>
      </c>
      <c r="Q768" s="130">
        <f>SUMIFS(ТГ_ИД!$E:$E,ТГ_ИД!$B:$B,ТГ!$G$9,ТГ_ИД!$D:$D,ТГ!$A769)</f>
        <v>0</v>
      </c>
      <c r="R768" s="130">
        <f>SUMIFS(ТГ_ИД!$E:$E,ТГ_ИД!$B:$B,ТГ!$G$10,ТГ_ИД!$D:$D,ТГ!$A769)</f>
        <v>0</v>
      </c>
      <c r="S768" s="130">
        <f>SUMIFS(ТГ_ИД!$E:$E,ТГ_ИД!$B:$B,ТГ!$G$11,ТГ_ИД!$D:$D,ТГ!$A769)</f>
        <v>0</v>
      </c>
      <c r="T768" s="130">
        <f>SUMIFS(ТГ_ИД!$E:$E,ТГ_ИД!$B:$B,ТГ!$G$12,ТГ_ИД!$D:$D,ТГ!$A769)</f>
        <v>0</v>
      </c>
      <c r="U768" s="130">
        <f>SUMIFS(ТГ_ИД!$E:$E,ТГ_ИД!$B:$B,ТГ!$G$13,ТГ_ИД!$D:$D,ТГ!$A769)</f>
        <v>0</v>
      </c>
      <c r="V768" s="130">
        <f>SUMIFS(ТГ_ИД!$E:$E,ТГ_ИД!$B:$B,ТГ!$G$14,ТГ_ИД!$D:$D,ТГ!$A769)</f>
        <v>0</v>
      </c>
    </row>
    <row r="769" spans="1:22" x14ac:dyDescent="0.25">
      <c r="A769" s="116" t="str">
        <f t="shared" si="12"/>
        <v/>
      </c>
      <c r="K769" s="130">
        <f>SUMIFS(ТГ_ИД!$E:$E,ТГ_ИД!$B:$B,ТГ!$G$3,ТГ_ИД!$D:$D,ТГ!$A770)</f>
        <v>0</v>
      </c>
      <c r="L769" s="130">
        <f>SUMIFS(ТГ_ИД!$E:$E,ТГ_ИД!$B:$B,ТГ!$G$4,ТГ_ИД!$D:$D,ТГ!$A770)</f>
        <v>0</v>
      </c>
      <c r="M769" s="130">
        <f>SUMIFS(ТГ_ИД!$E:$E,ТГ_ИД!$B:$B,ТГ!$G$5,ТГ_ИД!$D:$D,ТГ!$A770)</f>
        <v>0</v>
      </c>
      <c r="N769" s="130">
        <f>SUMIFS(ТГ_ИД!$E:$E,ТГ_ИД!$B:$B,ТГ!$G$6,ТГ_ИД!$D:$D,ТГ!$A770)</f>
        <v>0</v>
      </c>
      <c r="O769" s="130">
        <f>SUMIFS(ТГ_ИД!$E:$E,ТГ_ИД!$B:$B,ТГ!$G$7,ТГ_ИД!$D:$D,ТГ!$A770)</f>
        <v>0</v>
      </c>
      <c r="P769" s="130">
        <f>SUMIFS(ТГ_ИД!$E:$E,ТГ_ИД!$B:$B,ТГ!$G$8,ТГ_ИД!$D:$D,ТГ!$A770)</f>
        <v>0</v>
      </c>
      <c r="Q769" s="130">
        <f>SUMIFS(ТГ_ИД!$E:$E,ТГ_ИД!$B:$B,ТГ!$G$9,ТГ_ИД!$D:$D,ТГ!$A770)</f>
        <v>0</v>
      </c>
      <c r="R769" s="130">
        <f>SUMIFS(ТГ_ИД!$E:$E,ТГ_ИД!$B:$B,ТГ!$G$10,ТГ_ИД!$D:$D,ТГ!$A770)</f>
        <v>0</v>
      </c>
      <c r="S769" s="130">
        <f>SUMIFS(ТГ_ИД!$E:$E,ТГ_ИД!$B:$B,ТГ!$G$11,ТГ_ИД!$D:$D,ТГ!$A770)</f>
        <v>0</v>
      </c>
      <c r="T769" s="130">
        <f>SUMIFS(ТГ_ИД!$E:$E,ТГ_ИД!$B:$B,ТГ!$G$12,ТГ_ИД!$D:$D,ТГ!$A770)</f>
        <v>0</v>
      </c>
      <c r="U769" s="130">
        <f>SUMIFS(ТГ_ИД!$E:$E,ТГ_ИД!$B:$B,ТГ!$G$13,ТГ_ИД!$D:$D,ТГ!$A770)</f>
        <v>0</v>
      </c>
      <c r="V769" s="130">
        <f>SUMIFS(ТГ_ИД!$E:$E,ТГ_ИД!$B:$B,ТГ!$G$14,ТГ_ИД!$D:$D,ТГ!$A770)</f>
        <v>0</v>
      </c>
    </row>
    <row r="770" spans="1:22" x14ac:dyDescent="0.25">
      <c r="A770" s="116" t="str">
        <f t="shared" si="12"/>
        <v/>
      </c>
      <c r="K770" s="130">
        <f>SUMIFS(ТГ_ИД!$E:$E,ТГ_ИД!$B:$B,ТГ!$G$3,ТГ_ИД!$D:$D,ТГ!$A771)</f>
        <v>0</v>
      </c>
      <c r="L770" s="130">
        <f>SUMIFS(ТГ_ИД!$E:$E,ТГ_ИД!$B:$B,ТГ!$G$4,ТГ_ИД!$D:$D,ТГ!$A771)</f>
        <v>0</v>
      </c>
      <c r="M770" s="130">
        <f>SUMIFS(ТГ_ИД!$E:$E,ТГ_ИД!$B:$B,ТГ!$G$5,ТГ_ИД!$D:$D,ТГ!$A771)</f>
        <v>0</v>
      </c>
      <c r="N770" s="130">
        <f>SUMIFS(ТГ_ИД!$E:$E,ТГ_ИД!$B:$B,ТГ!$G$6,ТГ_ИД!$D:$D,ТГ!$A771)</f>
        <v>0</v>
      </c>
      <c r="O770" s="130">
        <f>SUMIFS(ТГ_ИД!$E:$E,ТГ_ИД!$B:$B,ТГ!$G$7,ТГ_ИД!$D:$D,ТГ!$A771)</f>
        <v>0</v>
      </c>
      <c r="P770" s="130">
        <f>SUMIFS(ТГ_ИД!$E:$E,ТГ_ИД!$B:$B,ТГ!$G$8,ТГ_ИД!$D:$D,ТГ!$A771)</f>
        <v>0</v>
      </c>
      <c r="Q770" s="130">
        <f>SUMIFS(ТГ_ИД!$E:$E,ТГ_ИД!$B:$B,ТГ!$G$9,ТГ_ИД!$D:$D,ТГ!$A771)</f>
        <v>0</v>
      </c>
      <c r="R770" s="130">
        <f>SUMIFS(ТГ_ИД!$E:$E,ТГ_ИД!$B:$B,ТГ!$G$10,ТГ_ИД!$D:$D,ТГ!$A771)</f>
        <v>0</v>
      </c>
      <c r="S770" s="130">
        <f>SUMIFS(ТГ_ИД!$E:$E,ТГ_ИД!$B:$B,ТГ!$G$11,ТГ_ИД!$D:$D,ТГ!$A771)</f>
        <v>0</v>
      </c>
      <c r="T770" s="130">
        <f>SUMIFS(ТГ_ИД!$E:$E,ТГ_ИД!$B:$B,ТГ!$G$12,ТГ_ИД!$D:$D,ТГ!$A771)</f>
        <v>0</v>
      </c>
      <c r="U770" s="130">
        <f>SUMIFS(ТГ_ИД!$E:$E,ТГ_ИД!$B:$B,ТГ!$G$13,ТГ_ИД!$D:$D,ТГ!$A771)</f>
        <v>0</v>
      </c>
      <c r="V770" s="130">
        <f>SUMIFS(ТГ_ИД!$E:$E,ТГ_ИД!$B:$B,ТГ!$G$14,ТГ_ИД!$D:$D,ТГ!$A771)</f>
        <v>0</v>
      </c>
    </row>
    <row r="771" spans="1:22" x14ac:dyDescent="0.25">
      <c r="A771" s="116" t="str">
        <f t="shared" si="12"/>
        <v/>
      </c>
      <c r="K771" s="130">
        <f>SUMIFS(ТГ_ИД!$E:$E,ТГ_ИД!$B:$B,ТГ!$G$3,ТГ_ИД!$D:$D,ТГ!$A772)</f>
        <v>0</v>
      </c>
      <c r="L771" s="130">
        <f>SUMIFS(ТГ_ИД!$E:$E,ТГ_ИД!$B:$B,ТГ!$G$4,ТГ_ИД!$D:$D,ТГ!$A772)</f>
        <v>0</v>
      </c>
      <c r="M771" s="130">
        <f>SUMIFS(ТГ_ИД!$E:$E,ТГ_ИД!$B:$B,ТГ!$G$5,ТГ_ИД!$D:$D,ТГ!$A772)</f>
        <v>0</v>
      </c>
      <c r="N771" s="130">
        <f>SUMIFS(ТГ_ИД!$E:$E,ТГ_ИД!$B:$B,ТГ!$G$6,ТГ_ИД!$D:$D,ТГ!$A772)</f>
        <v>0</v>
      </c>
      <c r="O771" s="130">
        <f>SUMIFS(ТГ_ИД!$E:$E,ТГ_ИД!$B:$B,ТГ!$G$7,ТГ_ИД!$D:$D,ТГ!$A772)</f>
        <v>0</v>
      </c>
      <c r="P771" s="130">
        <f>SUMIFS(ТГ_ИД!$E:$E,ТГ_ИД!$B:$B,ТГ!$G$8,ТГ_ИД!$D:$D,ТГ!$A772)</f>
        <v>0</v>
      </c>
      <c r="Q771" s="130">
        <f>SUMIFS(ТГ_ИД!$E:$E,ТГ_ИД!$B:$B,ТГ!$G$9,ТГ_ИД!$D:$D,ТГ!$A772)</f>
        <v>0</v>
      </c>
      <c r="R771" s="130">
        <f>SUMIFS(ТГ_ИД!$E:$E,ТГ_ИД!$B:$B,ТГ!$G$10,ТГ_ИД!$D:$D,ТГ!$A772)</f>
        <v>0</v>
      </c>
      <c r="S771" s="130">
        <f>SUMIFS(ТГ_ИД!$E:$E,ТГ_ИД!$B:$B,ТГ!$G$11,ТГ_ИД!$D:$D,ТГ!$A772)</f>
        <v>0</v>
      </c>
      <c r="T771" s="130">
        <f>SUMIFS(ТГ_ИД!$E:$E,ТГ_ИД!$B:$B,ТГ!$G$12,ТГ_ИД!$D:$D,ТГ!$A772)</f>
        <v>0</v>
      </c>
      <c r="U771" s="130">
        <f>SUMIFS(ТГ_ИД!$E:$E,ТГ_ИД!$B:$B,ТГ!$G$13,ТГ_ИД!$D:$D,ТГ!$A772)</f>
        <v>0</v>
      </c>
      <c r="V771" s="130">
        <f>SUMIFS(ТГ_ИД!$E:$E,ТГ_ИД!$B:$B,ТГ!$G$14,ТГ_ИД!$D:$D,ТГ!$A772)</f>
        <v>0</v>
      </c>
    </row>
    <row r="772" spans="1:22" x14ac:dyDescent="0.25">
      <c r="A772" s="116" t="str">
        <f t="shared" si="12"/>
        <v/>
      </c>
      <c r="K772" s="130">
        <f>SUMIFS(ТГ_ИД!$E:$E,ТГ_ИД!$B:$B,ТГ!$G$3,ТГ_ИД!$D:$D,ТГ!$A773)</f>
        <v>0</v>
      </c>
      <c r="L772" s="130">
        <f>SUMIFS(ТГ_ИД!$E:$E,ТГ_ИД!$B:$B,ТГ!$G$4,ТГ_ИД!$D:$D,ТГ!$A773)</f>
        <v>0</v>
      </c>
      <c r="M772" s="130">
        <f>SUMIFS(ТГ_ИД!$E:$E,ТГ_ИД!$B:$B,ТГ!$G$5,ТГ_ИД!$D:$D,ТГ!$A773)</f>
        <v>0</v>
      </c>
      <c r="N772" s="130">
        <f>SUMIFS(ТГ_ИД!$E:$E,ТГ_ИД!$B:$B,ТГ!$G$6,ТГ_ИД!$D:$D,ТГ!$A773)</f>
        <v>0</v>
      </c>
      <c r="O772" s="130">
        <f>SUMIFS(ТГ_ИД!$E:$E,ТГ_ИД!$B:$B,ТГ!$G$7,ТГ_ИД!$D:$D,ТГ!$A773)</f>
        <v>0</v>
      </c>
      <c r="P772" s="130">
        <f>SUMIFS(ТГ_ИД!$E:$E,ТГ_ИД!$B:$B,ТГ!$G$8,ТГ_ИД!$D:$D,ТГ!$A773)</f>
        <v>0</v>
      </c>
      <c r="Q772" s="130">
        <f>SUMIFS(ТГ_ИД!$E:$E,ТГ_ИД!$B:$B,ТГ!$G$9,ТГ_ИД!$D:$D,ТГ!$A773)</f>
        <v>0</v>
      </c>
      <c r="R772" s="130">
        <f>SUMIFS(ТГ_ИД!$E:$E,ТГ_ИД!$B:$B,ТГ!$G$10,ТГ_ИД!$D:$D,ТГ!$A773)</f>
        <v>0</v>
      </c>
      <c r="S772" s="130">
        <f>SUMIFS(ТГ_ИД!$E:$E,ТГ_ИД!$B:$B,ТГ!$G$11,ТГ_ИД!$D:$D,ТГ!$A773)</f>
        <v>0</v>
      </c>
      <c r="T772" s="130">
        <f>SUMIFS(ТГ_ИД!$E:$E,ТГ_ИД!$B:$B,ТГ!$G$12,ТГ_ИД!$D:$D,ТГ!$A773)</f>
        <v>0</v>
      </c>
      <c r="U772" s="130">
        <f>SUMIFS(ТГ_ИД!$E:$E,ТГ_ИД!$B:$B,ТГ!$G$13,ТГ_ИД!$D:$D,ТГ!$A773)</f>
        <v>0</v>
      </c>
      <c r="V772" s="130">
        <f>SUMIFS(ТГ_ИД!$E:$E,ТГ_ИД!$B:$B,ТГ!$G$14,ТГ_ИД!$D:$D,ТГ!$A773)</f>
        <v>0</v>
      </c>
    </row>
    <row r="773" spans="1:22" x14ac:dyDescent="0.25">
      <c r="A773" s="116" t="str">
        <f t="shared" ref="A773:A836" si="13">IF(B773="","",TEXT(B773,"00000"))</f>
        <v/>
      </c>
      <c r="K773" s="130">
        <f>SUMIFS(ТГ_ИД!$E:$E,ТГ_ИД!$B:$B,ТГ!$G$3,ТГ_ИД!$D:$D,ТГ!$A774)</f>
        <v>0</v>
      </c>
      <c r="L773" s="130">
        <f>SUMIFS(ТГ_ИД!$E:$E,ТГ_ИД!$B:$B,ТГ!$G$4,ТГ_ИД!$D:$D,ТГ!$A774)</f>
        <v>0</v>
      </c>
      <c r="M773" s="130">
        <f>SUMIFS(ТГ_ИД!$E:$E,ТГ_ИД!$B:$B,ТГ!$G$5,ТГ_ИД!$D:$D,ТГ!$A774)</f>
        <v>0</v>
      </c>
      <c r="N773" s="130">
        <f>SUMIFS(ТГ_ИД!$E:$E,ТГ_ИД!$B:$B,ТГ!$G$6,ТГ_ИД!$D:$D,ТГ!$A774)</f>
        <v>0</v>
      </c>
      <c r="O773" s="130">
        <f>SUMIFS(ТГ_ИД!$E:$E,ТГ_ИД!$B:$B,ТГ!$G$7,ТГ_ИД!$D:$D,ТГ!$A774)</f>
        <v>0</v>
      </c>
      <c r="P773" s="130">
        <f>SUMIFS(ТГ_ИД!$E:$E,ТГ_ИД!$B:$B,ТГ!$G$8,ТГ_ИД!$D:$D,ТГ!$A774)</f>
        <v>0</v>
      </c>
      <c r="Q773" s="130">
        <f>SUMIFS(ТГ_ИД!$E:$E,ТГ_ИД!$B:$B,ТГ!$G$9,ТГ_ИД!$D:$D,ТГ!$A774)</f>
        <v>0</v>
      </c>
      <c r="R773" s="130">
        <f>SUMIFS(ТГ_ИД!$E:$E,ТГ_ИД!$B:$B,ТГ!$G$10,ТГ_ИД!$D:$D,ТГ!$A774)</f>
        <v>0</v>
      </c>
      <c r="S773" s="130">
        <f>SUMIFS(ТГ_ИД!$E:$E,ТГ_ИД!$B:$B,ТГ!$G$11,ТГ_ИД!$D:$D,ТГ!$A774)</f>
        <v>0</v>
      </c>
      <c r="T773" s="130">
        <f>SUMIFS(ТГ_ИД!$E:$E,ТГ_ИД!$B:$B,ТГ!$G$12,ТГ_ИД!$D:$D,ТГ!$A774)</f>
        <v>0</v>
      </c>
      <c r="U773" s="130">
        <f>SUMIFS(ТГ_ИД!$E:$E,ТГ_ИД!$B:$B,ТГ!$G$13,ТГ_ИД!$D:$D,ТГ!$A774)</f>
        <v>0</v>
      </c>
      <c r="V773" s="130">
        <f>SUMIFS(ТГ_ИД!$E:$E,ТГ_ИД!$B:$B,ТГ!$G$14,ТГ_ИД!$D:$D,ТГ!$A774)</f>
        <v>0</v>
      </c>
    </row>
    <row r="774" spans="1:22" x14ac:dyDescent="0.25">
      <c r="A774" s="116" t="str">
        <f t="shared" si="13"/>
        <v/>
      </c>
      <c r="K774" s="130">
        <f>SUMIFS(ТГ_ИД!$E:$E,ТГ_ИД!$B:$B,ТГ!$G$3,ТГ_ИД!$D:$D,ТГ!$A775)</f>
        <v>0</v>
      </c>
      <c r="L774" s="130">
        <f>SUMIFS(ТГ_ИД!$E:$E,ТГ_ИД!$B:$B,ТГ!$G$4,ТГ_ИД!$D:$D,ТГ!$A775)</f>
        <v>0</v>
      </c>
      <c r="M774" s="130">
        <f>SUMIFS(ТГ_ИД!$E:$E,ТГ_ИД!$B:$B,ТГ!$G$5,ТГ_ИД!$D:$D,ТГ!$A775)</f>
        <v>0</v>
      </c>
      <c r="N774" s="130">
        <f>SUMIFS(ТГ_ИД!$E:$E,ТГ_ИД!$B:$B,ТГ!$G$6,ТГ_ИД!$D:$D,ТГ!$A775)</f>
        <v>0</v>
      </c>
      <c r="O774" s="130">
        <f>SUMIFS(ТГ_ИД!$E:$E,ТГ_ИД!$B:$B,ТГ!$G$7,ТГ_ИД!$D:$D,ТГ!$A775)</f>
        <v>0</v>
      </c>
      <c r="P774" s="130">
        <f>SUMIFS(ТГ_ИД!$E:$E,ТГ_ИД!$B:$B,ТГ!$G$8,ТГ_ИД!$D:$D,ТГ!$A775)</f>
        <v>0</v>
      </c>
      <c r="Q774" s="130">
        <f>SUMIFS(ТГ_ИД!$E:$E,ТГ_ИД!$B:$B,ТГ!$G$9,ТГ_ИД!$D:$D,ТГ!$A775)</f>
        <v>0</v>
      </c>
      <c r="R774" s="130">
        <f>SUMIFS(ТГ_ИД!$E:$E,ТГ_ИД!$B:$B,ТГ!$G$10,ТГ_ИД!$D:$D,ТГ!$A775)</f>
        <v>0</v>
      </c>
      <c r="S774" s="130">
        <f>SUMIFS(ТГ_ИД!$E:$E,ТГ_ИД!$B:$B,ТГ!$G$11,ТГ_ИД!$D:$D,ТГ!$A775)</f>
        <v>0</v>
      </c>
      <c r="T774" s="130">
        <f>SUMIFS(ТГ_ИД!$E:$E,ТГ_ИД!$B:$B,ТГ!$G$12,ТГ_ИД!$D:$D,ТГ!$A775)</f>
        <v>0</v>
      </c>
      <c r="U774" s="130">
        <f>SUMIFS(ТГ_ИД!$E:$E,ТГ_ИД!$B:$B,ТГ!$G$13,ТГ_ИД!$D:$D,ТГ!$A775)</f>
        <v>0</v>
      </c>
      <c r="V774" s="130">
        <f>SUMIFS(ТГ_ИД!$E:$E,ТГ_ИД!$B:$B,ТГ!$G$14,ТГ_ИД!$D:$D,ТГ!$A775)</f>
        <v>0</v>
      </c>
    </row>
    <row r="775" spans="1:22" x14ac:dyDescent="0.25">
      <c r="A775" s="116" t="str">
        <f t="shared" si="13"/>
        <v/>
      </c>
      <c r="K775" s="130">
        <f>SUMIFS(ТГ_ИД!$E:$E,ТГ_ИД!$B:$B,ТГ!$G$3,ТГ_ИД!$D:$D,ТГ!$A776)</f>
        <v>0</v>
      </c>
      <c r="L775" s="130">
        <f>SUMIFS(ТГ_ИД!$E:$E,ТГ_ИД!$B:$B,ТГ!$G$4,ТГ_ИД!$D:$D,ТГ!$A776)</f>
        <v>0</v>
      </c>
      <c r="M775" s="130">
        <f>SUMIFS(ТГ_ИД!$E:$E,ТГ_ИД!$B:$B,ТГ!$G$5,ТГ_ИД!$D:$D,ТГ!$A776)</f>
        <v>0</v>
      </c>
      <c r="N775" s="130">
        <f>SUMIFS(ТГ_ИД!$E:$E,ТГ_ИД!$B:$B,ТГ!$G$6,ТГ_ИД!$D:$D,ТГ!$A776)</f>
        <v>0</v>
      </c>
      <c r="O775" s="130">
        <f>SUMIFS(ТГ_ИД!$E:$E,ТГ_ИД!$B:$B,ТГ!$G$7,ТГ_ИД!$D:$D,ТГ!$A776)</f>
        <v>0</v>
      </c>
      <c r="P775" s="130">
        <f>SUMIFS(ТГ_ИД!$E:$E,ТГ_ИД!$B:$B,ТГ!$G$8,ТГ_ИД!$D:$D,ТГ!$A776)</f>
        <v>0</v>
      </c>
      <c r="Q775" s="130">
        <f>SUMIFS(ТГ_ИД!$E:$E,ТГ_ИД!$B:$B,ТГ!$G$9,ТГ_ИД!$D:$D,ТГ!$A776)</f>
        <v>0</v>
      </c>
      <c r="R775" s="130">
        <f>SUMIFS(ТГ_ИД!$E:$E,ТГ_ИД!$B:$B,ТГ!$G$10,ТГ_ИД!$D:$D,ТГ!$A776)</f>
        <v>0</v>
      </c>
      <c r="S775" s="130">
        <f>SUMIFS(ТГ_ИД!$E:$E,ТГ_ИД!$B:$B,ТГ!$G$11,ТГ_ИД!$D:$D,ТГ!$A776)</f>
        <v>0</v>
      </c>
      <c r="T775" s="130">
        <f>SUMIFS(ТГ_ИД!$E:$E,ТГ_ИД!$B:$B,ТГ!$G$12,ТГ_ИД!$D:$D,ТГ!$A776)</f>
        <v>0</v>
      </c>
      <c r="U775" s="130">
        <f>SUMIFS(ТГ_ИД!$E:$E,ТГ_ИД!$B:$B,ТГ!$G$13,ТГ_ИД!$D:$D,ТГ!$A776)</f>
        <v>0</v>
      </c>
      <c r="V775" s="130">
        <f>SUMIFS(ТГ_ИД!$E:$E,ТГ_ИД!$B:$B,ТГ!$G$14,ТГ_ИД!$D:$D,ТГ!$A776)</f>
        <v>0</v>
      </c>
    </row>
    <row r="776" spans="1:22" x14ac:dyDescent="0.25">
      <c r="A776" s="116" t="str">
        <f t="shared" si="13"/>
        <v/>
      </c>
      <c r="K776" s="130">
        <f>SUMIFS(ТГ_ИД!$E:$E,ТГ_ИД!$B:$B,ТГ!$G$3,ТГ_ИД!$D:$D,ТГ!$A777)</f>
        <v>0</v>
      </c>
      <c r="L776" s="130">
        <f>SUMIFS(ТГ_ИД!$E:$E,ТГ_ИД!$B:$B,ТГ!$G$4,ТГ_ИД!$D:$D,ТГ!$A777)</f>
        <v>0</v>
      </c>
      <c r="M776" s="130">
        <f>SUMIFS(ТГ_ИД!$E:$E,ТГ_ИД!$B:$B,ТГ!$G$5,ТГ_ИД!$D:$D,ТГ!$A777)</f>
        <v>0</v>
      </c>
      <c r="N776" s="130">
        <f>SUMIFS(ТГ_ИД!$E:$E,ТГ_ИД!$B:$B,ТГ!$G$6,ТГ_ИД!$D:$D,ТГ!$A777)</f>
        <v>0</v>
      </c>
      <c r="O776" s="130">
        <f>SUMIFS(ТГ_ИД!$E:$E,ТГ_ИД!$B:$B,ТГ!$G$7,ТГ_ИД!$D:$D,ТГ!$A777)</f>
        <v>0</v>
      </c>
      <c r="P776" s="130">
        <f>SUMIFS(ТГ_ИД!$E:$E,ТГ_ИД!$B:$B,ТГ!$G$8,ТГ_ИД!$D:$D,ТГ!$A777)</f>
        <v>0</v>
      </c>
      <c r="Q776" s="130">
        <f>SUMIFS(ТГ_ИД!$E:$E,ТГ_ИД!$B:$B,ТГ!$G$9,ТГ_ИД!$D:$D,ТГ!$A777)</f>
        <v>0</v>
      </c>
      <c r="R776" s="130">
        <f>SUMIFS(ТГ_ИД!$E:$E,ТГ_ИД!$B:$B,ТГ!$G$10,ТГ_ИД!$D:$D,ТГ!$A777)</f>
        <v>0</v>
      </c>
      <c r="S776" s="130">
        <f>SUMIFS(ТГ_ИД!$E:$E,ТГ_ИД!$B:$B,ТГ!$G$11,ТГ_ИД!$D:$D,ТГ!$A777)</f>
        <v>0</v>
      </c>
      <c r="T776" s="130">
        <f>SUMIFS(ТГ_ИД!$E:$E,ТГ_ИД!$B:$B,ТГ!$G$12,ТГ_ИД!$D:$D,ТГ!$A777)</f>
        <v>0</v>
      </c>
      <c r="U776" s="130">
        <f>SUMIFS(ТГ_ИД!$E:$E,ТГ_ИД!$B:$B,ТГ!$G$13,ТГ_ИД!$D:$D,ТГ!$A777)</f>
        <v>0</v>
      </c>
      <c r="V776" s="130">
        <f>SUMIFS(ТГ_ИД!$E:$E,ТГ_ИД!$B:$B,ТГ!$G$14,ТГ_ИД!$D:$D,ТГ!$A777)</f>
        <v>0</v>
      </c>
    </row>
    <row r="777" spans="1:22" x14ac:dyDescent="0.25">
      <c r="A777" s="116" t="str">
        <f t="shared" si="13"/>
        <v/>
      </c>
      <c r="K777" s="130">
        <f>SUMIFS(ТГ_ИД!$E:$E,ТГ_ИД!$B:$B,ТГ!$G$3,ТГ_ИД!$D:$D,ТГ!$A778)</f>
        <v>0</v>
      </c>
      <c r="L777" s="130">
        <f>SUMIFS(ТГ_ИД!$E:$E,ТГ_ИД!$B:$B,ТГ!$G$4,ТГ_ИД!$D:$D,ТГ!$A778)</f>
        <v>0</v>
      </c>
      <c r="M777" s="130">
        <f>SUMIFS(ТГ_ИД!$E:$E,ТГ_ИД!$B:$B,ТГ!$G$5,ТГ_ИД!$D:$D,ТГ!$A778)</f>
        <v>0</v>
      </c>
      <c r="N777" s="130">
        <f>SUMIFS(ТГ_ИД!$E:$E,ТГ_ИД!$B:$B,ТГ!$G$6,ТГ_ИД!$D:$D,ТГ!$A778)</f>
        <v>0</v>
      </c>
      <c r="O777" s="130">
        <f>SUMIFS(ТГ_ИД!$E:$E,ТГ_ИД!$B:$B,ТГ!$G$7,ТГ_ИД!$D:$D,ТГ!$A778)</f>
        <v>0</v>
      </c>
      <c r="P777" s="130">
        <f>SUMIFS(ТГ_ИД!$E:$E,ТГ_ИД!$B:$B,ТГ!$G$8,ТГ_ИД!$D:$D,ТГ!$A778)</f>
        <v>0</v>
      </c>
      <c r="Q777" s="130">
        <f>SUMIFS(ТГ_ИД!$E:$E,ТГ_ИД!$B:$B,ТГ!$G$9,ТГ_ИД!$D:$D,ТГ!$A778)</f>
        <v>0</v>
      </c>
      <c r="R777" s="130">
        <f>SUMIFS(ТГ_ИД!$E:$E,ТГ_ИД!$B:$B,ТГ!$G$10,ТГ_ИД!$D:$D,ТГ!$A778)</f>
        <v>0</v>
      </c>
      <c r="S777" s="130">
        <f>SUMIFS(ТГ_ИД!$E:$E,ТГ_ИД!$B:$B,ТГ!$G$11,ТГ_ИД!$D:$D,ТГ!$A778)</f>
        <v>0</v>
      </c>
      <c r="T777" s="130">
        <f>SUMIFS(ТГ_ИД!$E:$E,ТГ_ИД!$B:$B,ТГ!$G$12,ТГ_ИД!$D:$D,ТГ!$A778)</f>
        <v>0</v>
      </c>
      <c r="U777" s="130">
        <f>SUMIFS(ТГ_ИД!$E:$E,ТГ_ИД!$B:$B,ТГ!$G$13,ТГ_ИД!$D:$D,ТГ!$A778)</f>
        <v>0</v>
      </c>
      <c r="V777" s="130">
        <f>SUMIFS(ТГ_ИД!$E:$E,ТГ_ИД!$B:$B,ТГ!$G$14,ТГ_ИД!$D:$D,ТГ!$A778)</f>
        <v>0</v>
      </c>
    </row>
    <row r="778" spans="1:22" x14ac:dyDescent="0.25">
      <c r="A778" s="116" t="str">
        <f t="shared" si="13"/>
        <v/>
      </c>
      <c r="K778" s="130">
        <f>SUMIFS(ТГ_ИД!$E:$E,ТГ_ИД!$B:$B,ТГ!$G$3,ТГ_ИД!$D:$D,ТГ!$A779)</f>
        <v>0</v>
      </c>
      <c r="L778" s="130">
        <f>SUMIFS(ТГ_ИД!$E:$E,ТГ_ИД!$B:$B,ТГ!$G$4,ТГ_ИД!$D:$D,ТГ!$A779)</f>
        <v>0</v>
      </c>
      <c r="M778" s="130">
        <f>SUMIFS(ТГ_ИД!$E:$E,ТГ_ИД!$B:$B,ТГ!$G$5,ТГ_ИД!$D:$D,ТГ!$A779)</f>
        <v>0</v>
      </c>
      <c r="N778" s="130">
        <f>SUMIFS(ТГ_ИД!$E:$E,ТГ_ИД!$B:$B,ТГ!$G$6,ТГ_ИД!$D:$D,ТГ!$A779)</f>
        <v>0</v>
      </c>
      <c r="O778" s="130">
        <f>SUMIFS(ТГ_ИД!$E:$E,ТГ_ИД!$B:$B,ТГ!$G$7,ТГ_ИД!$D:$D,ТГ!$A779)</f>
        <v>0</v>
      </c>
      <c r="P778" s="130">
        <f>SUMIFS(ТГ_ИД!$E:$E,ТГ_ИД!$B:$B,ТГ!$G$8,ТГ_ИД!$D:$D,ТГ!$A779)</f>
        <v>0</v>
      </c>
      <c r="Q778" s="130">
        <f>SUMIFS(ТГ_ИД!$E:$E,ТГ_ИД!$B:$B,ТГ!$G$9,ТГ_ИД!$D:$D,ТГ!$A779)</f>
        <v>0</v>
      </c>
      <c r="R778" s="130">
        <f>SUMIFS(ТГ_ИД!$E:$E,ТГ_ИД!$B:$B,ТГ!$G$10,ТГ_ИД!$D:$D,ТГ!$A779)</f>
        <v>0</v>
      </c>
      <c r="S778" s="130">
        <f>SUMIFS(ТГ_ИД!$E:$E,ТГ_ИД!$B:$B,ТГ!$G$11,ТГ_ИД!$D:$D,ТГ!$A779)</f>
        <v>0</v>
      </c>
      <c r="T778" s="130">
        <f>SUMIFS(ТГ_ИД!$E:$E,ТГ_ИД!$B:$B,ТГ!$G$12,ТГ_ИД!$D:$D,ТГ!$A779)</f>
        <v>0</v>
      </c>
      <c r="U778" s="130">
        <f>SUMIFS(ТГ_ИД!$E:$E,ТГ_ИД!$B:$B,ТГ!$G$13,ТГ_ИД!$D:$D,ТГ!$A779)</f>
        <v>0</v>
      </c>
      <c r="V778" s="130">
        <f>SUMIFS(ТГ_ИД!$E:$E,ТГ_ИД!$B:$B,ТГ!$G$14,ТГ_ИД!$D:$D,ТГ!$A779)</f>
        <v>0</v>
      </c>
    </row>
    <row r="779" spans="1:22" x14ac:dyDescent="0.25">
      <c r="A779" s="116" t="str">
        <f t="shared" si="13"/>
        <v/>
      </c>
      <c r="K779" s="130">
        <f>SUMIFS(ТГ_ИД!$E:$E,ТГ_ИД!$B:$B,ТГ!$G$3,ТГ_ИД!$D:$D,ТГ!$A780)</f>
        <v>0</v>
      </c>
      <c r="L779" s="130">
        <f>SUMIFS(ТГ_ИД!$E:$E,ТГ_ИД!$B:$B,ТГ!$G$4,ТГ_ИД!$D:$D,ТГ!$A780)</f>
        <v>0</v>
      </c>
      <c r="M779" s="130">
        <f>SUMIFS(ТГ_ИД!$E:$E,ТГ_ИД!$B:$B,ТГ!$G$5,ТГ_ИД!$D:$D,ТГ!$A780)</f>
        <v>0</v>
      </c>
      <c r="N779" s="130">
        <f>SUMIFS(ТГ_ИД!$E:$E,ТГ_ИД!$B:$B,ТГ!$G$6,ТГ_ИД!$D:$D,ТГ!$A780)</f>
        <v>0</v>
      </c>
      <c r="O779" s="130">
        <f>SUMIFS(ТГ_ИД!$E:$E,ТГ_ИД!$B:$B,ТГ!$G$7,ТГ_ИД!$D:$D,ТГ!$A780)</f>
        <v>0</v>
      </c>
      <c r="P779" s="130">
        <f>SUMIFS(ТГ_ИД!$E:$E,ТГ_ИД!$B:$B,ТГ!$G$8,ТГ_ИД!$D:$D,ТГ!$A780)</f>
        <v>0</v>
      </c>
      <c r="Q779" s="130">
        <f>SUMIFS(ТГ_ИД!$E:$E,ТГ_ИД!$B:$B,ТГ!$G$9,ТГ_ИД!$D:$D,ТГ!$A780)</f>
        <v>0</v>
      </c>
      <c r="R779" s="130">
        <f>SUMIFS(ТГ_ИД!$E:$E,ТГ_ИД!$B:$B,ТГ!$G$10,ТГ_ИД!$D:$D,ТГ!$A780)</f>
        <v>0</v>
      </c>
      <c r="S779" s="130">
        <f>SUMIFS(ТГ_ИД!$E:$E,ТГ_ИД!$B:$B,ТГ!$G$11,ТГ_ИД!$D:$D,ТГ!$A780)</f>
        <v>0</v>
      </c>
      <c r="T779" s="130">
        <f>SUMIFS(ТГ_ИД!$E:$E,ТГ_ИД!$B:$B,ТГ!$G$12,ТГ_ИД!$D:$D,ТГ!$A780)</f>
        <v>0</v>
      </c>
      <c r="U779" s="130">
        <f>SUMIFS(ТГ_ИД!$E:$E,ТГ_ИД!$B:$B,ТГ!$G$13,ТГ_ИД!$D:$D,ТГ!$A780)</f>
        <v>0</v>
      </c>
      <c r="V779" s="130">
        <f>SUMIFS(ТГ_ИД!$E:$E,ТГ_ИД!$B:$B,ТГ!$G$14,ТГ_ИД!$D:$D,ТГ!$A780)</f>
        <v>0</v>
      </c>
    </row>
    <row r="780" spans="1:22" x14ac:dyDescent="0.25">
      <c r="A780" s="116" t="str">
        <f t="shared" si="13"/>
        <v/>
      </c>
      <c r="K780" s="130">
        <f>SUMIFS(ТГ_ИД!$E:$E,ТГ_ИД!$B:$B,ТГ!$G$3,ТГ_ИД!$D:$D,ТГ!$A781)</f>
        <v>0</v>
      </c>
      <c r="L780" s="130">
        <f>SUMIFS(ТГ_ИД!$E:$E,ТГ_ИД!$B:$B,ТГ!$G$4,ТГ_ИД!$D:$D,ТГ!$A781)</f>
        <v>0</v>
      </c>
      <c r="M780" s="130">
        <f>SUMIFS(ТГ_ИД!$E:$E,ТГ_ИД!$B:$B,ТГ!$G$5,ТГ_ИД!$D:$D,ТГ!$A781)</f>
        <v>0</v>
      </c>
      <c r="N780" s="130">
        <f>SUMIFS(ТГ_ИД!$E:$E,ТГ_ИД!$B:$B,ТГ!$G$6,ТГ_ИД!$D:$D,ТГ!$A781)</f>
        <v>0</v>
      </c>
      <c r="O780" s="130">
        <f>SUMIFS(ТГ_ИД!$E:$E,ТГ_ИД!$B:$B,ТГ!$G$7,ТГ_ИД!$D:$D,ТГ!$A781)</f>
        <v>0</v>
      </c>
      <c r="P780" s="130">
        <f>SUMIFS(ТГ_ИД!$E:$E,ТГ_ИД!$B:$B,ТГ!$G$8,ТГ_ИД!$D:$D,ТГ!$A781)</f>
        <v>0</v>
      </c>
      <c r="Q780" s="130">
        <f>SUMIFS(ТГ_ИД!$E:$E,ТГ_ИД!$B:$B,ТГ!$G$9,ТГ_ИД!$D:$D,ТГ!$A781)</f>
        <v>0</v>
      </c>
      <c r="R780" s="130">
        <f>SUMIFS(ТГ_ИД!$E:$E,ТГ_ИД!$B:$B,ТГ!$G$10,ТГ_ИД!$D:$D,ТГ!$A781)</f>
        <v>0</v>
      </c>
      <c r="S780" s="130">
        <f>SUMIFS(ТГ_ИД!$E:$E,ТГ_ИД!$B:$B,ТГ!$G$11,ТГ_ИД!$D:$D,ТГ!$A781)</f>
        <v>0</v>
      </c>
      <c r="T780" s="130">
        <f>SUMIFS(ТГ_ИД!$E:$E,ТГ_ИД!$B:$B,ТГ!$G$12,ТГ_ИД!$D:$D,ТГ!$A781)</f>
        <v>0</v>
      </c>
      <c r="U780" s="130">
        <f>SUMIFS(ТГ_ИД!$E:$E,ТГ_ИД!$B:$B,ТГ!$G$13,ТГ_ИД!$D:$D,ТГ!$A781)</f>
        <v>0</v>
      </c>
      <c r="V780" s="130">
        <f>SUMIFS(ТГ_ИД!$E:$E,ТГ_ИД!$B:$B,ТГ!$G$14,ТГ_ИД!$D:$D,ТГ!$A781)</f>
        <v>0</v>
      </c>
    </row>
    <row r="781" spans="1:22" x14ac:dyDescent="0.25">
      <c r="A781" s="116" t="str">
        <f t="shared" si="13"/>
        <v/>
      </c>
      <c r="K781" s="130">
        <f>SUMIFS(ТГ_ИД!$E:$E,ТГ_ИД!$B:$B,ТГ!$G$3,ТГ_ИД!$D:$D,ТГ!$A782)</f>
        <v>0</v>
      </c>
      <c r="L781" s="130">
        <f>SUMIFS(ТГ_ИД!$E:$E,ТГ_ИД!$B:$B,ТГ!$G$4,ТГ_ИД!$D:$D,ТГ!$A782)</f>
        <v>0</v>
      </c>
      <c r="M781" s="130">
        <f>SUMIFS(ТГ_ИД!$E:$E,ТГ_ИД!$B:$B,ТГ!$G$5,ТГ_ИД!$D:$D,ТГ!$A782)</f>
        <v>0</v>
      </c>
      <c r="N781" s="130">
        <f>SUMIFS(ТГ_ИД!$E:$E,ТГ_ИД!$B:$B,ТГ!$G$6,ТГ_ИД!$D:$D,ТГ!$A782)</f>
        <v>0</v>
      </c>
      <c r="O781" s="130">
        <f>SUMIFS(ТГ_ИД!$E:$E,ТГ_ИД!$B:$B,ТГ!$G$7,ТГ_ИД!$D:$D,ТГ!$A782)</f>
        <v>0</v>
      </c>
      <c r="P781" s="130">
        <f>SUMIFS(ТГ_ИД!$E:$E,ТГ_ИД!$B:$B,ТГ!$G$8,ТГ_ИД!$D:$D,ТГ!$A782)</f>
        <v>0</v>
      </c>
      <c r="Q781" s="130">
        <f>SUMIFS(ТГ_ИД!$E:$E,ТГ_ИД!$B:$B,ТГ!$G$9,ТГ_ИД!$D:$D,ТГ!$A782)</f>
        <v>0</v>
      </c>
      <c r="R781" s="130">
        <f>SUMIFS(ТГ_ИД!$E:$E,ТГ_ИД!$B:$B,ТГ!$G$10,ТГ_ИД!$D:$D,ТГ!$A782)</f>
        <v>0</v>
      </c>
      <c r="S781" s="130">
        <f>SUMIFS(ТГ_ИД!$E:$E,ТГ_ИД!$B:$B,ТГ!$G$11,ТГ_ИД!$D:$D,ТГ!$A782)</f>
        <v>0</v>
      </c>
      <c r="T781" s="130">
        <f>SUMIFS(ТГ_ИД!$E:$E,ТГ_ИД!$B:$B,ТГ!$G$12,ТГ_ИД!$D:$D,ТГ!$A782)</f>
        <v>0</v>
      </c>
      <c r="U781" s="130">
        <f>SUMIFS(ТГ_ИД!$E:$E,ТГ_ИД!$B:$B,ТГ!$G$13,ТГ_ИД!$D:$D,ТГ!$A782)</f>
        <v>0</v>
      </c>
      <c r="V781" s="130">
        <f>SUMIFS(ТГ_ИД!$E:$E,ТГ_ИД!$B:$B,ТГ!$G$14,ТГ_ИД!$D:$D,ТГ!$A782)</f>
        <v>0</v>
      </c>
    </row>
    <row r="782" spans="1:22" x14ac:dyDescent="0.25">
      <c r="A782" s="116" t="str">
        <f t="shared" si="13"/>
        <v/>
      </c>
      <c r="K782" s="130">
        <f>SUMIFS(ТГ_ИД!$E:$E,ТГ_ИД!$B:$B,ТГ!$G$3,ТГ_ИД!$D:$D,ТГ!$A783)</f>
        <v>0</v>
      </c>
      <c r="L782" s="130">
        <f>SUMIFS(ТГ_ИД!$E:$E,ТГ_ИД!$B:$B,ТГ!$G$4,ТГ_ИД!$D:$D,ТГ!$A783)</f>
        <v>0</v>
      </c>
      <c r="M782" s="130">
        <f>SUMIFS(ТГ_ИД!$E:$E,ТГ_ИД!$B:$B,ТГ!$G$5,ТГ_ИД!$D:$D,ТГ!$A783)</f>
        <v>0</v>
      </c>
      <c r="N782" s="130">
        <f>SUMIFS(ТГ_ИД!$E:$E,ТГ_ИД!$B:$B,ТГ!$G$6,ТГ_ИД!$D:$D,ТГ!$A783)</f>
        <v>0</v>
      </c>
      <c r="O782" s="130">
        <f>SUMIFS(ТГ_ИД!$E:$E,ТГ_ИД!$B:$B,ТГ!$G$7,ТГ_ИД!$D:$D,ТГ!$A783)</f>
        <v>0</v>
      </c>
      <c r="P782" s="130">
        <f>SUMIFS(ТГ_ИД!$E:$E,ТГ_ИД!$B:$B,ТГ!$G$8,ТГ_ИД!$D:$D,ТГ!$A783)</f>
        <v>0</v>
      </c>
      <c r="Q782" s="130">
        <f>SUMIFS(ТГ_ИД!$E:$E,ТГ_ИД!$B:$B,ТГ!$G$9,ТГ_ИД!$D:$D,ТГ!$A783)</f>
        <v>0</v>
      </c>
      <c r="R782" s="130">
        <f>SUMIFS(ТГ_ИД!$E:$E,ТГ_ИД!$B:$B,ТГ!$G$10,ТГ_ИД!$D:$D,ТГ!$A783)</f>
        <v>0</v>
      </c>
      <c r="S782" s="130">
        <f>SUMIFS(ТГ_ИД!$E:$E,ТГ_ИД!$B:$B,ТГ!$G$11,ТГ_ИД!$D:$D,ТГ!$A783)</f>
        <v>0</v>
      </c>
      <c r="T782" s="130">
        <f>SUMIFS(ТГ_ИД!$E:$E,ТГ_ИД!$B:$B,ТГ!$G$12,ТГ_ИД!$D:$D,ТГ!$A783)</f>
        <v>0</v>
      </c>
      <c r="U782" s="130">
        <f>SUMIFS(ТГ_ИД!$E:$E,ТГ_ИД!$B:$B,ТГ!$G$13,ТГ_ИД!$D:$D,ТГ!$A783)</f>
        <v>0</v>
      </c>
      <c r="V782" s="130">
        <f>SUMIFS(ТГ_ИД!$E:$E,ТГ_ИД!$B:$B,ТГ!$G$14,ТГ_ИД!$D:$D,ТГ!$A783)</f>
        <v>0</v>
      </c>
    </row>
    <row r="783" spans="1:22" x14ac:dyDescent="0.25">
      <c r="A783" s="116" t="str">
        <f t="shared" si="13"/>
        <v/>
      </c>
      <c r="K783" s="130">
        <f>SUMIFS(ТГ_ИД!$E:$E,ТГ_ИД!$B:$B,ТГ!$G$3,ТГ_ИД!$D:$D,ТГ!$A784)</f>
        <v>0</v>
      </c>
      <c r="L783" s="130">
        <f>SUMIFS(ТГ_ИД!$E:$E,ТГ_ИД!$B:$B,ТГ!$G$4,ТГ_ИД!$D:$D,ТГ!$A784)</f>
        <v>0</v>
      </c>
      <c r="M783" s="130">
        <f>SUMIFS(ТГ_ИД!$E:$E,ТГ_ИД!$B:$B,ТГ!$G$5,ТГ_ИД!$D:$D,ТГ!$A784)</f>
        <v>0</v>
      </c>
      <c r="N783" s="130">
        <f>SUMIFS(ТГ_ИД!$E:$E,ТГ_ИД!$B:$B,ТГ!$G$6,ТГ_ИД!$D:$D,ТГ!$A784)</f>
        <v>0</v>
      </c>
      <c r="O783" s="130">
        <f>SUMIFS(ТГ_ИД!$E:$E,ТГ_ИД!$B:$B,ТГ!$G$7,ТГ_ИД!$D:$D,ТГ!$A784)</f>
        <v>0</v>
      </c>
      <c r="P783" s="130">
        <f>SUMIFS(ТГ_ИД!$E:$E,ТГ_ИД!$B:$B,ТГ!$G$8,ТГ_ИД!$D:$D,ТГ!$A784)</f>
        <v>0</v>
      </c>
      <c r="Q783" s="130">
        <f>SUMIFS(ТГ_ИД!$E:$E,ТГ_ИД!$B:$B,ТГ!$G$9,ТГ_ИД!$D:$D,ТГ!$A784)</f>
        <v>0</v>
      </c>
      <c r="R783" s="130">
        <f>SUMIFS(ТГ_ИД!$E:$E,ТГ_ИД!$B:$B,ТГ!$G$10,ТГ_ИД!$D:$D,ТГ!$A784)</f>
        <v>0</v>
      </c>
      <c r="S783" s="130">
        <f>SUMIFS(ТГ_ИД!$E:$E,ТГ_ИД!$B:$B,ТГ!$G$11,ТГ_ИД!$D:$D,ТГ!$A784)</f>
        <v>0</v>
      </c>
      <c r="T783" s="130">
        <f>SUMIFS(ТГ_ИД!$E:$E,ТГ_ИД!$B:$B,ТГ!$G$12,ТГ_ИД!$D:$D,ТГ!$A784)</f>
        <v>0</v>
      </c>
      <c r="U783" s="130">
        <f>SUMIFS(ТГ_ИД!$E:$E,ТГ_ИД!$B:$B,ТГ!$G$13,ТГ_ИД!$D:$D,ТГ!$A784)</f>
        <v>0</v>
      </c>
      <c r="V783" s="130">
        <f>SUMIFS(ТГ_ИД!$E:$E,ТГ_ИД!$B:$B,ТГ!$G$14,ТГ_ИД!$D:$D,ТГ!$A784)</f>
        <v>0</v>
      </c>
    </row>
    <row r="784" spans="1:22" x14ac:dyDescent="0.25">
      <c r="A784" s="116" t="str">
        <f t="shared" si="13"/>
        <v/>
      </c>
      <c r="K784" s="130">
        <f>SUMIFS(ТГ_ИД!$E:$E,ТГ_ИД!$B:$B,ТГ!$G$3,ТГ_ИД!$D:$D,ТГ!$A785)</f>
        <v>0</v>
      </c>
      <c r="L784" s="130">
        <f>SUMIFS(ТГ_ИД!$E:$E,ТГ_ИД!$B:$B,ТГ!$G$4,ТГ_ИД!$D:$D,ТГ!$A785)</f>
        <v>0</v>
      </c>
      <c r="M784" s="130">
        <f>SUMIFS(ТГ_ИД!$E:$E,ТГ_ИД!$B:$B,ТГ!$G$5,ТГ_ИД!$D:$D,ТГ!$A785)</f>
        <v>0</v>
      </c>
      <c r="N784" s="130">
        <f>SUMIFS(ТГ_ИД!$E:$E,ТГ_ИД!$B:$B,ТГ!$G$6,ТГ_ИД!$D:$D,ТГ!$A785)</f>
        <v>0</v>
      </c>
      <c r="O784" s="130">
        <f>SUMIFS(ТГ_ИД!$E:$E,ТГ_ИД!$B:$B,ТГ!$G$7,ТГ_ИД!$D:$D,ТГ!$A785)</f>
        <v>0</v>
      </c>
      <c r="P784" s="130">
        <f>SUMIFS(ТГ_ИД!$E:$E,ТГ_ИД!$B:$B,ТГ!$G$8,ТГ_ИД!$D:$D,ТГ!$A785)</f>
        <v>0</v>
      </c>
      <c r="Q784" s="130">
        <f>SUMIFS(ТГ_ИД!$E:$E,ТГ_ИД!$B:$B,ТГ!$G$9,ТГ_ИД!$D:$D,ТГ!$A785)</f>
        <v>0</v>
      </c>
      <c r="R784" s="130">
        <f>SUMIFS(ТГ_ИД!$E:$E,ТГ_ИД!$B:$B,ТГ!$G$10,ТГ_ИД!$D:$D,ТГ!$A785)</f>
        <v>0</v>
      </c>
      <c r="S784" s="130">
        <f>SUMIFS(ТГ_ИД!$E:$E,ТГ_ИД!$B:$B,ТГ!$G$11,ТГ_ИД!$D:$D,ТГ!$A785)</f>
        <v>0</v>
      </c>
      <c r="T784" s="130">
        <f>SUMIFS(ТГ_ИД!$E:$E,ТГ_ИД!$B:$B,ТГ!$G$12,ТГ_ИД!$D:$D,ТГ!$A785)</f>
        <v>0</v>
      </c>
      <c r="U784" s="130">
        <f>SUMIFS(ТГ_ИД!$E:$E,ТГ_ИД!$B:$B,ТГ!$G$13,ТГ_ИД!$D:$D,ТГ!$A785)</f>
        <v>0</v>
      </c>
      <c r="V784" s="130">
        <f>SUMIFS(ТГ_ИД!$E:$E,ТГ_ИД!$B:$B,ТГ!$G$14,ТГ_ИД!$D:$D,ТГ!$A785)</f>
        <v>0</v>
      </c>
    </row>
    <row r="785" spans="1:22" x14ac:dyDescent="0.25">
      <c r="A785" s="116" t="str">
        <f t="shared" si="13"/>
        <v/>
      </c>
      <c r="K785" s="130">
        <f>SUMIFS(ТГ_ИД!$E:$E,ТГ_ИД!$B:$B,ТГ!$G$3,ТГ_ИД!$D:$D,ТГ!$A786)</f>
        <v>0</v>
      </c>
      <c r="L785" s="130">
        <f>SUMIFS(ТГ_ИД!$E:$E,ТГ_ИД!$B:$B,ТГ!$G$4,ТГ_ИД!$D:$D,ТГ!$A786)</f>
        <v>0</v>
      </c>
      <c r="M785" s="130">
        <f>SUMIFS(ТГ_ИД!$E:$E,ТГ_ИД!$B:$B,ТГ!$G$5,ТГ_ИД!$D:$D,ТГ!$A786)</f>
        <v>0</v>
      </c>
      <c r="N785" s="130">
        <f>SUMIFS(ТГ_ИД!$E:$E,ТГ_ИД!$B:$B,ТГ!$G$6,ТГ_ИД!$D:$D,ТГ!$A786)</f>
        <v>0</v>
      </c>
      <c r="O785" s="130">
        <f>SUMIFS(ТГ_ИД!$E:$E,ТГ_ИД!$B:$B,ТГ!$G$7,ТГ_ИД!$D:$D,ТГ!$A786)</f>
        <v>0</v>
      </c>
      <c r="P785" s="130">
        <f>SUMIFS(ТГ_ИД!$E:$E,ТГ_ИД!$B:$B,ТГ!$G$8,ТГ_ИД!$D:$D,ТГ!$A786)</f>
        <v>0</v>
      </c>
      <c r="Q785" s="130">
        <f>SUMIFS(ТГ_ИД!$E:$E,ТГ_ИД!$B:$B,ТГ!$G$9,ТГ_ИД!$D:$D,ТГ!$A786)</f>
        <v>0</v>
      </c>
      <c r="R785" s="130">
        <f>SUMIFS(ТГ_ИД!$E:$E,ТГ_ИД!$B:$B,ТГ!$G$10,ТГ_ИД!$D:$D,ТГ!$A786)</f>
        <v>0</v>
      </c>
      <c r="S785" s="130">
        <f>SUMIFS(ТГ_ИД!$E:$E,ТГ_ИД!$B:$B,ТГ!$G$11,ТГ_ИД!$D:$D,ТГ!$A786)</f>
        <v>0</v>
      </c>
      <c r="T785" s="130">
        <f>SUMIFS(ТГ_ИД!$E:$E,ТГ_ИД!$B:$B,ТГ!$G$12,ТГ_ИД!$D:$D,ТГ!$A786)</f>
        <v>0</v>
      </c>
      <c r="U785" s="130">
        <f>SUMIFS(ТГ_ИД!$E:$E,ТГ_ИД!$B:$B,ТГ!$G$13,ТГ_ИД!$D:$D,ТГ!$A786)</f>
        <v>0</v>
      </c>
      <c r="V785" s="130">
        <f>SUMIFS(ТГ_ИД!$E:$E,ТГ_ИД!$B:$B,ТГ!$G$14,ТГ_ИД!$D:$D,ТГ!$A786)</f>
        <v>0</v>
      </c>
    </row>
    <row r="786" spans="1:22" x14ac:dyDescent="0.25">
      <c r="A786" s="116" t="str">
        <f t="shared" si="13"/>
        <v/>
      </c>
      <c r="K786" s="130">
        <f>SUMIFS(ТГ_ИД!$E:$E,ТГ_ИД!$B:$B,ТГ!$G$3,ТГ_ИД!$D:$D,ТГ!$A787)</f>
        <v>0</v>
      </c>
      <c r="L786" s="130">
        <f>SUMIFS(ТГ_ИД!$E:$E,ТГ_ИД!$B:$B,ТГ!$G$4,ТГ_ИД!$D:$D,ТГ!$A787)</f>
        <v>0</v>
      </c>
      <c r="M786" s="130">
        <f>SUMIFS(ТГ_ИД!$E:$E,ТГ_ИД!$B:$B,ТГ!$G$5,ТГ_ИД!$D:$D,ТГ!$A787)</f>
        <v>0</v>
      </c>
      <c r="N786" s="130">
        <f>SUMIFS(ТГ_ИД!$E:$E,ТГ_ИД!$B:$B,ТГ!$G$6,ТГ_ИД!$D:$D,ТГ!$A787)</f>
        <v>0</v>
      </c>
      <c r="O786" s="130">
        <f>SUMIFS(ТГ_ИД!$E:$E,ТГ_ИД!$B:$B,ТГ!$G$7,ТГ_ИД!$D:$D,ТГ!$A787)</f>
        <v>0</v>
      </c>
      <c r="P786" s="130">
        <f>SUMIFS(ТГ_ИД!$E:$E,ТГ_ИД!$B:$B,ТГ!$G$8,ТГ_ИД!$D:$D,ТГ!$A787)</f>
        <v>0</v>
      </c>
      <c r="Q786" s="130">
        <f>SUMIFS(ТГ_ИД!$E:$E,ТГ_ИД!$B:$B,ТГ!$G$9,ТГ_ИД!$D:$D,ТГ!$A787)</f>
        <v>0</v>
      </c>
      <c r="R786" s="130">
        <f>SUMIFS(ТГ_ИД!$E:$E,ТГ_ИД!$B:$B,ТГ!$G$10,ТГ_ИД!$D:$D,ТГ!$A787)</f>
        <v>0</v>
      </c>
      <c r="S786" s="130">
        <f>SUMIFS(ТГ_ИД!$E:$E,ТГ_ИД!$B:$B,ТГ!$G$11,ТГ_ИД!$D:$D,ТГ!$A787)</f>
        <v>0</v>
      </c>
      <c r="T786" s="130">
        <f>SUMIFS(ТГ_ИД!$E:$E,ТГ_ИД!$B:$B,ТГ!$G$12,ТГ_ИД!$D:$D,ТГ!$A787)</f>
        <v>0</v>
      </c>
      <c r="U786" s="130">
        <f>SUMIFS(ТГ_ИД!$E:$E,ТГ_ИД!$B:$B,ТГ!$G$13,ТГ_ИД!$D:$D,ТГ!$A787)</f>
        <v>0</v>
      </c>
      <c r="V786" s="130">
        <f>SUMIFS(ТГ_ИД!$E:$E,ТГ_ИД!$B:$B,ТГ!$G$14,ТГ_ИД!$D:$D,ТГ!$A787)</f>
        <v>0</v>
      </c>
    </row>
    <row r="787" spans="1:22" x14ac:dyDescent="0.25">
      <c r="A787" s="116" t="str">
        <f t="shared" si="13"/>
        <v/>
      </c>
      <c r="K787" s="130">
        <f>SUMIFS(ТГ_ИД!$E:$E,ТГ_ИД!$B:$B,ТГ!$G$3,ТГ_ИД!$D:$D,ТГ!$A788)</f>
        <v>0</v>
      </c>
      <c r="L787" s="130">
        <f>SUMIFS(ТГ_ИД!$E:$E,ТГ_ИД!$B:$B,ТГ!$G$4,ТГ_ИД!$D:$D,ТГ!$A788)</f>
        <v>0</v>
      </c>
      <c r="M787" s="130">
        <f>SUMIFS(ТГ_ИД!$E:$E,ТГ_ИД!$B:$B,ТГ!$G$5,ТГ_ИД!$D:$D,ТГ!$A788)</f>
        <v>0</v>
      </c>
      <c r="N787" s="130">
        <f>SUMIFS(ТГ_ИД!$E:$E,ТГ_ИД!$B:$B,ТГ!$G$6,ТГ_ИД!$D:$D,ТГ!$A788)</f>
        <v>0</v>
      </c>
      <c r="O787" s="130">
        <f>SUMIFS(ТГ_ИД!$E:$E,ТГ_ИД!$B:$B,ТГ!$G$7,ТГ_ИД!$D:$D,ТГ!$A788)</f>
        <v>0</v>
      </c>
      <c r="P787" s="130">
        <f>SUMIFS(ТГ_ИД!$E:$E,ТГ_ИД!$B:$B,ТГ!$G$8,ТГ_ИД!$D:$D,ТГ!$A788)</f>
        <v>0</v>
      </c>
      <c r="Q787" s="130">
        <f>SUMIFS(ТГ_ИД!$E:$E,ТГ_ИД!$B:$B,ТГ!$G$9,ТГ_ИД!$D:$D,ТГ!$A788)</f>
        <v>0</v>
      </c>
      <c r="R787" s="130">
        <f>SUMIFS(ТГ_ИД!$E:$E,ТГ_ИД!$B:$B,ТГ!$G$10,ТГ_ИД!$D:$D,ТГ!$A788)</f>
        <v>0</v>
      </c>
      <c r="S787" s="130">
        <f>SUMIFS(ТГ_ИД!$E:$E,ТГ_ИД!$B:$B,ТГ!$G$11,ТГ_ИД!$D:$D,ТГ!$A788)</f>
        <v>0</v>
      </c>
      <c r="T787" s="130">
        <f>SUMIFS(ТГ_ИД!$E:$E,ТГ_ИД!$B:$B,ТГ!$G$12,ТГ_ИД!$D:$D,ТГ!$A788)</f>
        <v>0</v>
      </c>
      <c r="U787" s="130">
        <f>SUMIFS(ТГ_ИД!$E:$E,ТГ_ИД!$B:$B,ТГ!$G$13,ТГ_ИД!$D:$D,ТГ!$A788)</f>
        <v>0</v>
      </c>
      <c r="V787" s="130">
        <f>SUMIFS(ТГ_ИД!$E:$E,ТГ_ИД!$B:$B,ТГ!$G$14,ТГ_ИД!$D:$D,ТГ!$A788)</f>
        <v>0</v>
      </c>
    </row>
    <row r="788" spans="1:22" x14ac:dyDescent="0.25">
      <c r="A788" s="116" t="str">
        <f t="shared" si="13"/>
        <v/>
      </c>
      <c r="K788" s="130">
        <f>SUMIFS(ТГ_ИД!$E:$E,ТГ_ИД!$B:$B,ТГ!$G$3,ТГ_ИД!$D:$D,ТГ!$A789)</f>
        <v>0</v>
      </c>
      <c r="L788" s="130">
        <f>SUMIFS(ТГ_ИД!$E:$E,ТГ_ИД!$B:$B,ТГ!$G$4,ТГ_ИД!$D:$D,ТГ!$A789)</f>
        <v>0</v>
      </c>
      <c r="M788" s="130">
        <f>SUMIFS(ТГ_ИД!$E:$E,ТГ_ИД!$B:$B,ТГ!$G$5,ТГ_ИД!$D:$D,ТГ!$A789)</f>
        <v>0</v>
      </c>
      <c r="N788" s="130">
        <f>SUMIFS(ТГ_ИД!$E:$E,ТГ_ИД!$B:$B,ТГ!$G$6,ТГ_ИД!$D:$D,ТГ!$A789)</f>
        <v>0</v>
      </c>
      <c r="O788" s="130">
        <f>SUMIFS(ТГ_ИД!$E:$E,ТГ_ИД!$B:$B,ТГ!$G$7,ТГ_ИД!$D:$D,ТГ!$A789)</f>
        <v>0</v>
      </c>
      <c r="P788" s="130">
        <f>SUMIFS(ТГ_ИД!$E:$E,ТГ_ИД!$B:$B,ТГ!$G$8,ТГ_ИД!$D:$D,ТГ!$A789)</f>
        <v>0</v>
      </c>
      <c r="Q788" s="130">
        <f>SUMIFS(ТГ_ИД!$E:$E,ТГ_ИД!$B:$B,ТГ!$G$9,ТГ_ИД!$D:$D,ТГ!$A789)</f>
        <v>0</v>
      </c>
      <c r="R788" s="130">
        <f>SUMIFS(ТГ_ИД!$E:$E,ТГ_ИД!$B:$B,ТГ!$G$10,ТГ_ИД!$D:$D,ТГ!$A789)</f>
        <v>0</v>
      </c>
      <c r="S788" s="130">
        <f>SUMIFS(ТГ_ИД!$E:$E,ТГ_ИД!$B:$B,ТГ!$G$11,ТГ_ИД!$D:$D,ТГ!$A789)</f>
        <v>0</v>
      </c>
      <c r="T788" s="130">
        <f>SUMIFS(ТГ_ИД!$E:$E,ТГ_ИД!$B:$B,ТГ!$G$12,ТГ_ИД!$D:$D,ТГ!$A789)</f>
        <v>0</v>
      </c>
      <c r="U788" s="130">
        <f>SUMIFS(ТГ_ИД!$E:$E,ТГ_ИД!$B:$B,ТГ!$G$13,ТГ_ИД!$D:$D,ТГ!$A789)</f>
        <v>0</v>
      </c>
      <c r="V788" s="130">
        <f>SUMIFS(ТГ_ИД!$E:$E,ТГ_ИД!$B:$B,ТГ!$G$14,ТГ_ИД!$D:$D,ТГ!$A789)</f>
        <v>0</v>
      </c>
    </row>
    <row r="789" spans="1:22" x14ac:dyDescent="0.25">
      <c r="A789" s="116" t="str">
        <f t="shared" si="13"/>
        <v/>
      </c>
      <c r="K789" s="130">
        <f>SUMIFS(ТГ_ИД!$E:$E,ТГ_ИД!$B:$B,ТГ!$G$3,ТГ_ИД!$D:$D,ТГ!$A790)</f>
        <v>0</v>
      </c>
      <c r="L789" s="130">
        <f>SUMIFS(ТГ_ИД!$E:$E,ТГ_ИД!$B:$B,ТГ!$G$4,ТГ_ИД!$D:$D,ТГ!$A790)</f>
        <v>0</v>
      </c>
      <c r="M789" s="130">
        <f>SUMIFS(ТГ_ИД!$E:$E,ТГ_ИД!$B:$B,ТГ!$G$5,ТГ_ИД!$D:$D,ТГ!$A790)</f>
        <v>0</v>
      </c>
      <c r="N789" s="130">
        <f>SUMIFS(ТГ_ИД!$E:$E,ТГ_ИД!$B:$B,ТГ!$G$6,ТГ_ИД!$D:$D,ТГ!$A790)</f>
        <v>0</v>
      </c>
      <c r="O789" s="130">
        <f>SUMIFS(ТГ_ИД!$E:$E,ТГ_ИД!$B:$B,ТГ!$G$7,ТГ_ИД!$D:$D,ТГ!$A790)</f>
        <v>0</v>
      </c>
      <c r="P789" s="130">
        <f>SUMIFS(ТГ_ИД!$E:$E,ТГ_ИД!$B:$B,ТГ!$G$8,ТГ_ИД!$D:$D,ТГ!$A790)</f>
        <v>0</v>
      </c>
      <c r="Q789" s="130">
        <f>SUMIFS(ТГ_ИД!$E:$E,ТГ_ИД!$B:$B,ТГ!$G$9,ТГ_ИД!$D:$D,ТГ!$A790)</f>
        <v>0</v>
      </c>
      <c r="R789" s="130">
        <f>SUMIFS(ТГ_ИД!$E:$E,ТГ_ИД!$B:$B,ТГ!$G$10,ТГ_ИД!$D:$D,ТГ!$A790)</f>
        <v>0</v>
      </c>
      <c r="S789" s="130">
        <f>SUMIFS(ТГ_ИД!$E:$E,ТГ_ИД!$B:$B,ТГ!$G$11,ТГ_ИД!$D:$D,ТГ!$A790)</f>
        <v>0</v>
      </c>
      <c r="T789" s="130">
        <f>SUMIFS(ТГ_ИД!$E:$E,ТГ_ИД!$B:$B,ТГ!$G$12,ТГ_ИД!$D:$D,ТГ!$A790)</f>
        <v>0</v>
      </c>
      <c r="U789" s="130">
        <f>SUMIFS(ТГ_ИД!$E:$E,ТГ_ИД!$B:$B,ТГ!$G$13,ТГ_ИД!$D:$D,ТГ!$A790)</f>
        <v>0</v>
      </c>
      <c r="V789" s="130">
        <f>SUMIFS(ТГ_ИД!$E:$E,ТГ_ИД!$B:$B,ТГ!$G$14,ТГ_ИД!$D:$D,ТГ!$A790)</f>
        <v>0</v>
      </c>
    </row>
    <row r="790" spans="1:22" x14ac:dyDescent="0.25">
      <c r="A790" s="116" t="str">
        <f t="shared" si="13"/>
        <v/>
      </c>
      <c r="K790" s="130">
        <f>SUMIFS(ТГ_ИД!$E:$E,ТГ_ИД!$B:$B,ТГ!$G$3,ТГ_ИД!$D:$D,ТГ!$A791)</f>
        <v>0</v>
      </c>
      <c r="L790" s="130">
        <f>SUMIFS(ТГ_ИД!$E:$E,ТГ_ИД!$B:$B,ТГ!$G$4,ТГ_ИД!$D:$D,ТГ!$A791)</f>
        <v>0</v>
      </c>
      <c r="M790" s="130">
        <f>SUMIFS(ТГ_ИД!$E:$E,ТГ_ИД!$B:$B,ТГ!$G$5,ТГ_ИД!$D:$D,ТГ!$A791)</f>
        <v>0</v>
      </c>
      <c r="N790" s="130">
        <f>SUMIFS(ТГ_ИД!$E:$E,ТГ_ИД!$B:$B,ТГ!$G$6,ТГ_ИД!$D:$D,ТГ!$A791)</f>
        <v>0</v>
      </c>
      <c r="O790" s="130">
        <f>SUMIFS(ТГ_ИД!$E:$E,ТГ_ИД!$B:$B,ТГ!$G$7,ТГ_ИД!$D:$D,ТГ!$A791)</f>
        <v>0</v>
      </c>
      <c r="P790" s="130">
        <f>SUMIFS(ТГ_ИД!$E:$E,ТГ_ИД!$B:$B,ТГ!$G$8,ТГ_ИД!$D:$D,ТГ!$A791)</f>
        <v>0</v>
      </c>
      <c r="Q790" s="130">
        <f>SUMIFS(ТГ_ИД!$E:$E,ТГ_ИД!$B:$B,ТГ!$G$9,ТГ_ИД!$D:$D,ТГ!$A791)</f>
        <v>0</v>
      </c>
      <c r="R790" s="130">
        <f>SUMIFS(ТГ_ИД!$E:$E,ТГ_ИД!$B:$B,ТГ!$G$10,ТГ_ИД!$D:$D,ТГ!$A791)</f>
        <v>0</v>
      </c>
      <c r="S790" s="130">
        <f>SUMIFS(ТГ_ИД!$E:$E,ТГ_ИД!$B:$B,ТГ!$G$11,ТГ_ИД!$D:$D,ТГ!$A791)</f>
        <v>0</v>
      </c>
      <c r="T790" s="130">
        <f>SUMIFS(ТГ_ИД!$E:$E,ТГ_ИД!$B:$B,ТГ!$G$12,ТГ_ИД!$D:$D,ТГ!$A791)</f>
        <v>0</v>
      </c>
      <c r="U790" s="130">
        <f>SUMIFS(ТГ_ИД!$E:$E,ТГ_ИД!$B:$B,ТГ!$G$13,ТГ_ИД!$D:$D,ТГ!$A791)</f>
        <v>0</v>
      </c>
      <c r="V790" s="130">
        <f>SUMIFS(ТГ_ИД!$E:$E,ТГ_ИД!$B:$B,ТГ!$G$14,ТГ_ИД!$D:$D,ТГ!$A791)</f>
        <v>0</v>
      </c>
    </row>
    <row r="791" spans="1:22" x14ac:dyDescent="0.25">
      <c r="A791" s="116" t="str">
        <f t="shared" si="13"/>
        <v/>
      </c>
      <c r="K791" s="130">
        <f>SUMIFS(ТГ_ИД!$E:$E,ТГ_ИД!$B:$B,ТГ!$G$3,ТГ_ИД!$D:$D,ТГ!$A792)</f>
        <v>0</v>
      </c>
      <c r="L791" s="130">
        <f>SUMIFS(ТГ_ИД!$E:$E,ТГ_ИД!$B:$B,ТГ!$G$4,ТГ_ИД!$D:$D,ТГ!$A792)</f>
        <v>0</v>
      </c>
      <c r="M791" s="130">
        <f>SUMIFS(ТГ_ИД!$E:$E,ТГ_ИД!$B:$B,ТГ!$G$5,ТГ_ИД!$D:$D,ТГ!$A792)</f>
        <v>0</v>
      </c>
      <c r="N791" s="130">
        <f>SUMIFS(ТГ_ИД!$E:$E,ТГ_ИД!$B:$B,ТГ!$G$6,ТГ_ИД!$D:$D,ТГ!$A792)</f>
        <v>0</v>
      </c>
      <c r="O791" s="130">
        <f>SUMIFS(ТГ_ИД!$E:$E,ТГ_ИД!$B:$B,ТГ!$G$7,ТГ_ИД!$D:$D,ТГ!$A792)</f>
        <v>0</v>
      </c>
      <c r="P791" s="130">
        <f>SUMIFS(ТГ_ИД!$E:$E,ТГ_ИД!$B:$B,ТГ!$G$8,ТГ_ИД!$D:$D,ТГ!$A792)</f>
        <v>0</v>
      </c>
      <c r="Q791" s="130">
        <f>SUMIFS(ТГ_ИД!$E:$E,ТГ_ИД!$B:$B,ТГ!$G$9,ТГ_ИД!$D:$D,ТГ!$A792)</f>
        <v>0</v>
      </c>
      <c r="R791" s="130">
        <f>SUMIFS(ТГ_ИД!$E:$E,ТГ_ИД!$B:$B,ТГ!$G$10,ТГ_ИД!$D:$D,ТГ!$A792)</f>
        <v>0</v>
      </c>
      <c r="S791" s="130">
        <f>SUMIFS(ТГ_ИД!$E:$E,ТГ_ИД!$B:$B,ТГ!$G$11,ТГ_ИД!$D:$D,ТГ!$A792)</f>
        <v>0</v>
      </c>
      <c r="T791" s="130">
        <f>SUMIFS(ТГ_ИД!$E:$E,ТГ_ИД!$B:$B,ТГ!$G$12,ТГ_ИД!$D:$D,ТГ!$A792)</f>
        <v>0</v>
      </c>
      <c r="U791" s="130">
        <f>SUMIFS(ТГ_ИД!$E:$E,ТГ_ИД!$B:$B,ТГ!$G$13,ТГ_ИД!$D:$D,ТГ!$A792)</f>
        <v>0</v>
      </c>
      <c r="V791" s="130">
        <f>SUMIFS(ТГ_ИД!$E:$E,ТГ_ИД!$B:$B,ТГ!$G$14,ТГ_ИД!$D:$D,ТГ!$A792)</f>
        <v>0</v>
      </c>
    </row>
    <row r="792" spans="1:22" x14ac:dyDescent="0.25">
      <c r="A792" s="116" t="str">
        <f t="shared" si="13"/>
        <v/>
      </c>
      <c r="K792" s="130">
        <f>SUMIFS(ТГ_ИД!$E:$E,ТГ_ИД!$B:$B,ТГ!$G$3,ТГ_ИД!$D:$D,ТГ!$A793)</f>
        <v>0</v>
      </c>
      <c r="L792" s="130">
        <f>SUMIFS(ТГ_ИД!$E:$E,ТГ_ИД!$B:$B,ТГ!$G$4,ТГ_ИД!$D:$D,ТГ!$A793)</f>
        <v>0</v>
      </c>
      <c r="M792" s="130">
        <f>SUMIFS(ТГ_ИД!$E:$E,ТГ_ИД!$B:$B,ТГ!$G$5,ТГ_ИД!$D:$D,ТГ!$A793)</f>
        <v>0</v>
      </c>
      <c r="N792" s="130">
        <f>SUMIFS(ТГ_ИД!$E:$E,ТГ_ИД!$B:$B,ТГ!$G$6,ТГ_ИД!$D:$D,ТГ!$A793)</f>
        <v>0</v>
      </c>
      <c r="O792" s="130">
        <f>SUMIFS(ТГ_ИД!$E:$E,ТГ_ИД!$B:$B,ТГ!$G$7,ТГ_ИД!$D:$D,ТГ!$A793)</f>
        <v>0</v>
      </c>
      <c r="P792" s="130">
        <f>SUMIFS(ТГ_ИД!$E:$E,ТГ_ИД!$B:$B,ТГ!$G$8,ТГ_ИД!$D:$D,ТГ!$A793)</f>
        <v>0</v>
      </c>
      <c r="Q792" s="130">
        <f>SUMIFS(ТГ_ИД!$E:$E,ТГ_ИД!$B:$B,ТГ!$G$9,ТГ_ИД!$D:$D,ТГ!$A793)</f>
        <v>0</v>
      </c>
      <c r="R792" s="130">
        <f>SUMIFS(ТГ_ИД!$E:$E,ТГ_ИД!$B:$B,ТГ!$G$10,ТГ_ИД!$D:$D,ТГ!$A793)</f>
        <v>0</v>
      </c>
      <c r="S792" s="130">
        <f>SUMIFS(ТГ_ИД!$E:$E,ТГ_ИД!$B:$B,ТГ!$G$11,ТГ_ИД!$D:$D,ТГ!$A793)</f>
        <v>0</v>
      </c>
      <c r="T792" s="130">
        <f>SUMIFS(ТГ_ИД!$E:$E,ТГ_ИД!$B:$B,ТГ!$G$12,ТГ_ИД!$D:$D,ТГ!$A793)</f>
        <v>0</v>
      </c>
      <c r="U792" s="130">
        <f>SUMIFS(ТГ_ИД!$E:$E,ТГ_ИД!$B:$B,ТГ!$G$13,ТГ_ИД!$D:$D,ТГ!$A793)</f>
        <v>0</v>
      </c>
      <c r="V792" s="130">
        <f>SUMIFS(ТГ_ИД!$E:$E,ТГ_ИД!$B:$B,ТГ!$G$14,ТГ_ИД!$D:$D,ТГ!$A793)</f>
        <v>0</v>
      </c>
    </row>
    <row r="793" spans="1:22" x14ac:dyDescent="0.25">
      <c r="A793" s="116" t="str">
        <f t="shared" si="13"/>
        <v/>
      </c>
      <c r="K793" s="130">
        <f>SUMIFS(ТГ_ИД!$E:$E,ТГ_ИД!$B:$B,ТГ!$G$3,ТГ_ИД!$D:$D,ТГ!$A794)</f>
        <v>0</v>
      </c>
      <c r="L793" s="130">
        <f>SUMIFS(ТГ_ИД!$E:$E,ТГ_ИД!$B:$B,ТГ!$G$4,ТГ_ИД!$D:$D,ТГ!$A794)</f>
        <v>0</v>
      </c>
      <c r="M793" s="130">
        <f>SUMIFS(ТГ_ИД!$E:$E,ТГ_ИД!$B:$B,ТГ!$G$5,ТГ_ИД!$D:$D,ТГ!$A794)</f>
        <v>0</v>
      </c>
      <c r="N793" s="130">
        <f>SUMIFS(ТГ_ИД!$E:$E,ТГ_ИД!$B:$B,ТГ!$G$6,ТГ_ИД!$D:$D,ТГ!$A794)</f>
        <v>0</v>
      </c>
      <c r="O793" s="130">
        <f>SUMIFS(ТГ_ИД!$E:$E,ТГ_ИД!$B:$B,ТГ!$G$7,ТГ_ИД!$D:$D,ТГ!$A794)</f>
        <v>0</v>
      </c>
      <c r="P793" s="130">
        <f>SUMIFS(ТГ_ИД!$E:$E,ТГ_ИД!$B:$B,ТГ!$G$8,ТГ_ИД!$D:$D,ТГ!$A794)</f>
        <v>0</v>
      </c>
      <c r="Q793" s="130">
        <f>SUMIFS(ТГ_ИД!$E:$E,ТГ_ИД!$B:$B,ТГ!$G$9,ТГ_ИД!$D:$D,ТГ!$A794)</f>
        <v>0</v>
      </c>
      <c r="R793" s="130">
        <f>SUMIFS(ТГ_ИД!$E:$E,ТГ_ИД!$B:$B,ТГ!$G$10,ТГ_ИД!$D:$D,ТГ!$A794)</f>
        <v>0</v>
      </c>
      <c r="S793" s="130">
        <f>SUMIFS(ТГ_ИД!$E:$E,ТГ_ИД!$B:$B,ТГ!$G$11,ТГ_ИД!$D:$D,ТГ!$A794)</f>
        <v>0</v>
      </c>
      <c r="T793" s="130">
        <f>SUMIFS(ТГ_ИД!$E:$E,ТГ_ИД!$B:$B,ТГ!$G$12,ТГ_ИД!$D:$D,ТГ!$A794)</f>
        <v>0</v>
      </c>
      <c r="U793" s="130">
        <f>SUMIFS(ТГ_ИД!$E:$E,ТГ_ИД!$B:$B,ТГ!$G$13,ТГ_ИД!$D:$D,ТГ!$A794)</f>
        <v>0</v>
      </c>
      <c r="V793" s="130">
        <f>SUMIFS(ТГ_ИД!$E:$E,ТГ_ИД!$B:$B,ТГ!$G$14,ТГ_ИД!$D:$D,ТГ!$A794)</f>
        <v>0</v>
      </c>
    </row>
    <row r="794" spans="1:22" x14ac:dyDescent="0.25">
      <c r="A794" s="116" t="str">
        <f t="shared" si="13"/>
        <v/>
      </c>
      <c r="K794" s="130">
        <f>SUMIFS(ТГ_ИД!$E:$E,ТГ_ИД!$B:$B,ТГ!$G$3,ТГ_ИД!$D:$D,ТГ!$A795)</f>
        <v>0</v>
      </c>
      <c r="L794" s="130">
        <f>SUMIFS(ТГ_ИД!$E:$E,ТГ_ИД!$B:$B,ТГ!$G$4,ТГ_ИД!$D:$D,ТГ!$A795)</f>
        <v>0</v>
      </c>
      <c r="M794" s="130">
        <f>SUMIFS(ТГ_ИД!$E:$E,ТГ_ИД!$B:$B,ТГ!$G$5,ТГ_ИД!$D:$D,ТГ!$A795)</f>
        <v>0</v>
      </c>
      <c r="N794" s="130">
        <f>SUMIFS(ТГ_ИД!$E:$E,ТГ_ИД!$B:$B,ТГ!$G$6,ТГ_ИД!$D:$D,ТГ!$A795)</f>
        <v>0</v>
      </c>
      <c r="O794" s="130">
        <f>SUMIFS(ТГ_ИД!$E:$E,ТГ_ИД!$B:$B,ТГ!$G$7,ТГ_ИД!$D:$D,ТГ!$A795)</f>
        <v>0</v>
      </c>
      <c r="P794" s="130">
        <f>SUMIFS(ТГ_ИД!$E:$E,ТГ_ИД!$B:$B,ТГ!$G$8,ТГ_ИД!$D:$D,ТГ!$A795)</f>
        <v>0</v>
      </c>
      <c r="Q794" s="130">
        <f>SUMIFS(ТГ_ИД!$E:$E,ТГ_ИД!$B:$B,ТГ!$G$9,ТГ_ИД!$D:$D,ТГ!$A795)</f>
        <v>0</v>
      </c>
      <c r="R794" s="130">
        <f>SUMIFS(ТГ_ИД!$E:$E,ТГ_ИД!$B:$B,ТГ!$G$10,ТГ_ИД!$D:$D,ТГ!$A795)</f>
        <v>0</v>
      </c>
      <c r="S794" s="130">
        <f>SUMIFS(ТГ_ИД!$E:$E,ТГ_ИД!$B:$B,ТГ!$G$11,ТГ_ИД!$D:$D,ТГ!$A795)</f>
        <v>0</v>
      </c>
      <c r="T794" s="130">
        <f>SUMIFS(ТГ_ИД!$E:$E,ТГ_ИД!$B:$B,ТГ!$G$12,ТГ_ИД!$D:$D,ТГ!$A795)</f>
        <v>0</v>
      </c>
      <c r="U794" s="130">
        <f>SUMIFS(ТГ_ИД!$E:$E,ТГ_ИД!$B:$B,ТГ!$G$13,ТГ_ИД!$D:$D,ТГ!$A795)</f>
        <v>0</v>
      </c>
      <c r="V794" s="130">
        <f>SUMIFS(ТГ_ИД!$E:$E,ТГ_ИД!$B:$B,ТГ!$G$14,ТГ_ИД!$D:$D,ТГ!$A795)</f>
        <v>0</v>
      </c>
    </row>
    <row r="795" spans="1:22" x14ac:dyDescent="0.25">
      <c r="A795" s="116" t="str">
        <f t="shared" si="13"/>
        <v/>
      </c>
      <c r="K795" s="130">
        <f>SUMIFS(ТГ_ИД!$E:$E,ТГ_ИД!$B:$B,ТГ!$G$3,ТГ_ИД!$D:$D,ТГ!$A796)</f>
        <v>0</v>
      </c>
      <c r="L795" s="130">
        <f>SUMIFS(ТГ_ИД!$E:$E,ТГ_ИД!$B:$B,ТГ!$G$4,ТГ_ИД!$D:$D,ТГ!$A796)</f>
        <v>0</v>
      </c>
      <c r="M795" s="130">
        <f>SUMIFS(ТГ_ИД!$E:$E,ТГ_ИД!$B:$B,ТГ!$G$5,ТГ_ИД!$D:$D,ТГ!$A796)</f>
        <v>0</v>
      </c>
      <c r="N795" s="130">
        <f>SUMIFS(ТГ_ИД!$E:$E,ТГ_ИД!$B:$B,ТГ!$G$6,ТГ_ИД!$D:$D,ТГ!$A796)</f>
        <v>0</v>
      </c>
      <c r="O795" s="130">
        <f>SUMIFS(ТГ_ИД!$E:$E,ТГ_ИД!$B:$B,ТГ!$G$7,ТГ_ИД!$D:$D,ТГ!$A796)</f>
        <v>0</v>
      </c>
      <c r="P795" s="130">
        <f>SUMIFS(ТГ_ИД!$E:$E,ТГ_ИД!$B:$B,ТГ!$G$8,ТГ_ИД!$D:$D,ТГ!$A796)</f>
        <v>0</v>
      </c>
      <c r="Q795" s="130">
        <f>SUMIFS(ТГ_ИД!$E:$E,ТГ_ИД!$B:$B,ТГ!$G$9,ТГ_ИД!$D:$D,ТГ!$A796)</f>
        <v>0</v>
      </c>
      <c r="R795" s="130">
        <f>SUMIFS(ТГ_ИД!$E:$E,ТГ_ИД!$B:$B,ТГ!$G$10,ТГ_ИД!$D:$D,ТГ!$A796)</f>
        <v>0</v>
      </c>
      <c r="S795" s="130">
        <f>SUMIFS(ТГ_ИД!$E:$E,ТГ_ИД!$B:$B,ТГ!$G$11,ТГ_ИД!$D:$D,ТГ!$A796)</f>
        <v>0</v>
      </c>
      <c r="T795" s="130">
        <f>SUMIFS(ТГ_ИД!$E:$E,ТГ_ИД!$B:$B,ТГ!$G$12,ТГ_ИД!$D:$D,ТГ!$A796)</f>
        <v>0</v>
      </c>
      <c r="U795" s="130">
        <f>SUMIFS(ТГ_ИД!$E:$E,ТГ_ИД!$B:$B,ТГ!$G$13,ТГ_ИД!$D:$D,ТГ!$A796)</f>
        <v>0</v>
      </c>
      <c r="V795" s="130">
        <f>SUMIFS(ТГ_ИД!$E:$E,ТГ_ИД!$B:$B,ТГ!$G$14,ТГ_ИД!$D:$D,ТГ!$A796)</f>
        <v>0</v>
      </c>
    </row>
    <row r="796" spans="1:22" x14ac:dyDescent="0.25">
      <c r="A796" s="116" t="str">
        <f t="shared" si="13"/>
        <v/>
      </c>
      <c r="K796" s="130">
        <f>SUMIFS(ТГ_ИД!$E:$E,ТГ_ИД!$B:$B,ТГ!$G$3,ТГ_ИД!$D:$D,ТГ!$A797)</f>
        <v>0</v>
      </c>
      <c r="L796" s="130">
        <f>SUMIFS(ТГ_ИД!$E:$E,ТГ_ИД!$B:$B,ТГ!$G$4,ТГ_ИД!$D:$D,ТГ!$A797)</f>
        <v>0</v>
      </c>
      <c r="M796" s="130">
        <f>SUMIFS(ТГ_ИД!$E:$E,ТГ_ИД!$B:$B,ТГ!$G$5,ТГ_ИД!$D:$D,ТГ!$A797)</f>
        <v>0</v>
      </c>
      <c r="N796" s="130">
        <f>SUMIFS(ТГ_ИД!$E:$E,ТГ_ИД!$B:$B,ТГ!$G$6,ТГ_ИД!$D:$D,ТГ!$A797)</f>
        <v>0</v>
      </c>
      <c r="O796" s="130">
        <f>SUMIFS(ТГ_ИД!$E:$E,ТГ_ИД!$B:$B,ТГ!$G$7,ТГ_ИД!$D:$D,ТГ!$A797)</f>
        <v>0</v>
      </c>
      <c r="P796" s="130">
        <f>SUMIFS(ТГ_ИД!$E:$E,ТГ_ИД!$B:$B,ТГ!$G$8,ТГ_ИД!$D:$D,ТГ!$A797)</f>
        <v>0</v>
      </c>
      <c r="Q796" s="130">
        <f>SUMIFS(ТГ_ИД!$E:$E,ТГ_ИД!$B:$B,ТГ!$G$9,ТГ_ИД!$D:$D,ТГ!$A797)</f>
        <v>0</v>
      </c>
      <c r="R796" s="130">
        <f>SUMIFS(ТГ_ИД!$E:$E,ТГ_ИД!$B:$B,ТГ!$G$10,ТГ_ИД!$D:$D,ТГ!$A797)</f>
        <v>0</v>
      </c>
      <c r="S796" s="130">
        <f>SUMIFS(ТГ_ИД!$E:$E,ТГ_ИД!$B:$B,ТГ!$G$11,ТГ_ИД!$D:$D,ТГ!$A797)</f>
        <v>0</v>
      </c>
      <c r="T796" s="130">
        <f>SUMIFS(ТГ_ИД!$E:$E,ТГ_ИД!$B:$B,ТГ!$G$12,ТГ_ИД!$D:$D,ТГ!$A797)</f>
        <v>0</v>
      </c>
      <c r="U796" s="130">
        <f>SUMIFS(ТГ_ИД!$E:$E,ТГ_ИД!$B:$B,ТГ!$G$13,ТГ_ИД!$D:$D,ТГ!$A797)</f>
        <v>0</v>
      </c>
      <c r="V796" s="130">
        <f>SUMIFS(ТГ_ИД!$E:$E,ТГ_ИД!$B:$B,ТГ!$G$14,ТГ_ИД!$D:$D,ТГ!$A797)</f>
        <v>0</v>
      </c>
    </row>
    <row r="797" spans="1:22" x14ac:dyDescent="0.25">
      <c r="A797" s="116" t="str">
        <f t="shared" si="13"/>
        <v/>
      </c>
      <c r="K797" s="130">
        <f>SUMIFS(ТГ_ИД!$E:$E,ТГ_ИД!$B:$B,ТГ!$G$3,ТГ_ИД!$D:$D,ТГ!$A798)</f>
        <v>0</v>
      </c>
      <c r="L797" s="130">
        <f>SUMIFS(ТГ_ИД!$E:$E,ТГ_ИД!$B:$B,ТГ!$G$4,ТГ_ИД!$D:$D,ТГ!$A798)</f>
        <v>0</v>
      </c>
      <c r="M797" s="130">
        <f>SUMIFS(ТГ_ИД!$E:$E,ТГ_ИД!$B:$B,ТГ!$G$5,ТГ_ИД!$D:$D,ТГ!$A798)</f>
        <v>0</v>
      </c>
      <c r="N797" s="130">
        <f>SUMIFS(ТГ_ИД!$E:$E,ТГ_ИД!$B:$B,ТГ!$G$6,ТГ_ИД!$D:$D,ТГ!$A798)</f>
        <v>0</v>
      </c>
      <c r="O797" s="130">
        <f>SUMIFS(ТГ_ИД!$E:$E,ТГ_ИД!$B:$B,ТГ!$G$7,ТГ_ИД!$D:$D,ТГ!$A798)</f>
        <v>0</v>
      </c>
      <c r="P797" s="130">
        <f>SUMIFS(ТГ_ИД!$E:$E,ТГ_ИД!$B:$B,ТГ!$G$8,ТГ_ИД!$D:$D,ТГ!$A798)</f>
        <v>0</v>
      </c>
      <c r="Q797" s="130">
        <f>SUMIFS(ТГ_ИД!$E:$E,ТГ_ИД!$B:$B,ТГ!$G$9,ТГ_ИД!$D:$D,ТГ!$A798)</f>
        <v>0</v>
      </c>
      <c r="R797" s="130">
        <f>SUMIFS(ТГ_ИД!$E:$E,ТГ_ИД!$B:$B,ТГ!$G$10,ТГ_ИД!$D:$D,ТГ!$A798)</f>
        <v>0</v>
      </c>
      <c r="S797" s="130">
        <f>SUMIFS(ТГ_ИД!$E:$E,ТГ_ИД!$B:$B,ТГ!$G$11,ТГ_ИД!$D:$D,ТГ!$A798)</f>
        <v>0</v>
      </c>
      <c r="T797" s="130">
        <f>SUMIFS(ТГ_ИД!$E:$E,ТГ_ИД!$B:$B,ТГ!$G$12,ТГ_ИД!$D:$D,ТГ!$A798)</f>
        <v>0</v>
      </c>
      <c r="U797" s="130">
        <f>SUMIFS(ТГ_ИД!$E:$E,ТГ_ИД!$B:$B,ТГ!$G$13,ТГ_ИД!$D:$D,ТГ!$A798)</f>
        <v>0</v>
      </c>
      <c r="V797" s="130">
        <f>SUMIFS(ТГ_ИД!$E:$E,ТГ_ИД!$B:$B,ТГ!$G$14,ТГ_ИД!$D:$D,ТГ!$A798)</f>
        <v>0</v>
      </c>
    </row>
    <row r="798" spans="1:22" x14ac:dyDescent="0.25">
      <c r="A798" s="116" t="str">
        <f t="shared" si="13"/>
        <v/>
      </c>
      <c r="K798" s="130">
        <f>SUMIFS(ТГ_ИД!$E:$E,ТГ_ИД!$B:$B,ТГ!$G$3,ТГ_ИД!$D:$D,ТГ!$A799)</f>
        <v>0</v>
      </c>
      <c r="L798" s="130">
        <f>SUMIFS(ТГ_ИД!$E:$E,ТГ_ИД!$B:$B,ТГ!$G$4,ТГ_ИД!$D:$D,ТГ!$A799)</f>
        <v>0</v>
      </c>
      <c r="M798" s="130">
        <f>SUMIFS(ТГ_ИД!$E:$E,ТГ_ИД!$B:$B,ТГ!$G$5,ТГ_ИД!$D:$D,ТГ!$A799)</f>
        <v>0</v>
      </c>
      <c r="N798" s="130">
        <f>SUMIFS(ТГ_ИД!$E:$E,ТГ_ИД!$B:$B,ТГ!$G$6,ТГ_ИД!$D:$D,ТГ!$A799)</f>
        <v>0</v>
      </c>
      <c r="O798" s="130">
        <f>SUMIFS(ТГ_ИД!$E:$E,ТГ_ИД!$B:$B,ТГ!$G$7,ТГ_ИД!$D:$D,ТГ!$A799)</f>
        <v>0</v>
      </c>
      <c r="P798" s="130">
        <f>SUMIFS(ТГ_ИД!$E:$E,ТГ_ИД!$B:$B,ТГ!$G$8,ТГ_ИД!$D:$D,ТГ!$A799)</f>
        <v>0</v>
      </c>
      <c r="Q798" s="130">
        <f>SUMIFS(ТГ_ИД!$E:$E,ТГ_ИД!$B:$B,ТГ!$G$9,ТГ_ИД!$D:$D,ТГ!$A799)</f>
        <v>0</v>
      </c>
      <c r="R798" s="130">
        <f>SUMIFS(ТГ_ИД!$E:$E,ТГ_ИД!$B:$B,ТГ!$G$10,ТГ_ИД!$D:$D,ТГ!$A799)</f>
        <v>0</v>
      </c>
      <c r="S798" s="130">
        <f>SUMIFS(ТГ_ИД!$E:$E,ТГ_ИД!$B:$B,ТГ!$G$11,ТГ_ИД!$D:$D,ТГ!$A799)</f>
        <v>0</v>
      </c>
      <c r="T798" s="130">
        <f>SUMIFS(ТГ_ИД!$E:$E,ТГ_ИД!$B:$B,ТГ!$G$12,ТГ_ИД!$D:$D,ТГ!$A799)</f>
        <v>0</v>
      </c>
      <c r="U798" s="130">
        <f>SUMIFS(ТГ_ИД!$E:$E,ТГ_ИД!$B:$B,ТГ!$G$13,ТГ_ИД!$D:$D,ТГ!$A799)</f>
        <v>0</v>
      </c>
      <c r="V798" s="130">
        <f>SUMIFS(ТГ_ИД!$E:$E,ТГ_ИД!$B:$B,ТГ!$G$14,ТГ_ИД!$D:$D,ТГ!$A799)</f>
        <v>0</v>
      </c>
    </row>
    <row r="799" spans="1:22" x14ac:dyDescent="0.25">
      <c r="A799" s="116" t="str">
        <f t="shared" si="13"/>
        <v/>
      </c>
      <c r="K799" s="130">
        <f>SUMIFS(ТГ_ИД!$E:$E,ТГ_ИД!$B:$B,ТГ!$G$3,ТГ_ИД!$D:$D,ТГ!$A800)</f>
        <v>0</v>
      </c>
      <c r="L799" s="130">
        <f>SUMIFS(ТГ_ИД!$E:$E,ТГ_ИД!$B:$B,ТГ!$G$4,ТГ_ИД!$D:$D,ТГ!$A800)</f>
        <v>0</v>
      </c>
      <c r="M799" s="130">
        <f>SUMIFS(ТГ_ИД!$E:$E,ТГ_ИД!$B:$B,ТГ!$G$5,ТГ_ИД!$D:$D,ТГ!$A800)</f>
        <v>0</v>
      </c>
      <c r="N799" s="130">
        <f>SUMIFS(ТГ_ИД!$E:$E,ТГ_ИД!$B:$B,ТГ!$G$6,ТГ_ИД!$D:$D,ТГ!$A800)</f>
        <v>0</v>
      </c>
      <c r="O799" s="130">
        <f>SUMIFS(ТГ_ИД!$E:$E,ТГ_ИД!$B:$B,ТГ!$G$7,ТГ_ИД!$D:$D,ТГ!$A800)</f>
        <v>0</v>
      </c>
      <c r="P799" s="130">
        <f>SUMIFS(ТГ_ИД!$E:$E,ТГ_ИД!$B:$B,ТГ!$G$8,ТГ_ИД!$D:$D,ТГ!$A800)</f>
        <v>0</v>
      </c>
      <c r="Q799" s="130">
        <f>SUMIFS(ТГ_ИД!$E:$E,ТГ_ИД!$B:$B,ТГ!$G$9,ТГ_ИД!$D:$D,ТГ!$A800)</f>
        <v>0</v>
      </c>
      <c r="R799" s="130">
        <f>SUMIFS(ТГ_ИД!$E:$E,ТГ_ИД!$B:$B,ТГ!$G$10,ТГ_ИД!$D:$D,ТГ!$A800)</f>
        <v>0</v>
      </c>
      <c r="S799" s="130">
        <f>SUMIFS(ТГ_ИД!$E:$E,ТГ_ИД!$B:$B,ТГ!$G$11,ТГ_ИД!$D:$D,ТГ!$A800)</f>
        <v>0</v>
      </c>
      <c r="T799" s="130">
        <f>SUMIFS(ТГ_ИД!$E:$E,ТГ_ИД!$B:$B,ТГ!$G$12,ТГ_ИД!$D:$D,ТГ!$A800)</f>
        <v>0</v>
      </c>
      <c r="U799" s="130">
        <f>SUMIFS(ТГ_ИД!$E:$E,ТГ_ИД!$B:$B,ТГ!$G$13,ТГ_ИД!$D:$D,ТГ!$A800)</f>
        <v>0</v>
      </c>
      <c r="V799" s="130">
        <f>SUMIFS(ТГ_ИД!$E:$E,ТГ_ИД!$B:$B,ТГ!$G$14,ТГ_ИД!$D:$D,ТГ!$A800)</f>
        <v>0</v>
      </c>
    </row>
    <row r="800" spans="1:22" x14ac:dyDescent="0.25">
      <c r="A800" s="116" t="str">
        <f t="shared" si="13"/>
        <v/>
      </c>
      <c r="K800" s="130">
        <f>SUMIFS(ТГ_ИД!$E:$E,ТГ_ИД!$B:$B,ТГ!$G$3,ТГ_ИД!$D:$D,ТГ!$A801)</f>
        <v>0</v>
      </c>
      <c r="L800" s="130">
        <f>SUMIFS(ТГ_ИД!$E:$E,ТГ_ИД!$B:$B,ТГ!$G$4,ТГ_ИД!$D:$D,ТГ!$A801)</f>
        <v>0</v>
      </c>
      <c r="M800" s="130">
        <f>SUMIFS(ТГ_ИД!$E:$E,ТГ_ИД!$B:$B,ТГ!$G$5,ТГ_ИД!$D:$D,ТГ!$A801)</f>
        <v>0</v>
      </c>
      <c r="N800" s="130">
        <f>SUMIFS(ТГ_ИД!$E:$E,ТГ_ИД!$B:$B,ТГ!$G$6,ТГ_ИД!$D:$D,ТГ!$A801)</f>
        <v>0</v>
      </c>
      <c r="O800" s="130">
        <f>SUMIFS(ТГ_ИД!$E:$E,ТГ_ИД!$B:$B,ТГ!$G$7,ТГ_ИД!$D:$D,ТГ!$A801)</f>
        <v>0</v>
      </c>
      <c r="P800" s="130">
        <f>SUMIFS(ТГ_ИД!$E:$E,ТГ_ИД!$B:$B,ТГ!$G$8,ТГ_ИД!$D:$D,ТГ!$A801)</f>
        <v>0</v>
      </c>
      <c r="Q800" s="130">
        <f>SUMIFS(ТГ_ИД!$E:$E,ТГ_ИД!$B:$B,ТГ!$G$9,ТГ_ИД!$D:$D,ТГ!$A801)</f>
        <v>0</v>
      </c>
      <c r="R800" s="130">
        <f>SUMIFS(ТГ_ИД!$E:$E,ТГ_ИД!$B:$B,ТГ!$G$10,ТГ_ИД!$D:$D,ТГ!$A801)</f>
        <v>0</v>
      </c>
      <c r="S800" s="130">
        <f>SUMIFS(ТГ_ИД!$E:$E,ТГ_ИД!$B:$B,ТГ!$G$11,ТГ_ИД!$D:$D,ТГ!$A801)</f>
        <v>0</v>
      </c>
      <c r="T800" s="130">
        <f>SUMIFS(ТГ_ИД!$E:$E,ТГ_ИД!$B:$B,ТГ!$G$12,ТГ_ИД!$D:$D,ТГ!$A801)</f>
        <v>0</v>
      </c>
      <c r="U800" s="130">
        <f>SUMIFS(ТГ_ИД!$E:$E,ТГ_ИД!$B:$B,ТГ!$G$13,ТГ_ИД!$D:$D,ТГ!$A801)</f>
        <v>0</v>
      </c>
      <c r="V800" s="130">
        <f>SUMIFS(ТГ_ИД!$E:$E,ТГ_ИД!$B:$B,ТГ!$G$14,ТГ_ИД!$D:$D,ТГ!$A801)</f>
        <v>0</v>
      </c>
    </row>
    <row r="801" spans="1:22" x14ac:dyDescent="0.25">
      <c r="A801" s="116" t="str">
        <f t="shared" si="13"/>
        <v/>
      </c>
      <c r="K801" s="130">
        <f>SUMIFS(ТГ_ИД!$E:$E,ТГ_ИД!$B:$B,ТГ!$G$3,ТГ_ИД!$D:$D,ТГ!$A802)</f>
        <v>0</v>
      </c>
      <c r="L801" s="130">
        <f>SUMIFS(ТГ_ИД!$E:$E,ТГ_ИД!$B:$B,ТГ!$G$4,ТГ_ИД!$D:$D,ТГ!$A802)</f>
        <v>0</v>
      </c>
      <c r="M801" s="130">
        <f>SUMIFS(ТГ_ИД!$E:$E,ТГ_ИД!$B:$B,ТГ!$G$5,ТГ_ИД!$D:$D,ТГ!$A802)</f>
        <v>0</v>
      </c>
      <c r="N801" s="130">
        <f>SUMIFS(ТГ_ИД!$E:$E,ТГ_ИД!$B:$B,ТГ!$G$6,ТГ_ИД!$D:$D,ТГ!$A802)</f>
        <v>0</v>
      </c>
      <c r="O801" s="130">
        <f>SUMIFS(ТГ_ИД!$E:$E,ТГ_ИД!$B:$B,ТГ!$G$7,ТГ_ИД!$D:$D,ТГ!$A802)</f>
        <v>0</v>
      </c>
      <c r="P801" s="130">
        <f>SUMIFS(ТГ_ИД!$E:$E,ТГ_ИД!$B:$B,ТГ!$G$8,ТГ_ИД!$D:$D,ТГ!$A802)</f>
        <v>0</v>
      </c>
      <c r="Q801" s="130">
        <f>SUMIFS(ТГ_ИД!$E:$E,ТГ_ИД!$B:$B,ТГ!$G$9,ТГ_ИД!$D:$D,ТГ!$A802)</f>
        <v>0</v>
      </c>
      <c r="R801" s="130">
        <f>SUMIFS(ТГ_ИД!$E:$E,ТГ_ИД!$B:$B,ТГ!$G$10,ТГ_ИД!$D:$D,ТГ!$A802)</f>
        <v>0</v>
      </c>
      <c r="S801" s="130">
        <f>SUMIFS(ТГ_ИД!$E:$E,ТГ_ИД!$B:$B,ТГ!$G$11,ТГ_ИД!$D:$D,ТГ!$A802)</f>
        <v>0</v>
      </c>
      <c r="T801" s="130">
        <f>SUMIFS(ТГ_ИД!$E:$E,ТГ_ИД!$B:$B,ТГ!$G$12,ТГ_ИД!$D:$D,ТГ!$A802)</f>
        <v>0</v>
      </c>
      <c r="U801" s="130">
        <f>SUMIFS(ТГ_ИД!$E:$E,ТГ_ИД!$B:$B,ТГ!$G$13,ТГ_ИД!$D:$D,ТГ!$A802)</f>
        <v>0</v>
      </c>
      <c r="V801" s="130">
        <f>SUMIFS(ТГ_ИД!$E:$E,ТГ_ИД!$B:$B,ТГ!$G$14,ТГ_ИД!$D:$D,ТГ!$A802)</f>
        <v>0</v>
      </c>
    </row>
    <row r="802" spans="1:22" x14ac:dyDescent="0.25">
      <c r="A802" s="116" t="str">
        <f t="shared" si="13"/>
        <v/>
      </c>
      <c r="K802" s="130">
        <f>SUMIFS(ТГ_ИД!$E:$E,ТГ_ИД!$B:$B,ТГ!$G$3,ТГ_ИД!$D:$D,ТГ!$A803)</f>
        <v>0</v>
      </c>
      <c r="L802" s="130">
        <f>SUMIFS(ТГ_ИД!$E:$E,ТГ_ИД!$B:$B,ТГ!$G$4,ТГ_ИД!$D:$D,ТГ!$A803)</f>
        <v>0</v>
      </c>
      <c r="M802" s="130">
        <f>SUMIFS(ТГ_ИД!$E:$E,ТГ_ИД!$B:$B,ТГ!$G$5,ТГ_ИД!$D:$D,ТГ!$A803)</f>
        <v>0</v>
      </c>
      <c r="N802" s="130">
        <f>SUMIFS(ТГ_ИД!$E:$E,ТГ_ИД!$B:$B,ТГ!$G$6,ТГ_ИД!$D:$D,ТГ!$A803)</f>
        <v>0</v>
      </c>
      <c r="O802" s="130">
        <f>SUMIFS(ТГ_ИД!$E:$E,ТГ_ИД!$B:$B,ТГ!$G$7,ТГ_ИД!$D:$D,ТГ!$A803)</f>
        <v>0</v>
      </c>
      <c r="P802" s="130">
        <f>SUMIFS(ТГ_ИД!$E:$E,ТГ_ИД!$B:$B,ТГ!$G$8,ТГ_ИД!$D:$D,ТГ!$A803)</f>
        <v>0</v>
      </c>
      <c r="Q802" s="130">
        <f>SUMIFS(ТГ_ИД!$E:$E,ТГ_ИД!$B:$B,ТГ!$G$9,ТГ_ИД!$D:$D,ТГ!$A803)</f>
        <v>0</v>
      </c>
      <c r="R802" s="130">
        <f>SUMIFS(ТГ_ИД!$E:$E,ТГ_ИД!$B:$B,ТГ!$G$10,ТГ_ИД!$D:$D,ТГ!$A803)</f>
        <v>0</v>
      </c>
      <c r="S802" s="130">
        <f>SUMIFS(ТГ_ИД!$E:$E,ТГ_ИД!$B:$B,ТГ!$G$11,ТГ_ИД!$D:$D,ТГ!$A803)</f>
        <v>0</v>
      </c>
      <c r="T802" s="130">
        <f>SUMIFS(ТГ_ИД!$E:$E,ТГ_ИД!$B:$B,ТГ!$G$12,ТГ_ИД!$D:$D,ТГ!$A803)</f>
        <v>0</v>
      </c>
      <c r="U802" s="130">
        <f>SUMIFS(ТГ_ИД!$E:$E,ТГ_ИД!$B:$B,ТГ!$G$13,ТГ_ИД!$D:$D,ТГ!$A803)</f>
        <v>0</v>
      </c>
      <c r="V802" s="130">
        <f>SUMIFS(ТГ_ИД!$E:$E,ТГ_ИД!$B:$B,ТГ!$G$14,ТГ_ИД!$D:$D,ТГ!$A803)</f>
        <v>0</v>
      </c>
    </row>
    <row r="803" spans="1:22" x14ac:dyDescent="0.25">
      <c r="A803" s="116" t="str">
        <f t="shared" si="13"/>
        <v/>
      </c>
      <c r="K803" s="130">
        <f>SUMIFS(ТГ_ИД!$E:$E,ТГ_ИД!$B:$B,ТГ!$G$3,ТГ_ИД!$D:$D,ТГ!$A804)</f>
        <v>0</v>
      </c>
      <c r="L803" s="130">
        <f>SUMIFS(ТГ_ИД!$E:$E,ТГ_ИД!$B:$B,ТГ!$G$4,ТГ_ИД!$D:$D,ТГ!$A804)</f>
        <v>0</v>
      </c>
      <c r="M803" s="130">
        <f>SUMIFS(ТГ_ИД!$E:$E,ТГ_ИД!$B:$B,ТГ!$G$5,ТГ_ИД!$D:$D,ТГ!$A804)</f>
        <v>0</v>
      </c>
      <c r="N803" s="130">
        <f>SUMIFS(ТГ_ИД!$E:$E,ТГ_ИД!$B:$B,ТГ!$G$6,ТГ_ИД!$D:$D,ТГ!$A804)</f>
        <v>0</v>
      </c>
      <c r="O803" s="130">
        <f>SUMIFS(ТГ_ИД!$E:$E,ТГ_ИД!$B:$B,ТГ!$G$7,ТГ_ИД!$D:$D,ТГ!$A804)</f>
        <v>0</v>
      </c>
      <c r="P803" s="130">
        <f>SUMIFS(ТГ_ИД!$E:$E,ТГ_ИД!$B:$B,ТГ!$G$8,ТГ_ИД!$D:$D,ТГ!$A804)</f>
        <v>0</v>
      </c>
      <c r="Q803" s="130">
        <f>SUMIFS(ТГ_ИД!$E:$E,ТГ_ИД!$B:$B,ТГ!$G$9,ТГ_ИД!$D:$D,ТГ!$A804)</f>
        <v>0</v>
      </c>
      <c r="R803" s="130">
        <f>SUMIFS(ТГ_ИД!$E:$E,ТГ_ИД!$B:$B,ТГ!$G$10,ТГ_ИД!$D:$D,ТГ!$A804)</f>
        <v>0</v>
      </c>
      <c r="S803" s="130">
        <f>SUMIFS(ТГ_ИД!$E:$E,ТГ_ИД!$B:$B,ТГ!$G$11,ТГ_ИД!$D:$D,ТГ!$A804)</f>
        <v>0</v>
      </c>
      <c r="T803" s="130">
        <f>SUMIFS(ТГ_ИД!$E:$E,ТГ_ИД!$B:$B,ТГ!$G$12,ТГ_ИД!$D:$D,ТГ!$A804)</f>
        <v>0</v>
      </c>
      <c r="U803" s="130">
        <f>SUMIFS(ТГ_ИД!$E:$E,ТГ_ИД!$B:$B,ТГ!$G$13,ТГ_ИД!$D:$D,ТГ!$A804)</f>
        <v>0</v>
      </c>
      <c r="V803" s="130">
        <f>SUMIFS(ТГ_ИД!$E:$E,ТГ_ИД!$B:$B,ТГ!$G$14,ТГ_ИД!$D:$D,ТГ!$A804)</f>
        <v>0</v>
      </c>
    </row>
    <row r="804" spans="1:22" x14ac:dyDescent="0.25">
      <c r="A804" s="116" t="str">
        <f t="shared" si="13"/>
        <v/>
      </c>
      <c r="K804" s="130">
        <f>SUMIFS(ТГ_ИД!$E:$E,ТГ_ИД!$B:$B,ТГ!$G$3,ТГ_ИД!$D:$D,ТГ!$A805)</f>
        <v>0</v>
      </c>
      <c r="L804" s="130">
        <f>SUMIFS(ТГ_ИД!$E:$E,ТГ_ИД!$B:$B,ТГ!$G$4,ТГ_ИД!$D:$D,ТГ!$A805)</f>
        <v>0</v>
      </c>
      <c r="M804" s="130">
        <f>SUMIFS(ТГ_ИД!$E:$E,ТГ_ИД!$B:$B,ТГ!$G$5,ТГ_ИД!$D:$D,ТГ!$A805)</f>
        <v>0</v>
      </c>
      <c r="N804" s="130">
        <f>SUMIFS(ТГ_ИД!$E:$E,ТГ_ИД!$B:$B,ТГ!$G$6,ТГ_ИД!$D:$D,ТГ!$A805)</f>
        <v>0</v>
      </c>
      <c r="O804" s="130">
        <f>SUMIFS(ТГ_ИД!$E:$E,ТГ_ИД!$B:$B,ТГ!$G$7,ТГ_ИД!$D:$D,ТГ!$A805)</f>
        <v>0</v>
      </c>
      <c r="P804" s="130">
        <f>SUMIFS(ТГ_ИД!$E:$E,ТГ_ИД!$B:$B,ТГ!$G$8,ТГ_ИД!$D:$D,ТГ!$A805)</f>
        <v>0</v>
      </c>
      <c r="Q804" s="130">
        <f>SUMIFS(ТГ_ИД!$E:$E,ТГ_ИД!$B:$B,ТГ!$G$9,ТГ_ИД!$D:$D,ТГ!$A805)</f>
        <v>0</v>
      </c>
      <c r="R804" s="130">
        <f>SUMIFS(ТГ_ИД!$E:$E,ТГ_ИД!$B:$B,ТГ!$G$10,ТГ_ИД!$D:$D,ТГ!$A805)</f>
        <v>0</v>
      </c>
      <c r="S804" s="130">
        <f>SUMIFS(ТГ_ИД!$E:$E,ТГ_ИД!$B:$B,ТГ!$G$11,ТГ_ИД!$D:$D,ТГ!$A805)</f>
        <v>0</v>
      </c>
      <c r="T804" s="130">
        <f>SUMIFS(ТГ_ИД!$E:$E,ТГ_ИД!$B:$B,ТГ!$G$12,ТГ_ИД!$D:$D,ТГ!$A805)</f>
        <v>0</v>
      </c>
      <c r="U804" s="130">
        <f>SUMIFS(ТГ_ИД!$E:$E,ТГ_ИД!$B:$B,ТГ!$G$13,ТГ_ИД!$D:$D,ТГ!$A805)</f>
        <v>0</v>
      </c>
      <c r="V804" s="130">
        <f>SUMIFS(ТГ_ИД!$E:$E,ТГ_ИД!$B:$B,ТГ!$G$14,ТГ_ИД!$D:$D,ТГ!$A805)</f>
        <v>0</v>
      </c>
    </row>
    <row r="805" spans="1:22" x14ac:dyDescent="0.25">
      <c r="A805" s="116" t="str">
        <f t="shared" si="13"/>
        <v/>
      </c>
      <c r="K805" s="130">
        <f>SUMIFS(ТГ_ИД!$E:$E,ТГ_ИД!$B:$B,ТГ!$G$3,ТГ_ИД!$D:$D,ТГ!$A806)</f>
        <v>0</v>
      </c>
      <c r="L805" s="130">
        <f>SUMIFS(ТГ_ИД!$E:$E,ТГ_ИД!$B:$B,ТГ!$G$4,ТГ_ИД!$D:$D,ТГ!$A806)</f>
        <v>0</v>
      </c>
      <c r="M805" s="130">
        <f>SUMIFS(ТГ_ИД!$E:$E,ТГ_ИД!$B:$B,ТГ!$G$5,ТГ_ИД!$D:$D,ТГ!$A806)</f>
        <v>0</v>
      </c>
      <c r="N805" s="130">
        <f>SUMIFS(ТГ_ИД!$E:$E,ТГ_ИД!$B:$B,ТГ!$G$6,ТГ_ИД!$D:$D,ТГ!$A806)</f>
        <v>0</v>
      </c>
      <c r="O805" s="130">
        <f>SUMIFS(ТГ_ИД!$E:$E,ТГ_ИД!$B:$B,ТГ!$G$7,ТГ_ИД!$D:$D,ТГ!$A806)</f>
        <v>0</v>
      </c>
      <c r="P805" s="130">
        <f>SUMIFS(ТГ_ИД!$E:$E,ТГ_ИД!$B:$B,ТГ!$G$8,ТГ_ИД!$D:$D,ТГ!$A806)</f>
        <v>0</v>
      </c>
      <c r="Q805" s="130">
        <f>SUMIFS(ТГ_ИД!$E:$E,ТГ_ИД!$B:$B,ТГ!$G$9,ТГ_ИД!$D:$D,ТГ!$A806)</f>
        <v>0</v>
      </c>
      <c r="R805" s="130">
        <f>SUMIFS(ТГ_ИД!$E:$E,ТГ_ИД!$B:$B,ТГ!$G$10,ТГ_ИД!$D:$D,ТГ!$A806)</f>
        <v>0</v>
      </c>
      <c r="S805" s="130">
        <f>SUMIFS(ТГ_ИД!$E:$E,ТГ_ИД!$B:$B,ТГ!$G$11,ТГ_ИД!$D:$D,ТГ!$A806)</f>
        <v>0</v>
      </c>
      <c r="T805" s="130">
        <f>SUMIFS(ТГ_ИД!$E:$E,ТГ_ИД!$B:$B,ТГ!$G$12,ТГ_ИД!$D:$D,ТГ!$A806)</f>
        <v>0</v>
      </c>
      <c r="U805" s="130">
        <f>SUMIFS(ТГ_ИД!$E:$E,ТГ_ИД!$B:$B,ТГ!$G$13,ТГ_ИД!$D:$D,ТГ!$A806)</f>
        <v>0</v>
      </c>
      <c r="V805" s="130">
        <f>SUMIFS(ТГ_ИД!$E:$E,ТГ_ИД!$B:$B,ТГ!$G$14,ТГ_ИД!$D:$D,ТГ!$A806)</f>
        <v>0</v>
      </c>
    </row>
    <row r="806" spans="1:22" x14ac:dyDescent="0.25">
      <c r="A806" s="116" t="str">
        <f t="shared" si="13"/>
        <v/>
      </c>
      <c r="K806" s="130">
        <f>SUMIFS(ТГ_ИД!$E:$E,ТГ_ИД!$B:$B,ТГ!$G$3,ТГ_ИД!$D:$D,ТГ!$A807)</f>
        <v>0</v>
      </c>
      <c r="L806" s="130">
        <f>SUMIFS(ТГ_ИД!$E:$E,ТГ_ИД!$B:$B,ТГ!$G$4,ТГ_ИД!$D:$D,ТГ!$A807)</f>
        <v>0</v>
      </c>
      <c r="M806" s="130">
        <f>SUMIFS(ТГ_ИД!$E:$E,ТГ_ИД!$B:$B,ТГ!$G$5,ТГ_ИД!$D:$D,ТГ!$A807)</f>
        <v>0</v>
      </c>
      <c r="N806" s="130">
        <f>SUMIFS(ТГ_ИД!$E:$E,ТГ_ИД!$B:$B,ТГ!$G$6,ТГ_ИД!$D:$D,ТГ!$A807)</f>
        <v>0</v>
      </c>
      <c r="O806" s="130">
        <f>SUMIFS(ТГ_ИД!$E:$E,ТГ_ИД!$B:$B,ТГ!$G$7,ТГ_ИД!$D:$D,ТГ!$A807)</f>
        <v>0</v>
      </c>
      <c r="P806" s="130">
        <f>SUMIFS(ТГ_ИД!$E:$E,ТГ_ИД!$B:$B,ТГ!$G$8,ТГ_ИД!$D:$D,ТГ!$A807)</f>
        <v>0</v>
      </c>
      <c r="Q806" s="130">
        <f>SUMIFS(ТГ_ИД!$E:$E,ТГ_ИД!$B:$B,ТГ!$G$9,ТГ_ИД!$D:$D,ТГ!$A807)</f>
        <v>0</v>
      </c>
      <c r="R806" s="130">
        <f>SUMIFS(ТГ_ИД!$E:$E,ТГ_ИД!$B:$B,ТГ!$G$10,ТГ_ИД!$D:$D,ТГ!$A807)</f>
        <v>0</v>
      </c>
      <c r="S806" s="130">
        <f>SUMIFS(ТГ_ИД!$E:$E,ТГ_ИД!$B:$B,ТГ!$G$11,ТГ_ИД!$D:$D,ТГ!$A807)</f>
        <v>0</v>
      </c>
      <c r="T806" s="130">
        <f>SUMIFS(ТГ_ИД!$E:$E,ТГ_ИД!$B:$B,ТГ!$G$12,ТГ_ИД!$D:$D,ТГ!$A807)</f>
        <v>0</v>
      </c>
      <c r="U806" s="130">
        <f>SUMIFS(ТГ_ИД!$E:$E,ТГ_ИД!$B:$B,ТГ!$G$13,ТГ_ИД!$D:$D,ТГ!$A807)</f>
        <v>0</v>
      </c>
      <c r="V806" s="130">
        <f>SUMIFS(ТГ_ИД!$E:$E,ТГ_ИД!$B:$B,ТГ!$G$14,ТГ_ИД!$D:$D,ТГ!$A807)</f>
        <v>0</v>
      </c>
    </row>
    <row r="807" spans="1:22" x14ac:dyDescent="0.25">
      <c r="A807" s="116" t="str">
        <f t="shared" si="13"/>
        <v/>
      </c>
      <c r="K807" s="130">
        <f>SUMIFS(ТГ_ИД!$E:$E,ТГ_ИД!$B:$B,ТГ!$G$3,ТГ_ИД!$D:$D,ТГ!$A808)</f>
        <v>0</v>
      </c>
      <c r="L807" s="130">
        <f>SUMIFS(ТГ_ИД!$E:$E,ТГ_ИД!$B:$B,ТГ!$G$4,ТГ_ИД!$D:$D,ТГ!$A808)</f>
        <v>0</v>
      </c>
      <c r="M807" s="130">
        <f>SUMIFS(ТГ_ИД!$E:$E,ТГ_ИД!$B:$B,ТГ!$G$5,ТГ_ИД!$D:$D,ТГ!$A808)</f>
        <v>0</v>
      </c>
      <c r="N807" s="130">
        <f>SUMIFS(ТГ_ИД!$E:$E,ТГ_ИД!$B:$B,ТГ!$G$6,ТГ_ИД!$D:$D,ТГ!$A808)</f>
        <v>0</v>
      </c>
      <c r="O807" s="130">
        <f>SUMIFS(ТГ_ИД!$E:$E,ТГ_ИД!$B:$B,ТГ!$G$7,ТГ_ИД!$D:$D,ТГ!$A808)</f>
        <v>0</v>
      </c>
      <c r="P807" s="130">
        <f>SUMIFS(ТГ_ИД!$E:$E,ТГ_ИД!$B:$B,ТГ!$G$8,ТГ_ИД!$D:$D,ТГ!$A808)</f>
        <v>0</v>
      </c>
      <c r="Q807" s="130">
        <f>SUMIFS(ТГ_ИД!$E:$E,ТГ_ИД!$B:$B,ТГ!$G$9,ТГ_ИД!$D:$D,ТГ!$A808)</f>
        <v>0</v>
      </c>
      <c r="R807" s="130">
        <f>SUMIFS(ТГ_ИД!$E:$E,ТГ_ИД!$B:$B,ТГ!$G$10,ТГ_ИД!$D:$D,ТГ!$A808)</f>
        <v>0</v>
      </c>
      <c r="S807" s="130">
        <f>SUMIFS(ТГ_ИД!$E:$E,ТГ_ИД!$B:$B,ТГ!$G$11,ТГ_ИД!$D:$D,ТГ!$A808)</f>
        <v>0</v>
      </c>
      <c r="T807" s="130">
        <f>SUMIFS(ТГ_ИД!$E:$E,ТГ_ИД!$B:$B,ТГ!$G$12,ТГ_ИД!$D:$D,ТГ!$A808)</f>
        <v>0</v>
      </c>
      <c r="U807" s="130">
        <f>SUMIFS(ТГ_ИД!$E:$E,ТГ_ИД!$B:$B,ТГ!$G$13,ТГ_ИД!$D:$D,ТГ!$A808)</f>
        <v>0</v>
      </c>
      <c r="V807" s="130">
        <f>SUMIFS(ТГ_ИД!$E:$E,ТГ_ИД!$B:$B,ТГ!$G$14,ТГ_ИД!$D:$D,ТГ!$A808)</f>
        <v>0</v>
      </c>
    </row>
    <row r="808" spans="1:22" x14ac:dyDescent="0.25">
      <c r="A808" s="116" t="str">
        <f t="shared" si="13"/>
        <v/>
      </c>
      <c r="K808" s="130">
        <f>SUMIFS(ТГ_ИД!$E:$E,ТГ_ИД!$B:$B,ТГ!$G$3,ТГ_ИД!$D:$D,ТГ!$A809)</f>
        <v>0</v>
      </c>
      <c r="L808" s="130">
        <f>SUMIFS(ТГ_ИД!$E:$E,ТГ_ИД!$B:$B,ТГ!$G$4,ТГ_ИД!$D:$D,ТГ!$A809)</f>
        <v>0</v>
      </c>
      <c r="M808" s="130">
        <f>SUMIFS(ТГ_ИД!$E:$E,ТГ_ИД!$B:$B,ТГ!$G$5,ТГ_ИД!$D:$D,ТГ!$A809)</f>
        <v>0</v>
      </c>
      <c r="N808" s="130">
        <f>SUMIFS(ТГ_ИД!$E:$E,ТГ_ИД!$B:$B,ТГ!$G$6,ТГ_ИД!$D:$D,ТГ!$A809)</f>
        <v>0</v>
      </c>
      <c r="O808" s="130">
        <f>SUMIFS(ТГ_ИД!$E:$E,ТГ_ИД!$B:$B,ТГ!$G$7,ТГ_ИД!$D:$D,ТГ!$A809)</f>
        <v>0</v>
      </c>
      <c r="P808" s="130">
        <f>SUMIFS(ТГ_ИД!$E:$E,ТГ_ИД!$B:$B,ТГ!$G$8,ТГ_ИД!$D:$D,ТГ!$A809)</f>
        <v>0</v>
      </c>
      <c r="Q808" s="130">
        <f>SUMIFS(ТГ_ИД!$E:$E,ТГ_ИД!$B:$B,ТГ!$G$9,ТГ_ИД!$D:$D,ТГ!$A809)</f>
        <v>0</v>
      </c>
      <c r="R808" s="130">
        <f>SUMIFS(ТГ_ИД!$E:$E,ТГ_ИД!$B:$B,ТГ!$G$10,ТГ_ИД!$D:$D,ТГ!$A809)</f>
        <v>0</v>
      </c>
      <c r="S808" s="130">
        <f>SUMIFS(ТГ_ИД!$E:$E,ТГ_ИД!$B:$B,ТГ!$G$11,ТГ_ИД!$D:$D,ТГ!$A809)</f>
        <v>0</v>
      </c>
      <c r="T808" s="130">
        <f>SUMIFS(ТГ_ИД!$E:$E,ТГ_ИД!$B:$B,ТГ!$G$12,ТГ_ИД!$D:$D,ТГ!$A809)</f>
        <v>0</v>
      </c>
      <c r="U808" s="130">
        <f>SUMIFS(ТГ_ИД!$E:$E,ТГ_ИД!$B:$B,ТГ!$G$13,ТГ_ИД!$D:$D,ТГ!$A809)</f>
        <v>0</v>
      </c>
      <c r="V808" s="130">
        <f>SUMIFS(ТГ_ИД!$E:$E,ТГ_ИД!$B:$B,ТГ!$G$14,ТГ_ИД!$D:$D,ТГ!$A809)</f>
        <v>0</v>
      </c>
    </row>
    <row r="809" spans="1:22" x14ac:dyDescent="0.25">
      <c r="A809" s="116" t="str">
        <f t="shared" si="13"/>
        <v/>
      </c>
      <c r="K809" s="130">
        <f>SUMIFS(ТГ_ИД!$E:$E,ТГ_ИД!$B:$B,ТГ!$G$3,ТГ_ИД!$D:$D,ТГ!$A810)</f>
        <v>0</v>
      </c>
      <c r="L809" s="130">
        <f>SUMIFS(ТГ_ИД!$E:$E,ТГ_ИД!$B:$B,ТГ!$G$4,ТГ_ИД!$D:$D,ТГ!$A810)</f>
        <v>0</v>
      </c>
      <c r="M809" s="130">
        <f>SUMIFS(ТГ_ИД!$E:$E,ТГ_ИД!$B:$B,ТГ!$G$5,ТГ_ИД!$D:$D,ТГ!$A810)</f>
        <v>0</v>
      </c>
      <c r="N809" s="130">
        <f>SUMIFS(ТГ_ИД!$E:$E,ТГ_ИД!$B:$B,ТГ!$G$6,ТГ_ИД!$D:$D,ТГ!$A810)</f>
        <v>0</v>
      </c>
      <c r="O809" s="130">
        <f>SUMIFS(ТГ_ИД!$E:$E,ТГ_ИД!$B:$B,ТГ!$G$7,ТГ_ИД!$D:$D,ТГ!$A810)</f>
        <v>0</v>
      </c>
      <c r="P809" s="130">
        <f>SUMIFS(ТГ_ИД!$E:$E,ТГ_ИД!$B:$B,ТГ!$G$8,ТГ_ИД!$D:$D,ТГ!$A810)</f>
        <v>0</v>
      </c>
      <c r="Q809" s="130">
        <f>SUMIFS(ТГ_ИД!$E:$E,ТГ_ИД!$B:$B,ТГ!$G$9,ТГ_ИД!$D:$D,ТГ!$A810)</f>
        <v>0</v>
      </c>
      <c r="R809" s="130">
        <f>SUMIFS(ТГ_ИД!$E:$E,ТГ_ИД!$B:$B,ТГ!$G$10,ТГ_ИД!$D:$D,ТГ!$A810)</f>
        <v>0</v>
      </c>
      <c r="S809" s="130">
        <f>SUMIFS(ТГ_ИД!$E:$E,ТГ_ИД!$B:$B,ТГ!$G$11,ТГ_ИД!$D:$D,ТГ!$A810)</f>
        <v>0</v>
      </c>
      <c r="T809" s="130">
        <f>SUMIFS(ТГ_ИД!$E:$E,ТГ_ИД!$B:$B,ТГ!$G$12,ТГ_ИД!$D:$D,ТГ!$A810)</f>
        <v>0</v>
      </c>
      <c r="U809" s="130">
        <f>SUMIFS(ТГ_ИД!$E:$E,ТГ_ИД!$B:$B,ТГ!$G$13,ТГ_ИД!$D:$D,ТГ!$A810)</f>
        <v>0</v>
      </c>
      <c r="V809" s="130">
        <f>SUMIFS(ТГ_ИД!$E:$E,ТГ_ИД!$B:$B,ТГ!$G$14,ТГ_ИД!$D:$D,ТГ!$A810)</f>
        <v>0</v>
      </c>
    </row>
    <row r="810" spans="1:22" x14ac:dyDescent="0.25">
      <c r="A810" s="116" t="str">
        <f t="shared" si="13"/>
        <v/>
      </c>
      <c r="K810" s="130">
        <f>SUMIFS(ТГ_ИД!$E:$E,ТГ_ИД!$B:$B,ТГ!$G$3,ТГ_ИД!$D:$D,ТГ!$A811)</f>
        <v>0</v>
      </c>
      <c r="L810" s="130">
        <f>SUMIFS(ТГ_ИД!$E:$E,ТГ_ИД!$B:$B,ТГ!$G$4,ТГ_ИД!$D:$D,ТГ!$A811)</f>
        <v>0</v>
      </c>
      <c r="M810" s="130">
        <f>SUMIFS(ТГ_ИД!$E:$E,ТГ_ИД!$B:$B,ТГ!$G$5,ТГ_ИД!$D:$D,ТГ!$A811)</f>
        <v>0</v>
      </c>
      <c r="N810" s="130">
        <f>SUMIFS(ТГ_ИД!$E:$E,ТГ_ИД!$B:$B,ТГ!$G$6,ТГ_ИД!$D:$D,ТГ!$A811)</f>
        <v>0</v>
      </c>
      <c r="O810" s="130">
        <f>SUMIFS(ТГ_ИД!$E:$E,ТГ_ИД!$B:$B,ТГ!$G$7,ТГ_ИД!$D:$D,ТГ!$A811)</f>
        <v>0</v>
      </c>
      <c r="P810" s="130">
        <f>SUMIFS(ТГ_ИД!$E:$E,ТГ_ИД!$B:$B,ТГ!$G$8,ТГ_ИД!$D:$D,ТГ!$A811)</f>
        <v>0</v>
      </c>
      <c r="Q810" s="130">
        <f>SUMIFS(ТГ_ИД!$E:$E,ТГ_ИД!$B:$B,ТГ!$G$9,ТГ_ИД!$D:$D,ТГ!$A811)</f>
        <v>0</v>
      </c>
      <c r="R810" s="130">
        <f>SUMIFS(ТГ_ИД!$E:$E,ТГ_ИД!$B:$B,ТГ!$G$10,ТГ_ИД!$D:$D,ТГ!$A811)</f>
        <v>0</v>
      </c>
      <c r="S810" s="130">
        <f>SUMIFS(ТГ_ИД!$E:$E,ТГ_ИД!$B:$B,ТГ!$G$11,ТГ_ИД!$D:$D,ТГ!$A811)</f>
        <v>0</v>
      </c>
      <c r="T810" s="130">
        <f>SUMIFS(ТГ_ИД!$E:$E,ТГ_ИД!$B:$B,ТГ!$G$12,ТГ_ИД!$D:$D,ТГ!$A811)</f>
        <v>0</v>
      </c>
      <c r="U810" s="130">
        <f>SUMIFS(ТГ_ИД!$E:$E,ТГ_ИД!$B:$B,ТГ!$G$13,ТГ_ИД!$D:$D,ТГ!$A811)</f>
        <v>0</v>
      </c>
      <c r="V810" s="130">
        <f>SUMIFS(ТГ_ИД!$E:$E,ТГ_ИД!$B:$B,ТГ!$G$14,ТГ_ИД!$D:$D,ТГ!$A811)</f>
        <v>0</v>
      </c>
    </row>
    <row r="811" spans="1:22" x14ac:dyDescent="0.25">
      <c r="A811" s="116" t="str">
        <f t="shared" si="13"/>
        <v/>
      </c>
      <c r="K811" s="130">
        <f>SUMIFS(ТГ_ИД!$E:$E,ТГ_ИД!$B:$B,ТГ!$G$3,ТГ_ИД!$D:$D,ТГ!$A812)</f>
        <v>0</v>
      </c>
      <c r="L811" s="130">
        <f>SUMIFS(ТГ_ИД!$E:$E,ТГ_ИД!$B:$B,ТГ!$G$4,ТГ_ИД!$D:$D,ТГ!$A812)</f>
        <v>0</v>
      </c>
      <c r="M811" s="130">
        <f>SUMIFS(ТГ_ИД!$E:$E,ТГ_ИД!$B:$B,ТГ!$G$5,ТГ_ИД!$D:$D,ТГ!$A812)</f>
        <v>0</v>
      </c>
      <c r="N811" s="130">
        <f>SUMIFS(ТГ_ИД!$E:$E,ТГ_ИД!$B:$B,ТГ!$G$6,ТГ_ИД!$D:$D,ТГ!$A812)</f>
        <v>0</v>
      </c>
      <c r="O811" s="130">
        <f>SUMIFS(ТГ_ИД!$E:$E,ТГ_ИД!$B:$B,ТГ!$G$7,ТГ_ИД!$D:$D,ТГ!$A812)</f>
        <v>0</v>
      </c>
      <c r="P811" s="130">
        <f>SUMIFS(ТГ_ИД!$E:$E,ТГ_ИД!$B:$B,ТГ!$G$8,ТГ_ИД!$D:$D,ТГ!$A812)</f>
        <v>0</v>
      </c>
      <c r="Q811" s="130">
        <f>SUMIFS(ТГ_ИД!$E:$E,ТГ_ИД!$B:$B,ТГ!$G$9,ТГ_ИД!$D:$D,ТГ!$A812)</f>
        <v>0</v>
      </c>
      <c r="R811" s="130">
        <f>SUMIFS(ТГ_ИД!$E:$E,ТГ_ИД!$B:$B,ТГ!$G$10,ТГ_ИД!$D:$D,ТГ!$A812)</f>
        <v>0</v>
      </c>
      <c r="S811" s="130">
        <f>SUMIFS(ТГ_ИД!$E:$E,ТГ_ИД!$B:$B,ТГ!$G$11,ТГ_ИД!$D:$D,ТГ!$A812)</f>
        <v>0</v>
      </c>
      <c r="T811" s="130">
        <f>SUMIFS(ТГ_ИД!$E:$E,ТГ_ИД!$B:$B,ТГ!$G$12,ТГ_ИД!$D:$D,ТГ!$A812)</f>
        <v>0</v>
      </c>
      <c r="U811" s="130">
        <f>SUMIFS(ТГ_ИД!$E:$E,ТГ_ИД!$B:$B,ТГ!$G$13,ТГ_ИД!$D:$D,ТГ!$A812)</f>
        <v>0</v>
      </c>
      <c r="V811" s="130">
        <f>SUMIFS(ТГ_ИД!$E:$E,ТГ_ИД!$B:$B,ТГ!$G$14,ТГ_ИД!$D:$D,ТГ!$A812)</f>
        <v>0</v>
      </c>
    </row>
    <row r="812" spans="1:22" x14ac:dyDescent="0.25">
      <c r="A812" s="116" t="str">
        <f t="shared" si="13"/>
        <v/>
      </c>
      <c r="K812" s="130">
        <f>SUMIFS(ТГ_ИД!$E:$E,ТГ_ИД!$B:$B,ТГ!$G$3,ТГ_ИД!$D:$D,ТГ!$A813)</f>
        <v>0</v>
      </c>
      <c r="L812" s="130">
        <f>SUMIFS(ТГ_ИД!$E:$E,ТГ_ИД!$B:$B,ТГ!$G$4,ТГ_ИД!$D:$D,ТГ!$A813)</f>
        <v>0</v>
      </c>
      <c r="M812" s="130">
        <f>SUMIFS(ТГ_ИД!$E:$E,ТГ_ИД!$B:$B,ТГ!$G$5,ТГ_ИД!$D:$D,ТГ!$A813)</f>
        <v>0</v>
      </c>
      <c r="N812" s="130">
        <f>SUMIFS(ТГ_ИД!$E:$E,ТГ_ИД!$B:$B,ТГ!$G$6,ТГ_ИД!$D:$D,ТГ!$A813)</f>
        <v>0</v>
      </c>
      <c r="O812" s="130">
        <f>SUMIFS(ТГ_ИД!$E:$E,ТГ_ИД!$B:$B,ТГ!$G$7,ТГ_ИД!$D:$D,ТГ!$A813)</f>
        <v>0</v>
      </c>
      <c r="P812" s="130">
        <f>SUMIFS(ТГ_ИД!$E:$E,ТГ_ИД!$B:$B,ТГ!$G$8,ТГ_ИД!$D:$D,ТГ!$A813)</f>
        <v>0</v>
      </c>
      <c r="Q812" s="130">
        <f>SUMIFS(ТГ_ИД!$E:$E,ТГ_ИД!$B:$B,ТГ!$G$9,ТГ_ИД!$D:$D,ТГ!$A813)</f>
        <v>0</v>
      </c>
      <c r="R812" s="130">
        <f>SUMIFS(ТГ_ИД!$E:$E,ТГ_ИД!$B:$B,ТГ!$G$10,ТГ_ИД!$D:$D,ТГ!$A813)</f>
        <v>0</v>
      </c>
      <c r="S812" s="130">
        <f>SUMIFS(ТГ_ИД!$E:$E,ТГ_ИД!$B:$B,ТГ!$G$11,ТГ_ИД!$D:$D,ТГ!$A813)</f>
        <v>0</v>
      </c>
      <c r="T812" s="130">
        <f>SUMIFS(ТГ_ИД!$E:$E,ТГ_ИД!$B:$B,ТГ!$G$12,ТГ_ИД!$D:$D,ТГ!$A813)</f>
        <v>0</v>
      </c>
      <c r="U812" s="130">
        <f>SUMIFS(ТГ_ИД!$E:$E,ТГ_ИД!$B:$B,ТГ!$G$13,ТГ_ИД!$D:$D,ТГ!$A813)</f>
        <v>0</v>
      </c>
      <c r="V812" s="130">
        <f>SUMIFS(ТГ_ИД!$E:$E,ТГ_ИД!$B:$B,ТГ!$G$14,ТГ_ИД!$D:$D,ТГ!$A813)</f>
        <v>0</v>
      </c>
    </row>
    <row r="813" spans="1:22" x14ac:dyDescent="0.25">
      <c r="A813" s="116" t="str">
        <f t="shared" si="13"/>
        <v/>
      </c>
      <c r="K813" s="130">
        <f>SUMIFS(ТГ_ИД!$E:$E,ТГ_ИД!$B:$B,ТГ!$G$3,ТГ_ИД!$D:$D,ТГ!$A814)</f>
        <v>0</v>
      </c>
      <c r="L813" s="130">
        <f>SUMIFS(ТГ_ИД!$E:$E,ТГ_ИД!$B:$B,ТГ!$G$4,ТГ_ИД!$D:$D,ТГ!$A814)</f>
        <v>0</v>
      </c>
      <c r="M813" s="130">
        <f>SUMIFS(ТГ_ИД!$E:$E,ТГ_ИД!$B:$B,ТГ!$G$5,ТГ_ИД!$D:$D,ТГ!$A814)</f>
        <v>0</v>
      </c>
      <c r="N813" s="130">
        <f>SUMIFS(ТГ_ИД!$E:$E,ТГ_ИД!$B:$B,ТГ!$G$6,ТГ_ИД!$D:$D,ТГ!$A814)</f>
        <v>0</v>
      </c>
      <c r="O813" s="130">
        <f>SUMIFS(ТГ_ИД!$E:$E,ТГ_ИД!$B:$B,ТГ!$G$7,ТГ_ИД!$D:$D,ТГ!$A814)</f>
        <v>0</v>
      </c>
      <c r="P813" s="130">
        <f>SUMIFS(ТГ_ИД!$E:$E,ТГ_ИД!$B:$B,ТГ!$G$8,ТГ_ИД!$D:$D,ТГ!$A814)</f>
        <v>0</v>
      </c>
      <c r="Q813" s="130">
        <f>SUMIFS(ТГ_ИД!$E:$E,ТГ_ИД!$B:$B,ТГ!$G$9,ТГ_ИД!$D:$D,ТГ!$A814)</f>
        <v>0</v>
      </c>
      <c r="R813" s="130">
        <f>SUMIFS(ТГ_ИД!$E:$E,ТГ_ИД!$B:$B,ТГ!$G$10,ТГ_ИД!$D:$D,ТГ!$A814)</f>
        <v>0</v>
      </c>
      <c r="S813" s="130">
        <f>SUMIFS(ТГ_ИД!$E:$E,ТГ_ИД!$B:$B,ТГ!$G$11,ТГ_ИД!$D:$D,ТГ!$A814)</f>
        <v>0</v>
      </c>
      <c r="T813" s="130">
        <f>SUMIFS(ТГ_ИД!$E:$E,ТГ_ИД!$B:$B,ТГ!$G$12,ТГ_ИД!$D:$D,ТГ!$A814)</f>
        <v>0</v>
      </c>
      <c r="U813" s="130">
        <f>SUMIFS(ТГ_ИД!$E:$E,ТГ_ИД!$B:$B,ТГ!$G$13,ТГ_ИД!$D:$D,ТГ!$A814)</f>
        <v>0</v>
      </c>
      <c r="V813" s="130">
        <f>SUMIFS(ТГ_ИД!$E:$E,ТГ_ИД!$B:$B,ТГ!$G$14,ТГ_ИД!$D:$D,ТГ!$A814)</f>
        <v>0</v>
      </c>
    </row>
    <row r="814" spans="1:22" x14ac:dyDescent="0.25">
      <c r="A814" s="116" t="str">
        <f t="shared" si="13"/>
        <v/>
      </c>
      <c r="K814" s="130">
        <f>SUMIFS(ТГ_ИД!$E:$E,ТГ_ИД!$B:$B,ТГ!$G$3,ТГ_ИД!$D:$D,ТГ!$A815)</f>
        <v>0</v>
      </c>
      <c r="L814" s="130">
        <f>SUMIFS(ТГ_ИД!$E:$E,ТГ_ИД!$B:$B,ТГ!$G$4,ТГ_ИД!$D:$D,ТГ!$A815)</f>
        <v>0</v>
      </c>
      <c r="M814" s="130">
        <f>SUMIFS(ТГ_ИД!$E:$E,ТГ_ИД!$B:$B,ТГ!$G$5,ТГ_ИД!$D:$D,ТГ!$A815)</f>
        <v>0</v>
      </c>
      <c r="N814" s="130">
        <f>SUMIFS(ТГ_ИД!$E:$E,ТГ_ИД!$B:$B,ТГ!$G$6,ТГ_ИД!$D:$D,ТГ!$A815)</f>
        <v>0</v>
      </c>
      <c r="O814" s="130">
        <f>SUMIFS(ТГ_ИД!$E:$E,ТГ_ИД!$B:$B,ТГ!$G$7,ТГ_ИД!$D:$D,ТГ!$A815)</f>
        <v>0</v>
      </c>
      <c r="P814" s="130">
        <f>SUMIFS(ТГ_ИД!$E:$E,ТГ_ИД!$B:$B,ТГ!$G$8,ТГ_ИД!$D:$D,ТГ!$A815)</f>
        <v>0</v>
      </c>
      <c r="Q814" s="130">
        <f>SUMIFS(ТГ_ИД!$E:$E,ТГ_ИД!$B:$B,ТГ!$G$9,ТГ_ИД!$D:$D,ТГ!$A815)</f>
        <v>0</v>
      </c>
      <c r="R814" s="130">
        <f>SUMIFS(ТГ_ИД!$E:$E,ТГ_ИД!$B:$B,ТГ!$G$10,ТГ_ИД!$D:$D,ТГ!$A815)</f>
        <v>0</v>
      </c>
      <c r="S814" s="130">
        <f>SUMIFS(ТГ_ИД!$E:$E,ТГ_ИД!$B:$B,ТГ!$G$11,ТГ_ИД!$D:$D,ТГ!$A815)</f>
        <v>0</v>
      </c>
      <c r="T814" s="130">
        <f>SUMIFS(ТГ_ИД!$E:$E,ТГ_ИД!$B:$B,ТГ!$G$12,ТГ_ИД!$D:$D,ТГ!$A815)</f>
        <v>0</v>
      </c>
      <c r="U814" s="130">
        <f>SUMIFS(ТГ_ИД!$E:$E,ТГ_ИД!$B:$B,ТГ!$G$13,ТГ_ИД!$D:$D,ТГ!$A815)</f>
        <v>0</v>
      </c>
      <c r="V814" s="130">
        <f>SUMIFS(ТГ_ИД!$E:$E,ТГ_ИД!$B:$B,ТГ!$G$14,ТГ_ИД!$D:$D,ТГ!$A815)</f>
        <v>0</v>
      </c>
    </row>
    <row r="815" spans="1:22" x14ac:dyDescent="0.25">
      <c r="A815" s="116" t="str">
        <f t="shared" si="13"/>
        <v/>
      </c>
      <c r="K815" s="130">
        <f>SUMIFS(ТГ_ИД!$E:$E,ТГ_ИД!$B:$B,ТГ!$G$3,ТГ_ИД!$D:$D,ТГ!$A816)</f>
        <v>0</v>
      </c>
      <c r="L815" s="130">
        <f>SUMIFS(ТГ_ИД!$E:$E,ТГ_ИД!$B:$B,ТГ!$G$4,ТГ_ИД!$D:$D,ТГ!$A816)</f>
        <v>0</v>
      </c>
      <c r="M815" s="130">
        <f>SUMIFS(ТГ_ИД!$E:$E,ТГ_ИД!$B:$B,ТГ!$G$5,ТГ_ИД!$D:$D,ТГ!$A816)</f>
        <v>0</v>
      </c>
      <c r="N815" s="130">
        <f>SUMIFS(ТГ_ИД!$E:$E,ТГ_ИД!$B:$B,ТГ!$G$6,ТГ_ИД!$D:$D,ТГ!$A816)</f>
        <v>0</v>
      </c>
      <c r="O815" s="130">
        <f>SUMIFS(ТГ_ИД!$E:$E,ТГ_ИД!$B:$B,ТГ!$G$7,ТГ_ИД!$D:$D,ТГ!$A816)</f>
        <v>0</v>
      </c>
      <c r="P815" s="130">
        <f>SUMIFS(ТГ_ИД!$E:$E,ТГ_ИД!$B:$B,ТГ!$G$8,ТГ_ИД!$D:$D,ТГ!$A816)</f>
        <v>0</v>
      </c>
      <c r="Q815" s="130">
        <f>SUMIFS(ТГ_ИД!$E:$E,ТГ_ИД!$B:$B,ТГ!$G$9,ТГ_ИД!$D:$D,ТГ!$A816)</f>
        <v>0</v>
      </c>
      <c r="R815" s="130">
        <f>SUMIFS(ТГ_ИД!$E:$E,ТГ_ИД!$B:$B,ТГ!$G$10,ТГ_ИД!$D:$D,ТГ!$A816)</f>
        <v>0</v>
      </c>
      <c r="S815" s="130">
        <f>SUMIFS(ТГ_ИД!$E:$E,ТГ_ИД!$B:$B,ТГ!$G$11,ТГ_ИД!$D:$D,ТГ!$A816)</f>
        <v>0</v>
      </c>
      <c r="T815" s="130">
        <f>SUMIFS(ТГ_ИД!$E:$E,ТГ_ИД!$B:$B,ТГ!$G$12,ТГ_ИД!$D:$D,ТГ!$A816)</f>
        <v>0</v>
      </c>
      <c r="U815" s="130">
        <f>SUMIFS(ТГ_ИД!$E:$E,ТГ_ИД!$B:$B,ТГ!$G$13,ТГ_ИД!$D:$D,ТГ!$A816)</f>
        <v>0</v>
      </c>
      <c r="V815" s="130">
        <f>SUMIFS(ТГ_ИД!$E:$E,ТГ_ИД!$B:$B,ТГ!$G$14,ТГ_ИД!$D:$D,ТГ!$A816)</f>
        <v>0</v>
      </c>
    </row>
    <row r="816" spans="1:22" x14ac:dyDescent="0.25">
      <c r="A816" s="116" t="str">
        <f t="shared" si="13"/>
        <v/>
      </c>
      <c r="K816" s="130">
        <f>SUMIFS(ТГ_ИД!$E:$E,ТГ_ИД!$B:$B,ТГ!$G$3,ТГ_ИД!$D:$D,ТГ!$A817)</f>
        <v>0</v>
      </c>
      <c r="L816" s="130">
        <f>SUMIFS(ТГ_ИД!$E:$E,ТГ_ИД!$B:$B,ТГ!$G$4,ТГ_ИД!$D:$D,ТГ!$A817)</f>
        <v>0</v>
      </c>
      <c r="M816" s="130">
        <f>SUMIFS(ТГ_ИД!$E:$E,ТГ_ИД!$B:$B,ТГ!$G$5,ТГ_ИД!$D:$D,ТГ!$A817)</f>
        <v>0</v>
      </c>
      <c r="N816" s="130">
        <f>SUMIFS(ТГ_ИД!$E:$E,ТГ_ИД!$B:$B,ТГ!$G$6,ТГ_ИД!$D:$D,ТГ!$A817)</f>
        <v>0</v>
      </c>
      <c r="O816" s="130">
        <f>SUMIFS(ТГ_ИД!$E:$E,ТГ_ИД!$B:$B,ТГ!$G$7,ТГ_ИД!$D:$D,ТГ!$A817)</f>
        <v>0</v>
      </c>
      <c r="P816" s="130">
        <f>SUMIFS(ТГ_ИД!$E:$E,ТГ_ИД!$B:$B,ТГ!$G$8,ТГ_ИД!$D:$D,ТГ!$A817)</f>
        <v>0</v>
      </c>
      <c r="Q816" s="130">
        <f>SUMIFS(ТГ_ИД!$E:$E,ТГ_ИД!$B:$B,ТГ!$G$9,ТГ_ИД!$D:$D,ТГ!$A817)</f>
        <v>0</v>
      </c>
      <c r="R816" s="130">
        <f>SUMIFS(ТГ_ИД!$E:$E,ТГ_ИД!$B:$B,ТГ!$G$10,ТГ_ИД!$D:$D,ТГ!$A817)</f>
        <v>0</v>
      </c>
      <c r="S816" s="130">
        <f>SUMIFS(ТГ_ИД!$E:$E,ТГ_ИД!$B:$B,ТГ!$G$11,ТГ_ИД!$D:$D,ТГ!$A817)</f>
        <v>0</v>
      </c>
      <c r="T816" s="130">
        <f>SUMIFS(ТГ_ИД!$E:$E,ТГ_ИД!$B:$B,ТГ!$G$12,ТГ_ИД!$D:$D,ТГ!$A817)</f>
        <v>0</v>
      </c>
      <c r="U816" s="130">
        <f>SUMIFS(ТГ_ИД!$E:$E,ТГ_ИД!$B:$B,ТГ!$G$13,ТГ_ИД!$D:$D,ТГ!$A817)</f>
        <v>0</v>
      </c>
      <c r="V816" s="130">
        <f>SUMIFS(ТГ_ИД!$E:$E,ТГ_ИД!$B:$B,ТГ!$G$14,ТГ_ИД!$D:$D,ТГ!$A817)</f>
        <v>0</v>
      </c>
    </row>
    <row r="817" spans="1:22" x14ac:dyDescent="0.25">
      <c r="A817" s="116" t="str">
        <f t="shared" si="13"/>
        <v/>
      </c>
      <c r="K817" s="130">
        <f>SUMIFS(ТГ_ИД!$E:$E,ТГ_ИД!$B:$B,ТГ!$G$3,ТГ_ИД!$D:$D,ТГ!$A818)</f>
        <v>0</v>
      </c>
      <c r="L817" s="130">
        <f>SUMIFS(ТГ_ИД!$E:$E,ТГ_ИД!$B:$B,ТГ!$G$4,ТГ_ИД!$D:$D,ТГ!$A818)</f>
        <v>0</v>
      </c>
      <c r="M817" s="130">
        <f>SUMIFS(ТГ_ИД!$E:$E,ТГ_ИД!$B:$B,ТГ!$G$5,ТГ_ИД!$D:$D,ТГ!$A818)</f>
        <v>0</v>
      </c>
      <c r="N817" s="130">
        <f>SUMIFS(ТГ_ИД!$E:$E,ТГ_ИД!$B:$B,ТГ!$G$6,ТГ_ИД!$D:$D,ТГ!$A818)</f>
        <v>0</v>
      </c>
      <c r="O817" s="130">
        <f>SUMIFS(ТГ_ИД!$E:$E,ТГ_ИД!$B:$B,ТГ!$G$7,ТГ_ИД!$D:$D,ТГ!$A818)</f>
        <v>0</v>
      </c>
      <c r="P817" s="130">
        <f>SUMIFS(ТГ_ИД!$E:$E,ТГ_ИД!$B:$B,ТГ!$G$8,ТГ_ИД!$D:$D,ТГ!$A818)</f>
        <v>0</v>
      </c>
      <c r="Q817" s="130">
        <f>SUMIFS(ТГ_ИД!$E:$E,ТГ_ИД!$B:$B,ТГ!$G$9,ТГ_ИД!$D:$D,ТГ!$A818)</f>
        <v>0</v>
      </c>
      <c r="R817" s="130">
        <f>SUMIFS(ТГ_ИД!$E:$E,ТГ_ИД!$B:$B,ТГ!$G$10,ТГ_ИД!$D:$D,ТГ!$A818)</f>
        <v>0</v>
      </c>
      <c r="S817" s="130">
        <f>SUMIFS(ТГ_ИД!$E:$E,ТГ_ИД!$B:$B,ТГ!$G$11,ТГ_ИД!$D:$D,ТГ!$A818)</f>
        <v>0</v>
      </c>
      <c r="T817" s="130">
        <f>SUMIFS(ТГ_ИД!$E:$E,ТГ_ИД!$B:$B,ТГ!$G$12,ТГ_ИД!$D:$D,ТГ!$A818)</f>
        <v>0</v>
      </c>
      <c r="U817" s="130">
        <f>SUMIFS(ТГ_ИД!$E:$E,ТГ_ИД!$B:$B,ТГ!$G$13,ТГ_ИД!$D:$D,ТГ!$A818)</f>
        <v>0</v>
      </c>
      <c r="V817" s="130">
        <f>SUMIFS(ТГ_ИД!$E:$E,ТГ_ИД!$B:$B,ТГ!$G$14,ТГ_ИД!$D:$D,ТГ!$A818)</f>
        <v>0</v>
      </c>
    </row>
    <row r="818" spans="1:22" x14ac:dyDescent="0.25">
      <c r="A818" s="116" t="str">
        <f t="shared" si="13"/>
        <v/>
      </c>
      <c r="K818" s="130">
        <f>SUMIFS(ТГ_ИД!$E:$E,ТГ_ИД!$B:$B,ТГ!$G$3,ТГ_ИД!$D:$D,ТГ!$A819)</f>
        <v>0</v>
      </c>
      <c r="L818" s="130">
        <f>SUMIFS(ТГ_ИД!$E:$E,ТГ_ИД!$B:$B,ТГ!$G$4,ТГ_ИД!$D:$D,ТГ!$A819)</f>
        <v>0</v>
      </c>
      <c r="M818" s="130">
        <f>SUMIFS(ТГ_ИД!$E:$E,ТГ_ИД!$B:$B,ТГ!$G$5,ТГ_ИД!$D:$D,ТГ!$A819)</f>
        <v>0</v>
      </c>
      <c r="N818" s="130">
        <f>SUMIFS(ТГ_ИД!$E:$E,ТГ_ИД!$B:$B,ТГ!$G$6,ТГ_ИД!$D:$D,ТГ!$A819)</f>
        <v>0</v>
      </c>
      <c r="O818" s="130">
        <f>SUMIFS(ТГ_ИД!$E:$E,ТГ_ИД!$B:$B,ТГ!$G$7,ТГ_ИД!$D:$D,ТГ!$A819)</f>
        <v>0</v>
      </c>
      <c r="P818" s="130">
        <f>SUMIFS(ТГ_ИД!$E:$E,ТГ_ИД!$B:$B,ТГ!$G$8,ТГ_ИД!$D:$D,ТГ!$A819)</f>
        <v>0</v>
      </c>
      <c r="Q818" s="130">
        <f>SUMIFS(ТГ_ИД!$E:$E,ТГ_ИД!$B:$B,ТГ!$G$9,ТГ_ИД!$D:$D,ТГ!$A819)</f>
        <v>0</v>
      </c>
      <c r="R818" s="130">
        <f>SUMIFS(ТГ_ИД!$E:$E,ТГ_ИД!$B:$B,ТГ!$G$10,ТГ_ИД!$D:$D,ТГ!$A819)</f>
        <v>0</v>
      </c>
      <c r="S818" s="130">
        <f>SUMIFS(ТГ_ИД!$E:$E,ТГ_ИД!$B:$B,ТГ!$G$11,ТГ_ИД!$D:$D,ТГ!$A819)</f>
        <v>0</v>
      </c>
      <c r="T818" s="130">
        <f>SUMIFS(ТГ_ИД!$E:$E,ТГ_ИД!$B:$B,ТГ!$G$12,ТГ_ИД!$D:$D,ТГ!$A819)</f>
        <v>0</v>
      </c>
      <c r="U818" s="130">
        <f>SUMIFS(ТГ_ИД!$E:$E,ТГ_ИД!$B:$B,ТГ!$G$13,ТГ_ИД!$D:$D,ТГ!$A819)</f>
        <v>0</v>
      </c>
      <c r="V818" s="130">
        <f>SUMIFS(ТГ_ИД!$E:$E,ТГ_ИД!$B:$B,ТГ!$G$14,ТГ_ИД!$D:$D,ТГ!$A819)</f>
        <v>0</v>
      </c>
    </row>
    <row r="819" spans="1:22" x14ac:dyDescent="0.25">
      <c r="A819" s="116" t="str">
        <f t="shared" si="13"/>
        <v/>
      </c>
      <c r="K819" s="130">
        <f>SUMIFS(ТГ_ИД!$E:$E,ТГ_ИД!$B:$B,ТГ!$G$3,ТГ_ИД!$D:$D,ТГ!$A820)</f>
        <v>0</v>
      </c>
      <c r="L819" s="130">
        <f>SUMIFS(ТГ_ИД!$E:$E,ТГ_ИД!$B:$B,ТГ!$G$4,ТГ_ИД!$D:$D,ТГ!$A820)</f>
        <v>0</v>
      </c>
      <c r="M819" s="130">
        <f>SUMIFS(ТГ_ИД!$E:$E,ТГ_ИД!$B:$B,ТГ!$G$5,ТГ_ИД!$D:$D,ТГ!$A820)</f>
        <v>0</v>
      </c>
      <c r="N819" s="130">
        <f>SUMIFS(ТГ_ИД!$E:$E,ТГ_ИД!$B:$B,ТГ!$G$6,ТГ_ИД!$D:$D,ТГ!$A820)</f>
        <v>0</v>
      </c>
      <c r="O819" s="130">
        <f>SUMIFS(ТГ_ИД!$E:$E,ТГ_ИД!$B:$B,ТГ!$G$7,ТГ_ИД!$D:$D,ТГ!$A820)</f>
        <v>0</v>
      </c>
      <c r="P819" s="130">
        <f>SUMIFS(ТГ_ИД!$E:$E,ТГ_ИД!$B:$B,ТГ!$G$8,ТГ_ИД!$D:$D,ТГ!$A820)</f>
        <v>0</v>
      </c>
      <c r="Q819" s="130">
        <f>SUMIFS(ТГ_ИД!$E:$E,ТГ_ИД!$B:$B,ТГ!$G$9,ТГ_ИД!$D:$D,ТГ!$A820)</f>
        <v>0</v>
      </c>
      <c r="R819" s="130">
        <f>SUMIFS(ТГ_ИД!$E:$E,ТГ_ИД!$B:$B,ТГ!$G$10,ТГ_ИД!$D:$D,ТГ!$A820)</f>
        <v>0</v>
      </c>
      <c r="S819" s="130">
        <f>SUMIFS(ТГ_ИД!$E:$E,ТГ_ИД!$B:$B,ТГ!$G$11,ТГ_ИД!$D:$D,ТГ!$A820)</f>
        <v>0</v>
      </c>
      <c r="T819" s="130">
        <f>SUMIFS(ТГ_ИД!$E:$E,ТГ_ИД!$B:$B,ТГ!$G$12,ТГ_ИД!$D:$D,ТГ!$A820)</f>
        <v>0</v>
      </c>
      <c r="U819" s="130">
        <f>SUMIFS(ТГ_ИД!$E:$E,ТГ_ИД!$B:$B,ТГ!$G$13,ТГ_ИД!$D:$D,ТГ!$A820)</f>
        <v>0</v>
      </c>
      <c r="V819" s="130">
        <f>SUMIFS(ТГ_ИД!$E:$E,ТГ_ИД!$B:$B,ТГ!$G$14,ТГ_ИД!$D:$D,ТГ!$A820)</f>
        <v>0</v>
      </c>
    </row>
    <row r="820" spans="1:22" x14ac:dyDescent="0.25">
      <c r="A820" s="116" t="str">
        <f t="shared" si="13"/>
        <v/>
      </c>
      <c r="K820" s="130">
        <f>SUMIFS(ТГ_ИД!$E:$E,ТГ_ИД!$B:$B,ТГ!$G$3,ТГ_ИД!$D:$D,ТГ!$A821)</f>
        <v>0</v>
      </c>
      <c r="L820" s="130">
        <f>SUMIFS(ТГ_ИД!$E:$E,ТГ_ИД!$B:$B,ТГ!$G$4,ТГ_ИД!$D:$D,ТГ!$A821)</f>
        <v>0</v>
      </c>
      <c r="M820" s="130">
        <f>SUMIFS(ТГ_ИД!$E:$E,ТГ_ИД!$B:$B,ТГ!$G$5,ТГ_ИД!$D:$D,ТГ!$A821)</f>
        <v>0</v>
      </c>
      <c r="N820" s="130">
        <f>SUMIFS(ТГ_ИД!$E:$E,ТГ_ИД!$B:$B,ТГ!$G$6,ТГ_ИД!$D:$D,ТГ!$A821)</f>
        <v>0</v>
      </c>
      <c r="O820" s="130">
        <f>SUMIFS(ТГ_ИД!$E:$E,ТГ_ИД!$B:$B,ТГ!$G$7,ТГ_ИД!$D:$D,ТГ!$A821)</f>
        <v>0</v>
      </c>
      <c r="P820" s="130">
        <f>SUMIFS(ТГ_ИД!$E:$E,ТГ_ИД!$B:$B,ТГ!$G$8,ТГ_ИД!$D:$D,ТГ!$A821)</f>
        <v>0</v>
      </c>
      <c r="Q820" s="130">
        <f>SUMIFS(ТГ_ИД!$E:$E,ТГ_ИД!$B:$B,ТГ!$G$9,ТГ_ИД!$D:$D,ТГ!$A821)</f>
        <v>0</v>
      </c>
      <c r="R820" s="130">
        <f>SUMIFS(ТГ_ИД!$E:$E,ТГ_ИД!$B:$B,ТГ!$G$10,ТГ_ИД!$D:$D,ТГ!$A821)</f>
        <v>0</v>
      </c>
      <c r="S820" s="130">
        <f>SUMIFS(ТГ_ИД!$E:$E,ТГ_ИД!$B:$B,ТГ!$G$11,ТГ_ИД!$D:$D,ТГ!$A821)</f>
        <v>0</v>
      </c>
      <c r="T820" s="130">
        <f>SUMIFS(ТГ_ИД!$E:$E,ТГ_ИД!$B:$B,ТГ!$G$12,ТГ_ИД!$D:$D,ТГ!$A821)</f>
        <v>0</v>
      </c>
      <c r="U820" s="130">
        <f>SUMIFS(ТГ_ИД!$E:$E,ТГ_ИД!$B:$B,ТГ!$G$13,ТГ_ИД!$D:$D,ТГ!$A821)</f>
        <v>0</v>
      </c>
      <c r="V820" s="130">
        <f>SUMIFS(ТГ_ИД!$E:$E,ТГ_ИД!$B:$B,ТГ!$G$14,ТГ_ИД!$D:$D,ТГ!$A821)</f>
        <v>0</v>
      </c>
    </row>
    <row r="821" spans="1:22" x14ac:dyDescent="0.25">
      <c r="A821" s="116" t="str">
        <f t="shared" si="13"/>
        <v/>
      </c>
      <c r="K821" s="130">
        <f>SUMIFS(ТГ_ИД!$E:$E,ТГ_ИД!$B:$B,ТГ!$G$3,ТГ_ИД!$D:$D,ТГ!$A822)</f>
        <v>0</v>
      </c>
      <c r="L821" s="130">
        <f>SUMIFS(ТГ_ИД!$E:$E,ТГ_ИД!$B:$B,ТГ!$G$4,ТГ_ИД!$D:$D,ТГ!$A822)</f>
        <v>0</v>
      </c>
      <c r="M821" s="130">
        <f>SUMIFS(ТГ_ИД!$E:$E,ТГ_ИД!$B:$B,ТГ!$G$5,ТГ_ИД!$D:$D,ТГ!$A822)</f>
        <v>0</v>
      </c>
      <c r="N821" s="130">
        <f>SUMIFS(ТГ_ИД!$E:$E,ТГ_ИД!$B:$B,ТГ!$G$6,ТГ_ИД!$D:$D,ТГ!$A822)</f>
        <v>0</v>
      </c>
      <c r="O821" s="130">
        <f>SUMIFS(ТГ_ИД!$E:$E,ТГ_ИД!$B:$B,ТГ!$G$7,ТГ_ИД!$D:$D,ТГ!$A822)</f>
        <v>0</v>
      </c>
      <c r="P821" s="130">
        <f>SUMIFS(ТГ_ИД!$E:$E,ТГ_ИД!$B:$B,ТГ!$G$8,ТГ_ИД!$D:$D,ТГ!$A822)</f>
        <v>0</v>
      </c>
      <c r="Q821" s="130">
        <f>SUMIFS(ТГ_ИД!$E:$E,ТГ_ИД!$B:$B,ТГ!$G$9,ТГ_ИД!$D:$D,ТГ!$A822)</f>
        <v>0</v>
      </c>
      <c r="R821" s="130">
        <f>SUMIFS(ТГ_ИД!$E:$E,ТГ_ИД!$B:$B,ТГ!$G$10,ТГ_ИД!$D:$D,ТГ!$A822)</f>
        <v>0</v>
      </c>
      <c r="S821" s="130">
        <f>SUMIFS(ТГ_ИД!$E:$E,ТГ_ИД!$B:$B,ТГ!$G$11,ТГ_ИД!$D:$D,ТГ!$A822)</f>
        <v>0</v>
      </c>
      <c r="T821" s="130">
        <f>SUMIFS(ТГ_ИД!$E:$E,ТГ_ИД!$B:$B,ТГ!$G$12,ТГ_ИД!$D:$D,ТГ!$A822)</f>
        <v>0</v>
      </c>
      <c r="U821" s="130">
        <f>SUMIFS(ТГ_ИД!$E:$E,ТГ_ИД!$B:$B,ТГ!$G$13,ТГ_ИД!$D:$D,ТГ!$A822)</f>
        <v>0</v>
      </c>
      <c r="V821" s="130">
        <f>SUMIFS(ТГ_ИД!$E:$E,ТГ_ИД!$B:$B,ТГ!$G$14,ТГ_ИД!$D:$D,ТГ!$A822)</f>
        <v>0</v>
      </c>
    </row>
    <row r="822" spans="1:22" x14ac:dyDescent="0.25">
      <c r="A822" s="116" t="str">
        <f t="shared" si="13"/>
        <v/>
      </c>
      <c r="K822" s="130">
        <f>SUMIFS(ТГ_ИД!$E:$E,ТГ_ИД!$B:$B,ТГ!$G$3,ТГ_ИД!$D:$D,ТГ!$A823)</f>
        <v>0</v>
      </c>
      <c r="L822" s="130">
        <f>SUMIFS(ТГ_ИД!$E:$E,ТГ_ИД!$B:$B,ТГ!$G$4,ТГ_ИД!$D:$D,ТГ!$A823)</f>
        <v>0</v>
      </c>
      <c r="M822" s="130">
        <f>SUMIFS(ТГ_ИД!$E:$E,ТГ_ИД!$B:$B,ТГ!$G$5,ТГ_ИД!$D:$D,ТГ!$A823)</f>
        <v>0</v>
      </c>
      <c r="N822" s="130">
        <f>SUMIFS(ТГ_ИД!$E:$E,ТГ_ИД!$B:$B,ТГ!$G$6,ТГ_ИД!$D:$D,ТГ!$A823)</f>
        <v>0</v>
      </c>
      <c r="O822" s="130">
        <f>SUMIFS(ТГ_ИД!$E:$E,ТГ_ИД!$B:$B,ТГ!$G$7,ТГ_ИД!$D:$D,ТГ!$A823)</f>
        <v>0</v>
      </c>
      <c r="P822" s="130">
        <f>SUMIFS(ТГ_ИД!$E:$E,ТГ_ИД!$B:$B,ТГ!$G$8,ТГ_ИД!$D:$D,ТГ!$A823)</f>
        <v>0</v>
      </c>
      <c r="Q822" s="130">
        <f>SUMIFS(ТГ_ИД!$E:$E,ТГ_ИД!$B:$B,ТГ!$G$9,ТГ_ИД!$D:$D,ТГ!$A823)</f>
        <v>0</v>
      </c>
      <c r="R822" s="130">
        <f>SUMIFS(ТГ_ИД!$E:$E,ТГ_ИД!$B:$B,ТГ!$G$10,ТГ_ИД!$D:$D,ТГ!$A823)</f>
        <v>0</v>
      </c>
      <c r="S822" s="130">
        <f>SUMIFS(ТГ_ИД!$E:$E,ТГ_ИД!$B:$B,ТГ!$G$11,ТГ_ИД!$D:$D,ТГ!$A823)</f>
        <v>0</v>
      </c>
      <c r="T822" s="130">
        <f>SUMIFS(ТГ_ИД!$E:$E,ТГ_ИД!$B:$B,ТГ!$G$12,ТГ_ИД!$D:$D,ТГ!$A823)</f>
        <v>0</v>
      </c>
      <c r="U822" s="130">
        <f>SUMIFS(ТГ_ИД!$E:$E,ТГ_ИД!$B:$B,ТГ!$G$13,ТГ_ИД!$D:$D,ТГ!$A823)</f>
        <v>0</v>
      </c>
      <c r="V822" s="130">
        <f>SUMIFS(ТГ_ИД!$E:$E,ТГ_ИД!$B:$B,ТГ!$G$14,ТГ_ИД!$D:$D,ТГ!$A823)</f>
        <v>0</v>
      </c>
    </row>
    <row r="823" spans="1:22" x14ac:dyDescent="0.25">
      <c r="A823" s="116" t="str">
        <f t="shared" si="13"/>
        <v/>
      </c>
      <c r="K823" s="130">
        <f>SUMIFS(ТГ_ИД!$E:$E,ТГ_ИД!$B:$B,ТГ!$G$3,ТГ_ИД!$D:$D,ТГ!$A824)</f>
        <v>0</v>
      </c>
      <c r="L823" s="130">
        <f>SUMIFS(ТГ_ИД!$E:$E,ТГ_ИД!$B:$B,ТГ!$G$4,ТГ_ИД!$D:$D,ТГ!$A824)</f>
        <v>0</v>
      </c>
      <c r="M823" s="130">
        <f>SUMIFS(ТГ_ИД!$E:$E,ТГ_ИД!$B:$B,ТГ!$G$5,ТГ_ИД!$D:$D,ТГ!$A824)</f>
        <v>0</v>
      </c>
      <c r="N823" s="130">
        <f>SUMIFS(ТГ_ИД!$E:$E,ТГ_ИД!$B:$B,ТГ!$G$6,ТГ_ИД!$D:$D,ТГ!$A824)</f>
        <v>0</v>
      </c>
      <c r="O823" s="130">
        <f>SUMIFS(ТГ_ИД!$E:$E,ТГ_ИД!$B:$B,ТГ!$G$7,ТГ_ИД!$D:$D,ТГ!$A824)</f>
        <v>0</v>
      </c>
      <c r="P823" s="130">
        <f>SUMIFS(ТГ_ИД!$E:$E,ТГ_ИД!$B:$B,ТГ!$G$8,ТГ_ИД!$D:$D,ТГ!$A824)</f>
        <v>0</v>
      </c>
      <c r="Q823" s="130">
        <f>SUMIFS(ТГ_ИД!$E:$E,ТГ_ИД!$B:$B,ТГ!$G$9,ТГ_ИД!$D:$D,ТГ!$A824)</f>
        <v>0</v>
      </c>
      <c r="R823" s="130">
        <f>SUMIFS(ТГ_ИД!$E:$E,ТГ_ИД!$B:$B,ТГ!$G$10,ТГ_ИД!$D:$D,ТГ!$A824)</f>
        <v>0</v>
      </c>
      <c r="S823" s="130">
        <f>SUMIFS(ТГ_ИД!$E:$E,ТГ_ИД!$B:$B,ТГ!$G$11,ТГ_ИД!$D:$D,ТГ!$A824)</f>
        <v>0</v>
      </c>
      <c r="T823" s="130">
        <f>SUMIFS(ТГ_ИД!$E:$E,ТГ_ИД!$B:$B,ТГ!$G$12,ТГ_ИД!$D:$D,ТГ!$A824)</f>
        <v>0</v>
      </c>
      <c r="U823" s="130">
        <f>SUMIFS(ТГ_ИД!$E:$E,ТГ_ИД!$B:$B,ТГ!$G$13,ТГ_ИД!$D:$D,ТГ!$A824)</f>
        <v>0</v>
      </c>
      <c r="V823" s="130">
        <f>SUMIFS(ТГ_ИД!$E:$E,ТГ_ИД!$B:$B,ТГ!$G$14,ТГ_ИД!$D:$D,ТГ!$A824)</f>
        <v>0</v>
      </c>
    </row>
    <row r="824" spans="1:22" x14ac:dyDescent="0.25">
      <c r="A824" s="116" t="str">
        <f t="shared" si="13"/>
        <v/>
      </c>
      <c r="K824" s="130">
        <f>SUMIFS(ТГ_ИД!$E:$E,ТГ_ИД!$B:$B,ТГ!$G$3,ТГ_ИД!$D:$D,ТГ!$A825)</f>
        <v>0</v>
      </c>
      <c r="L824" s="130">
        <f>SUMIFS(ТГ_ИД!$E:$E,ТГ_ИД!$B:$B,ТГ!$G$4,ТГ_ИД!$D:$D,ТГ!$A825)</f>
        <v>0</v>
      </c>
      <c r="M824" s="130">
        <f>SUMIFS(ТГ_ИД!$E:$E,ТГ_ИД!$B:$B,ТГ!$G$5,ТГ_ИД!$D:$D,ТГ!$A825)</f>
        <v>0</v>
      </c>
      <c r="N824" s="130">
        <f>SUMIFS(ТГ_ИД!$E:$E,ТГ_ИД!$B:$B,ТГ!$G$6,ТГ_ИД!$D:$D,ТГ!$A825)</f>
        <v>0</v>
      </c>
      <c r="O824" s="130">
        <f>SUMIFS(ТГ_ИД!$E:$E,ТГ_ИД!$B:$B,ТГ!$G$7,ТГ_ИД!$D:$D,ТГ!$A825)</f>
        <v>0</v>
      </c>
      <c r="P824" s="130">
        <f>SUMIFS(ТГ_ИД!$E:$E,ТГ_ИД!$B:$B,ТГ!$G$8,ТГ_ИД!$D:$D,ТГ!$A825)</f>
        <v>0</v>
      </c>
      <c r="Q824" s="130">
        <f>SUMIFS(ТГ_ИД!$E:$E,ТГ_ИД!$B:$B,ТГ!$G$9,ТГ_ИД!$D:$D,ТГ!$A825)</f>
        <v>0</v>
      </c>
      <c r="R824" s="130">
        <f>SUMIFS(ТГ_ИД!$E:$E,ТГ_ИД!$B:$B,ТГ!$G$10,ТГ_ИД!$D:$D,ТГ!$A825)</f>
        <v>0</v>
      </c>
      <c r="S824" s="130">
        <f>SUMIFS(ТГ_ИД!$E:$E,ТГ_ИД!$B:$B,ТГ!$G$11,ТГ_ИД!$D:$D,ТГ!$A825)</f>
        <v>0</v>
      </c>
      <c r="T824" s="130">
        <f>SUMIFS(ТГ_ИД!$E:$E,ТГ_ИД!$B:$B,ТГ!$G$12,ТГ_ИД!$D:$D,ТГ!$A825)</f>
        <v>0</v>
      </c>
      <c r="U824" s="130">
        <f>SUMIFS(ТГ_ИД!$E:$E,ТГ_ИД!$B:$B,ТГ!$G$13,ТГ_ИД!$D:$D,ТГ!$A825)</f>
        <v>0</v>
      </c>
      <c r="V824" s="130">
        <f>SUMIFS(ТГ_ИД!$E:$E,ТГ_ИД!$B:$B,ТГ!$G$14,ТГ_ИД!$D:$D,ТГ!$A825)</f>
        <v>0</v>
      </c>
    </row>
    <row r="825" spans="1:22" x14ac:dyDescent="0.25">
      <c r="A825" s="116" t="str">
        <f t="shared" si="13"/>
        <v/>
      </c>
      <c r="K825" s="130">
        <f>SUMIFS(ТГ_ИД!$E:$E,ТГ_ИД!$B:$B,ТГ!$G$3,ТГ_ИД!$D:$D,ТГ!$A826)</f>
        <v>0</v>
      </c>
      <c r="L825" s="130">
        <f>SUMIFS(ТГ_ИД!$E:$E,ТГ_ИД!$B:$B,ТГ!$G$4,ТГ_ИД!$D:$D,ТГ!$A826)</f>
        <v>0</v>
      </c>
      <c r="M825" s="130">
        <f>SUMIFS(ТГ_ИД!$E:$E,ТГ_ИД!$B:$B,ТГ!$G$5,ТГ_ИД!$D:$D,ТГ!$A826)</f>
        <v>0</v>
      </c>
      <c r="N825" s="130">
        <f>SUMIFS(ТГ_ИД!$E:$E,ТГ_ИД!$B:$B,ТГ!$G$6,ТГ_ИД!$D:$D,ТГ!$A826)</f>
        <v>0</v>
      </c>
      <c r="O825" s="130">
        <f>SUMIFS(ТГ_ИД!$E:$E,ТГ_ИД!$B:$B,ТГ!$G$7,ТГ_ИД!$D:$D,ТГ!$A826)</f>
        <v>0</v>
      </c>
      <c r="P825" s="130">
        <f>SUMIFS(ТГ_ИД!$E:$E,ТГ_ИД!$B:$B,ТГ!$G$8,ТГ_ИД!$D:$D,ТГ!$A826)</f>
        <v>0</v>
      </c>
      <c r="Q825" s="130">
        <f>SUMIFS(ТГ_ИД!$E:$E,ТГ_ИД!$B:$B,ТГ!$G$9,ТГ_ИД!$D:$D,ТГ!$A826)</f>
        <v>0</v>
      </c>
      <c r="R825" s="130">
        <f>SUMIFS(ТГ_ИД!$E:$E,ТГ_ИД!$B:$B,ТГ!$G$10,ТГ_ИД!$D:$D,ТГ!$A826)</f>
        <v>0</v>
      </c>
      <c r="S825" s="130">
        <f>SUMIFS(ТГ_ИД!$E:$E,ТГ_ИД!$B:$B,ТГ!$G$11,ТГ_ИД!$D:$D,ТГ!$A826)</f>
        <v>0</v>
      </c>
      <c r="T825" s="130">
        <f>SUMIFS(ТГ_ИД!$E:$E,ТГ_ИД!$B:$B,ТГ!$G$12,ТГ_ИД!$D:$D,ТГ!$A826)</f>
        <v>0</v>
      </c>
      <c r="U825" s="130">
        <f>SUMIFS(ТГ_ИД!$E:$E,ТГ_ИД!$B:$B,ТГ!$G$13,ТГ_ИД!$D:$D,ТГ!$A826)</f>
        <v>0</v>
      </c>
      <c r="V825" s="130">
        <f>SUMIFS(ТГ_ИД!$E:$E,ТГ_ИД!$B:$B,ТГ!$G$14,ТГ_ИД!$D:$D,ТГ!$A826)</f>
        <v>0</v>
      </c>
    </row>
    <row r="826" spans="1:22" x14ac:dyDescent="0.25">
      <c r="A826" s="116" t="str">
        <f t="shared" si="13"/>
        <v/>
      </c>
      <c r="K826" s="130">
        <f>SUMIFS(ТГ_ИД!$E:$E,ТГ_ИД!$B:$B,ТГ!$G$3,ТГ_ИД!$D:$D,ТГ!$A827)</f>
        <v>0</v>
      </c>
      <c r="L826" s="130">
        <f>SUMIFS(ТГ_ИД!$E:$E,ТГ_ИД!$B:$B,ТГ!$G$4,ТГ_ИД!$D:$D,ТГ!$A827)</f>
        <v>0</v>
      </c>
      <c r="M826" s="130">
        <f>SUMIFS(ТГ_ИД!$E:$E,ТГ_ИД!$B:$B,ТГ!$G$5,ТГ_ИД!$D:$D,ТГ!$A827)</f>
        <v>0</v>
      </c>
      <c r="N826" s="130">
        <f>SUMIFS(ТГ_ИД!$E:$E,ТГ_ИД!$B:$B,ТГ!$G$6,ТГ_ИД!$D:$D,ТГ!$A827)</f>
        <v>0</v>
      </c>
      <c r="O826" s="130">
        <f>SUMIFS(ТГ_ИД!$E:$E,ТГ_ИД!$B:$B,ТГ!$G$7,ТГ_ИД!$D:$D,ТГ!$A827)</f>
        <v>0</v>
      </c>
      <c r="P826" s="130">
        <f>SUMIFS(ТГ_ИД!$E:$E,ТГ_ИД!$B:$B,ТГ!$G$8,ТГ_ИД!$D:$D,ТГ!$A827)</f>
        <v>0</v>
      </c>
      <c r="Q826" s="130">
        <f>SUMIFS(ТГ_ИД!$E:$E,ТГ_ИД!$B:$B,ТГ!$G$9,ТГ_ИД!$D:$D,ТГ!$A827)</f>
        <v>0</v>
      </c>
      <c r="R826" s="130">
        <f>SUMIFS(ТГ_ИД!$E:$E,ТГ_ИД!$B:$B,ТГ!$G$10,ТГ_ИД!$D:$D,ТГ!$A827)</f>
        <v>0</v>
      </c>
      <c r="S826" s="130">
        <f>SUMIFS(ТГ_ИД!$E:$E,ТГ_ИД!$B:$B,ТГ!$G$11,ТГ_ИД!$D:$D,ТГ!$A827)</f>
        <v>0</v>
      </c>
      <c r="T826" s="130">
        <f>SUMIFS(ТГ_ИД!$E:$E,ТГ_ИД!$B:$B,ТГ!$G$12,ТГ_ИД!$D:$D,ТГ!$A827)</f>
        <v>0</v>
      </c>
      <c r="U826" s="130">
        <f>SUMIFS(ТГ_ИД!$E:$E,ТГ_ИД!$B:$B,ТГ!$G$13,ТГ_ИД!$D:$D,ТГ!$A827)</f>
        <v>0</v>
      </c>
      <c r="V826" s="130">
        <f>SUMIFS(ТГ_ИД!$E:$E,ТГ_ИД!$B:$B,ТГ!$G$14,ТГ_ИД!$D:$D,ТГ!$A827)</f>
        <v>0</v>
      </c>
    </row>
    <row r="827" spans="1:22" x14ac:dyDescent="0.25">
      <c r="A827" s="116" t="str">
        <f t="shared" si="13"/>
        <v/>
      </c>
      <c r="K827" s="130">
        <f>SUMIFS(ТГ_ИД!$E:$E,ТГ_ИД!$B:$B,ТГ!$G$3,ТГ_ИД!$D:$D,ТГ!$A828)</f>
        <v>0</v>
      </c>
      <c r="L827" s="130">
        <f>SUMIFS(ТГ_ИД!$E:$E,ТГ_ИД!$B:$B,ТГ!$G$4,ТГ_ИД!$D:$D,ТГ!$A828)</f>
        <v>0</v>
      </c>
      <c r="M827" s="130">
        <f>SUMIFS(ТГ_ИД!$E:$E,ТГ_ИД!$B:$B,ТГ!$G$5,ТГ_ИД!$D:$D,ТГ!$A828)</f>
        <v>0</v>
      </c>
      <c r="N827" s="130">
        <f>SUMIFS(ТГ_ИД!$E:$E,ТГ_ИД!$B:$B,ТГ!$G$6,ТГ_ИД!$D:$D,ТГ!$A828)</f>
        <v>0</v>
      </c>
      <c r="O827" s="130">
        <f>SUMIFS(ТГ_ИД!$E:$E,ТГ_ИД!$B:$B,ТГ!$G$7,ТГ_ИД!$D:$D,ТГ!$A828)</f>
        <v>0</v>
      </c>
      <c r="P827" s="130">
        <f>SUMIFS(ТГ_ИД!$E:$E,ТГ_ИД!$B:$B,ТГ!$G$8,ТГ_ИД!$D:$D,ТГ!$A828)</f>
        <v>0</v>
      </c>
      <c r="Q827" s="130">
        <f>SUMIFS(ТГ_ИД!$E:$E,ТГ_ИД!$B:$B,ТГ!$G$9,ТГ_ИД!$D:$D,ТГ!$A828)</f>
        <v>0</v>
      </c>
      <c r="R827" s="130">
        <f>SUMIFS(ТГ_ИД!$E:$E,ТГ_ИД!$B:$B,ТГ!$G$10,ТГ_ИД!$D:$D,ТГ!$A828)</f>
        <v>0</v>
      </c>
      <c r="S827" s="130">
        <f>SUMIFS(ТГ_ИД!$E:$E,ТГ_ИД!$B:$B,ТГ!$G$11,ТГ_ИД!$D:$D,ТГ!$A828)</f>
        <v>0</v>
      </c>
      <c r="T827" s="130">
        <f>SUMIFS(ТГ_ИД!$E:$E,ТГ_ИД!$B:$B,ТГ!$G$12,ТГ_ИД!$D:$D,ТГ!$A828)</f>
        <v>0</v>
      </c>
      <c r="U827" s="130">
        <f>SUMIFS(ТГ_ИД!$E:$E,ТГ_ИД!$B:$B,ТГ!$G$13,ТГ_ИД!$D:$D,ТГ!$A828)</f>
        <v>0</v>
      </c>
      <c r="V827" s="130">
        <f>SUMIFS(ТГ_ИД!$E:$E,ТГ_ИД!$B:$B,ТГ!$G$14,ТГ_ИД!$D:$D,ТГ!$A828)</f>
        <v>0</v>
      </c>
    </row>
    <row r="828" spans="1:22" x14ac:dyDescent="0.25">
      <c r="A828" s="116" t="str">
        <f t="shared" si="13"/>
        <v/>
      </c>
      <c r="K828" s="130">
        <f>SUMIFS(ТГ_ИД!$E:$E,ТГ_ИД!$B:$B,ТГ!$G$3,ТГ_ИД!$D:$D,ТГ!$A829)</f>
        <v>0</v>
      </c>
      <c r="L828" s="130">
        <f>SUMIFS(ТГ_ИД!$E:$E,ТГ_ИД!$B:$B,ТГ!$G$4,ТГ_ИД!$D:$D,ТГ!$A829)</f>
        <v>0</v>
      </c>
      <c r="M828" s="130">
        <f>SUMIFS(ТГ_ИД!$E:$E,ТГ_ИД!$B:$B,ТГ!$G$5,ТГ_ИД!$D:$D,ТГ!$A829)</f>
        <v>0</v>
      </c>
      <c r="N828" s="130">
        <f>SUMIFS(ТГ_ИД!$E:$E,ТГ_ИД!$B:$B,ТГ!$G$6,ТГ_ИД!$D:$D,ТГ!$A829)</f>
        <v>0</v>
      </c>
      <c r="O828" s="130">
        <f>SUMIFS(ТГ_ИД!$E:$E,ТГ_ИД!$B:$B,ТГ!$G$7,ТГ_ИД!$D:$D,ТГ!$A829)</f>
        <v>0</v>
      </c>
      <c r="P828" s="130">
        <f>SUMIFS(ТГ_ИД!$E:$E,ТГ_ИД!$B:$B,ТГ!$G$8,ТГ_ИД!$D:$D,ТГ!$A829)</f>
        <v>0</v>
      </c>
      <c r="Q828" s="130">
        <f>SUMIFS(ТГ_ИД!$E:$E,ТГ_ИД!$B:$B,ТГ!$G$9,ТГ_ИД!$D:$D,ТГ!$A829)</f>
        <v>0</v>
      </c>
      <c r="R828" s="130">
        <f>SUMIFS(ТГ_ИД!$E:$E,ТГ_ИД!$B:$B,ТГ!$G$10,ТГ_ИД!$D:$D,ТГ!$A829)</f>
        <v>0</v>
      </c>
      <c r="S828" s="130">
        <f>SUMIFS(ТГ_ИД!$E:$E,ТГ_ИД!$B:$B,ТГ!$G$11,ТГ_ИД!$D:$D,ТГ!$A829)</f>
        <v>0</v>
      </c>
      <c r="T828" s="130">
        <f>SUMIFS(ТГ_ИД!$E:$E,ТГ_ИД!$B:$B,ТГ!$G$12,ТГ_ИД!$D:$D,ТГ!$A829)</f>
        <v>0</v>
      </c>
      <c r="U828" s="130">
        <f>SUMIFS(ТГ_ИД!$E:$E,ТГ_ИД!$B:$B,ТГ!$G$13,ТГ_ИД!$D:$D,ТГ!$A829)</f>
        <v>0</v>
      </c>
      <c r="V828" s="130">
        <f>SUMIFS(ТГ_ИД!$E:$E,ТГ_ИД!$B:$B,ТГ!$G$14,ТГ_ИД!$D:$D,ТГ!$A829)</f>
        <v>0</v>
      </c>
    </row>
    <row r="829" spans="1:22" x14ac:dyDescent="0.25">
      <c r="A829" s="116" t="str">
        <f t="shared" si="13"/>
        <v/>
      </c>
      <c r="K829" s="130">
        <f>SUMIFS(ТГ_ИД!$E:$E,ТГ_ИД!$B:$B,ТГ!$G$3,ТГ_ИД!$D:$D,ТГ!$A830)</f>
        <v>0</v>
      </c>
      <c r="L829" s="130">
        <f>SUMIFS(ТГ_ИД!$E:$E,ТГ_ИД!$B:$B,ТГ!$G$4,ТГ_ИД!$D:$D,ТГ!$A830)</f>
        <v>0</v>
      </c>
      <c r="M829" s="130">
        <f>SUMIFS(ТГ_ИД!$E:$E,ТГ_ИД!$B:$B,ТГ!$G$5,ТГ_ИД!$D:$D,ТГ!$A830)</f>
        <v>0</v>
      </c>
      <c r="N829" s="130">
        <f>SUMIFS(ТГ_ИД!$E:$E,ТГ_ИД!$B:$B,ТГ!$G$6,ТГ_ИД!$D:$D,ТГ!$A830)</f>
        <v>0</v>
      </c>
      <c r="O829" s="130">
        <f>SUMIFS(ТГ_ИД!$E:$E,ТГ_ИД!$B:$B,ТГ!$G$7,ТГ_ИД!$D:$D,ТГ!$A830)</f>
        <v>0</v>
      </c>
      <c r="P829" s="130">
        <f>SUMIFS(ТГ_ИД!$E:$E,ТГ_ИД!$B:$B,ТГ!$G$8,ТГ_ИД!$D:$D,ТГ!$A830)</f>
        <v>0</v>
      </c>
      <c r="Q829" s="130">
        <f>SUMIFS(ТГ_ИД!$E:$E,ТГ_ИД!$B:$B,ТГ!$G$9,ТГ_ИД!$D:$D,ТГ!$A830)</f>
        <v>0</v>
      </c>
      <c r="R829" s="130">
        <f>SUMIFS(ТГ_ИД!$E:$E,ТГ_ИД!$B:$B,ТГ!$G$10,ТГ_ИД!$D:$D,ТГ!$A830)</f>
        <v>0</v>
      </c>
      <c r="S829" s="130">
        <f>SUMIFS(ТГ_ИД!$E:$E,ТГ_ИД!$B:$B,ТГ!$G$11,ТГ_ИД!$D:$D,ТГ!$A830)</f>
        <v>0</v>
      </c>
      <c r="T829" s="130">
        <f>SUMIFS(ТГ_ИД!$E:$E,ТГ_ИД!$B:$B,ТГ!$G$12,ТГ_ИД!$D:$D,ТГ!$A830)</f>
        <v>0</v>
      </c>
      <c r="U829" s="130">
        <f>SUMIFS(ТГ_ИД!$E:$E,ТГ_ИД!$B:$B,ТГ!$G$13,ТГ_ИД!$D:$D,ТГ!$A830)</f>
        <v>0</v>
      </c>
      <c r="V829" s="130">
        <f>SUMIFS(ТГ_ИД!$E:$E,ТГ_ИД!$B:$B,ТГ!$G$14,ТГ_ИД!$D:$D,ТГ!$A830)</f>
        <v>0</v>
      </c>
    </row>
    <row r="830" spans="1:22" x14ac:dyDescent="0.25">
      <c r="A830" s="116" t="str">
        <f t="shared" si="13"/>
        <v/>
      </c>
      <c r="K830" s="130">
        <f>SUMIFS(ТГ_ИД!$E:$E,ТГ_ИД!$B:$B,ТГ!$G$3,ТГ_ИД!$D:$D,ТГ!$A831)</f>
        <v>0</v>
      </c>
      <c r="L830" s="130">
        <f>SUMIFS(ТГ_ИД!$E:$E,ТГ_ИД!$B:$B,ТГ!$G$4,ТГ_ИД!$D:$D,ТГ!$A831)</f>
        <v>0</v>
      </c>
      <c r="M830" s="130">
        <f>SUMIFS(ТГ_ИД!$E:$E,ТГ_ИД!$B:$B,ТГ!$G$5,ТГ_ИД!$D:$D,ТГ!$A831)</f>
        <v>0</v>
      </c>
      <c r="N830" s="130">
        <f>SUMIFS(ТГ_ИД!$E:$E,ТГ_ИД!$B:$B,ТГ!$G$6,ТГ_ИД!$D:$D,ТГ!$A831)</f>
        <v>0</v>
      </c>
      <c r="O830" s="130">
        <f>SUMIFS(ТГ_ИД!$E:$E,ТГ_ИД!$B:$B,ТГ!$G$7,ТГ_ИД!$D:$D,ТГ!$A831)</f>
        <v>0</v>
      </c>
      <c r="P830" s="130">
        <f>SUMIFS(ТГ_ИД!$E:$E,ТГ_ИД!$B:$B,ТГ!$G$8,ТГ_ИД!$D:$D,ТГ!$A831)</f>
        <v>0</v>
      </c>
      <c r="Q830" s="130">
        <f>SUMIFS(ТГ_ИД!$E:$E,ТГ_ИД!$B:$B,ТГ!$G$9,ТГ_ИД!$D:$D,ТГ!$A831)</f>
        <v>0</v>
      </c>
      <c r="R830" s="130">
        <f>SUMIFS(ТГ_ИД!$E:$E,ТГ_ИД!$B:$B,ТГ!$G$10,ТГ_ИД!$D:$D,ТГ!$A831)</f>
        <v>0</v>
      </c>
      <c r="S830" s="130">
        <f>SUMIFS(ТГ_ИД!$E:$E,ТГ_ИД!$B:$B,ТГ!$G$11,ТГ_ИД!$D:$D,ТГ!$A831)</f>
        <v>0</v>
      </c>
      <c r="T830" s="130">
        <f>SUMIFS(ТГ_ИД!$E:$E,ТГ_ИД!$B:$B,ТГ!$G$12,ТГ_ИД!$D:$D,ТГ!$A831)</f>
        <v>0</v>
      </c>
      <c r="U830" s="130">
        <f>SUMIFS(ТГ_ИД!$E:$E,ТГ_ИД!$B:$B,ТГ!$G$13,ТГ_ИД!$D:$D,ТГ!$A831)</f>
        <v>0</v>
      </c>
      <c r="V830" s="130">
        <f>SUMIFS(ТГ_ИД!$E:$E,ТГ_ИД!$B:$B,ТГ!$G$14,ТГ_ИД!$D:$D,ТГ!$A831)</f>
        <v>0</v>
      </c>
    </row>
    <row r="831" spans="1:22" x14ac:dyDescent="0.25">
      <c r="A831" s="116" t="str">
        <f t="shared" si="13"/>
        <v/>
      </c>
      <c r="K831" s="130">
        <f>SUMIFS(ТГ_ИД!$E:$E,ТГ_ИД!$B:$B,ТГ!$G$3,ТГ_ИД!$D:$D,ТГ!$A832)</f>
        <v>0</v>
      </c>
      <c r="L831" s="130">
        <f>SUMIFS(ТГ_ИД!$E:$E,ТГ_ИД!$B:$B,ТГ!$G$4,ТГ_ИД!$D:$D,ТГ!$A832)</f>
        <v>0</v>
      </c>
      <c r="M831" s="130">
        <f>SUMIFS(ТГ_ИД!$E:$E,ТГ_ИД!$B:$B,ТГ!$G$5,ТГ_ИД!$D:$D,ТГ!$A832)</f>
        <v>0</v>
      </c>
      <c r="N831" s="130">
        <f>SUMIFS(ТГ_ИД!$E:$E,ТГ_ИД!$B:$B,ТГ!$G$6,ТГ_ИД!$D:$D,ТГ!$A832)</f>
        <v>0</v>
      </c>
      <c r="O831" s="130">
        <f>SUMIFS(ТГ_ИД!$E:$E,ТГ_ИД!$B:$B,ТГ!$G$7,ТГ_ИД!$D:$D,ТГ!$A832)</f>
        <v>0</v>
      </c>
      <c r="P831" s="130">
        <f>SUMIFS(ТГ_ИД!$E:$E,ТГ_ИД!$B:$B,ТГ!$G$8,ТГ_ИД!$D:$D,ТГ!$A832)</f>
        <v>0</v>
      </c>
      <c r="Q831" s="130">
        <f>SUMIFS(ТГ_ИД!$E:$E,ТГ_ИД!$B:$B,ТГ!$G$9,ТГ_ИД!$D:$D,ТГ!$A832)</f>
        <v>0</v>
      </c>
      <c r="R831" s="130">
        <f>SUMIFS(ТГ_ИД!$E:$E,ТГ_ИД!$B:$B,ТГ!$G$10,ТГ_ИД!$D:$D,ТГ!$A832)</f>
        <v>0</v>
      </c>
      <c r="S831" s="130">
        <f>SUMIFS(ТГ_ИД!$E:$E,ТГ_ИД!$B:$B,ТГ!$G$11,ТГ_ИД!$D:$D,ТГ!$A832)</f>
        <v>0</v>
      </c>
      <c r="T831" s="130">
        <f>SUMIFS(ТГ_ИД!$E:$E,ТГ_ИД!$B:$B,ТГ!$G$12,ТГ_ИД!$D:$D,ТГ!$A832)</f>
        <v>0</v>
      </c>
      <c r="U831" s="130">
        <f>SUMIFS(ТГ_ИД!$E:$E,ТГ_ИД!$B:$B,ТГ!$G$13,ТГ_ИД!$D:$D,ТГ!$A832)</f>
        <v>0</v>
      </c>
      <c r="V831" s="130">
        <f>SUMIFS(ТГ_ИД!$E:$E,ТГ_ИД!$B:$B,ТГ!$G$14,ТГ_ИД!$D:$D,ТГ!$A832)</f>
        <v>0</v>
      </c>
    </row>
    <row r="832" spans="1:22" x14ac:dyDescent="0.25">
      <c r="A832" s="116" t="str">
        <f t="shared" si="13"/>
        <v/>
      </c>
      <c r="K832" s="130">
        <f>SUMIFS(ТГ_ИД!$E:$E,ТГ_ИД!$B:$B,ТГ!$G$3,ТГ_ИД!$D:$D,ТГ!$A833)</f>
        <v>0</v>
      </c>
      <c r="L832" s="130">
        <f>SUMIFS(ТГ_ИД!$E:$E,ТГ_ИД!$B:$B,ТГ!$G$4,ТГ_ИД!$D:$D,ТГ!$A833)</f>
        <v>0</v>
      </c>
      <c r="M832" s="130">
        <f>SUMIFS(ТГ_ИД!$E:$E,ТГ_ИД!$B:$B,ТГ!$G$5,ТГ_ИД!$D:$D,ТГ!$A833)</f>
        <v>0</v>
      </c>
      <c r="N832" s="130">
        <f>SUMIFS(ТГ_ИД!$E:$E,ТГ_ИД!$B:$B,ТГ!$G$6,ТГ_ИД!$D:$D,ТГ!$A833)</f>
        <v>0</v>
      </c>
      <c r="O832" s="130">
        <f>SUMIFS(ТГ_ИД!$E:$E,ТГ_ИД!$B:$B,ТГ!$G$7,ТГ_ИД!$D:$D,ТГ!$A833)</f>
        <v>0</v>
      </c>
      <c r="P832" s="130">
        <f>SUMIFS(ТГ_ИД!$E:$E,ТГ_ИД!$B:$B,ТГ!$G$8,ТГ_ИД!$D:$D,ТГ!$A833)</f>
        <v>0</v>
      </c>
      <c r="Q832" s="130">
        <f>SUMIFS(ТГ_ИД!$E:$E,ТГ_ИД!$B:$B,ТГ!$G$9,ТГ_ИД!$D:$D,ТГ!$A833)</f>
        <v>0</v>
      </c>
      <c r="R832" s="130">
        <f>SUMIFS(ТГ_ИД!$E:$E,ТГ_ИД!$B:$B,ТГ!$G$10,ТГ_ИД!$D:$D,ТГ!$A833)</f>
        <v>0</v>
      </c>
      <c r="S832" s="130">
        <f>SUMIFS(ТГ_ИД!$E:$E,ТГ_ИД!$B:$B,ТГ!$G$11,ТГ_ИД!$D:$D,ТГ!$A833)</f>
        <v>0</v>
      </c>
      <c r="T832" s="130">
        <f>SUMIFS(ТГ_ИД!$E:$E,ТГ_ИД!$B:$B,ТГ!$G$12,ТГ_ИД!$D:$D,ТГ!$A833)</f>
        <v>0</v>
      </c>
      <c r="U832" s="130">
        <f>SUMIFS(ТГ_ИД!$E:$E,ТГ_ИД!$B:$B,ТГ!$G$13,ТГ_ИД!$D:$D,ТГ!$A833)</f>
        <v>0</v>
      </c>
      <c r="V832" s="130">
        <f>SUMIFS(ТГ_ИД!$E:$E,ТГ_ИД!$B:$B,ТГ!$G$14,ТГ_ИД!$D:$D,ТГ!$A833)</f>
        <v>0</v>
      </c>
    </row>
    <row r="833" spans="1:22" x14ac:dyDescent="0.25">
      <c r="A833" s="116" t="str">
        <f t="shared" si="13"/>
        <v/>
      </c>
      <c r="K833" s="130">
        <f>SUMIFS(ТГ_ИД!$E:$E,ТГ_ИД!$B:$B,ТГ!$G$3,ТГ_ИД!$D:$D,ТГ!$A834)</f>
        <v>0</v>
      </c>
      <c r="L833" s="130">
        <f>SUMIFS(ТГ_ИД!$E:$E,ТГ_ИД!$B:$B,ТГ!$G$4,ТГ_ИД!$D:$D,ТГ!$A834)</f>
        <v>0</v>
      </c>
      <c r="M833" s="130">
        <f>SUMIFS(ТГ_ИД!$E:$E,ТГ_ИД!$B:$B,ТГ!$G$5,ТГ_ИД!$D:$D,ТГ!$A834)</f>
        <v>0</v>
      </c>
      <c r="N833" s="130">
        <f>SUMIFS(ТГ_ИД!$E:$E,ТГ_ИД!$B:$B,ТГ!$G$6,ТГ_ИД!$D:$D,ТГ!$A834)</f>
        <v>0</v>
      </c>
      <c r="O833" s="130">
        <f>SUMIFS(ТГ_ИД!$E:$E,ТГ_ИД!$B:$B,ТГ!$G$7,ТГ_ИД!$D:$D,ТГ!$A834)</f>
        <v>0</v>
      </c>
      <c r="P833" s="130">
        <f>SUMIFS(ТГ_ИД!$E:$E,ТГ_ИД!$B:$B,ТГ!$G$8,ТГ_ИД!$D:$D,ТГ!$A834)</f>
        <v>0</v>
      </c>
      <c r="Q833" s="130">
        <f>SUMIFS(ТГ_ИД!$E:$E,ТГ_ИД!$B:$B,ТГ!$G$9,ТГ_ИД!$D:$D,ТГ!$A834)</f>
        <v>0</v>
      </c>
      <c r="R833" s="130">
        <f>SUMIFS(ТГ_ИД!$E:$E,ТГ_ИД!$B:$B,ТГ!$G$10,ТГ_ИД!$D:$D,ТГ!$A834)</f>
        <v>0</v>
      </c>
      <c r="S833" s="130">
        <f>SUMIFS(ТГ_ИД!$E:$E,ТГ_ИД!$B:$B,ТГ!$G$11,ТГ_ИД!$D:$D,ТГ!$A834)</f>
        <v>0</v>
      </c>
      <c r="T833" s="130">
        <f>SUMIFS(ТГ_ИД!$E:$E,ТГ_ИД!$B:$B,ТГ!$G$12,ТГ_ИД!$D:$D,ТГ!$A834)</f>
        <v>0</v>
      </c>
      <c r="U833" s="130">
        <f>SUMIFS(ТГ_ИД!$E:$E,ТГ_ИД!$B:$B,ТГ!$G$13,ТГ_ИД!$D:$D,ТГ!$A834)</f>
        <v>0</v>
      </c>
      <c r="V833" s="130">
        <f>SUMIFS(ТГ_ИД!$E:$E,ТГ_ИД!$B:$B,ТГ!$G$14,ТГ_ИД!$D:$D,ТГ!$A834)</f>
        <v>0</v>
      </c>
    </row>
    <row r="834" spans="1:22" x14ac:dyDescent="0.25">
      <c r="A834" s="116" t="str">
        <f t="shared" si="13"/>
        <v/>
      </c>
      <c r="K834" s="130">
        <f>SUMIFS(ТГ_ИД!$E:$E,ТГ_ИД!$B:$B,ТГ!$G$3,ТГ_ИД!$D:$D,ТГ!$A835)</f>
        <v>0</v>
      </c>
      <c r="L834" s="130">
        <f>SUMIFS(ТГ_ИД!$E:$E,ТГ_ИД!$B:$B,ТГ!$G$4,ТГ_ИД!$D:$D,ТГ!$A835)</f>
        <v>0</v>
      </c>
      <c r="M834" s="130">
        <f>SUMIFS(ТГ_ИД!$E:$E,ТГ_ИД!$B:$B,ТГ!$G$5,ТГ_ИД!$D:$D,ТГ!$A835)</f>
        <v>0</v>
      </c>
      <c r="N834" s="130">
        <f>SUMIFS(ТГ_ИД!$E:$E,ТГ_ИД!$B:$B,ТГ!$G$6,ТГ_ИД!$D:$D,ТГ!$A835)</f>
        <v>0</v>
      </c>
      <c r="O834" s="130">
        <f>SUMIFS(ТГ_ИД!$E:$E,ТГ_ИД!$B:$B,ТГ!$G$7,ТГ_ИД!$D:$D,ТГ!$A835)</f>
        <v>0</v>
      </c>
      <c r="P834" s="130">
        <f>SUMIFS(ТГ_ИД!$E:$E,ТГ_ИД!$B:$B,ТГ!$G$8,ТГ_ИД!$D:$D,ТГ!$A835)</f>
        <v>0</v>
      </c>
      <c r="Q834" s="130">
        <f>SUMIFS(ТГ_ИД!$E:$E,ТГ_ИД!$B:$B,ТГ!$G$9,ТГ_ИД!$D:$D,ТГ!$A835)</f>
        <v>0</v>
      </c>
      <c r="R834" s="130">
        <f>SUMIFS(ТГ_ИД!$E:$E,ТГ_ИД!$B:$B,ТГ!$G$10,ТГ_ИД!$D:$D,ТГ!$A835)</f>
        <v>0</v>
      </c>
      <c r="S834" s="130">
        <f>SUMIFS(ТГ_ИД!$E:$E,ТГ_ИД!$B:$B,ТГ!$G$11,ТГ_ИД!$D:$D,ТГ!$A835)</f>
        <v>0</v>
      </c>
      <c r="T834" s="130">
        <f>SUMIFS(ТГ_ИД!$E:$E,ТГ_ИД!$B:$B,ТГ!$G$12,ТГ_ИД!$D:$D,ТГ!$A835)</f>
        <v>0</v>
      </c>
      <c r="U834" s="130">
        <f>SUMIFS(ТГ_ИД!$E:$E,ТГ_ИД!$B:$B,ТГ!$G$13,ТГ_ИД!$D:$D,ТГ!$A835)</f>
        <v>0</v>
      </c>
      <c r="V834" s="130">
        <f>SUMIFS(ТГ_ИД!$E:$E,ТГ_ИД!$B:$B,ТГ!$G$14,ТГ_ИД!$D:$D,ТГ!$A835)</f>
        <v>0</v>
      </c>
    </row>
    <row r="835" spans="1:22" x14ac:dyDescent="0.25">
      <c r="A835" s="116" t="str">
        <f t="shared" si="13"/>
        <v/>
      </c>
      <c r="K835" s="130">
        <f>SUMIFS(ТГ_ИД!$E:$E,ТГ_ИД!$B:$B,ТГ!$G$3,ТГ_ИД!$D:$D,ТГ!$A836)</f>
        <v>0</v>
      </c>
      <c r="L835" s="130">
        <f>SUMIFS(ТГ_ИД!$E:$E,ТГ_ИД!$B:$B,ТГ!$G$4,ТГ_ИД!$D:$D,ТГ!$A836)</f>
        <v>0</v>
      </c>
      <c r="M835" s="130">
        <f>SUMIFS(ТГ_ИД!$E:$E,ТГ_ИД!$B:$B,ТГ!$G$5,ТГ_ИД!$D:$D,ТГ!$A836)</f>
        <v>0</v>
      </c>
      <c r="N835" s="130">
        <f>SUMIFS(ТГ_ИД!$E:$E,ТГ_ИД!$B:$B,ТГ!$G$6,ТГ_ИД!$D:$D,ТГ!$A836)</f>
        <v>0</v>
      </c>
      <c r="O835" s="130">
        <f>SUMIFS(ТГ_ИД!$E:$E,ТГ_ИД!$B:$B,ТГ!$G$7,ТГ_ИД!$D:$D,ТГ!$A836)</f>
        <v>0</v>
      </c>
      <c r="P835" s="130">
        <f>SUMIFS(ТГ_ИД!$E:$E,ТГ_ИД!$B:$B,ТГ!$G$8,ТГ_ИД!$D:$D,ТГ!$A836)</f>
        <v>0</v>
      </c>
      <c r="Q835" s="130">
        <f>SUMIFS(ТГ_ИД!$E:$E,ТГ_ИД!$B:$B,ТГ!$G$9,ТГ_ИД!$D:$D,ТГ!$A836)</f>
        <v>0</v>
      </c>
      <c r="R835" s="130">
        <f>SUMIFS(ТГ_ИД!$E:$E,ТГ_ИД!$B:$B,ТГ!$G$10,ТГ_ИД!$D:$D,ТГ!$A836)</f>
        <v>0</v>
      </c>
      <c r="S835" s="130">
        <f>SUMIFS(ТГ_ИД!$E:$E,ТГ_ИД!$B:$B,ТГ!$G$11,ТГ_ИД!$D:$D,ТГ!$A836)</f>
        <v>0</v>
      </c>
      <c r="T835" s="130">
        <f>SUMIFS(ТГ_ИД!$E:$E,ТГ_ИД!$B:$B,ТГ!$G$12,ТГ_ИД!$D:$D,ТГ!$A836)</f>
        <v>0</v>
      </c>
      <c r="U835" s="130">
        <f>SUMIFS(ТГ_ИД!$E:$E,ТГ_ИД!$B:$B,ТГ!$G$13,ТГ_ИД!$D:$D,ТГ!$A836)</f>
        <v>0</v>
      </c>
      <c r="V835" s="130">
        <f>SUMIFS(ТГ_ИД!$E:$E,ТГ_ИД!$B:$B,ТГ!$G$14,ТГ_ИД!$D:$D,ТГ!$A836)</f>
        <v>0</v>
      </c>
    </row>
    <row r="836" spans="1:22" x14ac:dyDescent="0.25">
      <c r="A836" s="116" t="str">
        <f t="shared" si="13"/>
        <v/>
      </c>
      <c r="K836" s="130">
        <f>SUMIFS(ТГ_ИД!$E:$E,ТГ_ИД!$B:$B,ТГ!$G$3,ТГ_ИД!$D:$D,ТГ!$A837)</f>
        <v>0</v>
      </c>
      <c r="L836" s="130">
        <f>SUMIFS(ТГ_ИД!$E:$E,ТГ_ИД!$B:$B,ТГ!$G$4,ТГ_ИД!$D:$D,ТГ!$A837)</f>
        <v>0</v>
      </c>
      <c r="M836" s="130">
        <f>SUMIFS(ТГ_ИД!$E:$E,ТГ_ИД!$B:$B,ТГ!$G$5,ТГ_ИД!$D:$D,ТГ!$A837)</f>
        <v>0</v>
      </c>
      <c r="N836" s="130">
        <f>SUMIFS(ТГ_ИД!$E:$E,ТГ_ИД!$B:$B,ТГ!$G$6,ТГ_ИД!$D:$D,ТГ!$A837)</f>
        <v>0</v>
      </c>
      <c r="O836" s="130">
        <f>SUMIFS(ТГ_ИД!$E:$E,ТГ_ИД!$B:$B,ТГ!$G$7,ТГ_ИД!$D:$D,ТГ!$A837)</f>
        <v>0</v>
      </c>
      <c r="P836" s="130">
        <f>SUMIFS(ТГ_ИД!$E:$E,ТГ_ИД!$B:$B,ТГ!$G$8,ТГ_ИД!$D:$D,ТГ!$A837)</f>
        <v>0</v>
      </c>
      <c r="Q836" s="130">
        <f>SUMIFS(ТГ_ИД!$E:$E,ТГ_ИД!$B:$B,ТГ!$G$9,ТГ_ИД!$D:$D,ТГ!$A837)</f>
        <v>0</v>
      </c>
      <c r="R836" s="130">
        <f>SUMIFS(ТГ_ИД!$E:$E,ТГ_ИД!$B:$B,ТГ!$G$10,ТГ_ИД!$D:$D,ТГ!$A837)</f>
        <v>0</v>
      </c>
      <c r="S836" s="130">
        <f>SUMIFS(ТГ_ИД!$E:$E,ТГ_ИД!$B:$B,ТГ!$G$11,ТГ_ИД!$D:$D,ТГ!$A837)</f>
        <v>0</v>
      </c>
      <c r="T836" s="130">
        <f>SUMIFS(ТГ_ИД!$E:$E,ТГ_ИД!$B:$B,ТГ!$G$12,ТГ_ИД!$D:$D,ТГ!$A837)</f>
        <v>0</v>
      </c>
      <c r="U836" s="130">
        <f>SUMIFS(ТГ_ИД!$E:$E,ТГ_ИД!$B:$B,ТГ!$G$13,ТГ_ИД!$D:$D,ТГ!$A837)</f>
        <v>0</v>
      </c>
      <c r="V836" s="130">
        <f>SUMIFS(ТГ_ИД!$E:$E,ТГ_ИД!$B:$B,ТГ!$G$14,ТГ_ИД!$D:$D,ТГ!$A837)</f>
        <v>0</v>
      </c>
    </row>
    <row r="837" spans="1:22" x14ac:dyDescent="0.25">
      <c r="A837" s="116" t="str">
        <f t="shared" ref="A837:A900" si="14">IF(B837="","",TEXT(B837,"00000"))</f>
        <v/>
      </c>
      <c r="K837" s="130">
        <f>SUMIFS(ТГ_ИД!$E:$E,ТГ_ИД!$B:$B,ТГ!$G$3,ТГ_ИД!$D:$D,ТГ!$A838)</f>
        <v>0</v>
      </c>
      <c r="L837" s="130">
        <f>SUMIFS(ТГ_ИД!$E:$E,ТГ_ИД!$B:$B,ТГ!$G$4,ТГ_ИД!$D:$D,ТГ!$A838)</f>
        <v>0</v>
      </c>
      <c r="M837" s="130">
        <f>SUMIFS(ТГ_ИД!$E:$E,ТГ_ИД!$B:$B,ТГ!$G$5,ТГ_ИД!$D:$D,ТГ!$A838)</f>
        <v>0</v>
      </c>
      <c r="N837" s="130">
        <f>SUMIFS(ТГ_ИД!$E:$E,ТГ_ИД!$B:$B,ТГ!$G$6,ТГ_ИД!$D:$D,ТГ!$A838)</f>
        <v>0</v>
      </c>
      <c r="O837" s="130">
        <f>SUMIFS(ТГ_ИД!$E:$E,ТГ_ИД!$B:$B,ТГ!$G$7,ТГ_ИД!$D:$D,ТГ!$A838)</f>
        <v>0</v>
      </c>
      <c r="P837" s="130">
        <f>SUMIFS(ТГ_ИД!$E:$E,ТГ_ИД!$B:$B,ТГ!$G$8,ТГ_ИД!$D:$D,ТГ!$A838)</f>
        <v>0</v>
      </c>
      <c r="Q837" s="130">
        <f>SUMIFS(ТГ_ИД!$E:$E,ТГ_ИД!$B:$B,ТГ!$G$9,ТГ_ИД!$D:$D,ТГ!$A838)</f>
        <v>0</v>
      </c>
      <c r="R837" s="130">
        <f>SUMIFS(ТГ_ИД!$E:$E,ТГ_ИД!$B:$B,ТГ!$G$10,ТГ_ИД!$D:$D,ТГ!$A838)</f>
        <v>0</v>
      </c>
      <c r="S837" s="130">
        <f>SUMIFS(ТГ_ИД!$E:$E,ТГ_ИД!$B:$B,ТГ!$G$11,ТГ_ИД!$D:$D,ТГ!$A838)</f>
        <v>0</v>
      </c>
      <c r="T837" s="130">
        <f>SUMIFS(ТГ_ИД!$E:$E,ТГ_ИД!$B:$B,ТГ!$G$12,ТГ_ИД!$D:$D,ТГ!$A838)</f>
        <v>0</v>
      </c>
      <c r="U837" s="130">
        <f>SUMIFS(ТГ_ИД!$E:$E,ТГ_ИД!$B:$B,ТГ!$G$13,ТГ_ИД!$D:$D,ТГ!$A838)</f>
        <v>0</v>
      </c>
      <c r="V837" s="130">
        <f>SUMIFS(ТГ_ИД!$E:$E,ТГ_ИД!$B:$B,ТГ!$G$14,ТГ_ИД!$D:$D,ТГ!$A838)</f>
        <v>0</v>
      </c>
    </row>
    <row r="838" spans="1:22" x14ac:dyDescent="0.25">
      <c r="A838" s="116" t="str">
        <f t="shared" si="14"/>
        <v/>
      </c>
      <c r="K838" s="130">
        <f>SUMIFS(ТГ_ИД!$E:$E,ТГ_ИД!$B:$B,ТГ!$G$3,ТГ_ИД!$D:$D,ТГ!$A839)</f>
        <v>0</v>
      </c>
      <c r="L838" s="130">
        <f>SUMIFS(ТГ_ИД!$E:$E,ТГ_ИД!$B:$B,ТГ!$G$4,ТГ_ИД!$D:$D,ТГ!$A839)</f>
        <v>0</v>
      </c>
      <c r="M838" s="130">
        <f>SUMIFS(ТГ_ИД!$E:$E,ТГ_ИД!$B:$B,ТГ!$G$5,ТГ_ИД!$D:$D,ТГ!$A839)</f>
        <v>0</v>
      </c>
      <c r="N838" s="130">
        <f>SUMIFS(ТГ_ИД!$E:$E,ТГ_ИД!$B:$B,ТГ!$G$6,ТГ_ИД!$D:$D,ТГ!$A839)</f>
        <v>0</v>
      </c>
      <c r="O838" s="130">
        <f>SUMIFS(ТГ_ИД!$E:$E,ТГ_ИД!$B:$B,ТГ!$G$7,ТГ_ИД!$D:$D,ТГ!$A839)</f>
        <v>0</v>
      </c>
      <c r="P838" s="130">
        <f>SUMIFS(ТГ_ИД!$E:$E,ТГ_ИД!$B:$B,ТГ!$G$8,ТГ_ИД!$D:$D,ТГ!$A839)</f>
        <v>0</v>
      </c>
      <c r="Q838" s="130">
        <f>SUMIFS(ТГ_ИД!$E:$E,ТГ_ИД!$B:$B,ТГ!$G$9,ТГ_ИД!$D:$D,ТГ!$A839)</f>
        <v>0</v>
      </c>
      <c r="R838" s="130">
        <f>SUMIFS(ТГ_ИД!$E:$E,ТГ_ИД!$B:$B,ТГ!$G$10,ТГ_ИД!$D:$D,ТГ!$A839)</f>
        <v>0</v>
      </c>
      <c r="S838" s="130">
        <f>SUMIFS(ТГ_ИД!$E:$E,ТГ_ИД!$B:$B,ТГ!$G$11,ТГ_ИД!$D:$D,ТГ!$A839)</f>
        <v>0</v>
      </c>
      <c r="T838" s="130">
        <f>SUMIFS(ТГ_ИД!$E:$E,ТГ_ИД!$B:$B,ТГ!$G$12,ТГ_ИД!$D:$D,ТГ!$A839)</f>
        <v>0</v>
      </c>
      <c r="U838" s="130">
        <f>SUMIFS(ТГ_ИД!$E:$E,ТГ_ИД!$B:$B,ТГ!$G$13,ТГ_ИД!$D:$D,ТГ!$A839)</f>
        <v>0</v>
      </c>
      <c r="V838" s="130">
        <f>SUMIFS(ТГ_ИД!$E:$E,ТГ_ИД!$B:$B,ТГ!$G$14,ТГ_ИД!$D:$D,ТГ!$A839)</f>
        <v>0</v>
      </c>
    </row>
    <row r="839" spans="1:22" x14ac:dyDescent="0.25">
      <c r="A839" s="116" t="str">
        <f t="shared" si="14"/>
        <v/>
      </c>
      <c r="K839" s="130">
        <f>SUMIFS(ТГ_ИД!$E:$E,ТГ_ИД!$B:$B,ТГ!$G$3,ТГ_ИД!$D:$D,ТГ!$A840)</f>
        <v>0</v>
      </c>
      <c r="L839" s="130">
        <f>SUMIFS(ТГ_ИД!$E:$E,ТГ_ИД!$B:$B,ТГ!$G$4,ТГ_ИД!$D:$D,ТГ!$A840)</f>
        <v>0</v>
      </c>
      <c r="M839" s="130">
        <f>SUMIFS(ТГ_ИД!$E:$E,ТГ_ИД!$B:$B,ТГ!$G$5,ТГ_ИД!$D:$D,ТГ!$A840)</f>
        <v>0</v>
      </c>
      <c r="N839" s="130">
        <f>SUMIFS(ТГ_ИД!$E:$E,ТГ_ИД!$B:$B,ТГ!$G$6,ТГ_ИД!$D:$D,ТГ!$A840)</f>
        <v>0</v>
      </c>
      <c r="O839" s="130">
        <f>SUMIFS(ТГ_ИД!$E:$E,ТГ_ИД!$B:$B,ТГ!$G$7,ТГ_ИД!$D:$D,ТГ!$A840)</f>
        <v>0</v>
      </c>
      <c r="P839" s="130">
        <f>SUMIFS(ТГ_ИД!$E:$E,ТГ_ИД!$B:$B,ТГ!$G$8,ТГ_ИД!$D:$D,ТГ!$A840)</f>
        <v>0</v>
      </c>
      <c r="Q839" s="130">
        <f>SUMIFS(ТГ_ИД!$E:$E,ТГ_ИД!$B:$B,ТГ!$G$9,ТГ_ИД!$D:$D,ТГ!$A840)</f>
        <v>0</v>
      </c>
      <c r="R839" s="130">
        <f>SUMIFS(ТГ_ИД!$E:$E,ТГ_ИД!$B:$B,ТГ!$G$10,ТГ_ИД!$D:$D,ТГ!$A840)</f>
        <v>0</v>
      </c>
      <c r="S839" s="130">
        <f>SUMIFS(ТГ_ИД!$E:$E,ТГ_ИД!$B:$B,ТГ!$G$11,ТГ_ИД!$D:$D,ТГ!$A840)</f>
        <v>0</v>
      </c>
      <c r="T839" s="130">
        <f>SUMIFS(ТГ_ИД!$E:$E,ТГ_ИД!$B:$B,ТГ!$G$12,ТГ_ИД!$D:$D,ТГ!$A840)</f>
        <v>0</v>
      </c>
      <c r="U839" s="130">
        <f>SUMIFS(ТГ_ИД!$E:$E,ТГ_ИД!$B:$B,ТГ!$G$13,ТГ_ИД!$D:$D,ТГ!$A840)</f>
        <v>0</v>
      </c>
      <c r="V839" s="130">
        <f>SUMIFS(ТГ_ИД!$E:$E,ТГ_ИД!$B:$B,ТГ!$G$14,ТГ_ИД!$D:$D,ТГ!$A840)</f>
        <v>0</v>
      </c>
    </row>
    <row r="840" spans="1:22" x14ac:dyDescent="0.25">
      <c r="A840" s="116" t="str">
        <f t="shared" si="14"/>
        <v/>
      </c>
      <c r="K840" s="130">
        <f>SUMIFS(ТГ_ИД!$E:$E,ТГ_ИД!$B:$B,ТГ!$G$3,ТГ_ИД!$D:$D,ТГ!$A841)</f>
        <v>0</v>
      </c>
      <c r="L840" s="130">
        <f>SUMIFS(ТГ_ИД!$E:$E,ТГ_ИД!$B:$B,ТГ!$G$4,ТГ_ИД!$D:$D,ТГ!$A841)</f>
        <v>0</v>
      </c>
      <c r="M840" s="130">
        <f>SUMIFS(ТГ_ИД!$E:$E,ТГ_ИД!$B:$B,ТГ!$G$5,ТГ_ИД!$D:$D,ТГ!$A841)</f>
        <v>0</v>
      </c>
      <c r="N840" s="130">
        <f>SUMIFS(ТГ_ИД!$E:$E,ТГ_ИД!$B:$B,ТГ!$G$6,ТГ_ИД!$D:$D,ТГ!$A841)</f>
        <v>0</v>
      </c>
      <c r="O840" s="130">
        <f>SUMIFS(ТГ_ИД!$E:$E,ТГ_ИД!$B:$B,ТГ!$G$7,ТГ_ИД!$D:$D,ТГ!$A841)</f>
        <v>0</v>
      </c>
      <c r="P840" s="130">
        <f>SUMIFS(ТГ_ИД!$E:$E,ТГ_ИД!$B:$B,ТГ!$G$8,ТГ_ИД!$D:$D,ТГ!$A841)</f>
        <v>0</v>
      </c>
      <c r="Q840" s="130">
        <f>SUMIFS(ТГ_ИД!$E:$E,ТГ_ИД!$B:$B,ТГ!$G$9,ТГ_ИД!$D:$D,ТГ!$A841)</f>
        <v>0</v>
      </c>
      <c r="R840" s="130">
        <f>SUMIFS(ТГ_ИД!$E:$E,ТГ_ИД!$B:$B,ТГ!$G$10,ТГ_ИД!$D:$D,ТГ!$A841)</f>
        <v>0</v>
      </c>
      <c r="S840" s="130">
        <f>SUMIFS(ТГ_ИД!$E:$E,ТГ_ИД!$B:$B,ТГ!$G$11,ТГ_ИД!$D:$D,ТГ!$A841)</f>
        <v>0</v>
      </c>
      <c r="T840" s="130">
        <f>SUMIFS(ТГ_ИД!$E:$E,ТГ_ИД!$B:$B,ТГ!$G$12,ТГ_ИД!$D:$D,ТГ!$A841)</f>
        <v>0</v>
      </c>
      <c r="U840" s="130">
        <f>SUMIFS(ТГ_ИД!$E:$E,ТГ_ИД!$B:$B,ТГ!$G$13,ТГ_ИД!$D:$D,ТГ!$A841)</f>
        <v>0</v>
      </c>
      <c r="V840" s="130">
        <f>SUMIFS(ТГ_ИД!$E:$E,ТГ_ИД!$B:$B,ТГ!$G$14,ТГ_ИД!$D:$D,ТГ!$A841)</f>
        <v>0</v>
      </c>
    </row>
    <row r="841" spans="1:22" x14ac:dyDescent="0.25">
      <c r="A841" s="116" t="str">
        <f t="shared" si="14"/>
        <v/>
      </c>
      <c r="K841" s="130">
        <f>SUMIFS(ТГ_ИД!$E:$E,ТГ_ИД!$B:$B,ТГ!$G$3,ТГ_ИД!$D:$D,ТГ!$A842)</f>
        <v>0</v>
      </c>
      <c r="L841" s="130">
        <f>SUMIFS(ТГ_ИД!$E:$E,ТГ_ИД!$B:$B,ТГ!$G$4,ТГ_ИД!$D:$D,ТГ!$A842)</f>
        <v>0</v>
      </c>
      <c r="M841" s="130">
        <f>SUMIFS(ТГ_ИД!$E:$E,ТГ_ИД!$B:$B,ТГ!$G$5,ТГ_ИД!$D:$D,ТГ!$A842)</f>
        <v>0</v>
      </c>
      <c r="N841" s="130">
        <f>SUMIFS(ТГ_ИД!$E:$E,ТГ_ИД!$B:$B,ТГ!$G$6,ТГ_ИД!$D:$D,ТГ!$A842)</f>
        <v>0</v>
      </c>
      <c r="O841" s="130">
        <f>SUMIFS(ТГ_ИД!$E:$E,ТГ_ИД!$B:$B,ТГ!$G$7,ТГ_ИД!$D:$D,ТГ!$A842)</f>
        <v>0</v>
      </c>
      <c r="P841" s="130">
        <f>SUMIFS(ТГ_ИД!$E:$E,ТГ_ИД!$B:$B,ТГ!$G$8,ТГ_ИД!$D:$D,ТГ!$A842)</f>
        <v>0</v>
      </c>
      <c r="Q841" s="130">
        <f>SUMIFS(ТГ_ИД!$E:$E,ТГ_ИД!$B:$B,ТГ!$G$9,ТГ_ИД!$D:$D,ТГ!$A842)</f>
        <v>0</v>
      </c>
      <c r="R841" s="130">
        <f>SUMIFS(ТГ_ИД!$E:$E,ТГ_ИД!$B:$B,ТГ!$G$10,ТГ_ИД!$D:$D,ТГ!$A842)</f>
        <v>0</v>
      </c>
      <c r="S841" s="130">
        <f>SUMIFS(ТГ_ИД!$E:$E,ТГ_ИД!$B:$B,ТГ!$G$11,ТГ_ИД!$D:$D,ТГ!$A842)</f>
        <v>0</v>
      </c>
      <c r="T841" s="130">
        <f>SUMIFS(ТГ_ИД!$E:$E,ТГ_ИД!$B:$B,ТГ!$G$12,ТГ_ИД!$D:$D,ТГ!$A842)</f>
        <v>0</v>
      </c>
      <c r="U841" s="130">
        <f>SUMIFS(ТГ_ИД!$E:$E,ТГ_ИД!$B:$B,ТГ!$G$13,ТГ_ИД!$D:$D,ТГ!$A842)</f>
        <v>0</v>
      </c>
      <c r="V841" s="130">
        <f>SUMIFS(ТГ_ИД!$E:$E,ТГ_ИД!$B:$B,ТГ!$G$14,ТГ_ИД!$D:$D,ТГ!$A842)</f>
        <v>0</v>
      </c>
    </row>
    <row r="842" spans="1:22" x14ac:dyDescent="0.25">
      <c r="A842" s="116" t="str">
        <f t="shared" si="14"/>
        <v/>
      </c>
      <c r="K842" s="130">
        <f>SUMIFS(ТГ_ИД!$E:$E,ТГ_ИД!$B:$B,ТГ!$G$3,ТГ_ИД!$D:$D,ТГ!$A843)</f>
        <v>0</v>
      </c>
      <c r="L842" s="130">
        <f>SUMIFS(ТГ_ИД!$E:$E,ТГ_ИД!$B:$B,ТГ!$G$4,ТГ_ИД!$D:$D,ТГ!$A843)</f>
        <v>0</v>
      </c>
      <c r="M842" s="130">
        <f>SUMIFS(ТГ_ИД!$E:$E,ТГ_ИД!$B:$B,ТГ!$G$5,ТГ_ИД!$D:$D,ТГ!$A843)</f>
        <v>0</v>
      </c>
      <c r="N842" s="130">
        <f>SUMIFS(ТГ_ИД!$E:$E,ТГ_ИД!$B:$B,ТГ!$G$6,ТГ_ИД!$D:$D,ТГ!$A843)</f>
        <v>0</v>
      </c>
      <c r="O842" s="130">
        <f>SUMIFS(ТГ_ИД!$E:$E,ТГ_ИД!$B:$B,ТГ!$G$7,ТГ_ИД!$D:$D,ТГ!$A843)</f>
        <v>0</v>
      </c>
      <c r="P842" s="130">
        <f>SUMIFS(ТГ_ИД!$E:$E,ТГ_ИД!$B:$B,ТГ!$G$8,ТГ_ИД!$D:$D,ТГ!$A843)</f>
        <v>0</v>
      </c>
      <c r="Q842" s="130">
        <f>SUMIFS(ТГ_ИД!$E:$E,ТГ_ИД!$B:$B,ТГ!$G$9,ТГ_ИД!$D:$D,ТГ!$A843)</f>
        <v>0</v>
      </c>
      <c r="R842" s="130">
        <f>SUMIFS(ТГ_ИД!$E:$E,ТГ_ИД!$B:$B,ТГ!$G$10,ТГ_ИД!$D:$D,ТГ!$A843)</f>
        <v>0</v>
      </c>
      <c r="S842" s="130">
        <f>SUMIFS(ТГ_ИД!$E:$E,ТГ_ИД!$B:$B,ТГ!$G$11,ТГ_ИД!$D:$D,ТГ!$A843)</f>
        <v>0</v>
      </c>
      <c r="T842" s="130">
        <f>SUMIFS(ТГ_ИД!$E:$E,ТГ_ИД!$B:$B,ТГ!$G$12,ТГ_ИД!$D:$D,ТГ!$A843)</f>
        <v>0</v>
      </c>
      <c r="U842" s="130">
        <f>SUMIFS(ТГ_ИД!$E:$E,ТГ_ИД!$B:$B,ТГ!$G$13,ТГ_ИД!$D:$D,ТГ!$A843)</f>
        <v>0</v>
      </c>
      <c r="V842" s="130">
        <f>SUMIFS(ТГ_ИД!$E:$E,ТГ_ИД!$B:$B,ТГ!$G$14,ТГ_ИД!$D:$D,ТГ!$A843)</f>
        <v>0</v>
      </c>
    </row>
    <row r="843" spans="1:22" x14ac:dyDescent="0.25">
      <c r="A843" s="116" t="str">
        <f t="shared" si="14"/>
        <v/>
      </c>
      <c r="K843" s="130">
        <f>SUMIFS(ТГ_ИД!$E:$E,ТГ_ИД!$B:$B,ТГ!$G$3,ТГ_ИД!$D:$D,ТГ!$A844)</f>
        <v>0</v>
      </c>
      <c r="L843" s="130">
        <f>SUMIFS(ТГ_ИД!$E:$E,ТГ_ИД!$B:$B,ТГ!$G$4,ТГ_ИД!$D:$D,ТГ!$A844)</f>
        <v>0</v>
      </c>
      <c r="M843" s="130">
        <f>SUMIFS(ТГ_ИД!$E:$E,ТГ_ИД!$B:$B,ТГ!$G$5,ТГ_ИД!$D:$D,ТГ!$A844)</f>
        <v>0</v>
      </c>
      <c r="N843" s="130">
        <f>SUMIFS(ТГ_ИД!$E:$E,ТГ_ИД!$B:$B,ТГ!$G$6,ТГ_ИД!$D:$D,ТГ!$A844)</f>
        <v>0</v>
      </c>
      <c r="O843" s="130">
        <f>SUMIFS(ТГ_ИД!$E:$E,ТГ_ИД!$B:$B,ТГ!$G$7,ТГ_ИД!$D:$D,ТГ!$A844)</f>
        <v>0</v>
      </c>
      <c r="P843" s="130">
        <f>SUMIFS(ТГ_ИД!$E:$E,ТГ_ИД!$B:$B,ТГ!$G$8,ТГ_ИД!$D:$D,ТГ!$A844)</f>
        <v>0</v>
      </c>
      <c r="Q843" s="130">
        <f>SUMIFS(ТГ_ИД!$E:$E,ТГ_ИД!$B:$B,ТГ!$G$9,ТГ_ИД!$D:$D,ТГ!$A844)</f>
        <v>0</v>
      </c>
      <c r="R843" s="130">
        <f>SUMIFS(ТГ_ИД!$E:$E,ТГ_ИД!$B:$B,ТГ!$G$10,ТГ_ИД!$D:$D,ТГ!$A844)</f>
        <v>0</v>
      </c>
      <c r="S843" s="130">
        <f>SUMIFS(ТГ_ИД!$E:$E,ТГ_ИД!$B:$B,ТГ!$G$11,ТГ_ИД!$D:$D,ТГ!$A844)</f>
        <v>0</v>
      </c>
      <c r="T843" s="130">
        <f>SUMIFS(ТГ_ИД!$E:$E,ТГ_ИД!$B:$B,ТГ!$G$12,ТГ_ИД!$D:$D,ТГ!$A844)</f>
        <v>0</v>
      </c>
      <c r="U843" s="130">
        <f>SUMIFS(ТГ_ИД!$E:$E,ТГ_ИД!$B:$B,ТГ!$G$13,ТГ_ИД!$D:$D,ТГ!$A844)</f>
        <v>0</v>
      </c>
      <c r="V843" s="130">
        <f>SUMIFS(ТГ_ИД!$E:$E,ТГ_ИД!$B:$B,ТГ!$G$14,ТГ_ИД!$D:$D,ТГ!$A844)</f>
        <v>0</v>
      </c>
    </row>
    <row r="844" spans="1:22" x14ac:dyDescent="0.25">
      <c r="A844" s="116" t="str">
        <f t="shared" si="14"/>
        <v/>
      </c>
      <c r="K844" s="130">
        <f>SUMIFS(ТГ_ИД!$E:$E,ТГ_ИД!$B:$B,ТГ!$G$3,ТГ_ИД!$D:$D,ТГ!$A845)</f>
        <v>0</v>
      </c>
      <c r="L844" s="130">
        <f>SUMIFS(ТГ_ИД!$E:$E,ТГ_ИД!$B:$B,ТГ!$G$4,ТГ_ИД!$D:$D,ТГ!$A845)</f>
        <v>0</v>
      </c>
      <c r="M844" s="130">
        <f>SUMIFS(ТГ_ИД!$E:$E,ТГ_ИД!$B:$B,ТГ!$G$5,ТГ_ИД!$D:$D,ТГ!$A845)</f>
        <v>0</v>
      </c>
      <c r="N844" s="130">
        <f>SUMIFS(ТГ_ИД!$E:$E,ТГ_ИД!$B:$B,ТГ!$G$6,ТГ_ИД!$D:$D,ТГ!$A845)</f>
        <v>0</v>
      </c>
      <c r="O844" s="130">
        <f>SUMIFS(ТГ_ИД!$E:$E,ТГ_ИД!$B:$B,ТГ!$G$7,ТГ_ИД!$D:$D,ТГ!$A845)</f>
        <v>0</v>
      </c>
      <c r="P844" s="130">
        <f>SUMIFS(ТГ_ИД!$E:$E,ТГ_ИД!$B:$B,ТГ!$G$8,ТГ_ИД!$D:$D,ТГ!$A845)</f>
        <v>0</v>
      </c>
      <c r="Q844" s="130">
        <f>SUMIFS(ТГ_ИД!$E:$E,ТГ_ИД!$B:$B,ТГ!$G$9,ТГ_ИД!$D:$D,ТГ!$A845)</f>
        <v>0</v>
      </c>
      <c r="R844" s="130">
        <f>SUMIFS(ТГ_ИД!$E:$E,ТГ_ИД!$B:$B,ТГ!$G$10,ТГ_ИД!$D:$D,ТГ!$A845)</f>
        <v>0</v>
      </c>
      <c r="S844" s="130">
        <f>SUMIFS(ТГ_ИД!$E:$E,ТГ_ИД!$B:$B,ТГ!$G$11,ТГ_ИД!$D:$D,ТГ!$A845)</f>
        <v>0</v>
      </c>
      <c r="T844" s="130">
        <f>SUMIFS(ТГ_ИД!$E:$E,ТГ_ИД!$B:$B,ТГ!$G$12,ТГ_ИД!$D:$D,ТГ!$A845)</f>
        <v>0</v>
      </c>
      <c r="U844" s="130">
        <f>SUMIFS(ТГ_ИД!$E:$E,ТГ_ИД!$B:$B,ТГ!$G$13,ТГ_ИД!$D:$D,ТГ!$A845)</f>
        <v>0</v>
      </c>
      <c r="V844" s="130">
        <f>SUMIFS(ТГ_ИД!$E:$E,ТГ_ИД!$B:$B,ТГ!$G$14,ТГ_ИД!$D:$D,ТГ!$A845)</f>
        <v>0</v>
      </c>
    </row>
    <row r="845" spans="1:22" x14ac:dyDescent="0.25">
      <c r="A845" s="116" t="str">
        <f t="shared" si="14"/>
        <v/>
      </c>
      <c r="K845" s="130">
        <f>SUMIFS(ТГ_ИД!$E:$E,ТГ_ИД!$B:$B,ТГ!$G$3,ТГ_ИД!$D:$D,ТГ!$A846)</f>
        <v>0</v>
      </c>
      <c r="L845" s="130">
        <f>SUMIFS(ТГ_ИД!$E:$E,ТГ_ИД!$B:$B,ТГ!$G$4,ТГ_ИД!$D:$D,ТГ!$A846)</f>
        <v>0</v>
      </c>
      <c r="M845" s="130">
        <f>SUMIFS(ТГ_ИД!$E:$E,ТГ_ИД!$B:$B,ТГ!$G$5,ТГ_ИД!$D:$D,ТГ!$A846)</f>
        <v>0</v>
      </c>
      <c r="N845" s="130">
        <f>SUMIFS(ТГ_ИД!$E:$E,ТГ_ИД!$B:$B,ТГ!$G$6,ТГ_ИД!$D:$D,ТГ!$A846)</f>
        <v>0</v>
      </c>
      <c r="O845" s="130">
        <f>SUMIFS(ТГ_ИД!$E:$E,ТГ_ИД!$B:$B,ТГ!$G$7,ТГ_ИД!$D:$D,ТГ!$A846)</f>
        <v>0</v>
      </c>
      <c r="P845" s="130">
        <f>SUMIFS(ТГ_ИД!$E:$E,ТГ_ИД!$B:$B,ТГ!$G$8,ТГ_ИД!$D:$D,ТГ!$A846)</f>
        <v>0</v>
      </c>
      <c r="Q845" s="130">
        <f>SUMIFS(ТГ_ИД!$E:$E,ТГ_ИД!$B:$B,ТГ!$G$9,ТГ_ИД!$D:$D,ТГ!$A846)</f>
        <v>0</v>
      </c>
      <c r="R845" s="130">
        <f>SUMIFS(ТГ_ИД!$E:$E,ТГ_ИД!$B:$B,ТГ!$G$10,ТГ_ИД!$D:$D,ТГ!$A846)</f>
        <v>0</v>
      </c>
      <c r="S845" s="130">
        <f>SUMIFS(ТГ_ИД!$E:$E,ТГ_ИД!$B:$B,ТГ!$G$11,ТГ_ИД!$D:$D,ТГ!$A846)</f>
        <v>0</v>
      </c>
      <c r="T845" s="130">
        <f>SUMIFS(ТГ_ИД!$E:$E,ТГ_ИД!$B:$B,ТГ!$G$12,ТГ_ИД!$D:$D,ТГ!$A846)</f>
        <v>0</v>
      </c>
      <c r="U845" s="130">
        <f>SUMIFS(ТГ_ИД!$E:$E,ТГ_ИД!$B:$B,ТГ!$G$13,ТГ_ИД!$D:$D,ТГ!$A846)</f>
        <v>0</v>
      </c>
      <c r="V845" s="130">
        <f>SUMIFS(ТГ_ИД!$E:$E,ТГ_ИД!$B:$B,ТГ!$G$14,ТГ_ИД!$D:$D,ТГ!$A846)</f>
        <v>0</v>
      </c>
    </row>
    <row r="846" spans="1:22" x14ac:dyDescent="0.25">
      <c r="A846" s="116" t="str">
        <f t="shared" si="14"/>
        <v/>
      </c>
      <c r="K846" s="130">
        <f>SUMIFS(ТГ_ИД!$E:$E,ТГ_ИД!$B:$B,ТГ!$G$3,ТГ_ИД!$D:$D,ТГ!$A847)</f>
        <v>0</v>
      </c>
      <c r="L846" s="130">
        <f>SUMIFS(ТГ_ИД!$E:$E,ТГ_ИД!$B:$B,ТГ!$G$4,ТГ_ИД!$D:$D,ТГ!$A847)</f>
        <v>0</v>
      </c>
      <c r="M846" s="130">
        <f>SUMIFS(ТГ_ИД!$E:$E,ТГ_ИД!$B:$B,ТГ!$G$5,ТГ_ИД!$D:$D,ТГ!$A847)</f>
        <v>0</v>
      </c>
      <c r="N846" s="130">
        <f>SUMIFS(ТГ_ИД!$E:$E,ТГ_ИД!$B:$B,ТГ!$G$6,ТГ_ИД!$D:$D,ТГ!$A847)</f>
        <v>0</v>
      </c>
      <c r="O846" s="130">
        <f>SUMIFS(ТГ_ИД!$E:$E,ТГ_ИД!$B:$B,ТГ!$G$7,ТГ_ИД!$D:$D,ТГ!$A847)</f>
        <v>0</v>
      </c>
      <c r="P846" s="130">
        <f>SUMIFS(ТГ_ИД!$E:$E,ТГ_ИД!$B:$B,ТГ!$G$8,ТГ_ИД!$D:$D,ТГ!$A847)</f>
        <v>0</v>
      </c>
      <c r="Q846" s="130">
        <f>SUMIFS(ТГ_ИД!$E:$E,ТГ_ИД!$B:$B,ТГ!$G$9,ТГ_ИД!$D:$D,ТГ!$A847)</f>
        <v>0</v>
      </c>
      <c r="R846" s="130">
        <f>SUMIFS(ТГ_ИД!$E:$E,ТГ_ИД!$B:$B,ТГ!$G$10,ТГ_ИД!$D:$D,ТГ!$A847)</f>
        <v>0</v>
      </c>
      <c r="S846" s="130">
        <f>SUMIFS(ТГ_ИД!$E:$E,ТГ_ИД!$B:$B,ТГ!$G$11,ТГ_ИД!$D:$D,ТГ!$A847)</f>
        <v>0</v>
      </c>
      <c r="T846" s="130">
        <f>SUMIFS(ТГ_ИД!$E:$E,ТГ_ИД!$B:$B,ТГ!$G$12,ТГ_ИД!$D:$D,ТГ!$A847)</f>
        <v>0</v>
      </c>
      <c r="U846" s="130">
        <f>SUMIFS(ТГ_ИД!$E:$E,ТГ_ИД!$B:$B,ТГ!$G$13,ТГ_ИД!$D:$D,ТГ!$A847)</f>
        <v>0</v>
      </c>
      <c r="V846" s="130">
        <f>SUMIFS(ТГ_ИД!$E:$E,ТГ_ИД!$B:$B,ТГ!$G$14,ТГ_ИД!$D:$D,ТГ!$A847)</f>
        <v>0</v>
      </c>
    </row>
    <row r="847" spans="1:22" x14ac:dyDescent="0.25">
      <c r="A847" s="116" t="str">
        <f t="shared" si="14"/>
        <v/>
      </c>
      <c r="K847" s="130">
        <f>SUMIFS(ТГ_ИД!$E:$E,ТГ_ИД!$B:$B,ТГ!$G$3,ТГ_ИД!$D:$D,ТГ!$A848)</f>
        <v>0</v>
      </c>
      <c r="L847" s="130">
        <f>SUMIFS(ТГ_ИД!$E:$E,ТГ_ИД!$B:$B,ТГ!$G$4,ТГ_ИД!$D:$D,ТГ!$A848)</f>
        <v>0</v>
      </c>
      <c r="M847" s="130">
        <f>SUMIFS(ТГ_ИД!$E:$E,ТГ_ИД!$B:$B,ТГ!$G$5,ТГ_ИД!$D:$D,ТГ!$A848)</f>
        <v>0</v>
      </c>
      <c r="N847" s="130">
        <f>SUMIFS(ТГ_ИД!$E:$E,ТГ_ИД!$B:$B,ТГ!$G$6,ТГ_ИД!$D:$D,ТГ!$A848)</f>
        <v>0</v>
      </c>
      <c r="O847" s="130">
        <f>SUMIFS(ТГ_ИД!$E:$E,ТГ_ИД!$B:$B,ТГ!$G$7,ТГ_ИД!$D:$D,ТГ!$A848)</f>
        <v>0</v>
      </c>
      <c r="P847" s="130">
        <f>SUMIFS(ТГ_ИД!$E:$E,ТГ_ИД!$B:$B,ТГ!$G$8,ТГ_ИД!$D:$D,ТГ!$A848)</f>
        <v>0</v>
      </c>
      <c r="Q847" s="130">
        <f>SUMIFS(ТГ_ИД!$E:$E,ТГ_ИД!$B:$B,ТГ!$G$9,ТГ_ИД!$D:$D,ТГ!$A848)</f>
        <v>0</v>
      </c>
      <c r="R847" s="130">
        <f>SUMIFS(ТГ_ИД!$E:$E,ТГ_ИД!$B:$B,ТГ!$G$10,ТГ_ИД!$D:$D,ТГ!$A848)</f>
        <v>0</v>
      </c>
      <c r="S847" s="130">
        <f>SUMIFS(ТГ_ИД!$E:$E,ТГ_ИД!$B:$B,ТГ!$G$11,ТГ_ИД!$D:$D,ТГ!$A848)</f>
        <v>0</v>
      </c>
      <c r="T847" s="130">
        <f>SUMIFS(ТГ_ИД!$E:$E,ТГ_ИД!$B:$B,ТГ!$G$12,ТГ_ИД!$D:$D,ТГ!$A848)</f>
        <v>0</v>
      </c>
      <c r="U847" s="130">
        <f>SUMIFS(ТГ_ИД!$E:$E,ТГ_ИД!$B:$B,ТГ!$G$13,ТГ_ИД!$D:$D,ТГ!$A848)</f>
        <v>0</v>
      </c>
      <c r="V847" s="130">
        <f>SUMIFS(ТГ_ИД!$E:$E,ТГ_ИД!$B:$B,ТГ!$G$14,ТГ_ИД!$D:$D,ТГ!$A848)</f>
        <v>0</v>
      </c>
    </row>
    <row r="848" spans="1:22" x14ac:dyDescent="0.25">
      <c r="A848" s="116" t="str">
        <f t="shared" si="14"/>
        <v/>
      </c>
      <c r="K848" s="130">
        <f>SUMIFS(ТГ_ИД!$E:$E,ТГ_ИД!$B:$B,ТГ!$G$3,ТГ_ИД!$D:$D,ТГ!$A849)</f>
        <v>0</v>
      </c>
      <c r="L848" s="130">
        <f>SUMIFS(ТГ_ИД!$E:$E,ТГ_ИД!$B:$B,ТГ!$G$4,ТГ_ИД!$D:$D,ТГ!$A849)</f>
        <v>0</v>
      </c>
      <c r="M848" s="130">
        <f>SUMIFS(ТГ_ИД!$E:$E,ТГ_ИД!$B:$B,ТГ!$G$5,ТГ_ИД!$D:$D,ТГ!$A849)</f>
        <v>0</v>
      </c>
      <c r="N848" s="130">
        <f>SUMIFS(ТГ_ИД!$E:$E,ТГ_ИД!$B:$B,ТГ!$G$6,ТГ_ИД!$D:$D,ТГ!$A849)</f>
        <v>0</v>
      </c>
      <c r="O848" s="130">
        <f>SUMIFS(ТГ_ИД!$E:$E,ТГ_ИД!$B:$B,ТГ!$G$7,ТГ_ИД!$D:$D,ТГ!$A849)</f>
        <v>0</v>
      </c>
      <c r="P848" s="130">
        <f>SUMIFS(ТГ_ИД!$E:$E,ТГ_ИД!$B:$B,ТГ!$G$8,ТГ_ИД!$D:$D,ТГ!$A849)</f>
        <v>0</v>
      </c>
      <c r="Q848" s="130">
        <f>SUMIFS(ТГ_ИД!$E:$E,ТГ_ИД!$B:$B,ТГ!$G$9,ТГ_ИД!$D:$D,ТГ!$A849)</f>
        <v>0</v>
      </c>
      <c r="R848" s="130">
        <f>SUMIFS(ТГ_ИД!$E:$E,ТГ_ИД!$B:$B,ТГ!$G$10,ТГ_ИД!$D:$D,ТГ!$A849)</f>
        <v>0</v>
      </c>
      <c r="S848" s="130">
        <f>SUMIFS(ТГ_ИД!$E:$E,ТГ_ИД!$B:$B,ТГ!$G$11,ТГ_ИД!$D:$D,ТГ!$A849)</f>
        <v>0</v>
      </c>
      <c r="T848" s="130">
        <f>SUMIFS(ТГ_ИД!$E:$E,ТГ_ИД!$B:$B,ТГ!$G$12,ТГ_ИД!$D:$D,ТГ!$A849)</f>
        <v>0</v>
      </c>
      <c r="U848" s="130">
        <f>SUMIFS(ТГ_ИД!$E:$E,ТГ_ИД!$B:$B,ТГ!$G$13,ТГ_ИД!$D:$D,ТГ!$A849)</f>
        <v>0</v>
      </c>
      <c r="V848" s="130">
        <f>SUMIFS(ТГ_ИД!$E:$E,ТГ_ИД!$B:$B,ТГ!$G$14,ТГ_ИД!$D:$D,ТГ!$A849)</f>
        <v>0</v>
      </c>
    </row>
    <row r="849" spans="1:22" x14ac:dyDescent="0.25">
      <c r="A849" s="116" t="str">
        <f t="shared" si="14"/>
        <v/>
      </c>
      <c r="K849" s="130">
        <f>SUMIFS(ТГ_ИД!$E:$E,ТГ_ИД!$B:$B,ТГ!$G$3,ТГ_ИД!$D:$D,ТГ!$A850)</f>
        <v>0</v>
      </c>
      <c r="L849" s="130">
        <f>SUMIFS(ТГ_ИД!$E:$E,ТГ_ИД!$B:$B,ТГ!$G$4,ТГ_ИД!$D:$D,ТГ!$A850)</f>
        <v>0</v>
      </c>
      <c r="M849" s="130">
        <f>SUMIFS(ТГ_ИД!$E:$E,ТГ_ИД!$B:$B,ТГ!$G$5,ТГ_ИД!$D:$D,ТГ!$A850)</f>
        <v>0</v>
      </c>
      <c r="N849" s="130">
        <f>SUMIFS(ТГ_ИД!$E:$E,ТГ_ИД!$B:$B,ТГ!$G$6,ТГ_ИД!$D:$D,ТГ!$A850)</f>
        <v>0</v>
      </c>
      <c r="O849" s="130">
        <f>SUMIFS(ТГ_ИД!$E:$E,ТГ_ИД!$B:$B,ТГ!$G$7,ТГ_ИД!$D:$D,ТГ!$A850)</f>
        <v>0</v>
      </c>
      <c r="P849" s="130">
        <f>SUMIFS(ТГ_ИД!$E:$E,ТГ_ИД!$B:$B,ТГ!$G$8,ТГ_ИД!$D:$D,ТГ!$A850)</f>
        <v>0</v>
      </c>
      <c r="Q849" s="130">
        <f>SUMIFS(ТГ_ИД!$E:$E,ТГ_ИД!$B:$B,ТГ!$G$9,ТГ_ИД!$D:$D,ТГ!$A850)</f>
        <v>0</v>
      </c>
      <c r="R849" s="130">
        <f>SUMIFS(ТГ_ИД!$E:$E,ТГ_ИД!$B:$B,ТГ!$G$10,ТГ_ИД!$D:$D,ТГ!$A850)</f>
        <v>0</v>
      </c>
      <c r="S849" s="130">
        <f>SUMIFS(ТГ_ИД!$E:$E,ТГ_ИД!$B:$B,ТГ!$G$11,ТГ_ИД!$D:$D,ТГ!$A850)</f>
        <v>0</v>
      </c>
      <c r="T849" s="130">
        <f>SUMIFS(ТГ_ИД!$E:$E,ТГ_ИД!$B:$B,ТГ!$G$12,ТГ_ИД!$D:$D,ТГ!$A850)</f>
        <v>0</v>
      </c>
      <c r="U849" s="130">
        <f>SUMIFS(ТГ_ИД!$E:$E,ТГ_ИД!$B:$B,ТГ!$G$13,ТГ_ИД!$D:$D,ТГ!$A850)</f>
        <v>0</v>
      </c>
      <c r="V849" s="130">
        <f>SUMIFS(ТГ_ИД!$E:$E,ТГ_ИД!$B:$B,ТГ!$G$14,ТГ_ИД!$D:$D,ТГ!$A850)</f>
        <v>0</v>
      </c>
    </row>
    <row r="850" spans="1:22" x14ac:dyDescent="0.25">
      <c r="A850" s="116" t="str">
        <f t="shared" si="14"/>
        <v/>
      </c>
      <c r="K850" s="130">
        <f>SUMIFS(ТГ_ИД!$E:$E,ТГ_ИД!$B:$B,ТГ!$G$3,ТГ_ИД!$D:$D,ТГ!$A851)</f>
        <v>0</v>
      </c>
      <c r="L850" s="130">
        <f>SUMIFS(ТГ_ИД!$E:$E,ТГ_ИД!$B:$B,ТГ!$G$4,ТГ_ИД!$D:$D,ТГ!$A851)</f>
        <v>0</v>
      </c>
      <c r="M850" s="130">
        <f>SUMIFS(ТГ_ИД!$E:$E,ТГ_ИД!$B:$B,ТГ!$G$5,ТГ_ИД!$D:$D,ТГ!$A851)</f>
        <v>0</v>
      </c>
      <c r="N850" s="130">
        <f>SUMIFS(ТГ_ИД!$E:$E,ТГ_ИД!$B:$B,ТГ!$G$6,ТГ_ИД!$D:$D,ТГ!$A851)</f>
        <v>0</v>
      </c>
      <c r="O850" s="130">
        <f>SUMIFS(ТГ_ИД!$E:$E,ТГ_ИД!$B:$B,ТГ!$G$7,ТГ_ИД!$D:$D,ТГ!$A851)</f>
        <v>0</v>
      </c>
      <c r="P850" s="130">
        <f>SUMIFS(ТГ_ИД!$E:$E,ТГ_ИД!$B:$B,ТГ!$G$8,ТГ_ИД!$D:$D,ТГ!$A851)</f>
        <v>0</v>
      </c>
      <c r="Q850" s="130">
        <f>SUMIFS(ТГ_ИД!$E:$E,ТГ_ИД!$B:$B,ТГ!$G$9,ТГ_ИД!$D:$D,ТГ!$A851)</f>
        <v>0</v>
      </c>
      <c r="R850" s="130">
        <f>SUMIFS(ТГ_ИД!$E:$E,ТГ_ИД!$B:$B,ТГ!$G$10,ТГ_ИД!$D:$D,ТГ!$A851)</f>
        <v>0</v>
      </c>
      <c r="S850" s="130">
        <f>SUMIFS(ТГ_ИД!$E:$E,ТГ_ИД!$B:$B,ТГ!$G$11,ТГ_ИД!$D:$D,ТГ!$A851)</f>
        <v>0</v>
      </c>
      <c r="T850" s="130">
        <f>SUMIFS(ТГ_ИД!$E:$E,ТГ_ИД!$B:$B,ТГ!$G$12,ТГ_ИД!$D:$D,ТГ!$A851)</f>
        <v>0</v>
      </c>
      <c r="U850" s="130">
        <f>SUMIFS(ТГ_ИД!$E:$E,ТГ_ИД!$B:$B,ТГ!$G$13,ТГ_ИД!$D:$D,ТГ!$A851)</f>
        <v>0</v>
      </c>
      <c r="V850" s="130">
        <f>SUMIFS(ТГ_ИД!$E:$E,ТГ_ИД!$B:$B,ТГ!$G$14,ТГ_ИД!$D:$D,ТГ!$A851)</f>
        <v>0</v>
      </c>
    </row>
    <row r="851" spans="1:22" x14ac:dyDescent="0.25">
      <c r="A851" s="116" t="str">
        <f t="shared" si="14"/>
        <v/>
      </c>
      <c r="K851" s="130">
        <f>SUMIFS(ТГ_ИД!$E:$E,ТГ_ИД!$B:$B,ТГ!$G$3,ТГ_ИД!$D:$D,ТГ!$A852)</f>
        <v>0</v>
      </c>
      <c r="L851" s="130">
        <f>SUMIFS(ТГ_ИД!$E:$E,ТГ_ИД!$B:$B,ТГ!$G$4,ТГ_ИД!$D:$D,ТГ!$A852)</f>
        <v>0</v>
      </c>
      <c r="M851" s="130">
        <f>SUMIFS(ТГ_ИД!$E:$E,ТГ_ИД!$B:$B,ТГ!$G$5,ТГ_ИД!$D:$D,ТГ!$A852)</f>
        <v>0</v>
      </c>
      <c r="N851" s="130">
        <f>SUMIFS(ТГ_ИД!$E:$E,ТГ_ИД!$B:$B,ТГ!$G$6,ТГ_ИД!$D:$D,ТГ!$A852)</f>
        <v>0</v>
      </c>
      <c r="O851" s="130">
        <f>SUMIFS(ТГ_ИД!$E:$E,ТГ_ИД!$B:$B,ТГ!$G$7,ТГ_ИД!$D:$D,ТГ!$A852)</f>
        <v>0</v>
      </c>
      <c r="P851" s="130">
        <f>SUMIFS(ТГ_ИД!$E:$E,ТГ_ИД!$B:$B,ТГ!$G$8,ТГ_ИД!$D:$D,ТГ!$A852)</f>
        <v>0</v>
      </c>
      <c r="Q851" s="130">
        <f>SUMIFS(ТГ_ИД!$E:$E,ТГ_ИД!$B:$B,ТГ!$G$9,ТГ_ИД!$D:$D,ТГ!$A852)</f>
        <v>0</v>
      </c>
      <c r="R851" s="130">
        <f>SUMIFS(ТГ_ИД!$E:$E,ТГ_ИД!$B:$B,ТГ!$G$10,ТГ_ИД!$D:$D,ТГ!$A852)</f>
        <v>0</v>
      </c>
      <c r="S851" s="130">
        <f>SUMIFS(ТГ_ИД!$E:$E,ТГ_ИД!$B:$B,ТГ!$G$11,ТГ_ИД!$D:$D,ТГ!$A852)</f>
        <v>0</v>
      </c>
      <c r="T851" s="130">
        <f>SUMIFS(ТГ_ИД!$E:$E,ТГ_ИД!$B:$B,ТГ!$G$12,ТГ_ИД!$D:$D,ТГ!$A852)</f>
        <v>0</v>
      </c>
      <c r="U851" s="130">
        <f>SUMIFS(ТГ_ИД!$E:$E,ТГ_ИД!$B:$B,ТГ!$G$13,ТГ_ИД!$D:$D,ТГ!$A852)</f>
        <v>0</v>
      </c>
      <c r="V851" s="130">
        <f>SUMIFS(ТГ_ИД!$E:$E,ТГ_ИД!$B:$B,ТГ!$G$14,ТГ_ИД!$D:$D,ТГ!$A852)</f>
        <v>0</v>
      </c>
    </row>
    <row r="852" spans="1:22" x14ac:dyDescent="0.25">
      <c r="A852" s="116" t="str">
        <f t="shared" si="14"/>
        <v/>
      </c>
      <c r="K852" s="130">
        <f>SUMIFS(ТГ_ИД!$E:$E,ТГ_ИД!$B:$B,ТГ!$G$3,ТГ_ИД!$D:$D,ТГ!$A853)</f>
        <v>0</v>
      </c>
      <c r="L852" s="130">
        <f>SUMIFS(ТГ_ИД!$E:$E,ТГ_ИД!$B:$B,ТГ!$G$4,ТГ_ИД!$D:$D,ТГ!$A853)</f>
        <v>0</v>
      </c>
      <c r="M852" s="130">
        <f>SUMIFS(ТГ_ИД!$E:$E,ТГ_ИД!$B:$B,ТГ!$G$5,ТГ_ИД!$D:$D,ТГ!$A853)</f>
        <v>0</v>
      </c>
      <c r="N852" s="130">
        <f>SUMIFS(ТГ_ИД!$E:$E,ТГ_ИД!$B:$B,ТГ!$G$6,ТГ_ИД!$D:$D,ТГ!$A853)</f>
        <v>0</v>
      </c>
      <c r="O852" s="130">
        <f>SUMIFS(ТГ_ИД!$E:$E,ТГ_ИД!$B:$B,ТГ!$G$7,ТГ_ИД!$D:$D,ТГ!$A853)</f>
        <v>0</v>
      </c>
      <c r="P852" s="130">
        <f>SUMIFS(ТГ_ИД!$E:$E,ТГ_ИД!$B:$B,ТГ!$G$8,ТГ_ИД!$D:$D,ТГ!$A853)</f>
        <v>0</v>
      </c>
      <c r="Q852" s="130">
        <f>SUMIFS(ТГ_ИД!$E:$E,ТГ_ИД!$B:$B,ТГ!$G$9,ТГ_ИД!$D:$D,ТГ!$A853)</f>
        <v>0</v>
      </c>
      <c r="R852" s="130">
        <f>SUMIFS(ТГ_ИД!$E:$E,ТГ_ИД!$B:$B,ТГ!$G$10,ТГ_ИД!$D:$D,ТГ!$A853)</f>
        <v>0</v>
      </c>
      <c r="S852" s="130">
        <f>SUMIFS(ТГ_ИД!$E:$E,ТГ_ИД!$B:$B,ТГ!$G$11,ТГ_ИД!$D:$D,ТГ!$A853)</f>
        <v>0</v>
      </c>
      <c r="T852" s="130">
        <f>SUMIFS(ТГ_ИД!$E:$E,ТГ_ИД!$B:$B,ТГ!$G$12,ТГ_ИД!$D:$D,ТГ!$A853)</f>
        <v>0</v>
      </c>
      <c r="U852" s="130">
        <f>SUMIFS(ТГ_ИД!$E:$E,ТГ_ИД!$B:$B,ТГ!$G$13,ТГ_ИД!$D:$D,ТГ!$A853)</f>
        <v>0</v>
      </c>
      <c r="V852" s="130">
        <f>SUMIFS(ТГ_ИД!$E:$E,ТГ_ИД!$B:$B,ТГ!$G$14,ТГ_ИД!$D:$D,ТГ!$A853)</f>
        <v>0</v>
      </c>
    </row>
    <row r="853" spans="1:22" x14ac:dyDescent="0.25">
      <c r="A853" s="116" t="str">
        <f t="shared" si="14"/>
        <v/>
      </c>
      <c r="K853" s="130">
        <f>SUMIFS(ТГ_ИД!$E:$E,ТГ_ИД!$B:$B,ТГ!$G$3,ТГ_ИД!$D:$D,ТГ!$A854)</f>
        <v>0</v>
      </c>
      <c r="L853" s="130">
        <f>SUMIFS(ТГ_ИД!$E:$E,ТГ_ИД!$B:$B,ТГ!$G$4,ТГ_ИД!$D:$D,ТГ!$A854)</f>
        <v>0</v>
      </c>
      <c r="M853" s="130">
        <f>SUMIFS(ТГ_ИД!$E:$E,ТГ_ИД!$B:$B,ТГ!$G$5,ТГ_ИД!$D:$D,ТГ!$A854)</f>
        <v>0</v>
      </c>
      <c r="N853" s="130">
        <f>SUMIFS(ТГ_ИД!$E:$E,ТГ_ИД!$B:$B,ТГ!$G$6,ТГ_ИД!$D:$D,ТГ!$A854)</f>
        <v>0</v>
      </c>
      <c r="O853" s="130">
        <f>SUMIFS(ТГ_ИД!$E:$E,ТГ_ИД!$B:$B,ТГ!$G$7,ТГ_ИД!$D:$D,ТГ!$A854)</f>
        <v>0</v>
      </c>
      <c r="P853" s="130">
        <f>SUMIFS(ТГ_ИД!$E:$E,ТГ_ИД!$B:$B,ТГ!$G$8,ТГ_ИД!$D:$D,ТГ!$A854)</f>
        <v>0</v>
      </c>
      <c r="Q853" s="130">
        <f>SUMIFS(ТГ_ИД!$E:$E,ТГ_ИД!$B:$B,ТГ!$G$9,ТГ_ИД!$D:$D,ТГ!$A854)</f>
        <v>0</v>
      </c>
      <c r="R853" s="130">
        <f>SUMIFS(ТГ_ИД!$E:$E,ТГ_ИД!$B:$B,ТГ!$G$10,ТГ_ИД!$D:$D,ТГ!$A854)</f>
        <v>0</v>
      </c>
      <c r="S853" s="130">
        <f>SUMIFS(ТГ_ИД!$E:$E,ТГ_ИД!$B:$B,ТГ!$G$11,ТГ_ИД!$D:$D,ТГ!$A854)</f>
        <v>0</v>
      </c>
      <c r="T853" s="130">
        <f>SUMIFS(ТГ_ИД!$E:$E,ТГ_ИД!$B:$B,ТГ!$G$12,ТГ_ИД!$D:$D,ТГ!$A854)</f>
        <v>0</v>
      </c>
      <c r="U853" s="130">
        <f>SUMIFS(ТГ_ИД!$E:$E,ТГ_ИД!$B:$B,ТГ!$G$13,ТГ_ИД!$D:$D,ТГ!$A854)</f>
        <v>0</v>
      </c>
      <c r="V853" s="130">
        <f>SUMIFS(ТГ_ИД!$E:$E,ТГ_ИД!$B:$B,ТГ!$G$14,ТГ_ИД!$D:$D,ТГ!$A854)</f>
        <v>0</v>
      </c>
    </row>
    <row r="854" spans="1:22" x14ac:dyDescent="0.25">
      <c r="A854" s="116" t="str">
        <f t="shared" si="14"/>
        <v/>
      </c>
      <c r="K854" s="130">
        <f>SUMIFS(ТГ_ИД!$E:$E,ТГ_ИД!$B:$B,ТГ!$G$3,ТГ_ИД!$D:$D,ТГ!$A855)</f>
        <v>0</v>
      </c>
      <c r="L854" s="130">
        <f>SUMIFS(ТГ_ИД!$E:$E,ТГ_ИД!$B:$B,ТГ!$G$4,ТГ_ИД!$D:$D,ТГ!$A855)</f>
        <v>0</v>
      </c>
      <c r="M854" s="130">
        <f>SUMIFS(ТГ_ИД!$E:$E,ТГ_ИД!$B:$B,ТГ!$G$5,ТГ_ИД!$D:$D,ТГ!$A855)</f>
        <v>0</v>
      </c>
      <c r="N854" s="130">
        <f>SUMIFS(ТГ_ИД!$E:$E,ТГ_ИД!$B:$B,ТГ!$G$6,ТГ_ИД!$D:$D,ТГ!$A855)</f>
        <v>0</v>
      </c>
      <c r="O854" s="130">
        <f>SUMIFS(ТГ_ИД!$E:$E,ТГ_ИД!$B:$B,ТГ!$G$7,ТГ_ИД!$D:$D,ТГ!$A855)</f>
        <v>0</v>
      </c>
      <c r="P854" s="130">
        <f>SUMIFS(ТГ_ИД!$E:$E,ТГ_ИД!$B:$B,ТГ!$G$8,ТГ_ИД!$D:$D,ТГ!$A855)</f>
        <v>0</v>
      </c>
      <c r="Q854" s="130">
        <f>SUMIFS(ТГ_ИД!$E:$E,ТГ_ИД!$B:$B,ТГ!$G$9,ТГ_ИД!$D:$D,ТГ!$A855)</f>
        <v>0</v>
      </c>
      <c r="R854" s="130">
        <f>SUMIFS(ТГ_ИД!$E:$E,ТГ_ИД!$B:$B,ТГ!$G$10,ТГ_ИД!$D:$D,ТГ!$A855)</f>
        <v>0</v>
      </c>
      <c r="S854" s="130">
        <f>SUMIFS(ТГ_ИД!$E:$E,ТГ_ИД!$B:$B,ТГ!$G$11,ТГ_ИД!$D:$D,ТГ!$A855)</f>
        <v>0</v>
      </c>
      <c r="T854" s="130">
        <f>SUMIFS(ТГ_ИД!$E:$E,ТГ_ИД!$B:$B,ТГ!$G$12,ТГ_ИД!$D:$D,ТГ!$A855)</f>
        <v>0</v>
      </c>
      <c r="U854" s="130">
        <f>SUMIFS(ТГ_ИД!$E:$E,ТГ_ИД!$B:$B,ТГ!$G$13,ТГ_ИД!$D:$D,ТГ!$A855)</f>
        <v>0</v>
      </c>
      <c r="V854" s="130">
        <f>SUMIFS(ТГ_ИД!$E:$E,ТГ_ИД!$B:$B,ТГ!$G$14,ТГ_ИД!$D:$D,ТГ!$A855)</f>
        <v>0</v>
      </c>
    </row>
    <row r="855" spans="1:22" x14ac:dyDescent="0.25">
      <c r="A855" s="116" t="str">
        <f t="shared" si="14"/>
        <v/>
      </c>
      <c r="K855" s="130">
        <f>SUMIFS(ТГ_ИД!$E:$E,ТГ_ИД!$B:$B,ТГ!$G$3,ТГ_ИД!$D:$D,ТГ!$A856)</f>
        <v>0</v>
      </c>
      <c r="L855" s="130">
        <f>SUMIFS(ТГ_ИД!$E:$E,ТГ_ИД!$B:$B,ТГ!$G$4,ТГ_ИД!$D:$D,ТГ!$A856)</f>
        <v>0</v>
      </c>
      <c r="M855" s="130">
        <f>SUMIFS(ТГ_ИД!$E:$E,ТГ_ИД!$B:$B,ТГ!$G$5,ТГ_ИД!$D:$D,ТГ!$A856)</f>
        <v>0</v>
      </c>
      <c r="N855" s="130">
        <f>SUMIFS(ТГ_ИД!$E:$E,ТГ_ИД!$B:$B,ТГ!$G$6,ТГ_ИД!$D:$D,ТГ!$A856)</f>
        <v>0</v>
      </c>
      <c r="O855" s="130">
        <f>SUMIFS(ТГ_ИД!$E:$E,ТГ_ИД!$B:$B,ТГ!$G$7,ТГ_ИД!$D:$D,ТГ!$A856)</f>
        <v>0</v>
      </c>
      <c r="P855" s="130">
        <f>SUMIFS(ТГ_ИД!$E:$E,ТГ_ИД!$B:$B,ТГ!$G$8,ТГ_ИД!$D:$D,ТГ!$A856)</f>
        <v>0</v>
      </c>
      <c r="Q855" s="130">
        <f>SUMIFS(ТГ_ИД!$E:$E,ТГ_ИД!$B:$B,ТГ!$G$9,ТГ_ИД!$D:$D,ТГ!$A856)</f>
        <v>0</v>
      </c>
      <c r="R855" s="130">
        <f>SUMIFS(ТГ_ИД!$E:$E,ТГ_ИД!$B:$B,ТГ!$G$10,ТГ_ИД!$D:$D,ТГ!$A856)</f>
        <v>0</v>
      </c>
      <c r="S855" s="130">
        <f>SUMIFS(ТГ_ИД!$E:$E,ТГ_ИД!$B:$B,ТГ!$G$11,ТГ_ИД!$D:$D,ТГ!$A856)</f>
        <v>0</v>
      </c>
      <c r="T855" s="130">
        <f>SUMIFS(ТГ_ИД!$E:$E,ТГ_ИД!$B:$B,ТГ!$G$12,ТГ_ИД!$D:$D,ТГ!$A856)</f>
        <v>0</v>
      </c>
      <c r="U855" s="130">
        <f>SUMIFS(ТГ_ИД!$E:$E,ТГ_ИД!$B:$B,ТГ!$G$13,ТГ_ИД!$D:$D,ТГ!$A856)</f>
        <v>0</v>
      </c>
      <c r="V855" s="130">
        <f>SUMIFS(ТГ_ИД!$E:$E,ТГ_ИД!$B:$B,ТГ!$G$14,ТГ_ИД!$D:$D,ТГ!$A856)</f>
        <v>0</v>
      </c>
    </row>
    <row r="856" spans="1:22" x14ac:dyDescent="0.25">
      <c r="A856" s="116" t="str">
        <f t="shared" si="14"/>
        <v/>
      </c>
      <c r="K856" s="130">
        <f>SUMIFS(ТГ_ИД!$E:$E,ТГ_ИД!$B:$B,ТГ!$G$3,ТГ_ИД!$D:$D,ТГ!$A857)</f>
        <v>0</v>
      </c>
      <c r="L856" s="130">
        <f>SUMIFS(ТГ_ИД!$E:$E,ТГ_ИД!$B:$B,ТГ!$G$4,ТГ_ИД!$D:$D,ТГ!$A857)</f>
        <v>0</v>
      </c>
      <c r="M856" s="130">
        <f>SUMIFS(ТГ_ИД!$E:$E,ТГ_ИД!$B:$B,ТГ!$G$5,ТГ_ИД!$D:$D,ТГ!$A857)</f>
        <v>0</v>
      </c>
      <c r="N856" s="130">
        <f>SUMIFS(ТГ_ИД!$E:$E,ТГ_ИД!$B:$B,ТГ!$G$6,ТГ_ИД!$D:$D,ТГ!$A857)</f>
        <v>0</v>
      </c>
      <c r="O856" s="130">
        <f>SUMIFS(ТГ_ИД!$E:$E,ТГ_ИД!$B:$B,ТГ!$G$7,ТГ_ИД!$D:$D,ТГ!$A857)</f>
        <v>0</v>
      </c>
      <c r="P856" s="130">
        <f>SUMIFS(ТГ_ИД!$E:$E,ТГ_ИД!$B:$B,ТГ!$G$8,ТГ_ИД!$D:$D,ТГ!$A857)</f>
        <v>0</v>
      </c>
      <c r="Q856" s="130">
        <f>SUMIFS(ТГ_ИД!$E:$E,ТГ_ИД!$B:$B,ТГ!$G$9,ТГ_ИД!$D:$D,ТГ!$A857)</f>
        <v>0</v>
      </c>
      <c r="R856" s="130">
        <f>SUMIFS(ТГ_ИД!$E:$E,ТГ_ИД!$B:$B,ТГ!$G$10,ТГ_ИД!$D:$D,ТГ!$A857)</f>
        <v>0</v>
      </c>
      <c r="S856" s="130">
        <f>SUMIFS(ТГ_ИД!$E:$E,ТГ_ИД!$B:$B,ТГ!$G$11,ТГ_ИД!$D:$D,ТГ!$A857)</f>
        <v>0</v>
      </c>
      <c r="T856" s="130">
        <f>SUMIFS(ТГ_ИД!$E:$E,ТГ_ИД!$B:$B,ТГ!$G$12,ТГ_ИД!$D:$D,ТГ!$A857)</f>
        <v>0</v>
      </c>
      <c r="U856" s="130">
        <f>SUMIFS(ТГ_ИД!$E:$E,ТГ_ИД!$B:$B,ТГ!$G$13,ТГ_ИД!$D:$D,ТГ!$A857)</f>
        <v>0</v>
      </c>
      <c r="V856" s="130">
        <f>SUMIFS(ТГ_ИД!$E:$E,ТГ_ИД!$B:$B,ТГ!$G$14,ТГ_ИД!$D:$D,ТГ!$A857)</f>
        <v>0</v>
      </c>
    </row>
    <row r="857" spans="1:22" x14ac:dyDescent="0.25">
      <c r="A857" s="116" t="str">
        <f t="shared" si="14"/>
        <v/>
      </c>
      <c r="K857" s="130">
        <f>SUMIFS(ТГ_ИД!$E:$E,ТГ_ИД!$B:$B,ТГ!$G$3,ТГ_ИД!$D:$D,ТГ!$A858)</f>
        <v>0</v>
      </c>
      <c r="L857" s="130">
        <f>SUMIFS(ТГ_ИД!$E:$E,ТГ_ИД!$B:$B,ТГ!$G$4,ТГ_ИД!$D:$D,ТГ!$A858)</f>
        <v>0</v>
      </c>
      <c r="M857" s="130">
        <f>SUMIFS(ТГ_ИД!$E:$E,ТГ_ИД!$B:$B,ТГ!$G$5,ТГ_ИД!$D:$D,ТГ!$A858)</f>
        <v>0</v>
      </c>
      <c r="N857" s="130">
        <f>SUMIFS(ТГ_ИД!$E:$E,ТГ_ИД!$B:$B,ТГ!$G$6,ТГ_ИД!$D:$D,ТГ!$A858)</f>
        <v>0</v>
      </c>
      <c r="O857" s="130">
        <f>SUMIFS(ТГ_ИД!$E:$E,ТГ_ИД!$B:$B,ТГ!$G$7,ТГ_ИД!$D:$D,ТГ!$A858)</f>
        <v>0</v>
      </c>
      <c r="P857" s="130">
        <f>SUMIFS(ТГ_ИД!$E:$E,ТГ_ИД!$B:$B,ТГ!$G$8,ТГ_ИД!$D:$D,ТГ!$A858)</f>
        <v>0</v>
      </c>
      <c r="Q857" s="130">
        <f>SUMIFS(ТГ_ИД!$E:$E,ТГ_ИД!$B:$B,ТГ!$G$9,ТГ_ИД!$D:$D,ТГ!$A858)</f>
        <v>0</v>
      </c>
      <c r="R857" s="130">
        <f>SUMIFS(ТГ_ИД!$E:$E,ТГ_ИД!$B:$B,ТГ!$G$10,ТГ_ИД!$D:$D,ТГ!$A858)</f>
        <v>0</v>
      </c>
      <c r="S857" s="130">
        <f>SUMIFS(ТГ_ИД!$E:$E,ТГ_ИД!$B:$B,ТГ!$G$11,ТГ_ИД!$D:$D,ТГ!$A858)</f>
        <v>0</v>
      </c>
      <c r="T857" s="130">
        <f>SUMIFS(ТГ_ИД!$E:$E,ТГ_ИД!$B:$B,ТГ!$G$12,ТГ_ИД!$D:$D,ТГ!$A858)</f>
        <v>0</v>
      </c>
      <c r="U857" s="130">
        <f>SUMIFS(ТГ_ИД!$E:$E,ТГ_ИД!$B:$B,ТГ!$G$13,ТГ_ИД!$D:$D,ТГ!$A858)</f>
        <v>0</v>
      </c>
      <c r="V857" s="130">
        <f>SUMIFS(ТГ_ИД!$E:$E,ТГ_ИД!$B:$B,ТГ!$G$14,ТГ_ИД!$D:$D,ТГ!$A858)</f>
        <v>0</v>
      </c>
    </row>
    <row r="858" spans="1:22" x14ac:dyDescent="0.25">
      <c r="A858" s="116" t="str">
        <f t="shared" si="14"/>
        <v/>
      </c>
      <c r="K858" s="130">
        <f>SUMIFS(ТГ_ИД!$E:$E,ТГ_ИД!$B:$B,ТГ!$G$3,ТГ_ИД!$D:$D,ТГ!$A859)</f>
        <v>0</v>
      </c>
      <c r="L858" s="130">
        <f>SUMIFS(ТГ_ИД!$E:$E,ТГ_ИД!$B:$B,ТГ!$G$4,ТГ_ИД!$D:$D,ТГ!$A859)</f>
        <v>0</v>
      </c>
      <c r="M858" s="130">
        <f>SUMIFS(ТГ_ИД!$E:$E,ТГ_ИД!$B:$B,ТГ!$G$5,ТГ_ИД!$D:$D,ТГ!$A859)</f>
        <v>0</v>
      </c>
      <c r="N858" s="130">
        <f>SUMIFS(ТГ_ИД!$E:$E,ТГ_ИД!$B:$B,ТГ!$G$6,ТГ_ИД!$D:$D,ТГ!$A859)</f>
        <v>0</v>
      </c>
      <c r="O858" s="130">
        <f>SUMIFS(ТГ_ИД!$E:$E,ТГ_ИД!$B:$B,ТГ!$G$7,ТГ_ИД!$D:$D,ТГ!$A859)</f>
        <v>0</v>
      </c>
      <c r="P858" s="130">
        <f>SUMIFS(ТГ_ИД!$E:$E,ТГ_ИД!$B:$B,ТГ!$G$8,ТГ_ИД!$D:$D,ТГ!$A859)</f>
        <v>0</v>
      </c>
      <c r="Q858" s="130">
        <f>SUMIFS(ТГ_ИД!$E:$E,ТГ_ИД!$B:$B,ТГ!$G$9,ТГ_ИД!$D:$D,ТГ!$A859)</f>
        <v>0</v>
      </c>
      <c r="R858" s="130">
        <f>SUMIFS(ТГ_ИД!$E:$E,ТГ_ИД!$B:$B,ТГ!$G$10,ТГ_ИД!$D:$D,ТГ!$A859)</f>
        <v>0</v>
      </c>
      <c r="S858" s="130">
        <f>SUMIFS(ТГ_ИД!$E:$E,ТГ_ИД!$B:$B,ТГ!$G$11,ТГ_ИД!$D:$D,ТГ!$A859)</f>
        <v>0</v>
      </c>
      <c r="T858" s="130">
        <f>SUMIFS(ТГ_ИД!$E:$E,ТГ_ИД!$B:$B,ТГ!$G$12,ТГ_ИД!$D:$D,ТГ!$A859)</f>
        <v>0</v>
      </c>
      <c r="U858" s="130">
        <f>SUMIFS(ТГ_ИД!$E:$E,ТГ_ИД!$B:$B,ТГ!$G$13,ТГ_ИД!$D:$D,ТГ!$A859)</f>
        <v>0</v>
      </c>
      <c r="V858" s="130">
        <f>SUMIFS(ТГ_ИД!$E:$E,ТГ_ИД!$B:$B,ТГ!$G$14,ТГ_ИД!$D:$D,ТГ!$A859)</f>
        <v>0</v>
      </c>
    </row>
    <row r="859" spans="1:22" x14ac:dyDescent="0.25">
      <c r="A859" s="116" t="str">
        <f t="shared" si="14"/>
        <v/>
      </c>
      <c r="K859" s="130">
        <f>SUMIFS(ТГ_ИД!$E:$E,ТГ_ИД!$B:$B,ТГ!$G$3,ТГ_ИД!$D:$D,ТГ!$A860)</f>
        <v>0</v>
      </c>
      <c r="L859" s="130">
        <f>SUMIFS(ТГ_ИД!$E:$E,ТГ_ИД!$B:$B,ТГ!$G$4,ТГ_ИД!$D:$D,ТГ!$A860)</f>
        <v>0</v>
      </c>
      <c r="M859" s="130">
        <f>SUMIFS(ТГ_ИД!$E:$E,ТГ_ИД!$B:$B,ТГ!$G$5,ТГ_ИД!$D:$D,ТГ!$A860)</f>
        <v>0</v>
      </c>
      <c r="N859" s="130">
        <f>SUMIFS(ТГ_ИД!$E:$E,ТГ_ИД!$B:$B,ТГ!$G$6,ТГ_ИД!$D:$D,ТГ!$A860)</f>
        <v>0</v>
      </c>
      <c r="O859" s="130">
        <f>SUMIFS(ТГ_ИД!$E:$E,ТГ_ИД!$B:$B,ТГ!$G$7,ТГ_ИД!$D:$D,ТГ!$A860)</f>
        <v>0</v>
      </c>
      <c r="P859" s="130">
        <f>SUMIFS(ТГ_ИД!$E:$E,ТГ_ИД!$B:$B,ТГ!$G$8,ТГ_ИД!$D:$D,ТГ!$A860)</f>
        <v>0</v>
      </c>
      <c r="Q859" s="130">
        <f>SUMIFS(ТГ_ИД!$E:$E,ТГ_ИД!$B:$B,ТГ!$G$9,ТГ_ИД!$D:$D,ТГ!$A860)</f>
        <v>0</v>
      </c>
      <c r="R859" s="130">
        <f>SUMIFS(ТГ_ИД!$E:$E,ТГ_ИД!$B:$B,ТГ!$G$10,ТГ_ИД!$D:$D,ТГ!$A860)</f>
        <v>0</v>
      </c>
      <c r="S859" s="130">
        <f>SUMIFS(ТГ_ИД!$E:$E,ТГ_ИД!$B:$B,ТГ!$G$11,ТГ_ИД!$D:$D,ТГ!$A860)</f>
        <v>0</v>
      </c>
      <c r="T859" s="130">
        <f>SUMIFS(ТГ_ИД!$E:$E,ТГ_ИД!$B:$B,ТГ!$G$12,ТГ_ИД!$D:$D,ТГ!$A860)</f>
        <v>0</v>
      </c>
      <c r="U859" s="130">
        <f>SUMIFS(ТГ_ИД!$E:$E,ТГ_ИД!$B:$B,ТГ!$G$13,ТГ_ИД!$D:$D,ТГ!$A860)</f>
        <v>0</v>
      </c>
      <c r="V859" s="130">
        <f>SUMIFS(ТГ_ИД!$E:$E,ТГ_ИД!$B:$B,ТГ!$G$14,ТГ_ИД!$D:$D,ТГ!$A860)</f>
        <v>0</v>
      </c>
    </row>
    <row r="860" spans="1:22" x14ac:dyDescent="0.25">
      <c r="A860" s="116" t="str">
        <f t="shared" si="14"/>
        <v/>
      </c>
      <c r="K860" s="130">
        <f>SUMIFS(ТГ_ИД!$E:$E,ТГ_ИД!$B:$B,ТГ!$G$3,ТГ_ИД!$D:$D,ТГ!$A861)</f>
        <v>0</v>
      </c>
      <c r="L860" s="130">
        <f>SUMIFS(ТГ_ИД!$E:$E,ТГ_ИД!$B:$B,ТГ!$G$4,ТГ_ИД!$D:$D,ТГ!$A861)</f>
        <v>0</v>
      </c>
      <c r="M860" s="130">
        <f>SUMIFS(ТГ_ИД!$E:$E,ТГ_ИД!$B:$B,ТГ!$G$5,ТГ_ИД!$D:$D,ТГ!$A861)</f>
        <v>0</v>
      </c>
      <c r="N860" s="130">
        <f>SUMIFS(ТГ_ИД!$E:$E,ТГ_ИД!$B:$B,ТГ!$G$6,ТГ_ИД!$D:$D,ТГ!$A861)</f>
        <v>0</v>
      </c>
      <c r="O860" s="130">
        <f>SUMIFS(ТГ_ИД!$E:$E,ТГ_ИД!$B:$B,ТГ!$G$7,ТГ_ИД!$D:$D,ТГ!$A861)</f>
        <v>0</v>
      </c>
      <c r="P860" s="130">
        <f>SUMIFS(ТГ_ИД!$E:$E,ТГ_ИД!$B:$B,ТГ!$G$8,ТГ_ИД!$D:$D,ТГ!$A861)</f>
        <v>0</v>
      </c>
      <c r="Q860" s="130">
        <f>SUMIFS(ТГ_ИД!$E:$E,ТГ_ИД!$B:$B,ТГ!$G$9,ТГ_ИД!$D:$D,ТГ!$A861)</f>
        <v>0</v>
      </c>
      <c r="R860" s="130">
        <f>SUMIFS(ТГ_ИД!$E:$E,ТГ_ИД!$B:$B,ТГ!$G$10,ТГ_ИД!$D:$D,ТГ!$A861)</f>
        <v>0</v>
      </c>
      <c r="S860" s="130">
        <f>SUMIFS(ТГ_ИД!$E:$E,ТГ_ИД!$B:$B,ТГ!$G$11,ТГ_ИД!$D:$D,ТГ!$A861)</f>
        <v>0</v>
      </c>
      <c r="T860" s="130">
        <f>SUMIFS(ТГ_ИД!$E:$E,ТГ_ИД!$B:$B,ТГ!$G$12,ТГ_ИД!$D:$D,ТГ!$A861)</f>
        <v>0</v>
      </c>
      <c r="U860" s="130">
        <f>SUMIFS(ТГ_ИД!$E:$E,ТГ_ИД!$B:$B,ТГ!$G$13,ТГ_ИД!$D:$D,ТГ!$A861)</f>
        <v>0</v>
      </c>
      <c r="V860" s="130">
        <f>SUMIFS(ТГ_ИД!$E:$E,ТГ_ИД!$B:$B,ТГ!$G$14,ТГ_ИД!$D:$D,ТГ!$A861)</f>
        <v>0</v>
      </c>
    </row>
    <row r="861" spans="1:22" x14ac:dyDescent="0.25">
      <c r="A861" s="116" t="str">
        <f t="shared" si="14"/>
        <v/>
      </c>
      <c r="K861" s="130">
        <f>SUMIFS(ТГ_ИД!$E:$E,ТГ_ИД!$B:$B,ТГ!$G$3,ТГ_ИД!$D:$D,ТГ!$A862)</f>
        <v>0</v>
      </c>
      <c r="L861" s="130">
        <f>SUMIFS(ТГ_ИД!$E:$E,ТГ_ИД!$B:$B,ТГ!$G$4,ТГ_ИД!$D:$D,ТГ!$A862)</f>
        <v>0</v>
      </c>
      <c r="M861" s="130">
        <f>SUMIFS(ТГ_ИД!$E:$E,ТГ_ИД!$B:$B,ТГ!$G$5,ТГ_ИД!$D:$D,ТГ!$A862)</f>
        <v>0</v>
      </c>
      <c r="N861" s="130">
        <f>SUMIFS(ТГ_ИД!$E:$E,ТГ_ИД!$B:$B,ТГ!$G$6,ТГ_ИД!$D:$D,ТГ!$A862)</f>
        <v>0</v>
      </c>
      <c r="O861" s="130">
        <f>SUMIFS(ТГ_ИД!$E:$E,ТГ_ИД!$B:$B,ТГ!$G$7,ТГ_ИД!$D:$D,ТГ!$A862)</f>
        <v>0</v>
      </c>
      <c r="P861" s="130">
        <f>SUMIFS(ТГ_ИД!$E:$E,ТГ_ИД!$B:$B,ТГ!$G$8,ТГ_ИД!$D:$D,ТГ!$A862)</f>
        <v>0</v>
      </c>
      <c r="Q861" s="130">
        <f>SUMIFS(ТГ_ИД!$E:$E,ТГ_ИД!$B:$B,ТГ!$G$9,ТГ_ИД!$D:$D,ТГ!$A862)</f>
        <v>0</v>
      </c>
      <c r="R861" s="130">
        <f>SUMIFS(ТГ_ИД!$E:$E,ТГ_ИД!$B:$B,ТГ!$G$10,ТГ_ИД!$D:$D,ТГ!$A862)</f>
        <v>0</v>
      </c>
      <c r="S861" s="130">
        <f>SUMIFS(ТГ_ИД!$E:$E,ТГ_ИД!$B:$B,ТГ!$G$11,ТГ_ИД!$D:$D,ТГ!$A862)</f>
        <v>0</v>
      </c>
      <c r="T861" s="130">
        <f>SUMIFS(ТГ_ИД!$E:$E,ТГ_ИД!$B:$B,ТГ!$G$12,ТГ_ИД!$D:$D,ТГ!$A862)</f>
        <v>0</v>
      </c>
      <c r="U861" s="130">
        <f>SUMIFS(ТГ_ИД!$E:$E,ТГ_ИД!$B:$B,ТГ!$G$13,ТГ_ИД!$D:$D,ТГ!$A862)</f>
        <v>0</v>
      </c>
      <c r="V861" s="130">
        <f>SUMIFS(ТГ_ИД!$E:$E,ТГ_ИД!$B:$B,ТГ!$G$14,ТГ_ИД!$D:$D,ТГ!$A862)</f>
        <v>0</v>
      </c>
    </row>
    <row r="862" spans="1:22" x14ac:dyDescent="0.25">
      <c r="A862" s="116" t="str">
        <f t="shared" si="14"/>
        <v/>
      </c>
      <c r="K862" s="130">
        <f>SUMIFS(ТГ_ИД!$E:$E,ТГ_ИД!$B:$B,ТГ!$G$3,ТГ_ИД!$D:$D,ТГ!$A863)</f>
        <v>0</v>
      </c>
      <c r="L862" s="130">
        <f>SUMIFS(ТГ_ИД!$E:$E,ТГ_ИД!$B:$B,ТГ!$G$4,ТГ_ИД!$D:$D,ТГ!$A863)</f>
        <v>0</v>
      </c>
      <c r="M862" s="130">
        <f>SUMIFS(ТГ_ИД!$E:$E,ТГ_ИД!$B:$B,ТГ!$G$5,ТГ_ИД!$D:$D,ТГ!$A863)</f>
        <v>0</v>
      </c>
      <c r="N862" s="130">
        <f>SUMIFS(ТГ_ИД!$E:$E,ТГ_ИД!$B:$B,ТГ!$G$6,ТГ_ИД!$D:$D,ТГ!$A863)</f>
        <v>0</v>
      </c>
      <c r="O862" s="130">
        <f>SUMIFS(ТГ_ИД!$E:$E,ТГ_ИД!$B:$B,ТГ!$G$7,ТГ_ИД!$D:$D,ТГ!$A863)</f>
        <v>0</v>
      </c>
      <c r="P862" s="130">
        <f>SUMIFS(ТГ_ИД!$E:$E,ТГ_ИД!$B:$B,ТГ!$G$8,ТГ_ИД!$D:$D,ТГ!$A863)</f>
        <v>0</v>
      </c>
      <c r="Q862" s="130">
        <f>SUMIFS(ТГ_ИД!$E:$E,ТГ_ИД!$B:$B,ТГ!$G$9,ТГ_ИД!$D:$D,ТГ!$A863)</f>
        <v>0</v>
      </c>
      <c r="R862" s="130">
        <f>SUMIFS(ТГ_ИД!$E:$E,ТГ_ИД!$B:$B,ТГ!$G$10,ТГ_ИД!$D:$D,ТГ!$A863)</f>
        <v>0</v>
      </c>
      <c r="S862" s="130">
        <f>SUMIFS(ТГ_ИД!$E:$E,ТГ_ИД!$B:$B,ТГ!$G$11,ТГ_ИД!$D:$D,ТГ!$A863)</f>
        <v>0</v>
      </c>
      <c r="T862" s="130">
        <f>SUMIFS(ТГ_ИД!$E:$E,ТГ_ИД!$B:$B,ТГ!$G$12,ТГ_ИД!$D:$D,ТГ!$A863)</f>
        <v>0</v>
      </c>
      <c r="U862" s="130">
        <f>SUMIFS(ТГ_ИД!$E:$E,ТГ_ИД!$B:$B,ТГ!$G$13,ТГ_ИД!$D:$D,ТГ!$A863)</f>
        <v>0</v>
      </c>
      <c r="V862" s="130">
        <f>SUMIFS(ТГ_ИД!$E:$E,ТГ_ИД!$B:$B,ТГ!$G$14,ТГ_ИД!$D:$D,ТГ!$A863)</f>
        <v>0</v>
      </c>
    </row>
    <row r="863" spans="1:22" x14ac:dyDescent="0.25">
      <c r="A863" s="116" t="str">
        <f t="shared" si="14"/>
        <v/>
      </c>
      <c r="K863" s="130">
        <f>SUMIFS(ТГ_ИД!$E:$E,ТГ_ИД!$B:$B,ТГ!$G$3,ТГ_ИД!$D:$D,ТГ!$A864)</f>
        <v>0</v>
      </c>
      <c r="L863" s="130">
        <f>SUMIFS(ТГ_ИД!$E:$E,ТГ_ИД!$B:$B,ТГ!$G$4,ТГ_ИД!$D:$D,ТГ!$A864)</f>
        <v>0</v>
      </c>
      <c r="M863" s="130">
        <f>SUMIFS(ТГ_ИД!$E:$E,ТГ_ИД!$B:$B,ТГ!$G$5,ТГ_ИД!$D:$D,ТГ!$A864)</f>
        <v>0</v>
      </c>
      <c r="N863" s="130">
        <f>SUMIFS(ТГ_ИД!$E:$E,ТГ_ИД!$B:$B,ТГ!$G$6,ТГ_ИД!$D:$D,ТГ!$A864)</f>
        <v>0</v>
      </c>
      <c r="O863" s="130">
        <f>SUMIFS(ТГ_ИД!$E:$E,ТГ_ИД!$B:$B,ТГ!$G$7,ТГ_ИД!$D:$D,ТГ!$A864)</f>
        <v>0</v>
      </c>
      <c r="P863" s="130">
        <f>SUMIFS(ТГ_ИД!$E:$E,ТГ_ИД!$B:$B,ТГ!$G$8,ТГ_ИД!$D:$D,ТГ!$A864)</f>
        <v>0</v>
      </c>
      <c r="Q863" s="130">
        <f>SUMIFS(ТГ_ИД!$E:$E,ТГ_ИД!$B:$B,ТГ!$G$9,ТГ_ИД!$D:$D,ТГ!$A864)</f>
        <v>0</v>
      </c>
      <c r="R863" s="130">
        <f>SUMIFS(ТГ_ИД!$E:$E,ТГ_ИД!$B:$B,ТГ!$G$10,ТГ_ИД!$D:$D,ТГ!$A864)</f>
        <v>0</v>
      </c>
      <c r="S863" s="130">
        <f>SUMIFS(ТГ_ИД!$E:$E,ТГ_ИД!$B:$B,ТГ!$G$11,ТГ_ИД!$D:$D,ТГ!$A864)</f>
        <v>0</v>
      </c>
      <c r="T863" s="130">
        <f>SUMIFS(ТГ_ИД!$E:$E,ТГ_ИД!$B:$B,ТГ!$G$12,ТГ_ИД!$D:$D,ТГ!$A864)</f>
        <v>0</v>
      </c>
      <c r="U863" s="130">
        <f>SUMIFS(ТГ_ИД!$E:$E,ТГ_ИД!$B:$B,ТГ!$G$13,ТГ_ИД!$D:$D,ТГ!$A864)</f>
        <v>0</v>
      </c>
      <c r="V863" s="130">
        <f>SUMIFS(ТГ_ИД!$E:$E,ТГ_ИД!$B:$B,ТГ!$G$14,ТГ_ИД!$D:$D,ТГ!$A864)</f>
        <v>0</v>
      </c>
    </row>
    <row r="864" spans="1:22" x14ac:dyDescent="0.25">
      <c r="A864" s="116" t="str">
        <f t="shared" si="14"/>
        <v/>
      </c>
      <c r="K864" s="130">
        <f>SUMIFS(ТГ_ИД!$E:$E,ТГ_ИД!$B:$B,ТГ!$G$3,ТГ_ИД!$D:$D,ТГ!$A865)</f>
        <v>0</v>
      </c>
      <c r="L864" s="130">
        <f>SUMIFS(ТГ_ИД!$E:$E,ТГ_ИД!$B:$B,ТГ!$G$4,ТГ_ИД!$D:$D,ТГ!$A865)</f>
        <v>0</v>
      </c>
      <c r="M864" s="130">
        <f>SUMIFS(ТГ_ИД!$E:$E,ТГ_ИД!$B:$B,ТГ!$G$5,ТГ_ИД!$D:$D,ТГ!$A865)</f>
        <v>0</v>
      </c>
      <c r="N864" s="130">
        <f>SUMIFS(ТГ_ИД!$E:$E,ТГ_ИД!$B:$B,ТГ!$G$6,ТГ_ИД!$D:$D,ТГ!$A865)</f>
        <v>0</v>
      </c>
      <c r="O864" s="130">
        <f>SUMIFS(ТГ_ИД!$E:$E,ТГ_ИД!$B:$B,ТГ!$G$7,ТГ_ИД!$D:$D,ТГ!$A865)</f>
        <v>0</v>
      </c>
      <c r="P864" s="130">
        <f>SUMIFS(ТГ_ИД!$E:$E,ТГ_ИД!$B:$B,ТГ!$G$8,ТГ_ИД!$D:$D,ТГ!$A865)</f>
        <v>0</v>
      </c>
      <c r="Q864" s="130">
        <f>SUMIFS(ТГ_ИД!$E:$E,ТГ_ИД!$B:$B,ТГ!$G$9,ТГ_ИД!$D:$D,ТГ!$A865)</f>
        <v>0</v>
      </c>
      <c r="R864" s="130">
        <f>SUMIFS(ТГ_ИД!$E:$E,ТГ_ИД!$B:$B,ТГ!$G$10,ТГ_ИД!$D:$D,ТГ!$A865)</f>
        <v>0</v>
      </c>
      <c r="S864" s="130">
        <f>SUMIFS(ТГ_ИД!$E:$E,ТГ_ИД!$B:$B,ТГ!$G$11,ТГ_ИД!$D:$D,ТГ!$A865)</f>
        <v>0</v>
      </c>
      <c r="T864" s="130">
        <f>SUMIFS(ТГ_ИД!$E:$E,ТГ_ИД!$B:$B,ТГ!$G$12,ТГ_ИД!$D:$D,ТГ!$A865)</f>
        <v>0</v>
      </c>
      <c r="U864" s="130">
        <f>SUMIFS(ТГ_ИД!$E:$E,ТГ_ИД!$B:$B,ТГ!$G$13,ТГ_ИД!$D:$D,ТГ!$A865)</f>
        <v>0</v>
      </c>
      <c r="V864" s="130">
        <f>SUMIFS(ТГ_ИД!$E:$E,ТГ_ИД!$B:$B,ТГ!$G$14,ТГ_ИД!$D:$D,ТГ!$A865)</f>
        <v>0</v>
      </c>
    </row>
    <row r="865" spans="1:22" x14ac:dyDescent="0.25">
      <c r="A865" s="116" t="str">
        <f t="shared" si="14"/>
        <v/>
      </c>
      <c r="K865" s="130">
        <f>SUMIFS(ТГ_ИД!$E:$E,ТГ_ИД!$B:$B,ТГ!$G$3,ТГ_ИД!$D:$D,ТГ!$A866)</f>
        <v>0</v>
      </c>
      <c r="L865" s="130">
        <f>SUMIFS(ТГ_ИД!$E:$E,ТГ_ИД!$B:$B,ТГ!$G$4,ТГ_ИД!$D:$D,ТГ!$A866)</f>
        <v>0</v>
      </c>
      <c r="M865" s="130">
        <f>SUMIFS(ТГ_ИД!$E:$E,ТГ_ИД!$B:$B,ТГ!$G$5,ТГ_ИД!$D:$D,ТГ!$A866)</f>
        <v>0</v>
      </c>
      <c r="N865" s="130">
        <f>SUMIFS(ТГ_ИД!$E:$E,ТГ_ИД!$B:$B,ТГ!$G$6,ТГ_ИД!$D:$D,ТГ!$A866)</f>
        <v>0</v>
      </c>
      <c r="O865" s="130">
        <f>SUMIFS(ТГ_ИД!$E:$E,ТГ_ИД!$B:$B,ТГ!$G$7,ТГ_ИД!$D:$D,ТГ!$A866)</f>
        <v>0</v>
      </c>
      <c r="P865" s="130">
        <f>SUMIFS(ТГ_ИД!$E:$E,ТГ_ИД!$B:$B,ТГ!$G$8,ТГ_ИД!$D:$D,ТГ!$A866)</f>
        <v>0</v>
      </c>
      <c r="Q865" s="130">
        <f>SUMIFS(ТГ_ИД!$E:$E,ТГ_ИД!$B:$B,ТГ!$G$9,ТГ_ИД!$D:$D,ТГ!$A866)</f>
        <v>0</v>
      </c>
      <c r="R865" s="130">
        <f>SUMIFS(ТГ_ИД!$E:$E,ТГ_ИД!$B:$B,ТГ!$G$10,ТГ_ИД!$D:$D,ТГ!$A866)</f>
        <v>0</v>
      </c>
      <c r="S865" s="130">
        <f>SUMIFS(ТГ_ИД!$E:$E,ТГ_ИД!$B:$B,ТГ!$G$11,ТГ_ИД!$D:$D,ТГ!$A866)</f>
        <v>0</v>
      </c>
      <c r="T865" s="130">
        <f>SUMIFS(ТГ_ИД!$E:$E,ТГ_ИД!$B:$B,ТГ!$G$12,ТГ_ИД!$D:$D,ТГ!$A866)</f>
        <v>0</v>
      </c>
      <c r="U865" s="130">
        <f>SUMIFS(ТГ_ИД!$E:$E,ТГ_ИД!$B:$B,ТГ!$G$13,ТГ_ИД!$D:$D,ТГ!$A866)</f>
        <v>0</v>
      </c>
      <c r="V865" s="130">
        <f>SUMIFS(ТГ_ИД!$E:$E,ТГ_ИД!$B:$B,ТГ!$G$14,ТГ_ИД!$D:$D,ТГ!$A866)</f>
        <v>0</v>
      </c>
    </row>
    <row r="866" spans="1:22" x14ac:dyDescent="0.25">
      <c r="A866" s="116" t="str">
        <f t="shared" si="14"/>
        <v/>
      </c>
      <c r="K866" s="130">
        <f>SUMIFS(ТГ_ИД!$E:$E,ТГ_ИД!$B:$B,ТГ!$G$3,ТГ_ИД!$D:$D,ТГ!$A867)</f>
        <v>0</v>
      </c>
      <c r="L866" s="130">
        <f>SUMIFS(ТГ_ИД!$E:$E,ТГ_ИД!$B:$B,ТГ!$G$4,ТГ_ИД!$D:$D,ТГ!$A867)</f>
        <v>0</v>
      </c>
      <c r="M866" s="130">
        <f>SUMIFS(ТГ_ИД!$E:$E,ТГ_ИД!$B:$B,ТГ!$G$5,ТГ_ИД!$D:$D,ТГ!$A867)</f>
        <v>0</v>
      </c>
      <c r="N866" s="130">
        <f>SUMIFS(ТГ_ИД!$E:$E,ТГ_ИД!$B:$B,ТГ!$G$6,ТГ_ИД!$D:$D,ТГ!$A867)</f>
        <v>0</v>
      </c>
      <c r="O866" s="130">
        <f>SUMIFS(ТГ_ИД!$E:$E,ТГ_ИД!$B:$B,ТГ!$G$7,ТГ_ИД!$D:$D,ТГ!$A867)</f>
        <v>0</v>
      </c>
      <c r="P866" s="130">
        <f>SUMIFS(ТГ_ИД!$E:$E,ТГ_ИД!$B:$B,ТГ!$G$8,ТГ_ИД!$D:$D,ТГ!$A867)</f>
        <v>0</v>
      </c>
      <c r="Q866" s="130">
        <f>SUMIFS(ТГ_ИД!$E:$E,ТГ_ИД!$B:$B,ТГ!$G$9,ТГ_ИД!$D:$D,ТГ!$A867)</f>
        <v>0</v>
      </c>
      <c r="R866" s="130">
        <f>SUMIFS(ТГ_ИД!$E:$E,ТГ_ИД!$B:$B,ТГ!$G$10,ТГ_ИД!$D:$D,ТГ!$A867)</f>
        <v>0</v>
      </c>
      <c r="S866" s="130">
        <f>SUMIFS(ТГ_ИД!$E:$E,ТГ_ИД!$B:$B,ТГ!$G$11,ТГ_ИД!$D:$D,ТГ!$A867)</f>
        <v>0</v>
      </c>
      <c r="T866" s="130">
        <f>SUMIFS(ТГ_ИД!$E:$E,ТГ_ИД!$B:$B,ТГ!$G$12,ТГ_ИД!$D:$D,ТГ!$A867)</f>
        <v>0</v>
      </c>
      <c r="U866" s="130">
        <f>SUMIFS(ТГ_ИД!$E:$E,ТГ_ИД!$B:$B,ТГ!$G$13,ТГ_ИД!$D:$D,ТГ!$A867)</f>
        <v>0</v>
      </c>
      <c r="V866" s="130">
        <f>SUMIFS(ТГ_ИД!$E:$E,ТГ_ИД!$B:$B,ТГ!$G$14,ТГ_ИД!$D:$D,ТГ!$A867)</f>
        <v>0</v>
      </c>
    </row>
    <row r="867" spans="1:22" x14ac:dyDescent="0.25">
      <c r="A867" s="116" t="str">
        <f t="shared" si="14"/>
        <v/>
      </c>
      <c r="K867" s="130">
        <f>SUMIFS(ТГ_ИД!$E:$E,ТГ_ИД!$B:$B,ТГ!$G$3,ТГ_ИД!$D:$D,ТГ!$A868)</f>
        <v>0</v>
      </c>
      <c r="L867" s="130">
        <f>SUMIFS(ТГ_ИД!$E:$E,ТГ_ИД!$B:$B,ТГ!$G$4,ТГ_ИД!$D:$D,ТГ!$A868)</f>
        <v>0</v>
      </c>
      <c r="M867" s="130">
        <f>SUMIFS(ТГ_ИД!$E:$E,ТГ_ИД!$B:$B,ТГ!$G$5,ТГ_ИД!$D:$D,ТГ!$A868)</f>
        <v>0</v>
      </c>
      <c r="N867" s="130">
        <f>SUMIFS(ТГ_ИД!$E:$E,ТГ_ИД!$B:$B,ТГ!$G$6,ТГ_ИД!$D:$D,ТГ!$A868)</f>
        <v>0</v>
      </c>
      <c r="O867" s="130">
        <f>SUMIFS(ТГ_ИД!$E:$E,ТГ_ИД!$B:$B,ТГ!$G$7,ТГ_ИД!$D:$D,ТГ!$A868)</f>
        <v>0</v>
      </c>
      <c r="P867" s="130">
        <f>SUMIFS(ТГ_ИД!$E:$E,ТГ_ИД!$B:$B,ТГ!$G$8,ТГ_ИД!$D:$D,ТГ!$A868)</f>
        <v>0</v>
      </c>
      <c r="Q867" s="130">
        <f>SUMIFS(ТГ_ИД!$E:$E,ТГ_ИД!$B:$B,ТГ!$G$9,ТГ_ИД!$D:$D,ТГ!$A868)</f>
        <v>0</v>
      </c>
      <c r="R867" s="130">
        <f>SUMIFS(ТГ_ИД!$E:$E,ТГ_ИД!$B:$B,ТГ!$G$10,ТГ_ИД!$D:$D,ТГ!$A868)</f>
        <v>0</v>
      </c>
      <c r="S867" s="130">
        <f>SUMIFS(ТГ_ИД!$E:$E,ТГ_ИД!$B:$B,ТГ!$G$11,ТГ_ИД!$D:$D,ТГ!$A868)</f>
        <v>0</v>
      </c>
      <c r="T867" s="130">
        <f>SUMIFS(ТГ_ИД!$E:$E,ТГ_ИД!$B:$B,ТГ!$G$12,ТГ_ИД!$D:$D,ТГ!$A868)</f>
        <v>0</v>
      </c>
      <c r="U867" s="130">
        <f>SUMIFS(ТГ_ИД!$E:$E,ТГ_ИД!$B:$B,ТГ!$G$13,ТГ_ИД!$D:$D,ТГ!$A868)</f>
        <v>0</v>
      </c>
      <c r="V867" s="130">
        <f>SUMIFS(ТГ_ИД!$E:$E,ТГ_ИД!$B:$B,ТГ!$G$14,ТГ_ИД!$D:$D,ТГ!$A868)</f>
        <v>0</v>
      </c>
    </row>
    <row r="868" spans="1:22" x14ac:dyDescent="0.25">
      <c r="A868" s="116" t="str">
        <f t="shared" si="14"/>
        <v/>
      </c>
      <c r="K868" s="130">
        <f>SUMIFS(ТГ_ИД!$E:$E,ТГ_ИД!$B:$B,ТГ!$G$3,ТГ_ИД!$D:$D,ТГ!$A869)</f>
        <v>0</v>
      </c>
      <c r="L868" s="130">
        <f>SUMIFS(ТГ_ИД!$E:$E,ТГ_ИД!$B:$B,ТГ!$G$4,ТГ_ИД!$D:$D,ТГ!$A869)</f>
        <v>0</v>
      </c>
      <c r="M868" s="130">
        <f>SUMIFS(ТГ_ИД!$E:$E,ТГ_ИД!$B:$B,ТГ!$G$5,ТГ_ИД!$D:$D,ТГ!$A869)</f>
        <v>0</v>
      </c>
      <c r="N868" s="130">
        <f>SUMIFS(ТГ_ИД!$E:$E,ТГ_ИД!$B:$B,ТГ!$G$6,ТГ_ИД!$D:$D,ТГ!$A869)</f>
        <v>0</v>
      </c>
      <c r="O868" s="130">
        <f>SUMIFS(ТГ_ИД!$E:$E,ТГ_ИД!$B:$B,ТГ!$G$7,ТГ_ИД!$D:$D,ТГ!$A869)</f>
        <v>0</v>
      </c>
      <c r="P868" s="130">
        <f>SUMIFS(ТГ_ИД!$E:$E,ТГ_ИД!$B:$B,ТГ!$G$8,ТГ_ИД!$D:$D,ТГ!$A869)</f>
        <v>0</v>
      </c>
      <c r="Q868" s="130">
        <f>SUMIFS(ТГ_ИД!$E:$E,ТГ_ИД!$B:$B,ТГ!$G$9,ТГ_ИД!$D:$D,ТГ!$A869)</f>
        <v>0</v>
      </c>
      <c r="R868" s="130">
        <f>SUMIFS(ТГ_ИД!$E:$E,ТГ_ИД!$B:$B,ТГ!$G$10,ТГ_ИД!$D:$D,ТГ!$A869)</f>
        <v>0</v>
      </c>
      <c r="S868" s="130">
        <f>SUMIFS(ТГ_ИД!$E:$E,ТГ_ИД!$B:$B,ТГ!$G$11,ТГ_ИД!$D:$D,ТГ!$A869)</f>
        <v>0</v>
      </c>
      <c r="T868" s="130">
        <f>SUMIFS(ТГ_ИД!$E:$E,ТГ_ИД!$B:$B,ТГ!$G$12,ТГ_ИД!$D:$D,ТГ!$A869)</f>
        <v>0</v>
      </c>
      <c r="U868" s="130">
        <f>SUMIFS(ТГ_ИД!$E:$E,ТГ_ИД!$B:$B,ТГ!$G$13,ТГ_ИД!$D:$D,ТГ!$A869)</f>
        <v>0</v>
      </c>
      <c r="V868" s="130">
        <f>SUMIFS(ТГ_ИД!$E:$E,ТГ_ИД!$B:$B,ТГ!$G$14,ТГ_ИД!$D:$D,ТГ!$A869)</f>
        <v>0</v>
      </c>
    </row>
    <row r="869" spans="1:22" x14ac:dyDescent="0.25">
      <c r="A869" s="116" t="str">
        <f t="shared" si="14"/>
        <v/>
      </c>
      <c r="K869" s="130">
        <f>SUMIFS(ТГ_ИД!$E:$E,ТГ_ИД!$B:$B,ТГ!$G$3,ТГ_ИД!$D:$D,ТГ!$A870)</f>
        <v>0</v>
      </c>
      <c r="L869" s="130">
        <f>SUMIFS(ТГ_ИД!$E:$E,ТГ_ИД!$B:$B,ТГ!$G$4,ТГ_ИД!$D:$D,ТГ!$A870)</f>
        <v>0</v>
      </c>
      <c r="M869" s="130">
        <f>SUMIFS(ТГ_ИД!$E:$E,ТГ_ИД!$B:$B,ТГ!$G$5,ТГ_ИД!$D:$D,ТГ!$A870)</f>
        <v>0</v>
      </c>
      <c r="N869" s="130">
        <f>SUMIFS(ТГ_ИД!$E:$E,ТГ_ИД!$B:$B,ТГ!$G$6,ТГ_ИД!$D:$D,ТГ!$A870)</f>
        <v>0</v>
      </c>
      <c r="O869" s="130">
        <f>SUMIFS(ТГ_ИД!$E:$E,ТГ_ИД!$B:$B,ТГ!$G$7,ТГ_ИД!$D:$D,ТГ!$A870)</f>
        <v>0</v>
      </c>
      <c r="P869" s="130">
        <f>SUMIFS(ТГ_ИД!$E:$E,ТГ_ИД!$B:$B,ТГ!$G$8,ТГ_ИД!$D:$D,ТГ!$A870)</f>
        <v>0</v>
      </c>
      <c r="Q869" s="130">
        <f>SUMIFS(ТГ_ИД!$E:$E,ТГ_ИД!$B:$B,ТГ!$G$9,ТГ_ИД!$D:$D,ТГ!$A870)</f>
        <v>0</v>
      </c>
      <c r="R869" s="130">
        <f>SUMIFS(ТГ_ИД!$E:$E,ТГ_ИД!$B:$B,ТГ!$G$10,ТГ_ИД!$D:$D,ТГ!$A870)</f>
        <v>0</v>
      </c>
      <c r="S869" s="130">
        <f>SUMIFS(ТГ_ИД!$E:$E,ТГ_ИД!$B:$B,ТГ!$G$11,ТГ_ИД!$D:$D,ТГ!$A870)</f>
        <v>0</v>
      </c>
      <c r="T869" s="130">
        <f>SUMIFS(ТГ_ИД!$E:$E,ТГ_ИД!$B:$B,ТГ!$G$12,ТГ_ИД!$D:$D,ТГ!$A870)</f>
        <v>0</v>
      </c>
      <c r="U869" s="130">
        <f>SUMIFS(ТГ_ИД!$E:$E,ТГ_ИД!$B:$B,ТГ!$G$13,ТГ_ИД!$D:$D,ТГ!$A870)</f>
        <v>0</v>
      </c>
      <c r="V869" s="130">
        <f>SUMIFS(ТГ_ИД!$E:$E,ТГ_ИД!$B:$B,ТГ!$G$14,ТГ_ИД!$D:$D,ТГ!$A870)</f>
        <v>0</v>
      </c>
    </row>
    <row r="870" spans="1:22" x14ac:dyDescent="0.25">
      <c r="A870" s="116" t="str">
        <f t="shared" si="14"/>
        <v/>
      </c>
      <c r="K870" s="130">
        <f>SUMIFS(ТГ_ИД!$E:$E,ТГ_ИД!$B:$B,ТГ!$G$3,ТГ_ИД!$D:$D,ТГ!$A871)</f>
        <v>0</v>
      </c>
      <c r="L870" s="130">
        <f>SUMIFS(ТГ_ИД!$E:$E,ТГ_ИД!$B:$B,ТГ!$G$4,ТГ_ИД!$D:$D,ТГ!$A871)</f>
        <v>0</v>
      </c>
      <c r="M870" s="130">
        <f>SUMIFS(ТГ_ИД!$E:$E,ТГ_ИД!$B:$B,ТГ!$G$5,ТГ_ИД!$D:$D,ТГ!$A871)</f>
        <v>0</v>
      </c>
      <c r="N870" s="130">
        <f>SUMIFS(ТГ_ИД!$E:$E,ТГ_ИД!$B:$B,ТГ!$G$6,ТГ_ИД!$D:$D,ТГ!$A871)</f>
        <v>0</v>
      </c>
      <c r="O870" s="130">
        <f>SUMIFS(ТГ_ИД!$E:$E,ТГ_ИД!$B:$B,ТГ!$G$7,ТГ_ИД!$D:$D,ТГ!$A871)</f>
        <v>0</v>
      </c>
      <c r="P870" s="130">
        <f>SUMIFS(ТГ_ИД!$E:$E,ТГ_ИД!$B:$B,ТГ!$G$8,ТГ_ИД!$D:$D,ТГ!$A871)</f>
        <v>0</v>
      </c>
      <c r="Q870" s="130">
        <f>SUMIFS(ТГ_ИД!$E:$E,ТГ_ИД!$B:$B,ТГ!$G$9,ТГ_ИД!$D:$D,ТГ!$A871)</f>
        <v>0</v>
      </c>
      <c r="R870" s="130">
        <f>SUMIFS(ТГ_ИД!$E:$E,ТГ_ИД!$B:$B,ТГ!$G$10,ТГ_ИД!$D:$D,ТГ!$A871)</f>
        <v>0</v>
      </c>
      <c r="S870" s="130">
        <f>SUMIFS(ТГ_ИД!$E:$E,ТГ_ИД!$B:$B,ТГ!$G$11,ТГ_ИД!$D:$D,ТГ!$A871)</f>
        <v>0</v>
      </c>
      <c r="T870" s="130">
        <f>SUMIFS(ТГ_ИД!$E:$E,ТГ_ИД!$B:$B,ТГ!$G$12,ТГ_ИД!$D:$D,ТГ!$A871)</f>
        <v>0</v>
      </c>
      <c r="U870" s="130">
        <f>SUMIFS(ТГ_ИД!$E:$E,ТГ_ИД!$B:$B,ТГ!$G$13,ТГ_ИД!$D:$D,ТГ!$A871)</f>
        <v>0</v>
      </c>
      <c r="V870" s="130">
        <f>SUMIFS(ТГ_ИД!$E:$E,ТГ_ИД!$B:$B,ТГ!$G$14,ТГ_ИД!$D:$D,ТГ!$A871)</f>
        <v>0</v>
      </c>
    </row>
    <row r="871" spans="1:22" x14ac:dyDescent="0.25">
      <c r="A871" s="116" t="str">
        <f t="shared" si="14"/>
        <v/>
      </c>
      <c r="K871" s="130">
        <f>SUMIFS(ТГ_ИД!$E:$E,ТГ_ИД!$B:$B,ТГ!$G$3,ТГ_ИД!$D:$D,ТГ!$A872)</f>
        <v>0</v>
      </c>
      <c r="L871" s="130">
        <f>SUMIFS(ТГ_ИД!$E:$E,ТГ_ИД!$B:$B,ТГ!$G$4,ТГ_ИД!$D:$D,ТГ!$A872)</f>
        <v>0</v>
      </c>
      <c r="M871" s="130">
        <f>SUMIFS(ТГ_ИД!$E:$E,ТГ_ИД!$B:$B,ТГ!$G$5,ТГ_ИД!$D:$D,ТГ!$A872)</f>
        <v>0</v>
      </c>
      <c r="N871" s="130">
        <f>SUMIFS(ТГ_ИД!$E:$E,ТГ_ИД!$B:$B,ТГ!$G$6,ТГ_ИД!$D:$D,ТГ!$A872)</f>
        <v>0</v>
      </c>
      <c r="O871" s="130">
        <f>SUMIFS(ТГ_ИД!$E:$E,ТГ_ИД!$B:$B,ТГ!$G$7,ТГ_ИД!$D:$D,ТГ!$A872)</f>
        <v>0</v>
      </c>
      <c r="P871" s="130">
        <f>SUMIFS(ТГ_ИД!$E:$E,ТГ_ИД!$B:$B,ТГ!$G$8,ТГ_ИД!$D:$D,ТГ!$A872)</f>
        <v>0</v>
      </c>
      <c r="Q871" s="130">
        <f>SUMIFS(ТГ_ИД!$E:$E,ТГ_ИД!$B:$B,ТГ!$G$9,ТГ_ИД!$D:$D,ТГ!$A872)</f>
        <v>0</v>
      </c>
      <c r="R871" s="130">
        <f>SUMIFS(ТГ_ИД!$E:$E,ТГ_ИД!$B:$B,ТГ!$G$10,ТГ_ИД!$D:$D,ТГ!$A872)</f>
        <v>0</v>
      </c>
      <c r="S871" s="130">
        <f>SUMIFS(ТГ_ИД!$E:$E,ТГ_ИД!$B:$B,ТГ!$G$11,ТГ_ИД!$D:$D,ТГ!$A872)</f>
        <v>0</v>
      </c>
      <c r="T871" s="130">
        <f>SUMIFS(ТГ_ИД!$E:$E,ТГ_ИД!$B:$B,ТГ!$G$12,ТГ_ИД!$D:$D,ТГ!$A872)</f>
        <v>0</v>
      </c>
      <c r="U871" s="130">
        <f>SUMIFS(ТГ_ИД!$E:$E,ТГ_ИД!$B:$B,ТГ!$G$13,ТГ_ИД!$D:$D,ТГ!$A872)</f>
        <v>0</v>
      </c>
      <c r="V871" s="130">
        <f>SUMIFS(ТГ_ИД!$E:$E,ТГ_ИД!$B:$B,ТГ!$G$14,ТГ_ИД!$D:$D,ТГ!$A872)</f>
        <v>0</v>
      </c>
    </row>
    <row r="872" spans="1:22" x14ac:dyDescent="0.25">
      <c r="A872" s="116" t="str">
        <f t="shared" si="14"/>
        <v/>
      </c>
      <c r="K872" s="130">
        <f>SUMIFS(ТГ_ИД!$E:$E,ТГ_ИД!$B:$B,ТГ!$G$3,ТГ_ИД!$D:$D,ТГ!$A873)</f>
        <v>0</v>
      </c>
      <c r="L872" s="130">
        <f>SUMIFS(ТГ_ИД!$E:$E,ТГ_ИД!$B:$B,ТГ!$G$4,ТГ_ИД!$D:$D,ТГ!$A873)</f>
        <v>0</v>
      </c>
      <c r="M872" s="130">
        <f>SUMIFS(ТГ_ИД!$E:$E,ТГ_ИД!$B:$B,ТГ!$G$5,ТГ_ИД!$D:$D,ТГ!$A873)</f>
        <v>0</v>
      </c>
      <c r="N872" s="130">
        <f>SUMIFS(ТГ_ИД!$E:$E,ТГ_ИД!$B:$B,ТГ!$G$6,ТГ_ИД!$D:$D,ТГ!$A873)</f>
        <v>0</v>
      </c>
      <c r="O872" s="130">
        <f>SUMIFS(ТГ_ИД!$E:$E,ТГ_ИД!$B:$B,ТГ!$G$7,ТГ_ИД!$D:$D,ТГ!$A873)</f>
        <v>0</v>
      </c>
      <c r="P872" s="130">
        <f>SUMIFS(ТГ_ИД!$E:$E,ТГ_ИД!$B:$B,ТГ!$G$8,ТГ_ИД!$D:$D,ТГ!$A873)</f>
        <v>0</v>
      </c>
      <c r="Q872" s="130">
        <f>SUMIFS(ТГ_ИД!$E:$E,ТГ_ИД!$B:$B,ТГ!$G$9,ТГ_ИД!$D:$D,ТГ!$A873)</f>
        <v>0</v>
      </c>
      <c r="R872" s="130">
        <f>SUMIFS(ТГ_ИД!$E:$E,ТГ_ИД!$B:$B,ТГ!$G$10,ТГ_ИД!$D:$D,ТГ!$A873)</f>
        <v>0</v>
      </c>
      <c r="S872" s="130">
        <f>SUMIFS(ТГ_ИД!$E:$E,ТГ_ИД!$B:$B,ТГ!$G$11,ТГ_ИД!$D:$D,ТГ!$A873)</f>
        <v>0</v>
      </c>
      <c r="T872" s="130">
        <f>SUMIFS(ТГ_ИД!$E:$E,ТГ_ИД!$B:$B,ТГ!$G$12,ТГ_ИД!$D:$D,ТГ!$A873)</f>
        <v>0</v>
      </c>
      <c r="U872" s="130">
        <f>SUMIFS(ТГ_ИД!$E:$E,ТГ_ИД!$B:$B,ТГ!$G$13,ТГ_ИД!$D:$D,ТГ!$A873)</f>
        <v>0</v>
      </c>
      <c r="V872" s="130">
        <f>SUMIFS(ТГ_ИД!$E:$E,ТГ_ИД!$B:$B,ТГ!$G$14,ТГ_ИД!$D:$D,ТГ!$A873)</f>
        <v>0</v>
      </c>
    </row>
    <row r="873" spans="1:22" x14ac:dyDescent="0.25">
      <c r="A873" s="116" t="str">
        <f t="shared" si="14"/>
        <v/>
      </c>
      <c r="K873" s="130">
        <f>SUMIFS(ТГ_ИД!$E:$E,ТГ_ИД!$B:$B,ТГ!$G$3,ТГ_ИД!$D:$D,ТГ!$A874)</f>
        <v>0</v>
      </c>
      <c r="L873" s="130">
        <f>SUMIFS(ТГ_ИД!$E:$E,ТГ_ИД!$B:$B,ТГ!$G$4,ТГ_ИД!$D:$D,ТГ!$A874)</f>
        <v>0</v>
      </c>
      <c r="M873" s="130">
        <f>SUMIFS(ТГ_ИД!$E:$E,ТГ_ИД!$B:$B,ТГ!$G$5,ТГ_ИД!$D:$D,ТГ!$A874)</f>
        <v>0</v>
      </c>
      <c r="N873" s="130">
        <f>SUMIFS(ТГ_ИД!$E:$E,ТГ_ИД!$B:$B,ТГ!$G$6,ТГ_ИД!$D:$D,ТГ!$A874)</f>
        <v>0</v>
      </c>
      <c r="O873" s="130">
        <f>SUMIFS(ТГ_ИД!$E:$E,ТГ_ИД!$B:$B,ТГ!$G$7,ТГ_ИД!$D:$D,ТГ!$A874)</f>
        <v>0</v>
      </c>
      <c r="P873" s="130">
        <f>SUMIFS(ТГ_ИД!$E:$E,ТГ_ИД!$B:$B,ТГ!$G$8,ТГ_ИД!$D:$D,ТГ!$A874)</f>
        <v>0</v>
      </c>
      <c r="Q873" s="130">
        <f>SUMIFS(ТГ_ИД!$E:$E,ТГ_ИД!$B:$B,ТГ!$G$9,ТГ_ИД!$D:$D,ТГ!$A874)</f>
        <v>0</v>
      </c>
      <c r="R873" s="130">
        <f>SUMIFS(ТГ_ИД!$E:$E,ТГ_ИД!$B:$B,ТГ!$G$10,ТГ_ИД!$D:$D,ТГ!$A874)</f>
        <v>0</v>
      </c>
      <c r="S873" s="130">
        <f>SUMIFS(ТГ_ИД!$E:$E,ТГ_ИД!$B:$B,ТГ!$G$11,ТГ_ИД!$D:$D,ТГ!$A874)</f>
        <v>0</v>
      </c>
      <c r="T873" s="130">
        <f>SUMIFS(ТГ_ИД!$E:$E,ТГ_ИД!$B:$B,ТГ!$G$12,ТГ_ИД!$D:$D,ТГ!$A874)</f>
        <v>0</v>
      </c>
      <c r="U873" s="130">
        <f>SUMIFS(ТГ_ИД!$E:$E,ТГ_ИД!$B:$B,ТГ!$G$13,ТГ_ИД!$D:$D,ТГ!$A874)</f>
        <v>0</v>
      </c>
      <c r="V873" s="130">
        <f>SUMIFS(ТГ_ИД!$E:$E,ТГ_ИД!$B:$B,ТГ!$G$14,ТГ_ИД!$D:$D,ТГ!$A874)</f>
        <v>0</v>
      </c>
    </row>
    <row r="874" spans="1:22" x14ac:dyDescent="0.25">
      <c r="A874" s="116" t="str">
        <f t="shared" si="14"/>
        <v/>
      </c>
      <c r="K874" s="130">
        <f>SUMIFS(ТГ_ИД!$E:$E,ТГ_ИД!$B:$B,ТГ!$G$3,ТГ_ИД!$D:$D,ТГ!$A875)</f>
        <v>0</v>
      </c>
      <c r="L874" s="130">
        <f>SUMIFS(ТГ_ИД!$E:$E,ТГ_ИД!$B:$B,ТГ!$G$4,ТГ_ИД!$D:$D,ТГ!$A875)</f>
        <v>0</v>
      </c>
      <c r="M874" s="130">
        <f>SUMIFS(ТГ_ИД!$E:$E,ТГ_ИД!$B:$B,ТГ!$G$5,ТГ_ИД!$D:$D,ТГ!$A875)</f>
        <v>0</v>
      </c>
      <c r="N874" s="130">
        <f>SUMIFS(ТГ_ИД!$E:$E,ТГ_ИД!$B:$B,ТГ!$G$6,ТГ_ИД!$D:$D,ТГ!$A875)</f>
        <v>0</v>
      </c>
      <c r="O874" s="130">
        <f>SUMIFS(ТГ_ИД!$E:$E,ТГ_ИД!$B:$B,ТГ!$G$7,ТГ_ИД!$D:$D,ТГ!$A875)</f>
        <v>0</v>
      </c>
      <c r="P874" s="130">
        <f>SUMIFS(ТГ_ИД!$E:$E,ТГ_ИД!$B:$B,ТГ!$G$8,ТГ_ИД!$D:$D,ТГ!$A875)</f>
        <v>0</v>
      </c>
      <c r="Q874" s="130">
        <f>SUMIFS(ТГ_ИД!$E:$E,ТГ_ИД!$B:$B,ТГ!$G$9,ТГ_ИД!$D:$D,ТГ!$A875)</f>
        <v>0</v>
      </c>
      <c r="R874" s="130">
        <f>SUMIFS(ТГ_ИД!$E:$E,ТГ_ИД!$B:$B,ТГ!$G$10,ТГ_ИД!$D:$D,ТГ!$A875)</f>
        <v>0</v>
      </c>
      <c r="S874" s="130">
        <f>SUMIFS(ТГ_ИД!$E:$E,ТГ_ИД!$B:$B,ТГ!$G$11,ТГ_ИД!$D:$D,ТГ!$A875)</f>
        <v>0</v>
      </c>
      <c r="T874" s="130">
        <f>SUMIFS(ТГ_ИД!$E:$E,ТГ_ИД!$B:$B,ТГ!$G$12,ТГ_ИД!$D:$D,ТГ!$A875)</f>
        <v>0</v>
      </c>
      <c r="U874" s="130">
        <f>SUMIFS(ТГ_ИД!$E:$E,ТГ_ИД!$B:$B,ТГ!$G$13,ТГ_ИД!$D:$D,ТГ!$A875)</f>
        <v>0</v>
      </c>
      <c r="V874" s="130">
        <f>SUMIFS(ТГ_ИД!$E:$E,ТГ_ИД!$B:$B,ТГ!$G$14,ТГ_ИД!$D:$D,ТГ!$A875)</f>
        <v>0</v>
      </c>
    </row>
    <row r="875" spans="1:22" x14ac:dyDescent="0.25">
      <c r="A875" s="116" t="str">
        <f t="shared" si="14"/>
        <v/>
      </c>
      <c r="K875" s="130">
        <f>SUMIFS(ТГ_ИД!$E:$E,ТГ_ИД!$B:$B,ТГ!$G$3,ТГ_ИД!$D:$D,ТГ!$A876)</f>
        <v>0</v>
      </c>
      <c r="L875" s="130">
        <f>SUMIFS(ТГ_ИД!$E:$E,ТГ_ИД!$B:$B,ТГ!$G$4,ТГ_ИД!$D:$D,ТГ!$A876)</f>
        <v>0</v>
      </c>
      <c r="M875" s="130">
        <f>SUMIFS(ТГ_ИД!$E:$E,ТГ_ИД!$B:$B,ТГ!$G$5,ТГ_ИД!$D:$D,ТГ!$A876)</f>
        <v>0</v>
      </c>
      <c r="N875" s="130">
        <f>SUMIFS(ТГ_ИД!$E:$E,ТГ_ИД!$B:$B,ТГ!$G$6,ТГ_ИД!$D:$D,ТГ!$A876)</f>
        <v>0</v>
      </c>
      <c r="O875" s="130">
        <f>SUMIFS(ТГ_ИД!$E:$E,ТГ_ИД!$B:$B,ТГ!$G$7,ТГ_ИД!$D:$D,ТГ!$A876)</f>
        <v>0</v>
      </c>
      <c r="P875" s="130">
        <f>SUMIFS(ТГ_ИД!$E:$E,ТГ_ИД!$B:$B,ТГ!$G$8,ТГ_ИД!$D:$D,ТГ!$A876)</f>
        <v>0</v>
      </c>
      <c r="Q875" s="130">
        <f>SUMIFS(ТГ_ИД!$E:$E,ТГ_ИД!$B:$B,ТГ!$G$9,ТГ_ИД!$D:$D,ТГ!$A876)</f>
        <v>0</v>
      </c>
      <c r="R875" s="130">
        <f>SUMIFS(ТГ_ИД!$E:$E,ТГ_ИД!$B:$B,ТГ!$G$10,ТГ_ИД!$D:$D,ТГ!$A876)</f>
        <v>0</v>
      </c>
      <c r="S875" s="130">
        <f>SUMIFS(ТГ_ИД!$E:$E,ТГ_ИД!$B:$B,ТГ!$G$11,ТГ_ИД!$D:$D,ТГ!$A876)</f>
        <v>0</v>
      </c>
      <c r="T875" s="130">
        <f>SUMIFS(ТГ_ИД!$E:$E,ТГ_ИД!$B:$B,ТГ!$G$12,ТГ_ИД!$D:$D,ТГ!$A876)</f>
        <v>0</v>
      </c>
      <c r="U875" s="130">
        <f>SUMIFS(ТГ_ИД!$E:$E,ТГ_ИД!$B:$B,ТГ!$G$13,ТГ_ИД!$D:$D,ТГ!$A876)</f>
        <v>0</v>
      </c>
      <c r="V875" s="130">
        <f>SUMIFS(ТГ_ИД!$E:$E,ТГ_ИД!$B:$B,ТГ!$G$14,ТГ_ИД!$D:$D,ТГ!$A876)</f>
        <v>0</v>
      </c>
    </row>
    <row r="876" spans="1:22" x14ac:dyDescent="0.25">
      <c r="A876" s="116" t="str">
        <f t="shared" si="14"/>
        <v/>
      </c>
      <c r="K876" s="130">
        <f>SUMIFS(ТГ_ИД!$E:$E,ТГ_ИД!$B:$B,ТГ!$G$3,ТГ_ИД!$D:$D,ТГ!$A877)</f>
        <v>0</v>
      </c>
      <c r="L876" s="130">
        <f>SUMIFS(ТГ_ИД!$E:$E,ТГ_ИД!$B:$B,ТГ!$G$4,ТГ_ИД!$D:$D,ТГ!$A877)</f>
        <v>0</v>
      </c>
      <c r="M876" s="130">
        <f>SUMIFS(ТГ_ИД!$E:$E,ТГ_ИД!$B:$B,ТГ!$G$5,ТГ_ИД!$D:$D,ТГ!$A877)</f>
        <v>0</v>
      </c>
      <c r="N876" s="130">
        <f>SUMIFS(ТГ_ИД!$E:$E,ТГ_ИД!$B:$B,ТГ!$G$6,ТГ_ИД!$D:$D,ТГ!$A877)</f>
        <v>0</v>
      </c>
      <c r="O876" s="130">
        <f>SUMIFS(ТГ_ИД!$E:$E,ТГ_ИД!$B:$B,ТГ!$G$7,ТГ_ИД!$D:$D,ТГ!$A877)</f>
        <v>0</v>
      </c>
      <c r="P876" s="130">
        <f>SUMIFS(ТГ_ИД!$E:$E,ТГ_ИД!$B:$B,ТГ!$G$8,ТГ_ИД!$D:$D,ТГ!$A877)</f>
        <v>0</v>
      </c>
      <c r="Q876" s="130">
        <f>SUMIFS(ТГ_ИД!$E:$E,ТГ_ИД!$B:$B,ТГ!$G$9,ТГ_ИД!$D:$D,ТГ!$A877)</f>
        <v>0</v>
      </c>
      <c r="R876" s="130">
        <f>SUMIFS(ТГ_ИД!$E:$E,ТГ_ИД!$B:$B,ТГ!$G$10,ТГ_ИД!$D:$D,ТГ!$A877)</f>
        <v>0</v>
      </c>
      <c r="S876" s="130">
        <f>SUMIFS(ТГ_ИД!$E:$E,ТГ_ИД!$B:$B,ТГ!$G$11,ТГ_ИД!$D:$D,ТГ!$A877)</f>
        <v>0</v>
      </c>
      <c r="T876" s="130">
        <f>SUMIFS(ТГ_ИД!$E:$E,ТГ_ИД!$B:$B,ТГ!$G$12,ТГ_ИД!$D:$D,ТГ!$A877)</f>
        <v>0</v>
      </c>
      <c r="U876" s="130">
        <f>SUMIFS(ТГ_ИД!$E:$E,ТГ_ИД!$B:$B,ТГ!$G$13,ТГ_ИД!$D:$D,ТГ!$A877)</f>
        <v>0</v>
      </c>
      <c r="V876" s="130">
        <f>SUMIFS(ТГ_ИД!$E:$E,ТГ_ИД!$B:$B,ТГ!$G$14,ТГ_ИД!$D:$D,ТГ!$A877)</f>
        <v>0</v>
      </c>
    </row>
    <row r="877" spans="1:22" x14ac:dyDescent="0.25">
      <c r="A877" s="116" t="str">
        <f t="shared" si="14"/>
        <v/>
      </c>
      <c r="K877" s="130">
        <f>SUMIFS(ТГ_ИД!$E:$E,ТГ_ИД!$B:$B,ТГ!$G$3,ТГ_ИД!$D:$D,ТГ!$A878)</f>
        <v>0</v>
      </c>
      <c r="L877" s="130">
        <f>SUMIFS(ТГ_ИД!$E:$E,ТГ_ИД!$B:$B,ТГ!$G$4,ТГ_ИД!$D:$D,ТГ!$A878)</f>
        <v>0</v>
      </c>
      <c r="M877" s="130">
        <f>SUMIFS(ТГ_ИД!$E:$E,ТГ_ИД!$B:$B,ТГ!$G$5,ТГ_ИД!$D:$D,ТГ!$A878)</f>
        <v>0</v>
      </c>
      <c r="N877" s="130">
        <f>SUMIFS(ТГ_ИД!$E:$E,ТГ_ИД!$B:$B,ТГ!$G$6,ТГ_ИД!$D:$D,ТГ!$A878)</f>
        <v>0</v>
      </c>
      <c r="O877" s="130">
        <f>SUMIFS(ТГ_ИД!$E:$E,ТГ_ИД!$B:$B,ТГ!$G$7,ТГ_ИД!$D:$D,ТГ!$A878)</f>
        <v>0</v>
      </c>
      <c r="P877" s="130">
        <f>SUMIFS(ТГ_ИД!$E:$E,ТГ_ИД!$B:$B,ТГ!$G$8,ТГ_ИД!$D:$D,ТГ!$A878)</f>
        <v>0</v>
      </c>
      <c r="Q877" s="130">
        <f>SUMIFS(ТГ_ИД!$E:$E,ТГ_ИД!$B:$B,ТГ!$G$9,ТГ_ИД!$D:$D,ТГ!$A878)</f>
        <v>0</v>
      </c>
      <c r="R877" s="130">
        <f>SUMIFS(ТГ_ИД!$E:$E,ТГ_ИД!$B:$B,ТГ!$G$10,ТГ_ИД!$D:$D,ТГ!$A878)</f>
        <v>0</v>
      </c>
      <c r="S877" s="130">
        <f>SUMIFS(ТГ_ИД!$E:$E,ТГ_ИД!$B:$B,ТГ!$G$11,ТГ_ИД!$D:$D,ТГ!$A878)</f>
        <v>0</v>
      </c>
      <c r="T877" s="130">
        <f>SUMIFS(ТГ_ИД!$E:$E,ТГ_ИД!$B:$B,ТГ!$G$12,ТГ_ИД!$D:$D,ТГ!$A878)</f>
        <v>0</v>
      </c>
      <c r="U877" s="130">
        <f>SUMIFS(ТГ_ИД!$E:$E,ТГ_ИД!$B:$B,ТГ!$G$13,ТГ_ИД!$D:$D,ТГ!$A878)</f>
        <v>0</v>
      </c>
      <c r="V877" s="130">
        <f>SUMIFS(ТГ_ИД!$E:$E,ТГ_ИД!$B:$B,ТГ!$G$14,ТГ_ИД!$D:$D,ТГ!$A878)</f>
        <v>0</v>
      </c>
    </row>
    <row r="878" spans="1:22" x14ac:dyDescent="0.25">
      <c r="A878" s="116" t="str">
        <f t="shared" si="14"/>
        <v/>
      </c>
      <c r="K878" s="130">
        <f>SUMIFS(ТГ_ИД!$E:$E,ТГ_ИД!$B:$B,ТГ!$G$3,ТГ_ИД!$D:$D,ТГ!$A879)</f>
        <v>0</v>
      </c>
      <c r="L878" s="130">
        <f>SUMIFS(ТГ_ИД!$E:$E,ТГ_ИД!$B:$B,ТГ!$G$4,ТГ_ИД!$D:$D,ТГ!$A879)</f>
        <v>0</v>
      </c>
      <c r="M878" s="130">
        <f>SUMIFS(ТГ_ИД!$E:$E,ТГ_ИД!$B:$B,ТГ!$G$5,ТГ_ИД!$D:$D,ТГ!$A879)</f>
        <v>0</v>
      </c>
      <c r="N878" s="130">
        <f>SUMIFS(ТГ_ИД!$E:$E,ТГ_ИД!$B:$B,ТГ!$G$6,ТГ_ИД!$D:$D,ТГ!$A879)</f>
        <v>0</v>
      </c>
      <c r="O878" s="130">
        <f>SUMIFS(ТГ_ИД!$E:$E,ТГ_ИД!$B:$B,ТГ!$G$7,ТГ_ИД!$D:$D,ТГ!$A879)</f>
        <v>0</v>
      </c>
      <c r="P878" s="130">
        <f>SUMIFS(ТГ_ИД!$E:$E,ТГ_ИД!$B:$B,ТГ!$G$8,ТГ_ИД!$D:$D,ТГ!$A879)</f>
        <v>0</v>
      </c>
      <c r="Q878" s="130">
        <f>SUMIFS(ТГ_ИД!$E:$E,ТГ_ИД!$B:$B,ТГ!$G$9,ТГ_ИД!$D:$D,ТГ!$A879)</f>
        <v>0</v>
      </c>
      <c r="R878" s="130">
        <f>SUMIFS(ТГ_ИД!$E:$E,ТГ_ИД!$B:$B,ТГ!$G$10,ТГ_ИД!$D:$D,ТГ!$A879)</f>
        <v>0</v>
      </c>
      <c r="S878" s="130">
        <f>SUMIFS(ТГ_ИД!$E:$E,ТГ_ИД!$B:$B,ТГ!$G$11,ТГ_ИД!$D:$D,ТГ!$A879)</f>
        <v>0</v>
      </c>
      <c r="T878" s="130">
        <f>SUMIFS(ТГ_ИД!$E:$E,ТГ_ИД!$B:$B,ТГ!$G$12,ТГ_ИД!$D:$D,ТГ!$A879)</f>
        <v>0</v>
      </c>
      <c r="U878" s="130">
        <f>SUMIFS(ТГ_ИД!$E:$E,ТГ_ИД!$B:$B,ТГ!$G$13,ТГ_ИД!$D:$D,ТГ!$A879)</f>
        <v>0</v>
      </c>
      <c r="V878" s="130">
        <f>SUMIFS(ТГ_ИД!$E:$E,ТГ_ИД!$B:$B,ТГ!$G$14,ТГ_ИД!$D:$D,ТГ!$A879)</f>
        <v>0</v>
      </c>
    </row>
    <row r="879" spans="1:22" x14ac:dyDescent="0.25">
      <c r="A879" s="116" t="str">
        <f t="shared" si="14"/>
        <v/>
      </c>
      <c r="K879" s="130">
        <f>SUMIFS(ТГ_ИД!$E:$E,ТГ_ИД!$B:$B,ТГ!$G$3,ТГ_ИД!$D:$D,ТГ!$A880)</f>
        <v>0</v>
      </c>
      <c r="L879" s="130">
        <f>SUMIFS(ТГ_ИД!$E:$E,ТГ_ИД!$B:$B,ТГ!$G$4,ТГ_ИД!$D:$D,ТГ!$A880)</f>
        <v>0</v>
      </c>
      <c r="M879" s="130">
        <f>SUMIFS(ТГ_ИД!$E:$E,ТГ_ИД!$B:$B,ТГ!$G$5,ТГ_ИД!$D:$D,ТГ!$A880)</f>
        <v>0</v>
      </c>
      <c r="N879" s="130">
        <f>SUMIFS(ТГ_ИД!$E:$E,ТГ_ИД!$B:$B,ТГ!$G$6,ТГ_ИД!$D:$D,ТГ!$A880)</f>
        <v>0</v>
      </c>
      <c r="O879" s="130">
        <f>SUMIFS(ТГ_ИД!$E:$E,ТГ_ИД!$B:$B,ТГ!$G$7,ТГ_ИД!$D:$D,ТГ!$A880)</f>
        <v>0</v>
      </c>
      <c r="P879" s="130">
        <f>SUMIFS(ТГ_ИД!$E:$E,ТГ_ИД!$B:$B,ТГ!$G$8,ТГ_ИД!$D:$D,ТГ!$A880)</f>
        <v>0</v>
      </c>
      <c r="Q879" s="130">
        <f>SUMIFS(ТГ_ИД!$E:$E,ТГ_ИД!$B:$B,ТГ!$G$9,ТГ_ИД!$D:$D,ТГ!$A880)</f>
        <v>0</v>
      </c>
      <c r="R879" s="130">
        <f>SUMIFS(ТГ_ИД!$E:$E,ТГ_ИД!$B:$B,ТГ!$G$10,ТГ_ИД!$D:$D,ТГ!$A880)</f>
        <v>0</v>
      </c>
      <c r="S879" s="130">
        <f>SUMIFS(ТГ_ИД!$E:$E,ТГ_ИД!$B:$B,ТГ!$G$11,ТГ_ИД!$D:$D,ТГ!$A880)</f>
        <v>0</v>
      </c>
      <c r="T879" s="130">
        <f>SUMIFS(ТГ_ИД!$E:$E,ТГ_ИД!$B:$B,ТГ!$G$12,ТГ_ИД!$D:$D,ТГ!$A880)</f>
        <v>0</v>
      </c>
      <c r="U879" s="130">
        <f>SUMIFS(ТГ_ИД!$E:$E,ТГ_ИД!$B:$B,ТГ!$G$13,ТГ_ИД!$D:$D,ТГ!$A880)</f>
        <v>0</v>
      </c>
      <c r="V879" s="130">
        <f>SUMIFS(ТГ_ИД!$E:$E,ТГ_ИД!$B:$B,ТГ!$G$14,ТГ_ИД!$D:$D,ТГ!$A880)</f>
        <v>0</v>
      </c>
    </row>
    <row r="880" spans="1:22" x14ac:dyDescent="0.25">
      <c r="A880" s="116" t="str">
        <f t="shared" si="14"/>
        <v/>
      </c>
      <c r="K880" s="130">
        <f>SUMIFS(ТГ_ИД!$E:$E,ТГ_ИД!$B:$B,ТГ!$G$3,ТГ_ИД!$D:$D,ТГ!$A881)</f>
        <v>0</v>
      </c>
      <c r="L880" s="130">
        <f>SUMIFS(ТГ_ИД!$E:$E,ТГ_ИД!$B:$B,ТГ!$G$4,ТГ_ИД!$D:$D,ТГ!$A881)</f>
        <v>0</v>
      </c>
      <c r="M880" s="130">
        <f>SUMIFS(ТГ_ИД!$E:$E,ТГ_ИД!$B:$B,ТГ!$G$5,ТГ_ИД!$D:$D,ТГ!$A881)</f>
        <v>0</v>
      </c>
      <c r="N880" s="130">
        <f>SUMIFS(ТГ_ИД!$E:$E,ТГ_ИД!$B:$B,ТГ!$G$6,ТГ_ИД!$D:$D,ТГ!$A881)</f>
        <v>0</v>
      </c>
      <c r="O880" s="130">
        <f>SUMIFS(ТГ_ИД!$E:$E,ТГ_ИД!$B:$B,ТГ!$G$7,ТГ_ИД!$D:$D,ТГ!$A881)</f>
        <v>0</v>
      </c>
      <c r="P880" s="130">
        <f>SUMIFS(ТГ_ИД!$E:$E,ТГ_ИД!$B:$B,ТГ!$G$8,ТГ_ИД!$D:$D,ТГ!$A881)</f>
        <v>0</v>
      </c>
      <c r="Q880" s="130">
        <f>SUMIFS(ТГ_ИД!$E:$E,ТГ_ИД!$B:$B,ТГ!$G$9,ТГ_ИД!$D:$D,ТГ!$A881)</f>
        <v>0</v>
      </c>
      <c r="R880" s="130">
        <f>SUMIFS(ТГ_ИД!$E:$E,ТГ_ИД!$B:$B,ТГ!$G$10,ТГ_ИД!$D:$D,ТГ!$A881)</f>
        <v>0</v>
      </c>
      <c r="S880" s="130">
        <f>SUMIFS(ТГ_ИД!$E:$E,ТГ_ИД!$B:$B,ТГ!$G$11,ТГ_ИД!$D:$D,ТГ!$A881)</f>
        <v>0</v>
      </c>
      <c r="T880" s="130">
        <f>SUMIFS(ТГ_ИД!$E:$E,ТГ_ИД!$B:$B,ТГ!$G$12,ТГ_ИД!$D:$D,ТГ!$A881)</f>
        <v>0</v>
      </c>
      <c r="U880" s="130">
        <f>SUMIFS(ТГ_ИД!$E:$E,ТГ_ИД!$B:$B,ТГ!$G$13,ТГ_ИД!$D:$D,ТГ!$A881)</f>
        <v>0</v>
      </c>
      <c r="V880" s="130">
        <f>SUMIFS(ТГ_ИД!$E:$E,ТГ_ИД!$B:$B,ТГ!$G$14,ТГ_ИД!$D:$D,ТГ!$A881)</f>
        <v>0</v>
      </c>
    </row>
    <row r="881" spans="1:22" x14ac:dyDescent="0.25">
      <c r="A881" s="116" t="str">
        <f t="shared" si="14"/>
        <v/>
      </c>
      <c r="K881" s="130">
        <f>SUMIFS(ТГ_ИД!$E:$E,ТГ_ИД!$B:$B,ТГ!$G$3,ТГ_ИД!$D:$D,ТГ!$A882)</f>
        <v>0</v>
      </c>
      <c r="L881" s="130">
        <f>SUMIFS(ТГ_ИД!$E:$E,ТГ_ИД!$B:$B,ТГ!$G$4,ТГ_ИД!$D:$D,ТГ!$A882)</f>
        <v>0</v>
      </c>
      <c r="M881" s="130">
        <f>SUMIFS(ТГ_ИД!$E:$E,ТГ_ИД!$B:$B,ТГ!$G$5,ТГ_ИД!$D:$D,ТГ!$A882)</f>
        <v>0</v>
      </c>
      <c r="N881" s="130">
        <f>SUMIFS(ТГ_ИД!$E:$E,ТГ_ИД!$B:$B,ТГ!$G$6,ТГ_ИД!$D:$D,ТГ!$A882)</f>
        <v>0</v>
      </c>
      <c r="O881" s="130">
        <f>SUMIFS(ТГ_ИД!$E:$E,ТГ_ИД!$B:$B,ТГ!$G$7,ТГ_ИД!$D:$D,ТГ!$A882)</f>
        <v>0</v>
      </c>
      <c r="P881" s="130">
        <f>SUMIFS(ТГ_ИД!$E:$E,ТГ_ИД!$B:$B,ТГ!$G$8,ТГ_ИД!$D:$D,ТГ!$A882)</f>
        <v>0</v>
      </c>
      <c r="Q881" s="130">
        <f>SUMIFS(ТГ_ИД!$E:$E,ТГ_ИД!$B:$B,ТГ!$G$9,ТГ_ИД!$D:$D,ТГ!$A882)</f>
        <v>0</v>
      </c>
      <c r="R881" s="130">
        <f>SUMIFS(ТГ_ИД!$E:$E,ТГ_ИД!$B:$B,ТГ!$G$10,ТГ_ИД!$D:$D,ТГ!$A882)</f>
        <v>0</v>
      </c>
      <c r="S881" s="130">
        <f>SUMIFS(ТГ_ИД!$E:$E,ТГ_ИД!$B:$B,ТГ!$G$11,ТГ_ИД!$D:$D,ТГ!$A882)</f>
        <v>0</v>
      </c>
      <c r="T881" s="130">
        <f>SUMIFS(ТГ_ИД!$E:$E,ТГ_ИД!$B:$B,ТГ!$G$12,ТГ_ИД!$D:$D,ТГ!$A882)</f>
        <v>0</v>
      </c>
      <c r="U881" s="130">
        <f>SUMIFS(ТГ_ИД!$E:$E,ТГ_ИД!$B:$B,ТГ!$G$13,ТГ_ИД!$D:$D,ТГ!$A882)</f>
        <v>0</v>
      </c>
      <c r="V881" s="130">
        <f>SUMIFS(ТГ_ИД!$E:$E,ТГ_ИД!$B:$B,ТГ!$G$14,ТГ_ИД!$D:$D,ТГ!$A882)</f>
        <v>0</v>
      </c>
    </row>
    <row r="882" spans="1:22" x14ac:dyDescent="0.25">
      <c r="A882" s="116" t="str">
        <f t="shared" si="14"/>
        <v/>
      </c>
      <c r="K882" s="130">
        <f>SUMIFS(ТГ_ИД!$E:$E,ТГ_ИД!$B:$B,ТГ!$G$3,ТГ_ИД!$D:$D,ТГ!$A883)</f>
        <v>0</v>
      </c>
      <c r="L882" s="130">
        <f>SUMIFS(ТГ_ИД!$E:$E,ТГ_ИД!$B:$B,ТГ!$G$4,ТГ_ИД!$D:$D,ТГ!$A883)</f>
        <v>0</v>
      </c>
      <c r="M882" s="130">
        <f>SUMIFS(ТГ_ИД!$E:$E,ТГ_ИД!$B:$B,ТГ!$G$5,ТГ_ИД!$D:$D,ТГ!$A883)</f>
        <v>0</v>
      </c>
      <c r="N882" s="130">
        <f>SUMIFS(ТГ_ИД!$E:$E,ТГ_ИД!$B:$B,ТГ!$G$6,ТГ_ИД!$D:$D,ТГ!$A883)</f>
        <v>0</v>
      </c>
      <c r="O882" s="130">
        <f>SUMIFS(ТГ_ИД!$E:$E,ТГ_ИД!$B:$B,ТГ!$G$7,ТГ_ИД!$D:$D,ТГ!$A883)</f>
        <v>0</v>
      </c>
      <c r="P882" s="130">
        <f>SUMIFS(ТГ_ИД!$E:$E,ТГ_ИД!$B:$B,ТГ!$G$8,ТГ_ИД!$D:$D,ТГ!$A883)</f>
        <v>0</v>
      </c>
      <c r="Q882" s="130">
        <f>SUMIFS(ТГ_ИД!$E:$E,ТГ_ИД!$B:$B,ТГ!$G$9,ТГ_ИД!$D:$D,ТГ!$A883)</f>
        <v>0</v>
      </c>
      <c r="R882" s="130">
        <f>SUMIFS(ТГ_ИД!$E:$E,ТГ_ИД!$B:$B,ТГ!$G$10,ТГ_ИД!$D:$D,ТГ!$A883)</f>
        <v>0</v>
      </c>
      <c r="S882" s="130">
        <f>SUMIFS(ТГ_ИД!$E:$E,ТГ_ИД!$B:$B,ТГ!$G$11,ТГ_ИД!$D:$D,ТГ!$A883)</f>
        <v>0</v>
      </c>
      <c r="T882" s="130">
        <f>SUMIFS(ТГ_ИД!$E:$E,ТГ_ИД!$B:$B,ТГ!$G$12,ТГ_ИД!$D:$D,ТГ!$A883)</f>
        <v>0</v>
      </c>
      <c r="U882" s="130">
        <f>SUMIFS(ТГ_ИД!$E:$E,ТГ_ИД!$B:$B,ТГ!$G$13,ТГ_ИД!$D:$D,ТГ!$A883)</f>
        <v>0</v>
      </c>
      <c r="V882" s="130">
        <f>SUMIFS(ТГ_ИД!$E:$E,ТГ_ИД!$B:$B,ТГ!$G$14,ТГ_ИД!$D:$D,ТГ!$A883)</f>
        <v>0</v>
      </c>
    </row>
    <row r="883" spans="1:22" x14ac:dyDescent="0.25">
      <c r="A883" s="116" t="str">
        <f t="shared" si="14"/>
        <v/>
      </c>
      <c r="K883" s="130">
        <f>SUMIFS(ТГ_ИД!$E:$E,ТГ_ИД!$B:$B,ТГ!$G$3,ТГ_ИД!$D:$D,ТГ!$A884)</f>
        <v>0</v>
      </c>
      <c r="L883" s="130">
        <f>SUMIFS(ТГ_ИД!$E:$E,ТГ_ИД!$B:$B,ТГ!$G$4,ТГ_ИД!$D:$D,ТГ!$A884)</f>
        <v>0</v>
      </c>
      <c r="M883" s="130">
        <f>SUMIFS(ТГ_ИД!$E:$E,ТГ_ИД!$B:$B,ТГ!$G$5,ТГ_ИД!$D:$D,ТГ!$A884)</f>
        <v>0</v>
      </c>
      <c r="N883" s="130">
        <f>SUMIFS(ТГ_ИД!$E:$E,ТГ_ИД!$B:$B,ТГ!$G$6,ТГ_ИД!$D:$D,ТГ!$A884)</f>
        <v>0</v>
      </c>
      <c r="O883" s="130">
        <f>SUMIFS(ТГ_ИД!$E:$E,ТГ_ИД!$B:$B,ТГ!$G$7,ТГ_ИД!$D:$D,ТГ!$A884)</f>
        <v>0</v>
      </c>
      <c r="P883" s="130">
        <f>SUMIFS(ТГ_ИД!$E:$E,ТГ_ИД!$B:$B,ТГ!$G$8,ТГ_ИД!$D:$D,ТГ!$A884)</f>
        <v>0</v>
      </c>
      <c r="Q883" s="130">
        <f>SUMIFS(ТГ_ИД!$E:$E,ТГ_ИД!$B:$B,ТГ!$G$9,ТГ_ИД!$D:$D,ТГ!$A884)</f>
        <v>0</v>
      </c>
      <c r="R883" s="130">
        <f>SUMIFS(ТГ_ИД!$E:$E,ТГ_ИД!$B:$B,ТГ!$G$10,ТГ_ИД!$D:$D,ТГ!$A884)</f>
        <v>0</v>
      </c>
      <c r="S883" s="130">
        <f>SUMIFS(ТГ_ИД!$E:$E,ТГ_ИД!$B:$B,ТГ!$G$11,ТГ_ИД!$D:$D,ТГ!$A884)</f>
        <v>0</v>
      </c>
      <c r="T883" s="130">
        <f>SUMIFS(ТГ_ИД!$E:$E,ТГ_ИД!$B:$B,ТГ!$G$12,ТГ_ИД!$D:$D,ТГ!$A884)</f>
        <v>0</v>
      </c>
      <c r="U883" s="130">
        <f>SUMIFS(ТГ_ИД!$E:$E,ТГ_ИД!$B:$B,ТГ!$G$13,ТГ_ИД!$D:$D,ТГ!$A884)</f>
        <v>0</v>
      </c>
      <c r="V883" s="130">
        <f>SUMIFS(ТГ_ИД!$E:$E,ТГ_ИД!$B:$B,ТГ!$G$14,ТГ_ИД!$D:$D,ТГ!$A884)</f>
        <v>0</v>
      </c>
    </row>
    <row r="884" spans="1:22" x14ac:dyDescent="0.25">
      <c r="A884" s="116" t="str">
        <f t="shared" si="14"/>
        <v/>
      </c>
      <c r="K884" s="130">
        <f>SUMIFS(ТГ_ИД!$E:$E,ТГ_ИД!$B:$B,ТГ!$G$3,ТГ_ИД!$D:$D,ТГ!$A885)</f>
        <v>0</v>
      </c>
      <c r="L884" s="130">
        <f>SUMIFS(ТГ_ИД!$E:$E,ТГ_ИД!$B:$B,ТГ!$G$4,ТГ_ИД!$D:$D,ТГ!$A885)</f>
        <v>0</v>
      </c>
      <c r="M884" s="130">
        <f>SUMIFS(ТГ_ИД!$E:$E,ТГ_ИД!$B:$B,ТГ!$G$5,ТГ_ИД!$D:$D,ТГ!$A885)</f>
        <v>0</v>
      </c>
      <c r="N884" s="130">
        <f>SUMIFS(ТГ_ИД!$E:$E,ТГ_ИД!$B:$B,ТГ!$G$6,ТГ_ИД!$D:$D,ТГ!$A885)</f>
        <v>0</v>
      </c>
      <c r="O884" s="130">
        <f>SUMIFS(ТГ_ИД!$E:$E,ТГ_ИД!$B:$B,ТГ!$G$7,ТГ_ИД!$D:$D,ТГ!$A885)</f>
        <v>0</v>
      </c>
      <c r="P884" s="130">
        <f>SUMIFS(ТГ_ИД!$E:$E,ТГ_ИД!$B:$B,ТГ!$G$8,ТГ_ИД!$D:$D,ТГ!$A885)</f>
        <v>0</v>
      </c>
      <c r="Q884" s="130">
        <f>SUMIFS(ТГ_ИД!$E:$E,ТГ_ИД!$B:$B,ТГ!$G$9,ТГ_ИД!$D:$D,ТГ!$A885)</f>
        <v>0</v>
      </c>
      <c r="R884" s="130">
        <f>SUMIFS(ТГ_ИД!$E:$E,ТГ_ИД!$B:$B,ТГ!$G$10,ТГ_ИД!$D:$D,ТГ!$A885)</f>
        <v>0</v>
      </c>
      <c r="S884" s="130">
        <f>SUMIFS(ТГ_ИД!$E:$E,ТГ_ИД!$B:$B,ТГ!$G$11,ТГ_ИД!$D:$D,ТГ!$A885)</f>
        <v>0</v>
      </c>
      <c r="T884" s="130">
        <f>SUMIFS(ТГ_ИД!$E:$E,ТГ_ИД!$B:$B,ТГ!$G$12,ТГ_ИД!$D:$D,ТГ!$A885)</f>
        <v>0</v>
      </c>
      <c r="U884" s="130">
        <f>SUMIFS(ТГ_ИД!$E:$E,ТГ_ИД!$B:$B,ТГ!$G$13,ТГ_ИД!$D:$D,ТГ!$A885)</f>
        <v>0</v>
      </c>
      <c r="V884" s="130">
        <f>SUMIFS(ТГ_ИД!$E:$E,ТГ_ИД!$B:$B,ТГ!$G$14,ТГ_ИД!$D:$D,ТГ!$A885)</f>
        <v>0</v>
      </c>
    </row>
    <row r="885" spans="1:22" x14ac:dyDescent="0.25">
      <c r="A885" s="116" t="str">
        <f t="shared" si="14"/>
        <v/>
      </c>
      <c r="K885" s="130">
        <f>SUMIFS(ТГ_ИД!$E:$E,ТГ_ИД!$B:$B,ТГ!$G$3,ТГ_ИД!$D:$D,ТГ!$A886)</f>
        <v>0</v>
      </c>
      <c r="L885" s="130">
        <f>SUMIFS(ТГ_ИД!$E:$E,ТГ_ИД!$B:$B,ТГ!$G$4,ТГ_ИД!$D:$D,ТГ!$A886)</f>
        <v>0</v>
      </c>
      <c r="M885" s="130">
        <f>SUMIFS(ТГ_ИД!$E:$E,ТГ_ИД!$B:$B,ТГ!$G$5,ТГ_ИД!$D:$D,ТГ!$A886)</f>
        <v>0</v>
      </c>
      <c r="N885" s="130">
        <f>SUMIFS(ТГ_ИД!$E:$E,ТГ_ИД!$B:$B,ТГ!$G$6,ТГ_ИД!$D:$D,ТГ!$A886)</f>
        <v>0</v>
      </c>
      <c r="O885" s="130">
        <f>SUMIFS(ТГ_ИД!$E:$E,ТГ_ИД!$B:$B,ТГ!$G$7,ТГ_ИД!$D:$D,ТГ!$A886)</f>
        <v>0</v>
      </c>
      <c r="P885" s="130">
        <f>SUMIFS(ТГ_ИД!$E:$E,ТГ_ИД!$B:$B,ТГ!$G$8,ТГ_ИД!$D:$D,ТГ!$A886)</f>
        <v>0</v>
      </c>
      <c r="Q885" s="130">
        <f>SUMIFS(ТГ_ИД!$E:$E,ТГ_ИД!$B:$B,ТГ!$G$9,ТГ_ИД!$D:$D,ТГ!$A886)</f>
        <v>0</v>
      </c>
      <c r="R885" s="130">
        <f>SUMIFS(ТГ_ИД!$E:$E,ТГ_ИД!$B:$B,ТГ!$G$10,ТГ_ИД!$D:$D,ТГ!$A886)</f>
        <v>0</v>
      </c>
      <c r="S885" s="130">
        <f>SUMIFS(ТГ_ИД!$E:$E,ТГ_ИД!$B:$B,ТГ!$G$11,ТГ_ИД!$D:$D,ТГ!$A886)</f>
        <v>0</v>
      </c>
      <c r="T885" s="130">
        <f>SUMIFS(ТГ_ИД!$E:$E,ТГ_ИД!$B:$B,ТГ!$G$12,ТГ_ИД!$D:$D,ТГ!$A886)</f>
        <v>0</v>
      </c>
      <c r="U885" s="130">
        <f>SUMIFS(ТГ_ИД!$E:$E,ТГ_ИД!$B:$B,ТГ!$G$13,ТГ_ИД!$D:$D,ТГ!$A886)</f>
        <v>0</v>
      </c>
      <c r="V885" s="130">
        <f>SUMIFS(ТГ_ИД!$E:$E,ТГ_ИД!$B:$B,ТГ!$G$14,ТГ_ИД!$D:$D,ТГ!$A886)</f>
        <v>0</v>
      </c>
    </row>
    <row r="886" spans="1:22" x14ac:dyDescent="0.25">
      <c r="A886" s="116" t="str">
        <f t="shared" si="14"/>
        <v/>
      </c>
      <c r="K886" s="130">
        <f>SUMIFS(ТГ_ИД!$E:$E,ТГ_ИД!$B:$B,ТГ!$G$3,ТГ_ИД!$D:$D,ТГ!$A887)</f>
        <v>0</v>
      </c>
      <c r="L886" s="130">
        <f>SUMIFS(ТГ_ИД!$E:$E,ТГ_ИД!$B:$B,ТГ!$G$4,ТГ_ИД!$D:$D,ТГ!$A887)</f>
        <v>0</v>
      </c>
      <c r="M886" s="130">
        <f>SUMIFS(ТГ_ИД!$E:$E,ТГ_ИД!$B:$B,ТГ!$G$5,ТГ_ИД!$D:$D,ТГ!$A887)</f>
        <v>0</v>
      </c>
      <c r="N886" s="130">
        <f>SUMIFS(ТГ_ИД!$E:$E,ТГ_ИД!$B:$B,ТГ!$G$6,ТГ_ИД!$D:$D,ТГ!$A887)</f>
        <v>0</v>
      </c>
      <c r="O886" s="130">
        <f>SUMIFS(ТГ_ИД!$E:$E,ТГ_ИД!$B:$B,ТГ!$G$7,ТГ_ИД!$D:$D,ТГ!$A887)</f>
        <v>0</v>
      </c>
      <c r="P886" s="130">
        <f>SUMIFS(ТГ_ИД!$E:$E,ТГ_ИД!$B:$B,ТГ!$G$8,ТГ_ИД!$D:$D,ТГ!$A887)</f>
        <v>0</v>
      </c>
      <c r="Q886" s="130">
        <f>SUMIFS(ТГ_ИД!$E:$E,ТГ_ИД!$B:$B,ТГ!$G$9,ТГ_ИД!$D:$D,ТГ!$A887)</f>
        <v>0</v>
      </c>
      <c r="R886" s="130">
        <f>SUMIFS(ТГ_ИД!$E:$E,ТГ_ИД!$B:$B,ТГ!$G$10,ТГ_ИД!$D:$D,ТГ!$A887)</f>
        <v>0</v>
      </c>
      <c r="S886" s="130">
        <f>SUMIFS(ТГ_ИД!$E:$E,ТГ_ИД!$B:$B,ТГ!$G$11,ТГ_ИД!$D:$D,ТГ!$A887)</f>
        <v>0</v>
      </c>
      <c r="T886" s="130">
        <f>SUMIFS(ТГ_ИД!$E:$E,ТГ_ИД!$B:$B,ТГ!$G$12,ТГ_ИД!$D:$D,ТГ!$A887)</f>
        <v>0</v>
      </c>
      <c r="U886" s="130">
        <f>SUMIFS(ТГ_ИД!$E:$E,ТГ_ИД!$B:$B,ТГ!$G$13,ТГ_ИД!$D:$D,ТГ!$A887)</f>
        <v>0</v>
      </c>
      <c r="V886" s="130">
        <f>SUMIFS(ТГ_ИД!$E:$E,ТГ_ИД!$B:$B,ТГ!$G$14,ТГ_ИД!$D:$D,ТГ!$A887)</f>
        <v>0</v>
      </c>
    </row>
    <row r="887" spans="1:22" x14ac:dyDescent="0.25">
      <c r="A887" s="116" t="str">
        <f t="shared" si="14"/>
        <v/>
      </c>
      <c r="K887" s="130">
        <f>SUMIFS(ТГ_ИД!$E:$E,ТГ_ИД!$B:$B,ТГ!$G$3,ТГ_ИД!$D:$D,ТГ!$A888)</f>
        <v>0</v>
      </c>
      <c r="L887" s="130">
        <f>SUMIFS(ТГ_ИД!$E:$E,ТГ_ИД!$B:$B,ТГ!$G$4,ТГ_ИД!$D:$D,ТГ!$A888)</f>
        <v>0</v>
      </c>
      <c r="M887" s="130">
        <f>SUMIFS(ТГ_ИД!$E:$E,ТГ_ИД!$B:$B,ТГ!$G$5,ТГ_ИД!$D:$D,ТГ!$A888)</f>
        <v>0</v>
      </c>
      <c r="N887" s="130">
        <f>SUMIFS(ТГ_ИД!$E:$E,ТГ_ИД!$B:$B,ТГ!$G$6,ТГ_ИД!$D:$D,ТГ!$A888)</f>
        <v>0</v>
      </c>
      <c r="O887" s="130">
        <f>SUMIFS(ТГ_ИД!$E:$E,ТГ_ИД!$B:$B,ТГ!$G$7,ТГ_ИД!$D:$D,ТГ!$A888)</f>
        <v>0</v>
      </c>
      <c r="P887" s="130">
        <f>SUMIFS(ТГ_ИД!$E:$E,ТГ_ИД!$B:$B,ТГ!$G$8,ТГ_ИД!$D:$D,ТГ!$A888)</f>
        <v>0</v>
      </c>
      <c r="Q887" s="130">
        <f>SUMIFS(ТГ_ИД!$E:$E,ТГ_ИД!$B:$B,ТГ!$G$9,ТГ_ИД!$D:$D,ТГ!$A888)</f>
        <v>0</v>
      </c>
      <c r="R887" s="130">
        <f>SUMIFS(ТГ_ИД!$E:$E,ТГ_ИД!$B:$B,ТГ!$G$10,ТГ_ИД!$D:$D,ТГ!$A888)</f>
        <v>0</v>
      </c>
      <c r="S887" s="130">
        <f>SUMIFS(ТГ_ИД!$E:$E,ТГ_ИД!$B:$B,ТГ!$G$11,ТГ_ИД!$D:$D,ТГ!$A888)</f>
        <v>0</v>
      </c>
      <c r="T887" s="130">
        <f>SUMIFS(ТГ_ИД!$E:$E,ТГ_ИД!$B:$B,ТГ!$G$12,ТГ_ИД!$D:$D,ТГ!$A888)</f>
        <v>0</v>
      </c>
      <c r="U887" s="130">
        <f>SUMIFS(ТГ_ИД!$E:$E,ТГ_ИД!$B:$B,ТГ!$G$13,ТГ_ИД!$D:$D,ТГ!$A888)</f>
        <v>0</v>
      </c>
      <c r="V887" s="130">
        <f>SUMIFS(ТГ_ИД!$E:$E,ТГ_ИД!$B:$B,ТГ!$G$14,ТГ_ИД!$D:$D,ТГ!$A888)</f>
        <v>0</v>
      </c>
    </row>
    <row r="888" spans="1:22" x14ac:dyDescent="0.25">
      <c r="A888" s="116" t="str">
        <f t="shared" si="14"/>
        <v/>
      </c>
      <c r="K888" s="130">
        <f>SUMIFS(ТГ_ИД!$E:$E,ТГ_ИД!$B:$B,ТГ!$G$3,ТГ_ИД!$D:$D,ТГ!$A889)</f>
        <v>0</v>
      </c>
      <c r="L888" s="130">
        <f>SUMIFS(ТГ_ИД!$E:$E,ТГ_ИД!$B:$B,ТГ!$G$4,ТГ_ИД!$D:$D,ТГ!$A889)</f>
        <v>0</v>
      </c>
      <c r="M888" s="130">
        <f>SUMIFS(ТГ_ИД!$E:$E,ТГ_ИД!$B:$B,ТГ!$G$5,ТГ_ИД!$D:$D,ТГ!$A889)</f>
        <v>0</v>
      </c>
      <c r="N888" s="130">
        <f>SUMIFS(ТГ_ИД!$E:$E,ТГ_ИД!$B:$B,ТГ!$G$6,ТГ_ИД!$D:$D,ТГ!$A889)</f>
        <v>0</v>
      </c>
      <c r="O888" s="130">
        <f>SUMIFS(ТГ_ИД!$E:$E,ТГ_ИД!$B:$B,ТГ!$G$7,ТГ_ИД!$D:$D,ТГ!$A889)</f>
        <v>0</v>
      </c>
      <c r="P888" s="130">
        <f>SUMIFS(ТГ_ИД!$E:$E,ТГ_ИД!$B:$B,ТГ!$G$8,ТГ_ИД!$D:$D,ТГ!$A889)</f>
        <v>0</v>
      </c>
      <c r="Q888" s="130">
        <f>SUMIFS(ТГ_ИД!$E:$E,ТГ_ИД!$B:$B,ТГ!$G$9,ТГ_ИД!$D:$D,ТГ!$A889)</f>
        <v>0</v>
      </c>
      <c r="R888" s="130">
        <f>SUMIFS(ТГ_ИД!$E:$E,ТГ_ИД!$B:$B,ТГ!$G$10,ТГ_ИД!$D:$D,ТГ!$A889)</f>
        <v>0</v>
      </c>
      <c r="S888" s="130">
        <f>SUMIFS(ТГ_ИД!$E:$E,ТГ_ИД!$B:$B,ТГ!$G$11,ТГ_ИД!$D:$D,ТГ!$A889)</f>
        <v>0</v>
      </c>
      <c r="T888" s="130">
        <f>SUMIFS(ТГ_ИД!$E:$E,ТГ_ИД!$B:$B,ТГ!$G$12,ТГ_ИД!$D:$D,ТГ!$A889)</f>
        <v>0</v>
      </c>
      <c r="U888" s="130">
        <f>SUMIFS(ТГ_ИД!$E:$E,ТГ_ИД!$B:$B,ТГ!$G$13,ТГ_ИД!$D:$D,ТГ!$A889)</f>
        <v>0</v>
      </c>
      <c r="V888" s="130">
        <f>SUMIFS(ТГ_ИД!$E:$E,ТГ_ИД!$B:$B,ТГ!$G$14,ТГ_ИД!$D:$D,ТГ!$A889)</f>
        <v>0</v>
      </c>
    </row>
    <row r="889" spans="1:22" x14ac:dyDescent="0.25">
      <c r="A889" s="116" t="str">
        <f t="shared" si="14"/>
        <v/>
      </c>
      <c r="K889" s="130">
        <f>SUMIFS(ТГ_ИД!$E:$E,ТГ_ИД!$B:$B,ТГ!$G$3,ТГ_ИД!$D:$D,ТГ!$A890)</f>
        <v>0</v>
      </c>
      <c r="L889" s="130">
        <f>SUMIFS(ТГ_ИД!$E:$E,ТГ_ИД!$B:$B,ТГ!$G$4,ТГ_ИД!$D:$D,ТГ!$A890)</f>
        <v>0</v>
      </c>
      <c r="M889" s="130">
        <f>SUMIFS(ТГ_ИД!$E:$E,ТГ_ИД!$B:$B,ТГ!$G$5,ТГ_ИД!$D:$D,ТГ!$A890)</f>
        <v>0</v>
      </c>
      <c r="N889" s="130">
        <f>SUMIFS(ТГ_ИД!$E:$E,ТГ_ИД!$B:$B,ТГ!$G$6,ТГ_ИД!$D:$D,ТГ!$A890)</f>
        <v>0</v>
      </c>
      <c r="O889" s="130">
        <f>SUMIFS(ТГ_ИД!$E:$E,ТГ_ИД!$B:$B,ТГ!$G$7,ТГ_ИД!$D:$D,ТГ!$A890)</f>
        <v>0</v>
      </c>
      <c r="P889" s="130">
        <f>SUMIFS(ТГ_ИД!$E:$E,ТГ_ИД!$B:$B,ТГ!$G$8,ТГ_ИД!$D:$D,ТГ!$A890)</f>
        <v>0</v>
      </c>
      <c r="Q889" s="130">
        <f>SUMIFS(ТГ_ИД!$E:$E,ТГ_ИД!$B:$B,ТГ!$G$9,ТГ_ИД!$D:$D,ТГ!$A890)</f>
        <v>0</v>
      </c>
      <c r="R889" s="130">
        <f>SUMIFS(ТГ_ИД!$E:$E,ТГ_ИД!$B:$B,ТГ!$G$10,ТГ_ИД!$D:$D,ТГ!$A890)</f>
        <v>0</v>
      </c>
      <c r="S889" s="130">
        <f>SUMIFS(ТГ_ИД!$E:$E,ТГ_ИД!$B:$B,ТГ!$G$11,ТГ_ИД!$D:$D,ТГ!$A890)</f>
        <v>0</v>
      </c>
      <c r="T889" s="130">
        <f>SUMIFS(ТГ_ИД!$E:$E,ТГ_ИД!$B:$B,ТГ!$G$12,ТГ_ИД!$D:$D,ТГ!$A890)</f>
        <v>0</v>
      </c>
      <c r="U889" s="130">
        <f>SUMIFS(ТГ_ИД!$E:$E,ТГ_ИД!$B:$B,ТГ!$G$13,ТГ_ИД!$D:$D,ТГ!$A890)</f>
        <v>0</v>
      </c>
      <c r="V889" s="130">
        <f>SUMIFS(ТГ_ИД!$E:$E,ТГ_ИД!$B:$B,ТГ!$G$14,ТГ_ИД!$D:$D,ТГ!$A890)</f>
        <v>0</v>
      </c>
    </row>
    <row r="890" spans="1:22" x14ac:dyDescent="0.25">
      <c r="A890" s="116" t="str">
        <f t="shared" si="14"/>
        <v/>
      </c>
      <c r="K890" s="130">
        <f>SUMIFS(ТГ_ИД!$E:$E,ТГ_ИД!$B:$B,ТГ!$G$3,ТГ_ИД!$D:$D,ТГ!$A891)</f>
        <v>0</v>
      </c>
      <c r="L890" s="130">
        <f>SUMIFS(ТГ_ИД!$E:$E,ТГ_ИД!$B:$B,ТГ!$G$4,ТГ_ИД!$D:$D,ТГ!$A891)</f>
        <v>0</v>
      </c>
      <c r="M890" s="130">
        <f>SUMIFS(ТГ_ИД!$E:$E,ТГ_ИД!$B:$B,ТГ!$G$5,ТГ_ИД!$D:$D,ТГ!$A891)</f>
        <v>0</v>
      </c>
      <c r="N890" s="130">
        <f>SUMIFS(ТГ_ИД!$E:$E,ТГ_ИД!$B:$B,ТГ!$G$6,ТГ_ИД!$D:$D,ТГ!$A891)</f>
        <v>0</v>
      </c>
      <c r="O890" s="130">
        <f>SUMIFS(ТГ_ИД!$E:$E,ТГ_ИД!$B:$B,ТГ!$G$7,ТГ_ИД!$D:$D,ТГ!$A891)</f>
        <v>0</v>
      </c>
      <c r="P890" s="130">
        <f>SUMIFS(ТГ_ИД!$E:$E,ТГ_ИД!$B:$B,ТГ!$G$8,ТГ_ИД!$D:$D,ТГ!$A891)</f>
        <v>0</v>
      </c>
      <c r="Q890" s="130">
        <f>SUMIFS(ТГ_ИД!$E:$E,ТГ_ИД!$B:$B,ТГ!$G$9,ТГ_ИД!$D:$D,ТГ!$A891)</f>
        <v>0</v>
      </c>
      <c r="R890" s="130">
        <f>SUMIFS(ТГ_ИД!$E:$E,ТГ_ИД!$B:$B,ТГ!$G$10,ТГ_ИД!$D:$D,ТГ!$A891)</f>
        <v>0</v>
      </c>
      <c r="S890" s="130">
        <f>SUMIFS(ТГ_ИД!$E:$E,ТГ_ИД!$B:$B,ТГ!$G$11,ТГ_ИД!$D:$D,ТГ!$A891)</f>
        <v>0</v>
      </c>
      <c r="T890" s="130">
        <f>SUMIFS(ТГ_ИД!$E:$E,ТГ_ИД!$B:$B,ТГ!$G$12,ТГ_ИД!$D:$D,ТГ!$A891)</f>
        <v>0</v>
      </c>
      <c r="U890" s="130">
        <f>SUMIFS(ТГ_ИД!$E:$E,ТГ_ИД!$B:$B,ТГ!$G$13,ТГ_ИД!$D:$D,ТГ!$A891)</f>
        <v>0</v>
      </c>
      <c r="V890" s="130">
        <f>SUMIFS(ТГ_ИД!$E:$E,ТГ_ИД!$B:$B,ТГ!$G$14,ТГ_ИД!$D:$D,ТГ!$A891)</f>
        <v>0</v>
      </c>
    </row>
    <row r="891" spans="1:22" x14ac:dyDescent="0.25">
      <c r="A891" s="116" t="str">
        <f t="shared" si="14"/>
        <v/>
      </c>
      <c r="K891" s="130">
        <f>SUMIFS(ТГ_ИД!$E:$E,ТГ_ИД!$B:$B,ТГ!$G$3,ТГ_ИД!$D:$D,ТГ!$A892)</f>
        <v>0</v>
      </c>
      <c r="L891" s="130">
        <f>SUMIFS(ТГ_ИД!$E:$E,ТГ_ИД!$B:$B,ТГ!$G$4,ТГ_ИД!$D:$D,ТГ!$A892)</f>
        <v>0</v>
      </c>
      <c r="M891" s="130">
        <f>SUMIFS(ТГ_ИД!$E:$E,ТГ_ИД!$B:$B,ТГ!$G$5,ТГ_ИД!$D:$D,ТГ!$A892)</f>
        <v>0</v>
      </c>
      <c r="N891" s="130">
        <f>SUMIFS(ТГ_ИД!$E:$E,ТГ_ИД!$B:$B,ТГ!$G$6,ТГ_ИД!$D:$D,ТГ!$A892)</f>
        <v>0</v>
      </c>
      <c r="O891" s="130">
        <f>SUMIFS(ТГ_ИД!$E:$E,ТГ_ИД!$B:$B,ТГ!$G$7,ТГ_ИД!$D:$D,ТГ!$A892)</f>
        <v>0</v>
      </c>
      <c r="P891" s="130">
        <f>SUMIFS(ТГ_ИД!$E:$E,ТГ_ИД!$B:$B,ТГ!$G$8,ТГ_ИД!$D:$D,ТГ!$A892)</f>
        <v>0</v>
      </c>
      <c r="Q891" s="130">
        <f>SUMIFS(ТГ_ИД!$E:$E,ТГ_ИД!$B:$B,ТГ!$G$9,ТГ_ИД!$D:$D,ТГ!$A892)</f>
        <v>0</v>
      </c>
      <c r="R891" s="130">
        <f>SUMIFS(ТГ_ИД!$E:$E,ТГ_ИД!$B:$B,ТГ!$G$10,ТГ_ИД!$D:$D,ТГ!$A892)</f>
        <v>0</v>
      </c>
      <c r="S891" s="130">
        <f>SUMIFS(ТГ_ИД!$E:$E,ТГ_ИД!$B:$B,ТГ!$G$11,ТГ_ИД!$D:$D,ТГ!$A892)</f>
        <v>0</v>
      </c>
      <c r="T891" s="130">
        <f>SUMIFS(ТГ_ИД!$E:$E,ТГ_ИД!$B:$B,ТГ!$G$12,ТГ_ИД!$D:$D,ТГ!$A892)</f>
        <v>0</v>
      </c>
      <c r="U891" s="130">
        <f>SUMIFS(ТГ_ИД!$E:$E,ТГ_ИД!$B:$B,ТГ!$G$13,ТГ_ИД!$D:$D,ТГ!$A892)</f>
        <v>0</v>
      </c>
      <c r="V891" s="130">
        <f>SUMIFS(ТГ_ИД!$E:$E,ТГ_ИД!$B:$B,ТГ!$G$14,ТГ_ИД!$D:$D,ТГ!$A892)</f>
        <v>0</v>
      </c>
    </row>
    <row r="892" spans="1:22" x14ac:dyDescent="0.25">
      <c r="A892" s="116" t="str">
        <f t="shared" si="14"/>
        <v/>
      </c>
      <c r="K892" s="130">
        <f>SUMIFS(ТГ_ИД!$E:$E,ТГ_ИД!$B:$B,ТГ!$G$3,ТГ_ИД!$D:$D,ТГ!$A893)</f>
        <v>0</v>
      </c>
      <c r="L892" s="130">
        <f>SUMIFS(ТГ_ИД!$E:$E,ТГ_ИД!$B:$B,ТГ!$G$4,ТГ_ИД!$D:$D,ТГ!$A893)</f>
        <v>0</v>
      </c>
      <c r="M892" s="130">
        <f>SUMIFS(ТГ_ИД!$E:$E,ТГ_ИД!$B:$B,ТГ!$G$5,ТГ_ИД!$D:$D,ТГ!$A893)</f>
        <v>0</v>
      </c>
      <c r="N892" s="130">
        <f>SUMIFS(ТГ_ИД!$E:$E,ТГ_ИД!$B:$B,ТГ!$G$6,ТГ_ИД!$D:$D,ТГ!$A893)</f>
        <v>0</v>
      </c>
      <c r="O892" s="130">
        <f>SUMIFS(ТГ_ИД!$E:$E,ТГ_ИД!$B:$B,ТГ!$G$7,ТГ_ИД!$D:$D,ТГ!$A893)</f>
        <v>0</v>
      </c>
      <c r="P892" s="130">
        <f>SUMIFS(ТГ_ИД!$E:$E,ТГ_ИД!$B:$B,ТГ!$G$8,ТГ_ИД!$D:$D,ТГ!$A893)</f>
        <v>0</v>
      </c>
      <c r="Q892" s="130">
        <f>SUMIFS(ТГ_ИД!$E:$E,ТГ_ИД!$B:$B,ТГ!$G$9,ТГ_ИД!$D:$D,ТГ!$A893)</f>
        <v>0</v>
      </c>
      <c r="R892" s="130">
        <f>SUMIFS(ТГ_ИД!$E:$E,ТГ_ИД!$B:$B,ТГ!$G$10,ТГ_ИД!$D:$D,ТГ!$A893)</f>
        <v>0</v>
      </c>
      <c r="S892" s="130">
        <f>SUMIFS(ТГ_ИД!$E:$E,ТГ_ИД!$B:$B,ТГ!$G$11,ТГ_ИД!$D:$D,ТГ!$A893)</f>
        <v>0</v>
      </c>
      <c r="T892" s="130">
        <f>SUMIFS(ТГ_ИД!$E:$E,ТГ_ИД!$B:$B,ТГ!$G$12,ТГ_ИД!$D:$D,ТГ!$A893)</f>
        <v>0</v>
      </c>
      <c r="U892" s="130">
        <f>SUMIFS(ТГ_ИД!$E:$E,ТГ_ИД!$B:$B,ТГ!$G$13,ТГ_ИД!$D:$D,ТГ!$A893)</f>
        <v>0</v>
      </c>
      <c r="V892" s="130">
        <f>SUMIFS(ТГ_ИД!$E:$E,ТГ_ИД!$B:$B,ТГ!$G$14,ТГ_ИД!$D:$D,ТГ!$A893)</f>
        <v>0</v>
      </c>
    </row>
    <row r="893" spans="1:22" x14ac:dyDescent="0.25">
      <c r="A893" s="116" t="str">
        <f t="shared" si="14"/>
        <v/>
      </c>
      <c r="K893" s="130">
        <f>SUMIFS(ТГ_ИД!$E:$E,ТГ_ИД!$B:$B,ТГ!$G$3,ТГ_ИД!$D:$D,ТГ!$A894)</f>
        <v>0</v>
      </c>
      <c r="L893" s="130">
        <f>SUMIFS(ТГ_ИД!$E:$E,ТГ_ИД!$B:$B,ТГ!$G$4,ТГ_ИД!$D:$D,ТГ!$A894)</f>
        <v>0</v>
      </c>
      <c r="M893" s="130">
        <f>SUMIFS(ТГ_ИД!$E:$E,ТГ_ИД!$B:$B,ТГ!$G$5,ТГ_ИД!$D:$D,ТГ!$A894)</f>
        <v>0</v>
      </c>
      <c r="N893" s="130">
        <f>SUMIFS(ТГ_ИД!$E:$E,ТГ_ИД!$B:$B,ТГ!$G$6,ТГ_ИД!$D:$D,ТГ!$A894)</f>
        <v>0</v>
      </c>
      <c r="O893" s="130">
        <f>SUMIFS(ТГ_ИД!$E:$E,ТГ_ИД!$B:$B,ТГ!$G$7,ТГ_ИД!$D:$D,ТГ!$A894)</f>
        <v>0</v>
      </c>
      <c r="P893" s="130">
        <f>SUMIFS(ТГ_ИД!$E:$E,ТГ_ИД!$B:$B,ТГ!$G$8,ТГ_ИД!$D:$D,ТГ!$A894)</f>
        <v>0</v>
      </c>
      <c r="Q893" s="130">
        <f>SUMIFS(ТГ_ИД!$E:$E,ТГ_ИД!$B:$B,ТГ!$G$9,ТГ_ИД!$D:$D,ТГ!$A894)</f>
        <v>0</v>
      </c>
      <c r="R893" s="130">
        <f>SUMIFS(ТГ_ИД!$E:$E,ТГ_ИД!$B:$B,ТГ!$G$10,ТГ_ИД!$D:$D,ТГ!$A894)</f>
        <v>0</v>
      </c>
      <c r="S893" s="130">
        <f>SUMIFS(ТГ_ИД!$E:$E,ТГ_ИД!$B:$B,ТГ!$G$11,ТГ_ИД!$D:$D,ТГ!$A894)</f>
        <v>0</v>
      </c>
      <c r="T893" s="130">
        <f>SUMIFS(ТГ_ИД!$E:$E,ТГ_ИД!$B:$B,ТГ!$G$12,ТГ_ИД!$D:$D,ТГ!$A894)</f>
        <v>0</v>
      </c>
      <c r="U893" s="130">
        <f>SUMIFS(ТГ_ИД!$E:$E,ТГ_ИД!$B:$B,ТГ!$G$13,ТГ_ИД!$D:$D,ТГ!$A894)</f>
        <v>0</v>
      </c>
      <c r="V893" s="130">
        <f>SUMIFS(ТГ_ИД!$E:$E,ТГ_ИД!$B:$B,ТГ!$G$14,ТГ_ИД!$D:$D,ТГ!$A894)</f>
        <v>0</v>
      </c>
    </row>
    <row r="894" spans="1:22" x14ac:dyDescent="0.25">
      <c r="A894" s="116" t="str">
        <f t="shared" si="14"/>
        <v/>
      </c>
      <c r="K894" s="130">
        <f>SUMIFS(ТГ_ИД!$E:$E,ТГ_ИД!$B:$B,ТГ!$G$3,ТГ_ИД!$D:$D,ТГ!$A895)</f>
        <v>0</v>
      </c>
      <c r="L894" s="130">
        <f>SUMIFS(ТГ_ИД!$E:$E,ТГ_ИД!$B:$B,ТГ!$G$4,ТГ_ИД!$D:$D,ТГ!$A895)</f>
        <v>0</v>
      </c>
      <c r="M894" s="130">
        <f>SUMIFS(ТГ_ИД!$E:$E,ТГ_ИД!$B:$B,ТГ!$G$5,ТГ_ИД!$D:$D,ТГ!$A895)</f>
        <v>0</v>
      </c>
      <c r="N894" s="130">
        <f>SUMIFS(ТГ_ИД!$E:$E,ТГ_ИД!$B:$B,ТГ!$G$6,ТГ_ИД!$D:$D,ТГ!$A895)</f>
        <v>0</v>
      </c>
      <c r="O894" s="130">
        <f>SUMIFS(ТГ_ИД!$E:$E,ТГ_ИД!$B:$B,ТГ!$G$7,ТГ_ИД!$D:$D,ТГ!$A895)</f>
        <v>0</v>
      </c>
      <c r="P894" s="130">
        <f>SUMIFS(ТГ_ИД!$E:$E,ТГ_ИД!$B:$B,ТГ!$G$8,ТГ_ИД!$D:$D,ТГ!$A895)</f>
        <v>0</v>
      </c>
      <c r="Q894" s="130">
        <f>SUMIFS(ТГ_ИД!$E:$E,ТГ_ИД!$B:$B,ТГ!$G$9,ТГ_ИД!$D:$D,ТГ!$A895)</f>
        <v>0</v>
      </c>
      <c r="R894" s="130">
        <f>SUMIFS(ТГ_ИД!$E:$E,ТГ_ИД!$B:$B,ТГ!$G$10,ТГ_ИД!$D:$D,ТГ!$A895)</f>
        <v>0</v>
      </c>
      <c r="S894" s="130">
        <f>SUMIFS(ТГ_ИД!$E:$E,ТГ_ИД!$B:$B,ТГ!$G$11,ТГ_ИД!$D:$D,ТГ!$A895)</f>
        <v>0</v>
      </c>
      <c r="T894" s="130">
        <f>SUMIFS(ТГ_ИД!$E:$E,ТГ_ИД!$B:$B,ТГ!$G$12,ТГ_ИД!$D:$D,ТГ!$A895)</f>
        <v>0</v>
      </c>
      <c r="U894" s="130">
        <f>SUMIFS(ТГ_ИД!$E:$E,ТГ_ИД!$B:$B,ТГ!$G$13,ТГ_ИД!$D:$D,ТГ!$A895)</f>
        <v>0</v>
      </c>
      <c r="V894" s="130">
        <f>SUMIFS(ТГ_ИД!$E:$E,ТГ_ИД!$B:$B,ТГ!$G$14,ТГ_ИД!$D:$D,ТГ!$A895)</f>
        <v>0</v>
      </c>
    </row>
    <row r="895" spans="1:22" x14ac:dyDescent="0.25">
      <c r="A895" s="116" t="str">
        <f t="shared" si="14"/>
        <v/>
      </c>
      <c r="K895" s="130">
        <f>SUMIFS(ТГ_ИД!$E:$E,ТГ_ИД!$B:$B,ТГ!$G$3,ТГ_ИД!$D:$D,ТГ!$A896)</f>
        <v>0</v>
      </c>
      <c r="L895" s="130">
        <f>SUMIFS(ТГ_ИД!$E:$E,ТГ_ИД!$B:$B,ТГ!$G$4,ТГ_ИД!$D:$D,ТГ!$A896)</f>
        <v>0</v>
      </c>
      <c r="M895" s="130">
        <f>SUMIFS(ТГ_ИД!$E:$E,ТГ_ИД!$B:$B,ТГ!$G$5,ТГ_ИД!$D:$D,ТГ!$A896)</f>
        <v>0</v>
      </c>
      <c r="N895" s="130">
        <f>SUMIFS(ТГ_ИД!$E:$E,ТГ_ИД!$B:$B,ТГ!$G$6,ТГ_ИД!$D:$D,ТГ!$A896)</f>
        <v>0</v>
      </c>
      <c r="O895" s="130">
        <f>SUMIFS(ТГ_ИД!$E:$E,ТГ_ИД!$B:$B,ТГ!$G$7,ТГ_ИД!$D:$D,ТГ!$A896)</f>
        <v>0</v>
      </c>
      <c r="P895" s="130">
        <f>SUMIFS(ТГ_ИД!$E:$E,ТГ_ИД!$B:$B,ТГ!$G$8,ТГ_ИД!$D:$D,ТГ!$A896)</f>
        <v>0</v>
      </c>
      <c r="Q895" s="130">
        <f>SUMIFS(ТГ_ИД!$E:$E,ТГ_ИД!$B:$B,ТГ!$G$9,ТГ_ИД!$D:$D,ТГ!$A896)</f>
        <v>0</v>
      </c>
      <c r="R895" s="130">
        <f>SUMIFS(ТГ_ИД!$E:$E,ТГ_ИД!$B:$B,ТГ!$G$10,ТГ_ИД!$D:$D,ТГ!$A896)</f>
        <v>0</v>
      </c>
      <c r="S895" s="130">
        <f>SUMIFS(ТГ_ИД!$E:$E,ТГ_ИД!$B:$B,ТГ!$G$11,ТГ_ИД!$D:$D,ТГ!$A896)</f>
        <v>0</v>
      </c>
      <c r="T895" s="130">
        <f>SUMIFS(ТГ_ИД!$E:$E,ТГ_ИД!$B:$B,ТГ!$G$12,ТГ_ИД!$D:$D,ТГ!$A896)</f>
        <v>0</v>
      </c>
      <c r="U895" s="130">
        <f>SUMIFS(ТГ_ИД!$E:$E,ТГ_ИД!$B:$B,ТГ!$G$13,ТГ_ИД!$D:$D,ТГ!$A896)</f>
        <v>0</v>
      </c>
      <c r="V895" s="130">
        <f>SUMIFS(ТГ_ИД!$E:$E,ТГ_ИД!$B:$B,ТГ!$G$14,ТГ_ИД!$D:$D,ТГ!$A896)</f>
        <v>0</v>
      </c>
    </row>
    <row r="896" spans="1:22" x14ac:dyDescent="0.25">
      <c r="A896" s="116" t="str">
        <f t="shared" si="14"/>
        <v/>
      </c>
      <c r="K896" s="130">
        <f>SUMIFS(ТГ_ИД!$E:$E,ТГ_ИД!$B:$B,ТГ!$G$3,ТГ_ИД!$D:$D,ТГ!$A897)</f>
        <v>0</v>
      </c>
      <c r="L896" s="130">
        <f>SUMIFS(ТГ_ИД!$E:$E,ТГ_ИД!$B:$B,ТГ!$G$4,ТГ_ИД!$D:$D,ТГ!$A897)</f>
        <v>0</v>
      </c>
      <c r="M896" s="130">
        <f>SUMIFS(ТГ_ИД!$E:$E,ТГ_ИД!$B:$B,ТГ!$G$5,ТГ_ИД!$D:$D,ТГ!$A897)</f>
        <v>0</v>
      </c>
      <c r="N896" s="130">
        <f>SUMIFS(ТГ_ИД!$E:$E,ТГ_ИД!$B:$B,ТГ!$G$6,ТГ_ИД!$D:$D,ТГ!$A897)</f>
        <v>0</v>
      </c>
      <c r="O896" s="130">
        <f>SUMIFS(ТГ_ИД!$E:$E,ТГ_ИД!$B:$B,ТГ!$G$7,ТГ_ИД!$D:$D,ТГ!$A897)</f>
        <v>0</v>
      </c>
      <c r="P896" s="130">
        <f>SUMIFS(ТГ_ИД!$E:$E,ТГ_ИД!$B:$B,ТГ!$G$8,ТГ_ИД!$D:$D,ТГ!$A897)</f>
        <v>0</v>
      </c>
      <c r="Q896" s="130">
        <f>SUMIFS(ТГ_ИД!$E:$E,ТГ_ИД!$B:$B,ТГ!$G$9,ТГ_ИД!$D:$D,ТГ!$A897)</f>
        <v>0</v>
      </c>
      <c r="R896" s="130">
        <f>SUMIFS(ТГ_ИД!$E:$E,ТГ_ИД!$B:$B,ТГ!$G$10,ТГ_ИД!$D:$D,ТГ!$A897)</f>
        <v>0</v>
      </c>
      <c r="S896" s="130">
        <f>SUMIFS(ТГ_ИД!$E:$E,ТГ_ИД!$B:$B,ТГ!$G$11,ТГ_ИД!$D:$D,ТГ!$A897)</f>
        <v>0</v>
      </c>
      <c r="T896" s="130">
        <f>SUMIFS(ТГ_ИД!$E:$E,ТГ_ИД!$B:$B,ТГ!$G$12,ТГ_ИД!$D:$D,ТГ!$A897)</f>
        <v>0</v>
      </c>
      <c r="U896" s="130">
        <f>SUMIFS(ТГ_ИД!$E:$E,ТГ_ИД!$B:$B,ТГ!$G$13,ТГ_ИД!$D:$D,ТГ!$A897)</f>
        <v>0</v>
      </c>
      <c r="V896" s="130">
        <f>SUMIFS(ТГ_ИД!$E:$E,ТГ_ИД!$B:$B,ТГ!$G$14,ТГ_ИД!$D:$D,ТГ!$A897)</f>
        <v>0</v>
      </c>
    </row>
    <row r="897" spans="1:22" x14ac:dyDescent="0.25">
      <c r="A897" s="116" t="str">
        <f t="shared" si="14"/>
        <v/>
      </c>
      <c r="K897" s="130">
        <f>SUMIFS(ТГ_ИД!$E:$E,ТГ_ИД!$B:$B,ТГ!$G$3,ТГ_ИД!$D:$D,ТГ!$A898)</f>
        <v>0</v>
      </c>
      <c r="L897" s="130">
        <f>SUMIFS(ТГ_ИД!$E:$E,ТГ_ИД!$B:$B,ТГ!$G$4,ТГ_ИД!$D:$D,ТГ!$A898)</f>
        <v>0</v>
      </c>
      <c r="M897" s="130">
        <f>SUMIFS(ТГ_ИД!$E:$E,ТГ_ИД!$B:$B,ТГ!$G$5,ТГ_ИД!$D:$D,ТГ!$A898)</f>
        <v>0</v>
      </c>
      <c r="N897" s="130">
        <f>SUMIFS(ТГ_ИД!$E:$E,ТГ_ИД!$B:$B,ТГ!$G$6,ТГ_ИД!$D:$D,ТГ!$A898)</f>
        <v>0</v>
      </c>
      <c r="O897" s="130">
        <f>SUMIFS(ТГ_ИД!$E:$E,ТГ_ИД!$B:$B,ТГ!$G$7,ТГ_ИД!$D:$D,ТГ!$A898)</f>
        <v>0</v>
      </c>
      <c r="P897" s="130">
        <f>SUMIFS(ТГ_ИД!$E:$E,ТГ_ИД!$B:$B,ТГ!$G$8,ТГ_ИД!$D:$D,ТГ!$A898)</f>
        <v>0</v>
      </c>
      <c r="Q897" s="130">
        <f>SUMIFS(ТГ_ИД!$E:$E,ТГ_ИД!$B:$B,ТГ!$G$9,ТГ_ИД!$D:$D,ТГ!$A898)</f>
        <v>0</v>
      </c>
      <c r="R897" s="130">
        <f>SUMIFS(ТГ_ИД!$E:$E,ТГ_ИД!$B:$B,ТГ!$G$10,ТГ_ИД!$D:$D,ТГ!$A898)</f>
        <v>0</v>
      </c>
      <c r="S897" s="130">
        <f>SUMIFS(ТГ_ИД!$E:$E,ТГ_ИД!$B:$B,ТГ!$G$11,ТГ_ИД!$D:$D,ТГ!$A898)</f>
        <v>0</v>
      </c>
      <c r="T897" s="130">
        <f>SUMIFS(ТГ_ИД!$E:$E,ТГ_ИД!$B:$B,ТГ!$G$12,ТГ_ИД!$D:$D,ТГ!$A898)</f>
        <v>0</v>
      </c>
      <c r="U897" s="130">
        <f>SUMIFS(ТГ_ИД!$E:$E,ТГ_ИД!$B:$B,ТГ!$G$13,ТГ_ИД!$D:$D,ТГ!$A898)</f>
        <v>0</v>
      </c>
      <c r="V897" s="130">
        <f>SUMIFS(ТГ_ИД!$E:$E,ТГ_ИД!$B:$B,ТГ!$G$14,ТГ_ИД!$D:$D,ТГ!$A898)</f>
        <v>0</v>
      </c>
    </row>
    <row r="898" spans="1:22" x14ac:dyDescent="0.25">
      <c r="A898" s="116" t="str">
        <f t="shared" si="14"/>
        <v/>
      </c>
      <c r="K898" s="130">
        <f>SUMIFS(ТГ_ИД!$E:$E,ТГ_ИД!$B:$B,ТГ!$G$3,ТГ_ИД!$D:$D,ТГ!$A899)</f>
        <v>0</v>
      </c>
      <c r="L898" s="130">
        <f>SUMIFS(ТГ_ИД!$E:$E,ТГ_ИД!$B:$B,ТГ!$G$4,ТГ_ИД!$D:$D,ТГ!$A899)</f>
        <v>0</v>
      </c>
      <c r="M898" s="130">
        <f>SUMIFS(ТГ_ИД!$E:$E,ТГ_ИД!$B:$B,ТГ!$G$5,ТГ_ИД!$D:$D,ТГ!$A899)</f>
        <v>0</v>
      </c>
      <c r="N898" s="130">
        <f>SUMIFS(ТГ_ИД!$E:$E,ТГ_ИД!$B:$B,ТГ!$G$6,ТГ_ИД!$D:$D,ТГ!$A899)</f>
        <v>0</v>
      </c>
      <c r="O898" s="130">
        <f>SUMIFS(ТГ_ИД!$E:$E,ТГ_ИД!$B:$B,ТГ!$G$7,ТГ_ИД!$D:$D,ТГ!$A899)</f>
        <v>0</v>
      </c>
      <c r="P898" s="130">
        <f>SUMIFS(ТГ_ИД!$E:$E,ТГ_ИД!$B:$B,ТГ!$G$8,ТГ_ИД!$D:$D,ТГ!$A899)</f>
        <v>0</v>
      </c>
      <c r="Q898" s="130">
        <f>SUMIFS(ТГ_ИД!$E:$E,ТГ_ИД!$B:$B,ТГ!$G$9,ТГ_ИД!$D:$D,ТГ!$A899)</f>
        <v>0</v>
      </c>
      <c r="R898" s="130">
        <f>SUMIFS(ТГ_ИД!$E:$E,ТГ_ИД!$B:$B,ТГ!$G$10,ТГ_ИД!$D:$D,ТГ!$A899)</f>
        <v>0</v>
      </c>
      <c r="S898" s="130">
        <f>SUMIFS(ТГ_ИД!$E:$E,ТГ_ИД!$B:$B,ТГ!$G$11,ТГ_ИД!$D:$D,ТГ!$A899)</f>
        <v>0</v>
      </c>
      <c r="T898" s="130">
        <f>SUMIFS(ТГ_ИД!$E:$E,ТГ_ИД!$B:$B,ТГ!$G$12,ТГ_ИД!$D:$D,ТГ!$A899)</f>
        <v>0</v>
      </c>
      <c r="U898" s="130">
        <f>SUMIFS(ТГ_ИД!$E:$E,ТГ_ИД!$B:$B,ТГ!$G$13,ТГ_ИД!$D:$D,ТГ!$A899)</f>
        <v>0</v>
      </c>
      <c r="V898" s="130">
        <f>SUMIFS(ТГ_ИД!$E:$E,ТГ_ИД!$B:$B,ТГ!$G$14,ТГ_ИД!$D:$D,ТГ!$A899)</f>
        <v>0</v>
      </c>
    </row>
    <row r="899" spans="1:22" x14ac:dyDescent="0.25">
      <c r="A899" s="116" t="str">
        <f t="shared" si="14"/>
        <v/>
      </c>
      <c r="K899" s="130">
        <f>SUMIFS(ТГ_ИД!$E:$E,ТГ_ИД!$B:$B,ТГ!$G$3,ТГ_ИД!$D:$D,ТГ!$A900)</f>
        <v>0</v>
      </c>
      <c r="L899" s="130">
        <f>SUMIFS(ТГ_ИД!$E:$E,ТГ_ИД!$B:$B,ТГ!$G$4,ТГ_ИД!$D:$D,ТГ!$A900)</f>
        <v>0</v>
      </c>
      <c r="M899" s="130">
        <f>SUMIFS(ТГ_ИД!$E:$E,ТГ_ИД!$B:$B,ТГ!$G$5,ТГ_ИД!$D:$D,ТГ!$A900)</f>
        <v>0</v>
      </c>
      <c r="N899" s="130">
        <f>SUMIFS(ТГ_ИД!$E:$E,ТГ_ИД!$B:$B,ТГ!$G$6,ТГ_ИД!$D:$D,ТГ!$A900)</f>
        <v>0</v>
      </c>
      <c r="O899" s="130">
        <f>SUMIFS(ТГ_ИД!$E:$E,ТГ_ИД!$B:$B,ТГ!$G$7,ТГ_ИД!$D:$D,ТГ!$A900)</f>
        <v>0</v>
      </c>
      <c r="P899" s="130">
        <f>SUMIFS(ТГ_ИД!$E:$E,ТГ_ИД!$B:$B,ТГ!$G$8,ТГ_ИД!$D:$D,ТГ!$A900)</f>
        <v>0</v>
      </c>
      <c r="Q899" s="130">
        <f>SUMIFS(ТГ_ИД!$E:$E,ТГ_ИД!$B:$B,ТГ!$G$9,ТГ_ИД!$D:$D,ТГ!$A900)</f>
        <v>0</v>
      </c>
      <c r="R899" s="130">
        <f>SUMIFS(ТГ_ИД!$E:$E,ТГ_ИД!$B:$B,ТГ!$G$10,ТГ_ИД!$D:$D,ТГ!$A900)</f>
        <v>0</v>
      </c>
      <c r="S899" s="130">
        <f>SUMIFS(ТГ_ИД!$E:$E,ТГ_ИД!$B:$B,ТГ!$G$11,ТГ_ИД!$D:$D,ТГ!$A900)</f>
        <v>0</v>
      </c>
      <c r="T899" s="130">
        <f>SUMIFS(ТГ_ИД!$E:$E,ТГ_ИД!$B:$B,ТГ!$G$12,ТГ_ИД!$D:$D,ТГ!$A900)</f>
        <v>0</v>
      </c>
      <c r="U899" s="130">
        <f>SUMIFS(ТГ_ИД!$E:$E,ТГ_ИД!$B:$B,ТГ!$G$13,ТГ_ИД!$D:$D,ТГ!$A900)</f>
        <v>0</v>
      </c>
      <c r="V899" s="130">
        <f>SUMIFS(ТГ_ИД!$E:$E,ТГ_ИД!$B:$B,ТГ!$G$14,ТГ_ИД!$D:$D,ТГ!$A900)</f>
        <v>0</v>
      </c>
    </row>
    <row r="900" spans="1:22" x14ac:dyDescent="0.25">
      <c r="A900" s="116" t="str">
        <f t="shared" si="14"/>
        <v/>
      </c>
      <c r="K900" s="130">
        <f>SUMIFS(ТГ_ИД!$E:$E,ТГ_ИД!$B:$B,ТГ!$G$3,ТГ_ИД!$D:$D,ТГ!$A901)</f>
        <v>0</v>
      </c>
      <c r="L900" s="130">
        <f>SUMIFS(ТГ_ИД!$E:$E,ТГ_ИД!$B:$B,ТГ!$G$4,ТГ_ИД!$D:$D,ТГ!$A901)</f>
        <v>0</v>
      </c>
      <c r="M900" s="130">
        <f>SUMIFS(ТГ_ИД!$E:$E,ТГ_ИД!$B:$B,ТГ!$G$5,ТГ_ИД!$D:$D,ТГ!$A901)</f>
        <v>0</v>
      </c>
      <c r="N900" s="130">
        <f>SUMIFS(ТГ_ИД!$E:$E,ТГ_ИД!$B:$B,ТГ!$G$6,ТГ_ИД!$D:$D,ТГ!$A901)</f>
        <v>0</v>
      </c>
      <c r="O900" s="130">
        <f>SUMIFS(ТГ_ИД!$E:$E,ТГ_ИД!$B:$B,ТГ!$G$7,ТГ_ИД!$D:$D,ТГ!$A901)</f>
        <v>0</v>
      </c>
      <c r="P900" s="130">
        <f>SUMIFS(ТГ_ИД!$E:$E,ТГ_ИД!$B:$B,ТГ!$G$8,ТГ_ИД!$D:$D,ТГ!$A901)</f>
        <v>0</v>
      </c>
      <c r="Q900" s="130">
        <f>SUMIFS(ТГ_ИД!$E:$E,ТГ_ИД!$B:$B,ТГ!$G$9,ТГ_ИД!$D:$D,ТГ!$A901)</f>
        <v>0</v>
      </c>
      <c r="R900" s="130">
        <f>SUMIFS(ТГ_ИД!$E:$E,ТГ_ИД!$B:$B,ТГ!$G$10,ТГ_ИД!$D:$D,ТГ!$A901)</f>
        <v>0</v>
      </c>
      <c r="S900" s="130">
        <f>SUMIFS(ТГ_ИД!$E:$E,ТГ_ИД!$B:$B,ТГ!$G$11,ТГ_ИД!$D:$D,ТГ!$A901)</f>
        <v>0</v>
      </c>
      <c r="T900" s="130">
        <f>SUMIFS(ТГ_ИД!$E:$E,ТГ_ИД!$B:$B,ТГ!$G$12,ТГ_ИД!$D:$D,ТГ!$A901)</f>
        <v>0</v>
      </c>
      <c r="U900" s="130">
        <f>SUMIFS(ТГ_ИД!$E:$E,ТГ_ИД!$B:$B,ТГ!$G$13,ТГ_ИД!$D:$D,ТГ!$A901)</f>
        <v>0</v>
      </c>
      <c r="V900" s="130">
        <f>SUMIFS(ТГ_ИД!$E:$E,ТГ_ИД!$B:$B,ТГ!$G$14,ТГ_ИД!$D:$D,ТГ!$A901)</f>
        <v>0</v>
      </c>
    </row>
    <row r="901" spans="1:22" x14ac:dyDescent="0.25">
      <c r="A901" s="116" t="str">
        <f t="shared" ref="A901:A964" si="15">IF(B901="","",TEXT(B901,"00000"))</f>
        <v/>
      </c>
      <c r="K901" s="130">
        <f>SUMIFS(ТГ_ИД!$E:$E,ТГ_ИД!$B:$B,ТГ!$G$3,ТГ_ИД!$D:$D,ТГ!$A902)</f>
        <v>0</v>
      </c>
      <c r="L901" s="130">
        <f>SUMIFS(ТГ_ИД!$E:$E,ТГ_ИД!$B:$B,ТГ!$G$4,ТГ_ИД!$D:$D,ТГ!$A902)</f>
        <v>0</v>
      </c>
      <c r="M901" s="130">
        <f>SUMIFS(ТГ_ИД!$E:$E,ТГ_ИД!$B:$B,ТГ!$G$5,ТГ_ИД!$D:$D,ТГ!$A902)</f>
        <v>0</v>
      </c>
      <c r="N901" s="130">
        <f>SUMIFS(ТГ_ИД!$E:$E,ТГ_ИД!$B:$B,ТГ!$G$6,ТГ_ИД!$D:$D,ТГ!$A902)</f>
        <v>0</v>
      </c>
      <c r="O901" s="130">
        <f>SUMIFS(ТГ_ИД!$E:$E,ТГ_ИД!$B:$B,ТГ!$G$7,ТГ_ИД!$D:$D,ТГ!$A902)</f>
        <v>0</v>
      </c>
      <c r="P901" s="130">
        <f>SUMIFS(ТГ_ИД!$E:$E,ТГ_ИД!$B:$B,ТГ!$G$8,ТГ_ИД!$D:$D,ТГ!$A902)</f>
        <v>0</v>
      </c>
      <c r="Q901" s="130">
        <f>SUMIFS(ТГ_ИД!$E:$E,ТГ_ИД!$B:$B,ТГ!$G$9,ТГ_ИД!$D:$D,ТГ!$A902)</f>
        <v>0</v>
      </c>
      <c r="R901" s="130">
        <f>SUMIFS(ТГ_ИД!$E:$E,ТГ_ИД!$B:$B,ТГ!$G$10,ТГ_ИД!$D:$D,ТГ!$A902)</f>
        <v>0</v>
      </c>
      <c r="S901" s="130">
        <f>SUMIFS(ТГ_ИД!$E:$E,ТГ_ИД!$B:$B,ТГ!$G$11,ТГ_ИД!$D:$D,ТГ!$A902)</f>
        <v>0</v>
      </c>
      <c r="T901" s="130">
        <f>SUMIFS(ТГ_ИД!$E:$E,ТГ_ИД!$B:$B,ТГ!$G$12,ТГ_ИД!$D:$D,ТГ!$A902)</f>
        <v>0</v>
      </c>
      <c r="U901" s="130">
        <f>SUMIFS(ТГ_ИД!$E:$E,ТГ_ИД!$B:$B,ТГ!$G$13,ТГ_ИД!$D:$D,ТГ!$A902)</f>
        <v>0</v>
      </c>
      <c r="V901" s="130">
        <f>SUMIFS(ТГ_ИД!$E:$E,ТГ_ИД!$B:$B,ТГ!$G$14,ТГ_ИД!$D:$D,ТГ!$A902)</f>
        <v>0</v>
      </c>
    </row>
    <row r="902" spans="1:22" x14ac:dyDescent="0.25">
      <c r="A902" s="116" t="str">
        <f t="shared" si="15"/>
        <v/>
      </c>
      <c r="K902" s="130">
        <f>SUMIFS(ТГ_ИД!$E:$E,ТГ_ИД!$B:$B,ТГ!$G$3,ТГ_ИД!$D:$D,ТГ!$A903)</f>
        <v>0</v>
      </c>
      <c r="L902" s="130">
        <f>SUMIFS(ТГ_ИД!$E:$E,ТГ_ИД!$B:$B,ТГ!$G$4,ТГ_ИД!$D:$D,ТГ!$A903)</f>
        <v>0</v>
      </c>
      <c r="M902" s="130">
        <f>SUMIFS(ТГ_ИД!$E:$E,ТГ_ИД!$B:$B,ТГ!$G$5,ТГ_ИД!$D:$D,ТГ!$A903)</f>
        <v>0</v>
      </c>
      <c r="N902" s="130">
        <f>SUMIFS(ТГ_ИД!$E:$E,ТГ_ИД!$B:$B,ТГ!$G$6,ТГ_ИД!$D:$D,ТГ!$A903)</f>
        <v>0</v>
      </c>
      <c r="O902" s="130">
        <f>SUMIFS(ТГ_ИД!$E:$E,ТГ_ИД!$B:$B,ТГ!$G$7,ТГ_ИД!$D:$D,ТГ!$A903)</f>
        <v>0</v>
      </c>
      <c r="P902" s="130">
        <f>SUMIFS(ТГ_ИД!$E:$E,ТГ_ИД!$B:$B,ТГ!$G$8,ТГ_ИД!$D:$D,ТГ!$A903)</f>
        <v>0</v>
      </c>
      <c r="Q902" s="130">
        <f>SUMIFS(ТГ_ИД!$E:$E,ТГ_ИД!$B:$B,ТГ!$G$9,ТГ_ИД!$D:$D,ТГ!$A903)</f>
        <v>0</v>
      </c>
      <c r="R902" s="130">
        <f>SUMIFS(ТГ_ИД!$E:$E,ТГ_ИД!$B:$B,ТГ!$G$10,ТГ_ИД!$D:$D,ТГ!$A903)</f>
        <v>0</v>
      </c>
      <c r="S902" s="130">
        <f>SUMIFS(ТГ_ИД!$E:$E,ТГ_ИД!$B:$B,ТГ!$G$11,ТГ_ИД!$D:$D,ТГ!$A903)</f>
        <v>0</v>
      </c>
      <c r="T902" s="130">
        <f>SUMIFS(ТГ_ИД!$E:$E,ТГ_ИД!$B:$B,ТГ!$G$12,ТГ_ИД!$D:$D,ТГ!$A903)</f>
        <v>0</v>
      </c>
      <c r="U902" s="130">
        <f>SUMIFS(ТГ_ИД!$E:$E,ТГ_ИД!$B:$B,ТГ!$G$13,ТГ_ИД!$D:$D,ТГ!$A903)</f>
        <v>0</v>
      </c>
      <c r="V902" s="130">
        <f>SUMIFS(ТГ_ИД!$E:$E,ТГ_ИД!$B:$B,ТГ!$G$14,ТГ_ИД!$D:$D,ТГ!$A903)</f>
        <v>0</v>
      </c>
    </row>
    <row r="903" spans="1:22" x14ac:dyDescent="0.25">
      <c r="A903" s="116" t="str">
        <f t="shared" si="15"/>
        <v/>
      </c>
      <c r="K903" s="130">
        <f>SUMIFS(ТГ_ИД!$E:$E,ТГ_ИД!$B:$B,ТГ!$G$3,ТГ_ИД!$D:$D,ТГ!$A904)</f>
        <v>0</v>
      </c>
      <c r="L903" s="130">
        <f>SUMIFS(ТГ_ИД!$E:$E,ТГ_ИД!$B:$B,ТГ!$G$4,ТГ_ИД!$D:$D,ТГ!$A904)</f>
        <v>0</v>
      </c>
      <c r="M903" s="130">
        <f>SUMIFS(ТГ_ИД!$E:$E,ТГ_ИД!$B:$B,ТГ!$G$5,ТГ_ИД!$D:$D,ТГ!$A904)</f>
        <v>0</v>
      </c>
      <c r="N903" s="130">
        <f>SUMIFS(ТГ_ИД!$E:$E,ТГ_ИД!$B:$B,ТГ!$G$6,ТГ_ИД!$D:$D,ТГ!$A904)</f>
        <v>0</v>
      </c>
      <c r="O903" s="130">
        <f>SUMIFS(ТГ_ИД!$E:$E,ТГ_ИД!$B:$B,ТГ!$G$7,ТГ_ИД!$D:$D,ТГ!$A904)</f>
        <v>0</v>
      </c>
      <c r="P903" s="130">
        <f>SUMIFS(ТГ_ИД!$E:$E,ТГ_ИД!$B:$B,ТГ!$G$8,ТГ_ИД!$D:$D,ТГ!$A904)</f>
        <v>0</v>
      </c>
      <c r="Q903" s="130">
        <f>SUMIFS(ТГ_ИД!$E:$E,ТГ_ИД!$B:$B,ТГ!$G$9,ТГ_ИД!$D:$D,ТГ!$A904)</f>
        <v>0</v>
      </c>
      <c r="R903" s="130">
        <f>SUMIFS(ТГ_ИД!$E:$E,ТГ_ИД!$B:$B,ТГ!$G$10,ТГ_ИД!$D:$D,ТГ!$A904)</f>
        <v>0</v>
      </c>
      <c r="S903" s="130">
        <f>SUMIFS(ТГ_ИД!$E:$E,ТГ_ИД!$B:$B,ТГ!$G$11,ТГ_ИД!$D:$D,ТГ!$A904)</f>
        <v>0</v>
      </c>
      <c r="T903" s="130">
        <f>SUMIFS(ТГ_ИД!$E:$E,ТГ_ИД!$B:$B,ТГ!$G$12,ТГ_ИД!$D:$D,ТГ!$A904)</f>
        <v>0</v>
      </c>
      <c r="U903" s="130">
        <f>SUMIFS(ТГ_ИД!$E:$E,ТГ_ИД!$B:$B,ТГ!$G$13,ТГ_ИД!$D:$D,ТГ!$A904)</f>
        <v>0</v>
      </c>
      <c r="V903" s="130">
        <f>SUMIFS(ТГ_ИД!$E:$E,ТГ_ИД!$B:$B,ТГ!$G$14,ТГ_ИД!$D:$D,ТГ!$A904)</f>
        <v>0</v>
      </c>
    </row>
    <row r="904" spans="1:22" x14ac:dyDescent="0.25">
      <c r="A904" s="116" t="str">
        <f t="shared" si="15"/>
        <v/>
      </c>
      <c r="K904" s="130">
        <f>SUMIFS(ТГ_ИД!$E:$E,ТГ_ИД!$B:$B,ТГ!$G$3,ТГ_ИД!$D:$D,ТГ!$A905)</f>
        <v>0</v>
      </c>
      <c r="L904" s="130">
        <f>SUMIFS(ТГ_ИД!$E:$E,ТГ_ИД!$B:$B,ТГ!$G$4,ТГ_ИД!$D:$D,ТГ!$A905)</f>
        <v>0</v>
      </c>
      <c r="M904" s="130">
        <f>SUMIFS(ТГ_ИД!$E:$E,ТГ_ИД!$B:$B,ТГ!$G$5,ТГ_ИД!$D:$D,ТГ!$A905)</f>
        <v>0</v>
      </c>
      <c r="N904" s="130">
        <f>SUMIFS(ТГ_ИД!$E:$E,ТГ_ИД!$B:$B,ТГ!$G$6,ТГ_ИД!$D:$D,ТГ!$A905)</f>
        <v>0</v>
      </c>
      <c r="O904" s="130">
        <f>SUMIFS(ТГ_ИД!$E:$E,ТГ_ИД!$B:$B,ТГ!$G$7,ТГ_ИД!$D:$D,ТГ!$A905)</f>
        <v>0</v>
      </c>
      <c r="P904" s="130">
        <f>SUMIFS(ТГ_ИД!$E:$E,ТГ_ИД!$B:$B,ТГ!$G$8,ТГ_ИД!$D:$D,ТГ!$A905)</f>
        <v>0</v>
      </c>
      <c r="Q904" s="130">
        <f>SUMIFS(ТГ_ИД!$E:$E,ТГ_ИД!$B:$B,ТГ!$G$9,ТГ_ИД!$D:$D,ТГ!$A905)</f>
        <v>0</v>
      </c>
      <c r="R904" s="130">
        <f>SUMIFS(ТГ_ИД!$E:$E,ТГ_ИД!$B:$B,ТГ!$G$10,ТГ_ИД!$D:$D,ТГ!$A905)</f>
        <v>0</v>
      </c>
      <c r="S904" s="130">
        <f>SUMIFS(ТГ_ИД!$E:$E,ТГ_ИД!$B:$B,ТГ!$G$11,ТГ_ИД!$D:$D,ТГ!$A905)</f>
        <v>0</v>
      </c>
      <c r="T904" s="130">
        <f>SUMIFS(ТГ_ИД!$E:$E,ТГ_ИД!$B:$B,ТГ!$G$12,ТГ_ИД!$D:$D,ТГ!$A905)</f>
        <v>0</v>
      </c>
      <c r="U904" s="130">
        <f>SUMIFS(ТГ_ИД!$E:$E,ТГ_ИД!$B:$B,ТГ!$G$13,ТГ_ИД!$D:$D,ТГ!$A905)</f>
        <v>0</v>
      </c>
      <c r="V904" s="130">
        <f>SUMIFS(ТГ_ИД!$E:$E,ТГ_ИД!$B:$B,ТГ!$G$14,ТГ_ИД!$D:$D,ТГ!$A905)</f>
        <v>0</v>
      </c>
    </row>
    <row r="905" spans="1:22" x14ac:dyDescent="0.25">
      <c r="A905" s="116" t="str">
        <f t="shared" si="15"/>
        <v/>
      </c>
      <c r="K905" s="130">
        <f>SUMIFS(ТГ_ИД!$E:$E,ТГ_ИД!$B:$B,ТГ!$G$3,ТГ_ИД!$D:$D,ТГ!$A906)</f>
        <v>0</v>
      </c>
      <c r="L905" s="130">
        <f>SUMIFS(ТГ_ИД!$E:$E,ТГ_ИД!$B:$B,ТГ!$G$4,ТГ_ИД!$D:$D,ТГ!$A906)</f>
        <v>0</v>
      </c>
      <c r="M905" s="130">
        <f>SUMIFS(ТГ_ИД!$E:$E,ТГ_ИД!$B:$B,ТГ!$G$5,ТГ_ИД!$D:$D,ТГ!$A906)</f>
        <v>0</v>
      </c>
      <c r="N905" s="130">
        <f>SUMIFS(ТГ_ИД!$E:$E,ТГ_ИД!$B:$B,ТГ!$G$6,ТГ_ИД!$D:$D,ТГ!$A906)</f>
        <v>0</v>
      </c>
      <c r="O905" s="130">
        <f>SUMIFS(ТГ_ИД!$E:$E,ТГ_ИД!$B:$B,ТГ!$G$7,ТГ_ИД!$D:$D,ТГ!$A906)</f>
        <v>0</v>
      </c>
      <c r="P905" s="130">
        <f>SUMIFS(ТГ_ИД!$E:$E,ТГ_ИД!$B:$B,ТГ!$G$8,ТГ_ИД!$D:$D,ТГ!$A906)</f>
        <v>0</v>
      </c>
      <c r="Q905" s="130">
        <f>SUMIFS(ТГ_ИД!$E:$E,ТГ_ИД!$B:$B,ТГ!$G$9,ТГ_ИД!$D:$D,ТГ!$A906)</f>
        <v>0</v>
      </c>
      <c r="R905" s="130">
        <f>SUMIFS(ТГ_ИД!$E:$E,ТГ_ИД!$B:$B,ТГ!$G$10,ТГ_ИД!$D:$D,ТГ!$A906)</f>
        <v>0</v>
      </c>
      <c r="S905" s="130">
        <f>SUMIFS(ТГ_ИД!$E:$E,ТГ_ИД!$B:$B,ТГ!$G$11,ТГ_ИД!$D:$D,ТГ!$A906)</f>
        <v>0</v>
      </c>
      <c r="T905" s="130">
        <f>SUMIFS(ТГ_ИД!$E:$E,ТГ_ИД!$B:$B,ТГ!$G$12,ТГ_ИД!$D:$D,ТГ!$A906)</f>
        <v>0</v>
      </c>
      <c r="U905" s="130">
        <f>SUMIFS(ТГ_ИД!$E:$E,ТГ_ИД!$B:$B,ТГ!$G$13,ТГ_ИД!$D:$D,ТГ!$A906)</f>
        <v>0</v>
      </c>
      <c r="V905" s="130">
        <f>SUMIFS(ТГ_ИД!$E:$E,ТГ_ИД!$B:$B,ТГ!$G$14,ТГ_ИД!$D:$D,ТГ!$A906)</f>
        <v>0</v>
      </c>
    </row>
    <row r="906" spans="1:22" x14ac:dyDescent="0.25">
      <c r="A906" s="116" t="str">
        <f t="shared" si="15"/>
        <v/>
      </c>
      <c r="K906" s="130">
        <f>SUMIFS(ТГ_ИД!$E:$E,ТГ_ИД!$B:$B,ТГ!$G$3,ТГ_ИД!$D:$D,ТГ!$A907)</f>
        <v>0</v>
      </c>
      <c r="L906" s="130">
        <f>SUMIFS(ТГ_ИД!$E:$E,ТГ_ИД!$B:$B,ТГ!$G$4,ТГ_ИД!$D:$D,ТГ!$A907)</f>
        <v>0</v>
      </c>
      <c r="M906" s="130">
        <f>SUMIFS(ТГ_ИД!$E:$E,ТГ_ИД!$B:$B,ТГ!$G$5,ТГ_ИД!$D:$D,ТГ!$A907)</f>
        <v>0</v>
      </c>
      <c r="N906" s="130">
        <f>SUMIFS(ТГ_ИД!$E:$E,ТГ_ИД!$B:$B,ТГ!$G$6,ТГ_ИД!$D:$D,ТГ!$A907)</f>
        <v>0</v>
      </c>
      <c r="O906" s="130">
        <f>SUMIFS(ТГ_ИД!$E:$E,ТГ_ИД!$B:$B,ТГ!$G$7,ТГ_ИД!$D:$D,ТГ!$A907)</f>
        <v>0</v>
      </c>
      <c r="P906" s="130">
        <f>SUMIFS(ТГ_ИД!$E:$E,ТГ_ИД!$B:$B,ТГ!$G$8,ТГ_ИД!$D:$D,ТГ!$A907)</f>
        <v>0</v>
      </c>
      <c r="Q906" s="130">
        <f>SUMIFS(ТГ_ИД!$E:$E,ТГ_ИД!$B:$B,ТГ!$G$9,ТГ_ИД!$D:$D,ТГ!$A907)</f>
        <v>0</v>
      </c>
      <c r="R906" s="130">
        <f>SUMIFS(ТГ_ИД!$E:$E,ТГ_ИД!$B:$B,ТГ!$G$10,ТГ_ИД!$D:$D,ТГ!$A907)</f>
        <v>0</v>
      </c>
      <c r="S906" s="130">
        <f>SUMIFS(ТГ_ИД!$E:$E,ТГ_ИД!$B:$B,ТГ!$G$11,ТГ_ИД!$D:$D,ТГ!$A907)</f>
        <v>0</v>
      </c>
      <c r="T906" s="130">
        <f>SUMIFS(ТГ_ИД!$E:$E,ТГ_ИД!$B:$B,ТГ!$G$12,ТГ_ИД!$D:$D,ТГ!$A907)</f>
        <v>0</v>
      </c>
      <c r="U906" s="130">
        <f>SUMIFS(ТГ_ИД!$E:$E,ТГ_ИД!$B:$B,ТГ!$G$13,ТГ_ИД!$D:$D,ТГ!$A907)</f>
        <v>0</v>
      </c>
      <c r="V906" s="130">
        <f>SUMIFS(ТГ_ИД!$E:$E,ТГ_ИД!$B:$B,ТГ!$G$14,ТГ_ИД!$D:$D,ТГ!$A907)</f>
        <v>0</v>
      </c>
    </row>
    <row r="907" spans="1:22" x14ac:dyDescent="0.25">
      <c r="A907" s="116" t="str">
        <f t="shared" si="15"/>
        <v/>
      </c>
      <c r="K907" s="130">
        <f>SUMIFS(ТГ_ИД!$E:$E,ТГ_ИД!$B:$B,ТГ!$G$3,ТГ_ИД!$D:$D,ТГ!$A908)</f>
        <v>0</v>
      </c>
      <c r="L907" s="130">
        <f>SUMIFS(ТГ_ИД!$E:$E,ТГ_ИД!$B:$B,ТГ!$G$4,ТГ_ИД!$D:$D,ТГ!$A908)</f>
        <v>0</v>
      </c>
      <c r="M907" s="130">
        <f>SUMIFS(ТГ_ИД!$E:$E,ТГ_ИД!$B:$B,ТГ!$G$5,ТГ_ИД!$D:$D,ТГ!$A908)</f>
        <v>0</v>
      </c>
      <c r="N907" s="130">
        <f>SUMIFS(ТГ_ИД!$E:$E,ТГ_ИД!$B:$B,ТГ!$G$6,ТГ_ИД!$D:$D,ТГ!$A908)</f>
        <v>0</v>
      </c>
      <c r="O907" s="130">
        <f>SUMIFS(ТГ_ИД!$E:$E,ТГ_ИД!$B:$B,ТГ!$G$7,ТГ_ИД!$D:$D,ТГ!$A908)</f>
        <v>0</v>
      </c>
      <c r="P907" s="130">
        <f>SUMIFS(ТГ_ИД!$E:$E,ТГ_ИД!$B:$B,ТГ!$G$8,ТГ_ИД!$D:$D,ТГ!$A908)</f>
        <v>0</v>
      </c>
      <c r="Q907" s="130">
        <f>SUMIFS(ТГ_ИД!$E:$E,ТГ_ИД!$B:$B,ТГ!$G$9,ТГ_ИД!$D:$D,ТГ!$A908)</f>
        <v>0</v>
      </c>
      <c r="R907" s="130">
        <f>SUMIFS(ТГ_ИД!$E:$E,ТГ_ИД!$B:$B,ТГ!$G$10,ТГ_ИД!$D:$D,ТГ!$A908)</f>
        <v>0</v>
      </c>
      <c r="S907" s="130">
        <f>SUMIFS(ТГ_ИД!$E:$E,ТГ_ИД!$B:$B,ТГ!$G$11,ТГ_ИД!$D:$D,ТГ!$A908)</f>
        <v>0</v>
      </c>
      <c r="T907" s="130">
        <f>SUMIFS(ТГ_ИД!$E:$E,ТГ_ИД!$B:$B,ТГ!$G$12,ТГ_ИД!$D:$D,ТГ!$A908)</f>
        <v>0</v>
      </c>
      <c r="U907" s="130">
        <f>SUMIFS(ТГ_ИД!$E:$E,ТГ_ИД!$B:$B,ТГ!$G$13,ТГ_ИД!$D:$D,ТГ!$A908)</f>
        <v>0</v>
      </c>
      <c r="V907" s="130">
        <f>SUMIFS(ТГ_ИД!$E:$E,ТГ_ИД!$B:$B,ТГ!$G$14,ТГ_ИД!$D:$D,ТГ!$A908)</f>
        <v>0</v>
      </c>
    </row>
    <row r="908" spans="1:22" x14ac:dyDescent="0.25">
      <c r="A908" s="116" t="str">
        <f t="shared" si="15"/>
        <v/>
      </c>
      <c r="K908" s="130">
        <f>SUMIFS(ТГ_ИД!$E:$E,ТГ_ИД!$B:$B,ТГ!$G$3,ТГ_ИД!$D:$D,ТГ!$A909)</f>
        <v>0</v>
      </c>
      <c r="L908" s="130">
        <f>SUMIFS(ТГ_ИД!$E:$E,ТГ_ИД!$B:$B,ТГ!$G$4,ТГ_ИД!$D:$D,ТГ!$A909)</f>
        <v>0</v>
      </c>
      <c r="M908" s="130">
        <f>SUMIFS(ТГ_ИД!$E:$E,ТГ_ИД!$B:$B,ТГ!$G$5,ТГ_ИД!$D:$D,ТГ!$A909)</f>
        <v>0</v>
      </c>
      <c r="N908" s="130">
        <f>SUMIFS(ТГ_ИД!$E:$E,ТГ_ИД!$B:$B,ТГ!$G$6,ТГ_ИД!$D:$D,ТГ!$A909)</f>
        <v>0</v>
      </c>
      <c r="O908" s="130">
        <f>SUMIFS(ТГ_ИД!$E:$E,ТГ_ИД!$B:$B,ТГ!$G$7,ТГ_ИД!$D:$D,ТГ!$A909)</f>
        <v>0</v>
      </c>
      <c r="P908" s="130">
        <f>SUMIFS(ТГ_ИД!$E:$E,ТГ_ИД!$B:$B,ТГ!$G$8,ТГ_ИД!$D:$D,ТГ!$A909)</f>
        <v>0</v>
      </c>
      <c r="Q908" s="130">
        <f>SUMIFS(ТГ_ИД!$E:$E,ТГ_ИД!$B:$B,ТГ!$G$9,ТГ_ИД!$D:$D,ТГ!$A909)</f>
        <v>0</v>
      </c>
      <c r="R908" s="130">
        <f>SUMIFS(ТГ_ИД!$E:$E,ТГ_ИД!$B:$B,ТГ!$G$10,ТГ_ИД!$D:$D,ТГ!$A909)</f>
        <v>0</v>
      </c>
      <c r="S908" s="130">
        <f>SUMIFS(ТГ_ИД!$E:$E,ТГ_ИД!$B:$B,ТГ!$G$11,ТГ_ИД!$D:$D,ТГ!$A909)</f>
        <v>0</v>
      </c>
      <c r="T908" s="130">
        <f>SUMIFS(ТГ_ИД!$E:$E,ТГ_ИД!$B:$B,ТГ!$G$12,ТГ_ИД!$D:$D,ТГ!$A909)</f>
        <v>0</v>
      </c>
      <c r="U908" s="130">
        <f>SUMIFS(ТГ_ИД!$E:$E,ТГ_ИД!$B:$B,ТГ!$G$13,ТГ_ИД!$D:$D,ТГ!$A909)</f>
        <v>0</v>
      </c>
      <c r="V908" s="130">
        <f>SUMIFS(ТГ_ИД!$E:$E,ТГ_ИД!$B:$B,ТГ!$G$14,ТГ_ИД!$D:$D,ТГ!$A909)</f>
        <v>0</v>
      </c>
    </row>
    <row r="909" spans="1:22" x14ac:dyDescent="0.25">
      <c r="A909" s="116" t="str">
        <f t="shared" si="15"/>
        <v/>
      </c>
      <c r="K909" s="130">
        <f>SUMIFS(ТГ_ИД!$E:$E,ТГ_ИД!$B:$B,ТГ!$G$3,ТГ_ИД!$D:$D,ТГ!$A910)</f>
        <v>0</v>
      </c>
      <c r="L909" s="130">
        <f>SUMIFS(ТГ_ИД!$E:$E,ТГ_ИД!$B:$B,ТГ!$G$4,ТГ_ИД!$D:$D,ТГ!$A910)</f>
        <v>0</v>
      </c>
      <c r="M909" s="130">
        <f>SUMIFS(ТГ_ИД!$E:$E,ТГ_ИД!$B:$B,ТГ!$G$5,ТГ_ИД!$D:$D,ТГ!$A910)</f>
        <v>0</v>
      </c>
      <c r="N909" s="130">
        <f>SUMIFS(ТГ_ИД!$E:$E,ТГ_ИД!$B:$B,ТГ!$G$6,ТГ_ИД!$D:$D,ТГ!$A910)</f>
        <v>0</v>
      </c>
      <c r="O909" s="130">
        <f>SUMIFS(ТГ_ИД!$E:$E,ТГ_ИД!$B:$B,ТГ!$G$7,ТГ_ИД!$D:$D,ТГ!$A910)</f>
        <v>0</v>
      </c>
      <c r="P909" s="130">
        <f>SUMIFS(ТГ_ИД!$E:$E,ТГ_ИД!$B:$B,ТГ!$G$8,ТГ_ИД!$D:$D,ТГ!$A910)</f>
        <v>0</v>
      </c>
      <c r="Q909" s="130">
        <f>SUMIFS(ТГ_ИД!$E:$E,ТГ_ИД!$B:$B,ТГ!$G$9,ТГ_ИД!$D:$D,ТГ!$A910)</f>
        <v>0</v>
      </c>
      <c r="R909" s="130">
        <f>SUMIFS(ТГ_ИД!$E:$E,ТГ_ИД!$B:$B,ТГ!$G$10,ТГ_ИД!$D:$D,ТГ!$A910)</f>
        <v>0</v>
      </c>
      <c r="S909" s="130">
        <f>SUMIFS(ТГ_ИД!$E:$E,ТГ_ИД!$B:$B,ТГ!$G$11,ТГ_ИД!$D:$D,ТГ!$A910)</f>
        <v>0</v>
      </c>
      <c r="T909" s="130">
        <f>SUMIFS(ТГ_ИД!$E:$E,ТГ_ИД!$B:$B,ТГ!$G$12,ТГ_ИД!$D:$D,ТГ!$A910)</f>
        <v>0</v>
      </c>
      <c r="U909" s="130">
        <f>SUMIFS(ТГ_ИД!$E:$E,ТГ_ИД!$B:$B,ТГ!$G$13,ТГ_ИД!$D:$D,ТГ!$A910)</f>
        <v>0</v>
      </c>
      <c r="V909" s="130">
        <f>SUMIFS(ТГ_ИД!$E:$E,ТГ_ИД!$B:$B,ТГ!$G$14,ТГ_ИД!$D:$D,ТГ!$A910)</f>
        <v>0</v>
      </c>
    </row>
    <row r="910" spans="1:22" x14ac:dyDescent="0.25">
      <c r="A910" s="116" t="str">
        <f t="shared" si="15"/>
        <v/>
      </c>
      <c r="K910" s="130">
        <f>SUMIFS(ТГ_ИД!$E:$E,ТГ_ИД!$B:$B,ТГ!$G$3,ТГ_ИД!$D:$D,ТГ!$A911)</f>
        <v>0</v>
      </c>
      <c r="L910" s="130">
        <f>SUMIFS(ТГ_ИД!$E:$E,ТГ_ИД!$B:$B,ТГ!$G$4,ТГ_ИД!$D:$D,ТГ!$A911)</f>
        <v>0</v>
      </c>
      <c r="M910" s="130">
        <f>SUMIFS(ТГ_ИД!$E:$E,ТГ_ИД!$B:$B,ТГ!$G$5,ТГ_ИД!$D:$D,ТГ!$A911)</f>
        <v>0</v>
      </c>
      <c r="N910" s="130">
        <f>SUMIFS(ТГ_ИД!$E:$E,ТГ_ИД!$B:$B,ТГ!$G$6,ТГ_ИД!$D:$D,ТГ!$A911)</f>
        <v>0</v>
      </c>
      <c r="O910" s="130">
        <f>SUMIFS(ТГ_ИД!$E:$E,ТГ_ИД!$B:$B,ТГ!$G$7,ТГ_ИД!$D:$D,ТГ!$A911)</f>
        <v>0</v>
      </c>
      <c r="P910" s="130">
        <f>SUMIFS(ТГ_ИД!$E:$E,ТГ_ИД!$B:$B,ТГ!$G$8,ТГ_ИД!$D:$D,ТГ!$A911)</f>
        <v>0</v>
      </c>
      <c r="Q910" s="130">
        <f>SUMIFS(ТГ_ИД!$E:$E,ТГ_ИД!$B:$B,ТГ!$G$9,ТГ_ИД!$D:$D,ТГ!$A911)</f>
        <v>0</v>
      </c>
      <c r="R910" s="130">
        <f>SUMIFS(ТГ_ИД!$E:$E,ТГ_ИД!$B:$B,ТГ!$G$10,ТГ_ИД!$D:$D,ТГ!$A911)</f>
        <v>0</v>
      </c>
      <c r="S910" s="130">
        <f>SUMIFS(ТГ_ИД!$E:$E,ТГ_ИД!$B:$B,ТГ!$G$11,ТГ_ИД!$D:$D,ТГ!$A911)</f>
        <v>0</v>
      </c>
      <c r="T910" s="130">
        <f>SUMIFS(ТГ_ИД!$E:$E,ТГ_ИД!$B:$B,ТГ!$G$12,ТГ_ИД!$D:$D,ТГ!$A911)</f>
        <v>0</v>
      </c>
      <c r="U910" s="130">
        <f>SUMIFS(ТГ_ИД!$E:$E,ТГ_ИД!$B:$B,ТГ!$G$13,ТГ_ИД!$D:$D,ТГ!$A911)</f>
        <v>0</v>
      </c>
      <c r="V910" s="130">
        <f>SUMIFS(ТГ_ИД!$E:$E,ТГ_ИД!$B:$B,ТГ!$G$14,ТГ_ИД!$D:$D,ТГ!$A911)</f>
        <v>0</v>
      </c>
    </row>
    <row r="911" spans="1:22" x14ac:dyDescent="0.25">
      <c r="A911" s="116" t="str">
        <f t="shared" si="15"/>
        <v/>
      </c>
      <c r="K911" s="130">
        <f>SUMIFS(ТГ_ИД!$E:$E,ТГ_ИД!$B:$B,ТГ!$G$3,ТГ_ИД!$D:$D,ТГ!$A912)</f>
        <v>0</v>
      </c>
      <c r="L911" s="130">
        <f>SUMIFS(ТГ_ИД!$E:$E,ТГ_ИД!$B:$B,ТГ!$G$4,ТГ_ИД!$D:$D,ТГ!$A912)</f>
        <v>0</v>
      </c>
      <c r="M911" s="130">
        <f>SUMIFS(ТГ_ИД!$E:$E,ТГ_ИД!$B:$B,ТГ!$G$5,ТГ_ИД!$D:$D,ТГ!$A912)</f>
        <v>0</v>
      </c>
      <c r="N911" s="130">
        <f>SUMIFS(ТГ_ИД!$E:$E,ТГ_ИД!$B:$B,ТГ!$G$6,ТГ_ИД!$D:$D,ТГ!$A912)</f>
        <v>0</v>
      </c>
      <c r="O911" s="130">
        <f>SUMIFS(ТГ_ИД!$E:$E,ТГ_ИД!$B:$B,ТГ!$G$7,ТГ_ИД!$D:$D,ТГ!$A912)</f>
        <v>0</v>
      </c>
      <c r="P911" s="130">
        <f>SUMIFS(ТГ_ИД!$E:$E,ТГ_ИД!$B:$B,ТГ!$G$8,ТГ_ИД!$D:$D,ТГ!$A912)</f>
        <v>0</v>
      </c>
      <c r="Q911" s="130">
        <f>SUMIFS(ТГ_ИД!$E:$E,ТГ_ИД!$B:$B,ТГ!$G$9,ТГ_ИД!$D:$D,ТГ!$A912)</f>
        <v>0</v>
      </c>
      <c r="R911" s="130">
        <f>SUMIFS(ТГ_ИД!$E:$E,ТГ_ИД!$B:$B,ТГ!$G$10,ТГ_ИД!$D:$D,ТГ!$A912)</f>
        <v>0</v>
      </c>
      <c r="S911" s="130">
        <f>SUMIFS(ТГ_ИД!$E:$E,ТГ_ИД!$B:$B,ТГ!$G$11,ТГ_ИД!$D:$D,ТГ!$A912)</f>
        <v>0</v>
      </c>
      <c r="T911" s="130">
        <f>SUMIFS(ТГ_ИД!$E:$E,ТГ_ИД!$B:$B,ТГ!$G$12,ТГ_ИД!$D:$D,ТГ!$A912)</f>
        <v>0</v>
      </c>
      <c r="U911" s="130">
        <f>SUMIFS(ТГ_ИД!$E:$E,ТГ_ИД!$B:$B,ТГ!$G$13,ТГ_ИД!$D:$D,ТГ!$A912)</f>
        <v>0</v>
      </c>
      <c r="V911" s="130">
        <f>SUMIFS(ТГ_ИД!$E:$E,ТГ_ИД!$B:$B,ТГ!$G$14,ТГ_ИД!$D:$D,ТГ!$A912)</f>
        <v>0</v>
      </c>
    </row>
    <row r="912" spans="1:22" x14ac:dyDescent="0.25">
      <c r="A912" s="116" t="str">
        <f t="shared" si="15"/>
        <v/>
      </c>
      <c r="K912" s="130">
        <f>SUMIFS(ТГ_ИД!$E:$E,ТГ_ИД!$B:$B,ТГ!$G$3,ТГ_ИД!$D:$D,ТГ!$A913)</f>
        <v>0</v>
      </c>
      <c r="L912" s="130">
        <f>SUMIFS(ТГ_ИД!$E:$E,ТГ_ИД!$B:$B,ТГ!$G$4,ТГ_ИД!$D:$D,ТГ!$A913)</f>
        <v>0</v>
      </c>
      <c r="M912" s="130">
        <f>SUMIFS(ТГ_ИД!$E:$E,ТГ_ИД!$B:$B,ТГ!$G$5,ТГ_ИД!$D:$D,ТГ!$A913)</f>
        <v>0</v>
      </c>
      <c r="N912" s="130">
        <f>SUMIFS(ТГ_ИД!$E:$E,ТГ_ИД!$B:$B,ТГ!$G$6,ТГ_ИД!$D:$D,ТГ!$A913)</f>
        <v>0</v>
      </c>
      <c r="O912" s="130">
        <f>SUMIFS(ТГ_ИД!$E:$E,ТГ_ИД!$B:$B,ТГ!$G$7,ТГ_ИД!$D:$D,ТГ!$A913)</f>
        <v>0</v>
      </c>
      <c r="P912" s="130">
        <f>SUMIFS(ТГ_ИД!$E:$E,ТГ_ИД!$B:$B,ТГ!$G$8,ТГ_ИД!$D:$D,ТГ!$A913)</f>
        <v>0</v>
      </c>
      <c r="Q912" s="130">
        <f>SUMIFS(ТГ_ИД!$E:$E,ТГ_ИД!$B:$B,ТГ!$G$9,ТГ_ИД!$D:$D,ТГ!$A913)</f>
        <v>0</v>
      </c>
      <c r="R912" s="130">
        <f>SUMIFS(ТГ_ИД!$E:$E,ТГ_ИД!$B:$B,ТГ!$G$10,ТГ_ИД!$D:$D,ТГ!$A913)</f>
        <v>0</v>
      </c>
      <c r="S912" s="130">
        <f>SUMIFS(ТГ_ИД!$E:$E,ТГ_ИД!$B:$B,ТГ!$G$11,ТГ_ИД!$D:$D,ТГ!$A913)</f>
        <v>0</v>
      </c>
      <c r="T912" s="130">
        <f>SUMIFS(ТГ_ИД!$E:$E,ТГ_ИД!$B:$B,ТГ!$G$12,ТГ_ИД!$D:$D,ТГ!$A913)</f>
        <v>0</v>
      </c>
      <c r="U912" s="130">
        <f>SUMIFS(ТГ_ИД!$E:$E,ТГ_ИД!$B:$B,ТГ!$G$13,ТГ_ИД!$D:$D,ТГ!$A913)</f>
        <v>0</v>
      </c>
      <c r="V912" s="130">
        <f>SUMIFS(ТГ_ИД!$E:$E,ТГ_ИД!$B:$B,ТГ!$G$14,ТГ_ИД!$D:$D,ТГ!$A913)</f>
        <v>0</v>
      </c>
    </row>
    <row r="913" spans="1:22" x14ac:dyDescent="0.25">
      <c r="A913" s="116" t="str">
        <f t="shared" si="15"/>
        <v/>
      </c>
      <c r="K913" s="130">
        <f>SUMIFS(ТГ_ИД!$E:$E,ТГ_ИД!$B:$B,ТГ!$G$3,ТГ_ИД!$D:$D,ТГ!$A914)</f>
        <v>0</v>
      </c>
      <c r="L913" s="130">
        <f>SUMIFS(ТГ_ИД!$E:$E,ТГ_ИД!$B:$B,ТГ!$G$4,ТГ_ИД!$D:$D,ТГ!$A914)</f>
        <v>0</v>
      </c>
      <c r="M913" s="130">
        <f>SUMIFS(ТГ_ИД!$E:$E,ТГ_ИД!$B:$B,ТГ!$G$5,ТГ_ИД!$D:$D,ТГ!$A914)</f>
        <v>0</v>
      </c>
      <c r="N913" s="130">
        <f>SUMIFS(ТГ_ИД!$E:$E,ТГ_ИД!$B:$B,ТГ!$G$6,ТГ_ИД!$D:$D,ТГ!$A914)</f>
        <v>0</v>
      </c>
      <c r="O913" s="130">
        <f>SUMIFS(ТГ_ИД!$E:$E,ТГ_ИД!$B:$B,ТГ!$G$7,ТГ_ИД!$D:$D,ТГ!$A914)</f>
        <v>0</v>
      </c>
      <c r="P913" s="130">
        <f>SUMIFS(ТГ_ИД!$E:$E,ТГ_ИД!$B:$B,ТГ!$G$8,ТГ_ИД!$D:$D,ТГ!$A914)</f>
        <v>0</v>
      </c>
      <c r="Q913" s="130">
        <f>SUMIFS(ТГ_ИД!$E:$E,ТГ_ИД!$B:$B,ТГ!$G$9,ТГ_ИД!$D:$D,ТГ!$A914)</f>
        <v>0</v>
      </c>
      <c r="R913" s="130">
        <f>SUMIFS(ТГ_ИД!$E:$E,ТГ_ИД!$B:$B,ТГ!$G$10,ТГ_ИД!$D:$D,ТГ!$A914)</f>
        <v>0</v>
      </c>
      <c r="S913" s="130">
        <f>SUMIFS(ТГ_ИД!$E:$E,ТГ_ИД!$B:$B,ТГ!$G$11,ТГ_ИД!$D:$D,ТГ!$A914)</f>
        <v>0</v>
      </c>
      <c r="T913" s="130">
        <f>SUMIFS(ТГ_ИД!$E:$E,ТГ_ИД!$B:$B,ТГ!$G$12,ТГ_ИД!$D:$D,ТГ!$A914)</f>
        <v>0</v>
      </c>
      <c r="U913" s="130">
        <f>SUMIFS(ТГ_ИД!$E:$E,ТГ_ИД!$B:$B,ТГ!$G$13,ТГ_ИД!$D:$D,ТГ!$A914)</f>
        <v>0</v>
      </c>
      <c r="V913" s="130">
        <f>SUMIFS(ТГ_ИД!$E:$E,ТГ_ИД!$B:$B,ТГ!$G$14,ТГ_ИД!$D:$D,ТГ!$A914)</f>
        <v>0</v>
      </c>
    </row>
    <row r="914" spans="1:22" x14ac:dyDescent="0.25">
      <c r="A914" s="116" t="str">
        <f t="shared" si="15"/>
        <v/>
      </c>
      <c r="K914" s="130">
        <f>SUMIFS(ТГ_ИД!$E:$E,ТГ_ИД!$B:$B,ТГ!$G$3,ТГ_ИД!$D:$D,ТГ!$A915)</f>
        <v>0</v>
      </c>
      <c r="L914" s="130">
        <f>SUMIFS(ТГ_ИД!$E:$E,ТГ_ИД!$B:$B,ТГ!$G$4,ТГ_ИД!$D:$D,ТГ!$A915)</f>
        <v>0</v>
      </c>
      <c r="M914" s="130">
        <f>SUMIFS(ТГ_ИД!$E:$E,ТГ_ИД!$B:$B,ТГ!$G$5,ТГ_ИД!$D:$D,ТГ!$A915)</f>
        <v>0</v>
      </c>
      <c r="N914" s="130">
        <f>SUMIFS(ТГ_ИД!$E:$E,ТГ_ИД!$B:$B,ТГ!$G$6,ТГ_ИД!$D:$D,ТГ!$A915)</f>
        <v>0</v>
      </c>
      <c r="O914" s="130">
        <f>SUMIFS(ТГ_ИД!$E:$E,ТГ_ИД!$B:$B,ТГ!$G$7,ТГ_ИД!$D:$D,ТГ!$A915)</f>
        <v>0</v>
      </c>
      <c r="P914" s="130">
        <f>SUMIFS(ТГ_ИД!$E:$E,ТГ_ИД!$B:$B,ТГ!$G$8,ТГ_ИД!$D:$D,ТГ!$A915)</f>
        <v>0</v>
      </c>
      <c r="Q914" s="130">
        <f>SUMIFS(ТГ_ИД!$E:$E,ТГ_ИД!$B:$B,ТГ!$G$9,ТГ_ИД!$D:$D,ТГ!$A915)</f>
        <v>0</v>
      </c>
      <c r="R914" s="130">
        <f>SUMIFS(ТГ_ИД!$E:$E,ТГ_ИД!$B:$B,ТГ!$G$10,ТГ_ИД!$D:$D,ТГ!$A915)</f>
        <v>0</v>
      </c>
      <c r="S914" s="130">
        <f>SUMIFS(ТГ_ИД!$E:$E,ТГ_ИД!$B:$B,ТГ!$G$11,ТГ_ИД!$D:$D,ТГ!$A915)</f>
        <v>0</v>
      </c>
      <c r="T914" s="130">
        <f>SUMIFS(ТГ_ИД!$E:$E,ТГ_ИД!$B:$B,ТГ!$G$12,ТГ_ИД!$D:$D,ТГ!$A915)</f>
        <v>0</v>
      </c>
      <c r="U914" s="130">
        <f>SUMIFS(ТГ_ИД!$E:$E,ТГ_ИД!$B:$B,ТГ!$G$13,ТГ_ИД!$D:$D,ТГ!$A915)</f>
        <v>0</v>
      </c>
      <c r="V914" s="130">
        <f>SUMIFS(ТГ_ИД!$E:$E,ТГ_ИД!$B:$B,ТГ!$G$14,ТГ_ИД!$D:$D,ТГ!$A915)</f>
        <v>0</v>
      </c>
    </row>
    <row r="915" spans="1:22" x14ac:dyDescent="0.25">
      <c r="A915" s="116" t="str">
        <f t="shared" si="15"/>
        <v/>
      </c>
      <c r="K915" s="130">
        <f>SUMIFS(ТГ_ИД!$E:$E,ТГ_ИД!$B:$B,ТГ!$G$3,ТГ_ИД!$D:$D,ТГ!$A916)</f>
        <v>0</v>
      </c>
      <c r="L915" s="130">
        <f>SUMIFS(ТГ_ИД!$E:$E,ТГ_ИД!$B:$B,ТГ!$G$4,ТГ_ИД!$D:$D,ТГ!$A916)</f>
        <v>0</v>
      </c>
      <c r="M915" s="130">
        <f>SUMIFS(ТГ_ИД!$E:$E,ТГ_ИД!$B:$B,ТГ!$G$5,ТГ_ИД!$D:$D,ТГ!$A916)</f>
        <v>0</v>
      </c>
      <c r="N915" s="130">
        <f>SUMIFS(ТГ_ИД!$E:$E,ТГ_ИД!$B:$B,ТГ!$G$6,ТГ_ИД!$D:$D,ТГ!$A916)</f>
        <v>0</v>
      </c>
      <c r="O915" s="130">
        <f>SUMIFS(ТГ_ИД!$E:$E,ТГ_ИД!$B:$B,ТГ!$G$7,ТГ_ИД!$D:$D,ТГ!$A916)</f>
        <v>0</v>
      </c>
      <c r="P915" s="130">
        <f>SUMIFS(ТГ_ИД!$E:$E,ТГ_ИД!$B:$B,ТГ!$G$8,ТГ_ИД!$D:$D,ТГ!$A916)</f>
        <v>0</v>
      </c>
      <c r="Q915" s="130">
        <f>SUMIFS(ТГ_ИД!$E:$E,ТГ_ИД!$B:$B,ТГ!$G$9,ТГ_ИД!$D:$D,ТГ!$A916)</f>
        <v>0</v>
      </c>
      <c r="R915" s="130">
        <f>SUMIFS(ТГ_ИД!$E:$E,ТГ_ИД!$B:$B,ТГ!$G$10,ТГ_ИД!$D:$D,ТГ!$A916)</f>
        <v>0</v>
      </c>
      <c r="S915" s="130">
        <f>SUMIFS(ТГ_ИД!$E:$E,ТГ_ИД!$B:$B,ТГ!$G$11,ТГ_ИД!$D:$D,ТГ!$A916)</f>
        <v>0</v>
      </c>
      <c r="T915" s="130">
        <f>SUMIFS(ТГ_ИД!$E:$E,ТГ_ИД!$B:$B,ТГ!$G$12,ТГ_ИД!$D:$D,ТГ!$A916)</f>
        <v>0</v>
      </c>
      <c r="U915" s="130">
        <f>SUMIFS(ТГ_ИД!$E:$E,ТГ_ИД!$B:$B,ТГ!$G$13,ТГ_ИД!$D:$D,ТГ!$A916)</f>
        <v>0</v>
      </c>
      <c r="V915" s="130">
        <f>SUMIFS(ТГ_ИД!$E:$E,ТГ_ИД!$B:$B,ТГ!$G$14,ТГ_ИД!$D:$D,ТГ!$A916)</f>
        <v>0</v>
      </c>
    </row>
    <row r="916" spans="1:22" x14ac:dyDescent="0.25">
      <c r="A916" s="116" t="str">
        <f t="shared" si="15"/>
        <v/>
      </c>
      <c r="K916" s="130">
        <f>SUMIFS(ТГ_ИД!$E:$E,ТГ_ИД!$B:$B,ТГ!$G$3,ТГ_ИД!$D:$D,ТГ!$A917)</f>
        <v>0</v>
      </c>
      <c r="L916" s="130">
        <f>SUMIFS(ТГ_ИД!$E:$E,ТГ_ИД!$B:$B,ТГ!$G$4,ТГ_ИД!$D:$D,ТГ!$A917)</f>
        <v>0</v>
      </c>
      <c r="M916" s="130">
        <f>SUMIFS(ТГ_ИД!$E:$E,ТГ_ИД!$B:$B,ТГ!$G$5,ТГ_ИД!$D:$D,ТГ!$A917)</f>
        <v>0</v>
      </c>
      <c r="N916" s="130">
        <f>SUMIFS(ТГ_ИД!$E:$E,ТГ_ИД!$B:$B,ТГ!$G$6,ТГ_ИД!$D:$D,ТГ!$A917)</f>
        <v>0</v>
      </c>
      <c r="O916" s="130">
        <f>SUMIFS(ТГ_ИД!$E:$E,ТГ_ИД!$B:$B,ТГ!$G$7,ТГ_ИД!$D:$D,ТГ!$A917)</f>
        <v>0</v>
      </c>
      <c r="P916" s="130">
        <f>SUMIFS(ТГ_ИД!$E:$E,ТГ_ИД!$B:$B,ТГ!$G$8,ТГ_ИД!$D:$D,ТГ!$A917)</f>
        <v>0</v>
      </c>
      <c r="Q916" s="130">
        <f>SUMIFS(ТГ_ИД!$E:$E,ТГ_ИД!$B:$B,ТГ!$G$9,ТГ_ИД!$D:$D,ТГ!$A917)</f>
        <v>0</v>
      </c>
      <c r="R916" s="130">
        <f>SUMIFS(ТГ_ИД!$E:$E,ТГ_ИД!$B:$B,ТГ!$G$10,ТГ_ИД!$D:$D,ТГ!$A917)</f>
        <v>0</v>
      </c>
      <c r="S916" s="130">
        <f>SUMIFS(ТГ_ИД!$E:$E,ТГ_ИД!$B:$B,ТГ!$G$11,ТГ_ИД!$D:$D,ТГ!$A917)</f>
        <v>0</v>
      </c>
      <c r="T916" s="130">
        <f>SUMIFS(ТГ_ИД!$E:$E,ТГ_ИД!$B:$B,ТГ!$G$12,ТГ_ИД!$D:$D,ТГ!$A917)</f>
        <v>0</v>
      </c>
      <c r="U916" s="130">
        <f>SUMIFS(ТГ_ИД!$E:$E,ТГ_ИД!$B:$B,ТГ!$G$13,ТГ_ИД!$D:$D,ТГ!$A917)</f>
        <v>0</v>
      </c>
      <c r="V916" s="130">
        <f>SUMIFS(ТГ_ИД!$E:$E,ТГ_ИД!$B:$B,ТГ!$G$14,ТГ_ИД!$D:$D,ТГ!$A917)</f>
        <v>0</v>
      </c>
    </row>
    <row r="917" spans="1:22" x14ac:dyDescent="0.25">
      <c r="A917" s="116" t="str">
        <f t="shared" si="15"/>
        <v/>
      </c>
      <c r="K917" s="130">
        <f>SUMIFS(ТГ_ИД!$E:$E,ТГ_ИД!$B:$B,ТГ!$G$3,ТГ_ИД!$D:$D,ТГ!$A918)</f>
        <v>0</v>
      </c>
      <c r="L917" s="130">
        <f>SUMIFS(ТГ_ИД!$E:$E,ТГ_ИД!$B:$B,ТГ!$G$4,ТГ_ИД!$D:$D,ТГ!$A918)</f>
        <v>0</v>
      </c>
      <c r="M917" s="130">
        <f>SUMIFS(ТГ_ИД!$E:$E,ТГ_ИД!$B:$B,ТГ!$G$5,ТГ_ИД!$D:$D,ТГ!$A918)</f>
        <v>0</v>
      </c>
      <c r="N917" s="130">
        <f>SUMIFS(ТГ_ИД!$E:$E,ТГ_ИД!$B:$B,ТГ!$G$6,ТГ_ИД!$D:$D,ТГ!$A918)</f>
        <v>0</v>
      </c>
      <c r="O917" s="130">
        <f>SUMIFS(ТГ_ИД!$E:$E,ТГ_ИД!$B:$B,ТГ!$G$7,ТГ_ИД!$D:$D,ТГ!$A918)</f>
        <v>0</v>
      </c>
      <c r="P917" s="130">
        <f>SUMIFS(ТГ_ИД!$E:$E,ТГ_ИД!$B:$B,ТГ!$G$8,ТГ_ИД!$D:$D,ТГ!$A918)</f>
        <v>0</v>
      </c>
      <c r="Q917" s="130">
        <f>SUMIFS(ТГ_ИД!$E:$E,ТГ_ИД!$B:$B,ТГ!$G$9,ТГ_ИД!$D:$D,ТГ!$A918)</f>
        <v>0</v>
      </c>
      <c r="R917" s="130">
        <f>SUMIFS(ТГ_ИД!$E:$E,ТГ_ИД!$B:$B,ТГ!$G$10,ТГ_ИД!$D:$D,ТГ!$A918)</f>
        <v>0</v>
      </c>
      <c r="S917" s="130">
        <f>SUMIFS(ТГ_ИД!$E:$E,ТГ_ИД!$B:$B,ТГ!$G$11,ТГ_ИД!$D:$D,ТГ!$A918)</f>
        <v>0</v>
      </c>
      <c r="T917" s="130">
        <f>SUMIFS(ТГ_ИД!$E:$E,ТГ_ИД!$B:$B,ТГ!$G$12,ТГ_ИД!$D:$D,ТГ!$A918)</f>
        <v>0</v>
      </c>
      <c r="U917" s="130">
        <f>SUMIFS(ТГ_ИД!$E:$E,ТГ_ИД!$B:$B,ТГ!$G$13,ТГ_ИД!$D:$D,ТГ!$A918)</f>
        <v>0</v>
      </c>
      <c r="V917" s="130">
        <f>SUMIFS(ТГ_ИД!$E:$E,ТГ_ИД!$B:$B,ТГ!$G$14,ТГ_ИД!$D:$D,ТГ!$A918)</f>
        <v>0</v>
      </c>
    </row>
    <row r="918" spans="1:22" x14ac:dyDescent="0.25">
      <c r="A918" s="116" t="str">
        <f t="shared" si="15"/>
        <v/>
      </c>
      <c r="K918" s="130">
        <f>SUMIFS(ТГ_ИД!$E:$E,ТГ_ИД!$B:$B,ТГ!$G$3,ТГ_ИД!$D:$D,ТГ!$A919)</f>
        <v>0</v>
      </c>
      <c r="L918" s="130">
        <f>SUMIFS(ТГ_ИД!$E:$E,ТГ_ИД!$B:$B,ТГ!$G$4,ТГ_ИД!$D:$D,ТГ!$A919)</f>
        <v>0</v>
      </c>
      <c r="M918" s="130">
        <f>SUMIFS(ТГ_ИД!$E:$E,ТГ_ИД!$B:$B,ТГ!$G$5,ТГ_ИД!$D:$D,ТГ!$A919)</f>
        <v>0</v>
      </c>
      <c r="N918" s="130">
        <f>SUMIFS(ТГ_ИД!$E:$E,ТГ_ИД!$B:$B,ТГ!$G$6,ТГ_ИД!$D:$D,ТГ!$A919)</f>
        <v>0</v>
      </c>
      <c r="O918" s="130">
        <f>SUMIFS(ТГ_ИД!$E:$E,ТГ_ИД!$B:$B,ТГ!$G$7,ТГ_ИД!$D:$D,ТГ!$A919)</f>
        <v>0</v>
      </c>
      <c r="P918" s="130">
        <f>SUMIFS(ТГ_ИД!$E:$E,ТГ_ИД!$B:$B,ТГ!$G$8,ТГ_ИД!$D:$D,ТГ!$A919)</f>
        <v>0</v>
      </c>
      <c r="Q918" s="130">
        <f>SUMIFS(ТГ_ИД!$E:$E,ТГ_ИД!$B:$B,ТГ!$G$9,ТГ_ИД!$D:$D,ТГ!$A919)</f>
        <v>0</v>
      </c>
      <c r="R918" s="130">
        <f>SUMIFS(ТГ_ИД!$E:$E,ТГ_ИД!$B:$B,ТГ!$G$10,ТГ_ИД!$D:$D,ТГ!$A919)</f>
        <v>0</v>
      </c>
      <c r="S918" s="130">
        <f>SUMIFS(ТГ_ИД!$E:$E,ТГ_ИД!$B:$B,ТГ!$G$11,ТГ_ИД!$D:$D,ТГ!$A919)</f>
        <v>0</v>
      </c>
      <c r="T918" s="130">
        <f>SUMIFS(ТГ_ИД!$E:$E,ТГ_ИД!$B:$B,ТГ!$G$12,ТГ_ИД!$D:$D,ТГ!$A919)</f>
        <v>0</v>
      </c>
      <c r="U918" s="130">
        <f>SUMIFS(ТГ_ИД!$E:$E,ТГ_ИД!$B:$B,ТГ!$G$13,ТГ_ИД!$D:$D,ТГ!$A919)</f>
        <v>0</v>
      </c>
      <c r="V918" s="130">
        <f>SUMIFS(ТГ_ИД!$E:$E,ТГ_ИД!$B:$B,ТГ!$G$14,ТГ_ИД!$D:$D,ТГ!$A919)</f>
        <v>0</v>
      </c>
    </row>
    <row r="919" spans="1:22" x14ac:dyDescent="0.25">
      <c r="A919" s="116" t="str">
        <f t="shared" si="15"/>
        <v/>
      </c>
      <c r="K919" s="130">
        <f>SUMIFS(ТГ_ИД!$E:$E,ТГ_ИД!$B:$B,ТГ!$G$3,ТГ_ИД!$D:$D,ТГ!$A920)</f>
        <v>0</v>
      </c>
      <c r="L919" s="130">
        <f>SUMIFS(ТГ_ИД!$E:$E,ТГ_ИД!$B:$B,ТГ!$G$4,ТГ_ИД!$D:$D,ТГ!$A920)</f>
        <v>0</v>
      </c>
      <c r="M919" s="130">
        <f>SUMIFS(ТГ_ИД!$E:$E,ТГ_ИД!$B:$B,ТГ!$G$5,ТГ_ИД!$D:$D,ТГ!$A920)</f>
        <v>0</v>
      </c>
      <c r="N919" s="130">
        <f>SUMIFS(ТГ_ИД!$E:$E,ТГ_ИД!$B:$B,ТГ!$G$6,ТГ_ИД!$D:$D,ТГ!$A920)</f>
        <v>0</v>
      </c>
      <c r="O919" s="130">
        <f>SUMIFS(ТГ_ИД!$E:$E,ТГ_ИД!$B:$B,ТГ!$G$7,ТГ_ИД!$D:$D,ТГ!$A920)</f>
        <v>0</v>
      </c>
      <c r="P919" s="130">
        <f>SUMIFS(ТГ_ИД!$E:$E,ТГ_ИД!$B:$B,ТГ!$G$8,ТГ_ИД!$D:$D,ТГ!$A920)</f>
        <v>0</v>
      </c>
      <c r="Q919" s="130">
        <f>SUMIFS(ТГ_ИД!$E:$E,ТГ_ИД!$B:$B,ТГ!$G$9,ТГ_ИД!$D:$D,ТГ!$A920)</f>
        <v>0</v>
      </c>
      <c r="R919" s="130">
        <f>SUMIFS(ТГ_ИД!$E:$E,ТГ_ИД!$B:$B,ТГ!$G$10,ТГ_ИД!$D:$D,ТГ!$A920)</f>
        <v>0</v>
      </c>
      <c r="S919" s="130">
        <f>SUMIFS(ТГ_ИД!$E:$E,ТГ_ИД!$B:$B,ТГ!$G$11,ТГ_ИД!$D:$D,ТГ!$A920)</f>
        <v>0</v>
      </c>
      <c r="T919" s="130">
        <f>SUMIFS(ТГ_ИД!$E:$E,ТГ_ИД!$B:$B,ТГ!$G$12,ТГ_ИД!$D:$D,ТГ!$A920)</f>
        <v>0</v>
      </c>
      <c r="U919" s="130">
        <f>SUMIFS(ТГ_ИД!$E:$E,ТГ_ИД!$B:$B,ТГ!$G$13,ТГ_ИД!$D:$D,ТГ!$A920)</f>
        <v>0</v>
      </c>
      <c r="V919" s="130">
        <f>SUMIFS(ТГ_ИД!$E:$E,ТГ_ИД!$B:$B,ТГ!$G$14,ТГ_ИД!$D:$D,ТГ!$A920)</f>
        <v>0</v>
      </c>
    </row>
    <row r="920" spans="1:22" x14ac:dyDescent="0.25">
      <c r="A920" s="116" t="str">
        <f t="shared" si="15"/>
        <v/>
      </c>
      <c r="K920" s="130">
        <f>SUMIFS(ТГ_ИД!$E:$E,ТГ_ИД!$B:$B,ТГ!$G$3,ТГ_ИД!$D:$D,ТГ!$A921)</f>
        <v>0</v>
      </c>
      <c r="L920" s="130">
        <f>SUMIFS(ТГ_ИД!$E:$E,ТГ_ИД!$B:$B,ТГ!$G$4,ТГ_ИД!$D:$D,ТГ!$A921)</f>
        <v>0</v>
      </c>
      <c r="M920" s="130">
        <f>SUMIFS(ТГ_ИД!$E:$E,ТГ_ИД!$B:$B,ТГ!$G$5,ТГ_ИД!$D:$D,ТГ!$A921)</f>
        <v>0</v>
      </c>
      <c r="N920" s="130">
        <f>SUMIFS(ТГ_ИД!$E:$E,ТГ_ИД!$B:$B,ТГ!$G$6,ТГ_ИД!$D:$D,ТГ!$A921)</f>
        <v>0</v>
      </c>
      <c r="O920" s="130">
        <f>SUMIFS(ТГ_ИД!$E:$E,ТГ_ИД!$B:$B,ТГ!$G$7,ТГ_ИД!$D:$D,ТГ!$A921)</f>
        <v>0</v>
      </c>
      <c r="P920" s="130">
        <f>SUMIFS(ТГ_ИД!$E:$E,ТГ_ИД!$B:$B,ТГ!$G$8,ТГ_ИД!$D:$D,ТГ!$A921)</f>
        <v>0</v>
      </c>
      <c r="Q920" s="130">
        <f>SUMIFS(ТГ_ИД!$E:$E,ТГ_ИД!$B:$B,ТГ!$G$9,ТГ_ИД!$D:$D,ТГ!$A921)</f>
        <v>0</v>
      </c>
      <c r="R920" s="130">
        <f>SUMIFS(ТГ_ИД!$E:$E,ТГ_ИД!$B:$B,ТГ!$G$10,ТГ_ИД!$D:$D,ТГ!$A921)</f>
        <v>0</v>
      </c>
      <c r="S920" s="130">
        <f>SUMIFS(ТГ_ИД!$E:$E,ТГ_ИД!$B:$B,ТГ!$G$11,ТГ_ИД!$D:$D,ТГ!$A921)</f>
        <v>0</v>
      </c>
      <c r="T920" s="130">
        <f>SUMIFS(ТГ_ИД!$E:$E,ТГ_ИД!$B:$B,ТГ!$G$12,ТГ_ИД!$D:$D,ТГ!$A921)</f>
        <v>0</v>
      </c>
      <c r="U920" s="130">
        <f>SUMIFS(ТГ_ИД!$E:$E,ТГ_ИД!$B:$B,ТГ!$G$13,ТГ_ИД!$D:$D,ТГ!$A921)</f>
        <v>0</v>
      </c>
      <c r="V920" s="130">
        <f>SUMIFS(ТГ_ИД!$E:$E,ТГ_ИД!$B:$B,ТГ!$G$14,ТГ_ИД!$D:$D,ТГ!$A921)</f>
        <v>0</v>
      </c>
    </row>
    <row r="921" spans="1:22" x14ac:dyDescent="0.25">
      <c r="A921" s="116" t="str">
        <f t="shared" si="15"/>
        <v/>
      </c>
      <c r="K921" s="130">
        <f>SUMIFS(ТГ_ИД!$E:$E,ТГ_ИД!$B:$B,ТГ!$G$3,ТГ_ИД!$D:$D,ТГ!$A922)</f>
        <v>0</v>
      </c>
      <c r="L921" s="130">
        <f>SUMIFS(ТГ_ИД!$E:$E,ТГ_ИД!$B:$B,ТГ!$G$4,ТГ_ИД!$D:$D,ТГ!$A922)</f>
        <v>0</v>
      </c>
      <c r="M921" s="130">
        <f>SUMIFS(ТГ_ИД!$E:$E,ТГ_ИД!$B:$B,ТГ!$G$5,ТГ_ИД!$D:$D,ТГ!$A922)</f>
        <v>0</v>
      </c>
      <c r="N921" s="130">
        <f>SUMIFS(ТГ_ИД!$E:$E,ТГ_ИД!$B:$B,ТГ!$G$6,ТГ_ИД!$D:$D,ТГ!$A922)</f>
        <v>0</v>
      </c>
      <c r="O921" s="130">
        <f>SUMIFS(ТГ_ИД!$E:$E,ТГ_ИД!$B:$B,ТГ!$G$7,ТГ_ИД!$D:$D,ТГ!$A922)</f>
        <v>0</v>
      </c>
      <c r="P921" s="130">
        <f>SUMIFS(ТГ_ИД!$E:$E,ТГ_ИД!$B:$B,ТГ!$G$8,ТГ_ИД!$D:$D,ТГ!$A922)</f>
        <v>0</v>
      </c>
      <c r="Q921" s="130">
        <f>SUMIFS(ТГ_ИД!$E:$E,ТГ_ИД!$B:$B,ТГ!$G$9,ТГ_ИД!$D:$D,ТГ!$A922)</f>
        <v>0</v>
      </c>
      <c r="R921" s="130">
        <f>SUMIFS(ТГ_ИД!$E:$E,ТГ_ИД!$B:$B,ТГ!$G$10,ТГ_ИД!$D:$D,ТГ!$A922)</f>
        <v>0</v>
      </c>
      <c r="S921" s="130">
        <f>SUMIFS(ТГ_ИД!$E:$E,ТГ_ИД!$B:$B,ТГ!$G$11,ТГ_ИД!$D:$D,ТГ!$A922)</f>
        <v>0</v>
      </c>
      <c r="T921" s="130">
        <f>SUMIFS(ТГ_ИД!$E:$E,ТГ_ИД!$B:$B,ТГ!$G$12,ТГ_ИД!$D:$D,ТГ!$A922)</f>
        <v>0</v>
      </c>
      <c r="U921" s="130">
        <f>SUMIFS(ТГ_ИД!$E:$E,ТГ_ИД!$B:$B,ТГ!$G$13,ТГ_ИД!$D:$D,ТГ!$A922)</f>
        <v>0</v>
      </c>
      <c r="V921" s="130">
        <f>SUMIFS(ТГ_ИД!$E:$E,ТГ_ИД!$B:$B,ТГ!$G$14,ТГ_ИД!$D:$D,ТГ!$A922)</f>
        <v>0</v>
      </c>
    </row>
    <row r="922" spans="1:22" x14ac:dyDescent="0.25">
      <c r="A922" s="116" t="str">
        <f t="shared" si="15"/>
        <v/>
      </c>
      <c r="K922" s="130">
        <f>SUMIFS(ТГ_ИД!$E:$E,ТГ_ИД!$B:$B,ТГ!$G$3,ТГ_ИД!$D:$D,ТГ!$A923)</f>
        <v>0</v>
      </c>
      <c r="L922" s="130">
        <f>SUMIFS(ТГ_ИД!$E:$E,ТГ_ИД!$B:$B,ТГ!$G$4,ТГ_ИД!$D:$D,ТГ!$A923)</f>
        <v>0</v>
      </c>
      <c r="M922" s="130">
        <f>SUMIFS(ТГ_ИД!$E:$E,ТГ_ИД!$B:$B,ТГ!$G$5,ТГ_ИД!$D:$D,ТГ!$A923)</f>
        <v>0</v>
      </c>
      <c r="N922" s="130">
        <f>SUMIFS(ТГ_ИД!$E:$E,ТГ_ИД!$B:$B,ТГ!$G$6,ТГ_ИД!$D:$D,ТГ!$A923)</f>
        <v>0</v>
      </c>
      <c r="O922" s="130">
        <f>SUMIFS(ТГ_ИД!$E:$E,ТГ_ИД!$B:$B,ТГ!$G$7,ТГ_ИД!$D:$D,ТГ!$A923)</f>
        <v>0</v>
      </c>
      <c r="P922" s="130">
        <f>SUMIFS(ТГ_ИД!$E:$E,ТГ_ИД!$B:$B,ТГ!$G$8,ТГ_ИД!$D:$D,ТГ!$A923)</f>
        <v>0</v>
      </c>
      <c r="Q922" s="130">
        <f>SUMIFS(ТГ_ИД!$E:$E,ТГ_ИД!$B:$B,ТГ!$G$9,ТГ_ИД!$D:$D,ТГ!$A923)</f>
        <v>0</v>
      </c>
      <c r="R922" s="130">
        <f>SUMIFS(ТГ_ИД!$E:$E,ТГ_ИД!$B:$B,ТГ!$G$10,ТГ_ИД!$D:$D,ТГ!$A923)</f>
        <v>0</v>
      </c>
      <c r="S922" s="130">
        <f>SUMIFS(ТГ_ИД!$E:$E,ТГ_ИД!$B:$B,ТГ!$G$11,ТГ_ИД!$D:$D,ТГ!$A923)</f>
        <v>0</v>
      </c>
      <c r="T922" s="130">
        <f>SUMIFS(ТГ_ИД!$E:$E,ТГ_ИД!$B:$B,ТГ!$G$12,ТГ_ИД!$D:$D,ТГ!$A923)</f>
        <v>0</v>
      </c>
      <c r="U922" s="130">
        <f>SUMIFS(ТГ_ИД!$E:$E,ТГ_ИД!$B:$B,ТГ!$G$13,ТГ_ИД!$D:$D,ТГ!$A923)</f>
        <v>0</v>
      </c>
      <c r="V922" s="130">
        <f>SUMIFS(ТГ_ИД!$E:$E,ТГ_ИД!$B:$B,ТГ!$G$14,ТГ_ИД!$D:$D,ТГ!$A923)</f>
        <v>0</v>
      </c>
    </row>
    <row r="923" spans="1:22" x14ac:dyDescent="0.25">
      <c r="A923" s="116" t="str">
        <f t="shared" si="15"/>
        <v/>
      </c>
      <c r="K923" s="130">
        <f>SUMIFS(ТГ_ИД!$E:$E,ТГ_ИД!$B:$B,ТГ!$G$3,ТГ_ИД!$D:$D,ТГ!$A924)</f>
        <v>0</v>
      </c>
      <c r="L923" s="130">
        <f>SUMIFS(ТГ_ИД!$E:$E,ТГ_ИД!$B:$B,ТГ!$G$4,ТГ_ИД!$D:$D,ТГ!$A924)</f>
        <v>0</v>
      </c>
      <c r="M923" s="130">
        <f>SUMIFS(ТГ_ИД!$E:$E,ТГ_ИД!$B:$B,ТГ!$G$5,ТГ_ИД!$D:$D,ТГ!$A924)</f>
        <v>0</v>
      </c>
      <c r="N923" s="130">
        <f>SUMIFS(ТГ_ИД!$E:$E,ТГ_ИД!$B:$B,ТГ!$G$6,ТГ_ИД!$D:$D,ТГ!$A924)</f>
        <v>0</v>
      </c>
      <c r="O923" s="130">
        <f>SUMIFS(ТГ_ИД!$E:$E,ТГ_ИД!$B:$B,ТГ!$G$7,ТГ_ИД!$D:$D,ТГ!$A924)</f>
        <v>0</v>
      </c>
      <c r="P923" s="130">
        <f>SUMIFS(ТГ_ИД!$E:$E,ТГ_ИД!$B:$B,ТГ!$G$8,ТГ_ИД!$D:$D,ТГ!$A924)</f>
        <v>0</v>
      </c>
      <c r="Q923" s="130">
        <f>SUMIFS(ТГ_ИД!$E:$E,ТГ_ИД!$B:$B,ТГ!$G$9,ТГ_ИД!$D:$D,ТГ!$A924)</f>
        <v>0</v>
      </c>
      <c r="R923" s="130">
        <f>SUMIFS(ТГ_ИД!$E:$E,ТГ_ИД!$B:$B,ТГ!$G$10,ТГ_ИД!$D:$D,ТГ!$A924)</f>
        <v>0</v>
      </c>
      <c r="S923" s="130">
        <f>SUMIFS(ТГ_ИД!$E:$E,ТГ_ИД!$B:$B,ТГ!$G$11,ТГ_ИД!$D:$D,ТГ!$A924)</f>
        <v>0</v>
      </c>
      <c r="T923" s="130">
        <f>SUMIFS(ТГ_ИД!$E:$E,ТГ_ИД!$B:$B,ТГ!$G$12,ТГ_ИД!$D:$D,ТГ!$A924)</f>
        <v>0</v>
      </c>
      <c r="U923" s="130">
        <f>SUMIFS(ТГ_ИД!$E:$E,ТГ_ИД!$B:$B,ТГ!$G$13,ТГ_ИД!$D:$D,ТГ!$A924)</f>
        <v>0</v>
      </c>
      <c r="V923" s="130">
        <f>SUMIFS(ТГ_ИД!$E:$E,ТГ_ИД!$B:$B,ТГ!$G$14,ТГ_ИД!$D:$D,ТГ!$A924)</f>
        <v>0</v>
      </c>
    </row>
    <row r="924" spans="1:22" x14ac:dyDescent="0.25">
      <c r="A924" s="116" t="str">
        <f t="shared" si="15"/>
        <v/>
      </c>
      <c r="K924" s="130">
        <f>SUMIFS(ТГ_ИД!$E:$E,ТГ_ИД!$B:$B,ТГ!$G$3,ТГ_ИД!$D:$D,ТГ!$A925)</f>
        <v>0</v>
      </c>
      <c r="L924" s="130">
        <f>SUMIFS(ТГ_ИД!$E:$E,ТГ_ИД!$B:$B,ТГ!$G$4,ТГ_ИД!$D:$D,ТГ!$A925)</f>
        <v>0</v>
      </c>
      <c r="M924" s="130">
        <f>SUMIFS(ТГ_ИД!$E:$E,ТГ_ИД!$B:$B,ТГ!$G$5,ТГ_ИД!$D:$D,ТГ!$A925)</f>
        <v>0</v>
      </c>
      <c r="N924" s="130">
        <f>SUMIFS(ТГ_ИД!$E:$E,ТГ_ИД!$B:$B,ТГ!$G$6,ТГ_ИД!$D:$D,ТГ!$A925)</f>
        <v>0</v>
      </c>
      <c r="O924" s="130">
        <f>SUMIFS(ТГ_ИД!$E:$E,ТГ_ИД!$B:$B,ТГ!$G$7,ТГ_ИД!$D:$D,ТГ!$A925)</f>
        <v>0</v>
      </c>
      <c r="P924" s="130">
        <f>SUMIFS(ТГ_ИД!$E:$E,ТГ_ИД!$B:$B,ТГ!$G$8,ТГ_ИД!$D:$D,ТГ!$A925)</f>
        <v>0</v>
      </c>
      <c r="Q924" s="130">
        <f>SUMIFS(ТГ_ИД!$E:$E,ТГ_ИД!$B:$B,ТГ!$G$9,ТГ_ИД!$D:$D,ТГ!$A925)</f>
        <v>0</v>
      </c>
      <c r="R924" s="130">
        <f>SUMIFS(ТГ_ИД!$E:$E,ТГ_ИД!$B:$B,ТГ!$G$10,ТГ_ИД!$D:$D,ТГ!$A925)</f>
        <v>0</v>
      </c>
      <c r="S924" s="130">
        <f>SUMIFS(ТГ_ИД!$E:$E,ТГ_ИД!$B:$B,ТГ!$G$11,ТГ_ИД!$D:$D,ТГ!$A925)</f>
        <v>0</v>
      </c>
      <c r="T924" s="130">
        <f>SUMIFS(ТГ_ИД!$E:$E,ТГ_ИД!$B:$B,ТГ!$G$12,ТГ_ИД!$D:$D,ТГ!$A925)</f>
        <v>0</v>
      </c>
      <c r="U924" s="130">
        <f>SUMIFS(ТГ_ИД!$E:$E,ТГ_ИД!$B:$B,ТГ!$G$13,ТГ_ИД!$D:$D,ТГ!$A925)</f>
        <v>0</v>
      </c>
      <c r="V924" s="130">
        <f>SUMIFS(ТГ_ИД!$E:$E,ТГ_ИД!$B:$B,ТГ!$G$14,ТГ_ИД!$D:$D,ТГ!$A925)</f>
        <v>0</v>
      </c>
    </row>
    <row r="925" spans="1:22" x14ac:dyDescent="0.25">
      <c r="A925" s="116" t="str">
        <f t="shared" si="15"/>
        <v/>
      </c>
      <c r="K925" s="130">
        <f>SUMIFS(ТГ_ИД!$E:$E,ТГ_ИД!$B:$B,ТГ!$G$3,ТГ_ИД!$D:$D,ТГ!$A926)</f>
        <v>0</v>
      </c>
      <c r="L925" s="130">
        <f>SUMIFS(ТГ_ИД!$E:$E,ТГ_ИД!$B:$B,ТГ!$G$4,ТГ_ИД!$D:$D,ТГ!$A926)</f>
        <v>0</v>
      </c>
      <c r="M925" s="130">
        <f>SUMIFS(ТГ_ИД!$E:$E,ТГ_ИД!$B:$B,ТГ!$G$5,ТГ_ИД!$D:$D,ТГ!$A926)</f>
        <v>0</v>
      </c>
      <c r="N925" s="130">
        <f>SUMIFS(ТГ_ИД!$E:$E,ТГ_ИД!$B:$B,ТГ!$G$6,ТГ_ИД!$D:$D,ТГ!$A926)</f>
        <v>0</v>
      </c>
      <c r="O925" s="130">
        <f>SUMIFS(ТГ_ИД!$E:$E,ТГ_ИД!$B:$B,ТГ!$G$7,ТГ_ИД!$D:$D,ТГ!$A926)</f>
        <v>0</v>
      </c>
      <c r="P925" s="130">
        <f>SUMIFS(ТГ_ИД!$E:$E,ТГ_ИД!$B:$B,ТГ!$G$8,ТГ_ИД!$D:$D,ТГ!$A926)</f>
        <v>0</v>
      </c>
      <c r="Q925" s="130">
        <f>SUMIFS(ТГ_ИД!$E:$E,ТГ_ИД!$B:$B,ТГ!$G$9,ТГ_ИД!$D:$D,ТГ!$A926)</f>
        <v>0</v>
      </c>
      <c r="R925" s="130">
        <f>SUMIFS(ТГ_ИД!$E:$E,ТГ_ИД!$B:$B,ТГ!$G$10,ТГ_ИД!$D:$D,ТГ!$A926)</f>
        <v>0</v>
      </c>
      <c r="S925" s="130">
        <f>SUMIFS(ТГ_ИД!$E:$E,ТГ_ИД!$B:$B,ТГ!$G$11,ТГ_ИД!$D:$D,ТГ!$A926)</f>
        <v>0</v>
      </c>
      <c r="T925" s="130">
        <f>SUMIFS(ТГ_ИД!$E:$E,ТГ_ИД!$B:$B,ТГ!$G$12,ТГ_ИД!$D:$D,ТГ!$A926)</f>
        <v>0</v>
      </c>
      <c r="U925" s="130">
        <f>SUMIFS(ТГ_ИД!$E:$E,ТГ_ИД!$B:$B,ТГ!$G$13,ТГ_ИД!$D:$D,ТГ!$A926)</f>
        <v>0</v>
      </c>
      <c r="V925" s="130">
        <f>SUMIFS(ТГ_ИД!$E:$E,ТГ_ИД!$B:$B,ТГ!$G$14,ТГ_ИД!$D:$D,ТГ!$A926)</f>
        <v>0</v>
      </c>
    </row>
    <row r="926" spans="1:22" x14ac:dyDescent="0.25">
      <c r="A926" s="116" t="str">
        <f t="shared" si="15"/>
        <v/>
      </c>
      <c r="K926" s="130">
        <f>SUMIFS(ТГ_ИД!$E:$E,ТГ_ИД!$B:$B,ТГ!$G$3,ТГ_ИД!$D:$D,ТГ!$A927)</f>
        <v>0</v>
      </c>
      <c r="L926" s="130">
        <f>SUMIFS(ТГ_ИД!$E:$E,ТГ_ИД!$B:$B,ТГ!$G$4,ТГ_ИД!$D:$D,ТГ!$A927)</f>
        <v>0</v>
      </c>
      <c r="M926" s="130">
        <f>SUMIFS(ТГ_ИД!$E:$E,ТГ_ИД!$B:$B,ТГ!$G$5,ТГ_ИД!$D:$D,ТГ!$A927)</f>
        <v>0</v>
      </c>
      <c r="N926" s="130">
        <f>SUMIFS(ТГ_ИД!$E:$E,ТГ_ИД!$B:$B,ТГ!$G$6,ТГ_ИД!$D:$D,ТГ!$A927)</f>
        <v>0</v>
      </c>
      <c r="O926" s="130">
        <f>SUMIFS(ТГ_ИД!$E:$E,ТГ_ИД!$B:$B,ТГ!$G$7,ТГ_ИД!$D:$D,ТГ!$A927)</f>
        <v>0</v>
      </c>
      <c r="P926" s="130">
        <f>SUMIFS(ТГ_ИД!$E:$E,ТГ_ИД!$B:$B,ТГ!$G$8,ТГ_ИД!$D:$D,ТГ!$A927)</f>
        <v>0</v>
      </c>
      <c r="Q926" s="130">
        <f>SUMIFS(ТГ_ИД!$E:$E,ТГ_ИД!$B:$B,ТГ!$G$9,ТГ_ИД!$D:$D,ТГ!$A927)</f>
        <v>0</v>
      </c>
      <c r="R926" s="130">
        <f>SUMIFS(ТГ_ИД!$E:$E,ТГ_ИД!$B:$B,ТГ!$G$10,ТГ_ИД!$D:$D,ТГ!$A927)</f>
        <v>0</v>
      </c>
      <c r="S926" s="130">
        <f>SUMIFS(ТГ_ИД!$E:$E,ТГ_ИД!$B:$B,ТГ!$G$11,ТГ_ИД!$D:$D,ТГ!$A927)</f>
        <v>0</v>
      </c>
      <c r="T926" s="130">
        <f>SUMIFS(ТГ_ИД!$E:$E,ТГ_ИД!$B:$B,ТГ!$G$12,ТГ_ИД!$D:$D,ТГ!$A927)</f>
        <v>0</v>
      </c>
      <c r="U926" s="130">
        <f>SUMIFS(ТГ_ИД!$E:$E,ТГ_ИД!$B:$B,ТГ!$G$13,ТГ_ИД!$D:$D,ТГ!$A927)</f>
        <v>0</v>
      </c>
      <c r="V926" s="130">
        <f>SUMIFS(ТГ_ИД!$E:$E,ТГ_ИД!$B:$B,ТГ!$G$14,ТГ_ИД!$D:$D,ТГ!$A927)</f>
        <v>0</v>
      </c>
    </row>
    <row r="927" spans="1:22" x14ac:dyDescent="0.25">
      <c r="A927" s="116" t="str">
        <f t="shared" si="15"/>
        <v/>
      </c>
      <c r="K927" s="130">
        <f>SUMIFS(ТГ_ИД!$E:$E,ТГ_ИД!$B:$B,ТГ!$G$3,ТГ_ИД!$D:$D,ТГ!$A928)</f>
        <v>0</v>
      </c>
      <c r="L927" s="130">
        <f>SUMIFS(ТГ_ИД!$E:$E,ТГ_ИД!$B:$B,ТГ!$G$4,ТГ_ИД!$D:$D,ТГ!$A928)</f>
        <v>0</v>
      </c>
      <c r="M927" s="130">
        <f>SUMIFS(ТГ_ИД!$E:$E,ТГ_ИД!$B:$B,ТГ!$G$5,ТГ_ИД!$D:$D,ТГ!$A928)</f>
        <v>0</v>
      </c>
      <c r="N927" s="130">
        <f>SUMIFS(ТГ_ИД!$E:$E,ТГ_ИД!$B:$B,ТГ!$G$6,ТГ_ИД!$D:$D,ТГ!$A928)</f>
        <v>0</v>
      </c>
      <c r="O927" s="130">
        <f>SUMIFS(ТГ_ИД!$E:$E,ТГ_ИД!$B:$B,ТГ!$G$7,ТГ_ИД!$D:$D,ТГ!$A928)</f>
        <v>0</v>
      </c>
      <c r="P927" s="130">
        <f>SUMIFS(ТГ_ИД!$E:$E,ТГ_ИД!$B:$B,ТГ!$G$8,ТГ_ИД!$D:$D,ТГ!$A928)</f>
        <v>0</v>
      </c>
      <c r="Q927" s="130">
        <f>SUMIFS(ТГ_ИД!$E:$E,ТГ_ИД!$B:$B,ТГ!$G$9,ТГ_ИД!$D:$D,ТГ!$A928)</f>
        <v>0</v>
      </c>
      <c r="R927" s="130">
        <f>SUMIFS(ТГ_ИД!$E:$E,ТГ_ИД!$B:$B,ТГ!$G$10,ТГ_ИД!$D:$D,ТГ!$A928)</f>
        <v>0</v>
      </c>
      <c r="S927" s="130">
        <f>SUMIFS(ТГ_ИД!$E:$E,ТГ_ИД!$B:$B,ТГ!$G$11,ТГ_ИД!$D:$D,ТГ!$A928)</f>
        <v>0</v>
      </c>
      <c r="T927" s="130">
        <f>SUMIFS(ТГ_ИД!$E:$E,ТГ_ИД!$B:$B,ТГ!$G$12,ТГ_ИД!$D:$D,ТГ!$A928)</f>
        <v>0</v>
      </c>
      <c r="U927" s="130">
        <f>SUMIFS(ТГ_ИД!$E:$E,ТГ_ИД!$B:$B,ТГ!$G$13,ТГ_ИД!$D:$D,ТГ!$A928)</f>
        <v>0</v>
      </c>
      <c r="V927" s="130">
        <f>SUMIFS(ТГ_ИД!$E:$E,ТГ_ИД!$B:$B,ТГ!$G$14,ТГ_ИД!$D:$D,ТГ!$A928)</f>
        <v>0</v>
      </c>
    </row>
    <row r="928" spans="1:22" x14ac:dyDescent="0.25">
      <c r="A928" s="116" t="str">
        <f t="shared" si="15"/>
        <v/>
      </c>
      <c r="K928" s="130">
        <f>SUMIFS(ТГ_ИД!$E:$E,ТГ_ИД!$B:$B,ТГ!$G$3,ТГ_ИД!$D:$D,ТГ!$A929)</f>
        <v>0</v>
      </c>
      <c r="L928" s="130">
        <f>SUMIFS(ТГ_ИД!$E:$E,ТГ_ИД!$B:$B,ТГ!$G$4,ТГ_ИД!$D:$D,ТГ!$A929)</f>
        <v>0</v>
      </c>
      <c r="M928" s="130">
        <f>SUMIFS(ТГ_ИД!$E:$E,ТГ_ИД!$B:$B,ТГ!$G$5,ТГ_ИД!$D:$D,ТГ!$A929)</f>
        <v>0</v>
      </c>
      <c r="N928" s="130">
        <f>SUMIFS(ТГ_ИД!$E:$E,ТГ_ИД!$B:$B,ТГ!$G$6,ТГ_ИД!$D:$D,ТГ!$A929)</f>
        <v>0</v>
      </c>
      <c r="O928" s="130">
        <f>SUMIFS(ТГ_ИД!$E:$E,ТГ_ИД!$B:$B,ТГ!$G$7,ТГ_ИД!$D:$D,ТГ!$A929)</f>
        <v>0</v>
      </c>
      <c r="P928" s="130">
        <f>SUMIFS(ТГ_ИД!$E:$E,ТГ_ИД!$B:$B,ТГ!$G$8,ТГ_ИД!$D:$D,ТГ!$A929)</f>
        <v>0</v>
      </c>
      <c r="Q928" s="130">
        <f>SUMIFS(ТГ_ИД!$E:$E,ТГ_ИД!$B:$B,ТГ!$G$9,ТГ_ИД!$D:$D,ТГ!$A929)</f>
        <v>0</v>
      </c>
      <c r="R928" s="130">
        <f>SUMIFS(ТГ_ИД!$E:$E,ТГ_ИД!$B:$B,ТГ!$G$10,ТГ_ИД!$D:$D,ТГ!$A929)</f>
        <v>0</v>
      </c>
      <c r="S928" s="130">
        <f>SUMIFS(ТГ_ИД!$E:$E,ТГ_ИД!$B:$B,ТГ!$G$11,ТГ_ИД!$D:$D,ТГ!$A929)</f>
        <v>0</v>
      </c>
      <c r="T928" s="130">
        <f>SUMIFS(ТГ_ИД!$E:$E,ТГ_ИД!$B:$B,ТГ!$G$12,ТГ_ИД!$D:$D,ТГ!$A929)</f>
        <v>0</v>
      </c>
      <c r="U928" s="130">
        <f>SUMIFS(ТГ_ИД!$E:$E,ТГ_ИД!$B:$B,ТГ!$G$13,ТГ_ИД!$D:$D,ТГ!$A929)</f>
        <v>0</v>
      </c>
      <c r="V928" s="130">
        <f>SUMIFS(ТГ_ИД!$E:$E,ТГ_ИД!$B:$B,ТГ!$G$14,ТГ_ИД!$D:$D,ТГ!$A929)</f>
        <v>0</v>
      </c>
    </row>
    <row r="929" spans="1:22" x14ac:dyDescent="0.25">
      <c r="A929" s="116" t="str">
        <f t="shared" si="15"/>
        <v/>
      </c>
      <c r="K929" s="130">
        <f>SUMIFS(ТГ_ИД!$E:$E,ТГ_ИД!$B:$B,ТГ!$G$3,ТГ_ИД!$D:$D,ТГ!$A930)</f>
        <v>0</v>
      </c>
      <c r="L929" s="130">
        <f>SUMIFS(ТГ_ИД!$E:$E,ТГ_ИД!$B:$B,ТГ!$G$4,ТГ_ИД!$D:$D,ТГ!$A930)</f>
        <v>0</v>
      </c>
      <c r="M929" s="130">
        <f>SUMIFS(ТГ_ИД!$E:$E,ТГ_ИД!$B:$B,ТГ!$G$5,ТГ_ИД!$D:$D,ТГ!$A930)</f>
        <v>0</v>
      </c>
      <c r="N929" s="130">
        <f>SUMIFS(ТГ_ИД!$E:$E,ТГ_ИД!$B:$B,ТГ!$G$6,ТГ_ИД!$D:$D,ТГ!$A930)</f>
        <v>0</v>
      </c>
      <c r="O929" s="130">
        <f>SUMIFS(ТГ_ИД!$E:$E,ТГ_ИД!$B:$B,ТГ!$G$7,ТГ_ИД!$D:$D,ТГ!$A930)</f>
        <v>0</v>
      </c>
      <c r="P929" s="130">
        <f>SUMIFS(ТГ_ИД!$E:$E,ТГ_ИД!$B:$B,ТГ!$G$8,ТГ_ИД!$D:$D,ТГ!$A930)</f>
        <v>0</v>
      </c>
      <c r="Q929" s="130">
        <f>SUMIFS(ТГ_ИД!$E:$E,ТГ_ИД!$B:$B,ТГ!$G$9,ТГ_ИД!$D:$D,ТГ!$A930)</f>
        <v>0</v>
      </c>
      <c r="R929" s="130">
        <f>SUMIFS(ТГ_ИД!$E:$E,ТГ_ИД!$B:$B,ТГ!$G$10,ТГ_ИД!$D:$D,ТГ!$A930)</f>
        <v>0</v>
      </c>
      <c r="S929" s="130">
        <f>SUMIFS(ТГ_ИД!$E:$E,ТГ_ИД!$B:$B,ТГ!$G$11,ТГ_ИД!$D:$D,ТГ!$A930)</f>
        <v>0</v>
      </c>
      <c r="T929" s="130">
        <f>SUMIFS(ТГ_ИД!$E:$E,ТГ_ИД!$B:$B,ТГ!$G$12,ТГ_ИД!$D:$D,ТГ!$A930)</f>
        <v>0</v>
      </c>
      <c r="U929" s="130">
        <f>SUMIFS(ТГ_ИД!$E:$E,ТГ_ИД!$B:$B,ТГ!$G$13,ТГ_ИД!$D:$D,ТГ!$A930)</f>
        <v>0</v>
      </c>
      <c r="V929" s="130">
        <f>SUMIFS(ТГ_ИД!$E:$E,ТГ_ИД!$B:$B,ТГ!$G$14,ТГ_ИД!$D:$D,ТГ!$A930)</f>
        <v>0</v>
      </c>
    </row>
    <row r="930" spans="1:22" x14ac:dyDescent="0.25">
      <c r="A930" s="116" t="str">
        <f t="shared" si="15"/>
        <v/>
      </c>
      <c r="K930" s="130">
        <f>SUMIFS(ТГ_ИД!$E:$E,ТГ_ИД!$B:$B,ТГ!$G$3,ТГ_ИД!$D:$D,ТГ!$A931)</f>
        <v>0</v>
      </c>
      <c r="L930" s="130">
        <f>SUMIFS(ТГ_ИД!$E:$E,ТГ_ИД!$B:$B,ТГ!$G$4,ТГ_ИД!$D:$D,ТГ!$A931)</f>
        <v>0</v>
      </c>
      <c r="M930" s="130">
        <f>SUMIFS(ТГ_ИД!$E:$E,ТГ_ИД!$B:$B,ТГ!$G$5,ТГ_ИД!$D:$D,ТГ!$A931)</f>
        <v>0</v>
      </c>
      <c r="N930" s="130">
        <f>SUMIFS(ТГ_ИД!$E:$E,ТГ_ИД!$B:$B,ТГ!$G$6,ТГ_ИД!$D:$D,ТГ!$A931)</f>
        <v>0</v>
      </c>
      <c r="O930" s="130">
        <f>SUMIFS(ТГ_ИД!$E:$E,ТГ_ИД!$B:$B,ТГ!$G$7,ТГ_ИД!$D:$D,ТГ!$A931)</f>
        <v>0</v>
      </c>
      <c r="P930" s="130">
        <f>SUMIFS(ТГ_ИД!$E:$E,ТГ_ИД!$B:$B,ТГ!$G$8,ТГ_ИД!$D:$D,ТГ!$A931)</f>
        <v>0</v>
      </c>
      <c r="Q930" s="130">
        <f>SUMIFS(ТГ_ИД!$E:$E,ТГ_ИД!$B:$B,ТГ!$G$9,ТГ_ИД!$D:$D,ТГ!$A931)</f>
        <v>0</v>
      </c>
      <c r="R930" s="130">
        <f>SUMIFS(ТГ_ИД!$E:$E,ТГ_ИД!$B:$B,ТГ!$G$10,ТГ_ИД!$D:$D,ТГ!$A931)</f>
        <v>0</v>
      </c>
      <c r="S930" s="130">
        <f>SUMIFS(ТГ_ИД!$E:$E,ТГ_ИД!$B:$B,ТГ!$G$11,ТГ_ИД!$D:$D,ТГ!$A931)</f>
        <v>0</v>
      </c>
      <c r="T930" s="130">
        <f>SUMIFS(ТГ_ИД!$E:$E,ТГ_ИД!$B:$B,ТГ!$G$12,ТГ_ИД!$D:$D,ТГ!$A931)</f>
        <v>0</v>
      </c>
      <c r="U930" s="130">
        <f>SUMIFS(ТГ_ИД!$E:$E,ТГ_ИД!$B:$B,ТГ!$G$13,ТГ_ИД!$D:$D,ТГ!$A931)</f>
        <v>0</v>
      </c>
      <c r="V930" s="130">
        <f>SUMIFS(ТГ_ИД!$E:$E,ТГ_ИД!$B:$B,ТГ!$G$14,ТГ_ИД!$D:$D,ТГ!$A931)</f>
        <v>0</v>
      </c>
    </row>
    <row r="931" spans="1:22" x14ac:dyDescent="0.25">
      <c r="A931" s="116" t="str">
        <f t="shared" si="15"/>
        <v/>
      </c>
      <c r="K931" s="130">
        <f>SUMIFS(ТГ_ИД!$E:$E,ТГ_ИД!$B:$B,ТГ!$G$3,ТГ_ИД!$D:$D,ТГ!$A932)</f>
        <v>0</v>
      </c>
      <c r="L931" s="130">
        <f>SUMIFS(ТГ_ИД!$E:$E,ТГ_ИД!$B:$B,ТГ!$G$4,ТГ_ИД!$D:$D,ТГ!$A932)</f>
        <v>0</v>
      </c>
      <c r="M931" s="130">
        <f>SUMIFS(ТГ_ИД!$E:$E,ТГ_ИД!$B:$B,ТГ!$G$5,ТГ_ИД!$D:$D,ТГ!$A932)</f>
        <v>0</v>
      </c>
      <c r="N931" s="130">
        <f>SUMIFS(ТГ_ИД!$E:$E,ТГ_ИД!$B:$B,ТГ!$G$6,ТГ_ИД!$D:$D,ТГ!$A932)</f>
        <v>0</v>
      </c>
      <c r="O931" s="130">
        <f>SUMIFS(ТГ_ИД!$E:$E,ТГ_ИД!$B:$B,ТГ!$G$7,ТГ_ИД!$D:$D,ТГ!$A932)</f>
        <v>0</v>
      </c>
      <c r="P931" s="130">
        <f>SUMIFS(ТГ_ИД!$E:$E,ТГ_ИД!$B:$B,ТГ!$G$8,ТГ_ИД!$D:$D,ТГ!$A932)</f>
        <v>0</v>
      </c>
      <c r="Q931" s="130">
        <f>SUMIFS(ТГ_ИД!$E:$E,ТГ_ИД!$B:$B,ТГ!$G$9,ТГ_ИД!$D:$D,ТГ!$A932)</f>
        <v>0</v>
      </c>
      <c r="R931" s="130">
        <f>SUMIFS(ТГ_ИД!$E:$E,ТГ_ИД!$B:$B,ТГ!$G$10,ТГ_ИД!$D:$D,ТГ!$A932)</f>
        <v>0</v>
      </c>
      <c r="S931" s="130">
        <f>SUMIFS(ТГ_ИД!$E:$E,ТГ_ИД!$B:$B,ТГ!$G$11,ТГ_ИД!$D:$D,ТГ!$A932)</f>
        <v>0</v>
      </c>
      <c r="T931" s="130">
        <f>SUMIFS(ТГ_ИД!$E:$E,ТГ_ИД!$B:$B,ТГ!$G$12,ТГ_ИД!$D:$D,ТГ!$A932)</f>
        <v>0</v>
      </c>
      <c r="U931" s="130">
        <f>SUMIFS(ТГ_ИД!$E:$E,ТГ_ИД!$B:$B,ТГ!$G$13,ТГ_ИД!$D:$D,ТГ!$A932)</f>
        <v>0</v>
      </c>
      <c r="V931" s="130">
        <f>SUMIFS(ТГ_ИД!$E:$E,ТГ_ИД!$B:$B,ТГ!$G$14,ТГ_ИД!$D:$D,ТГ!$A932)</f>
        <v>0</v>
      </c>
    </row>
    <row r="932" spans="1:22" x14ac:dyDescent="0.25">
      <c r="A932" s="116" t="str">
        <f t="shared" si="15"/>
        <v/>
      </c>
      <c r="K932" s="130">
        <f>SUMIFS(ТГ_ИД!$E:$E,ТГ_ИД!$B:$B,ТГ!$G$3,ТГ_ИД!$D:$D,ТГ!$A933)</f>
        <v>0</v>
      </c>
      <c r="L932" s="130">
        <f>SUMIFS(ТГ_ИД!$E:$E,ТГ_ИД!$B:$B,ТГ!$G$4,ТГ_ИД!$D:$D,ТГ!$A933)</f>
        <v>0</v>
      </c>
      <c r="M932" s="130">
        <f>SUMIFS(ТГ_ИД!$E:$E,ТГ_ИД!$B:$B,ТГ!$G$5,ТГ_ИД!$D:$D,ТГ!$A933)</f>
        <v>0</v>
      </c>
      <c r="N932" s="130">
        <f>SUMIFS(ТГ_ИД!$E:$E,ТГ_ИД!$B:$B,ТГ!$G$6,ТГ_ИД!$D:$D,ТГ!$A933)</f>
        <v>0</v>
      </c>
      <c r="O932" s="130">
        <f>SUMIFS(ТГ_ИД!$E:$E,ТГ_ИД!$B:$B,ТГ!$G$7,ТГ_ИД!$D:$D,ТГ!$A933)</f>
        <v>0</v>
      </c>
      <c r="P932" s="130">
        <f>SUMIFS(ТГ_ИД!$E:$E,ТГ_ИД!$B:$B,ТГ!$G$8,ТГ_ИД!$D:$D,ТГ!$A933)</f>
        <v>0</v>
      </c>
      <c r="Q932" s="130">
        <f>SUMIFS(ТГ_ИД!$E:$E,ТГ_ИД!$B:$B,ТГ!$G$9,ТГ_ИД!$D:$D,ТГ!$A933)</f>
        <v>0</v>
      </c>
      <c r="R932" s="130">
        <f>SUMIFS(ТГ_ИД!$E:$E,ТГ_ИД!$B:$B,ТГ!$G$10,ТГ_ИД!$D:$D,ТГ!$A933)</f>
        <v>0</v>
      </c>
      <c r="S932" s="130">
        <f>SUMIFS(ТГ_ИД!$E:$E,ТГ_ИД!$B:$B,ТГ!$G$11,ТГ_ИД!$D:$D,ТГ!$A933)</f>
        <v>0</v>
      </c>
      <c r="T932" s="130">
        <f>SUMIFS(ТГ_ИД!$E:$E,ТГ_ИД!$B:$B,ТГ!$G$12,ТГ_ИД!$D:$D,ТГ!$A933)</f>
        <v>0</v>
      </c>
      <c r="U932" s="130">
        <f>SUMIFS(ТГ_ИД!$E:$E,ТГ_ИД!$B:$B,ТГ!$G$13,ТГ_ИД!$D:$D,ТГ!$A933)</f>
        <v>0</v>
      </c>
      <c r="V932" s="130">
        <f>SUMIFS(ТГ_ИД!$E:$E,ТГ_ИД!$B:$B,ТГ!$G$14,ТГ_ИД!$D:$D,ТГ!$A933)</f>
        <v>0</v>
      </c>
    </row>
    <row r="933" spans="1:22" x14ac:dyDescent="0.25">
      <c r="A933" s="116" t="str">
        <f t="shared" si="15"/>
        <v/>
      </c>
      <c r="K933" s="130">
        <f>SUMIFS(ТГ_ИД!$E:$E,ТГ_ИД!$B:$B,ТГ!$G$3,ТГ_ИД!$D:$D,ТГ!$A934)</f>
        <v>0</v>
      </c>
      <c r="L933" s="130">
        <f>SUMIFS(ТГ_ИД!$E:$E,ТГ_ИД!$B:$B,ТГ!$G$4,ТГ_ИД!$D:$D,ТГ!$A934)</f>
        <v>0</v>
      </c>
      <c r="M933" s="130">
        <f>SUMIFS(ТГ_ИД!$E:$E,ТГ_ИД!$B:$B,ТГ!$G$5,ТГ_ИД!$D:$D,ТГ!$A934)</f>
        <v>0</v>
      </c>
      <c r="N933" s="130">
        <f>SUMIFS(ТГ_ИД!$E:$E,ТГ_ИД!$B:$B,ТГ!$G$6,ТГ_ИД!$D:$D,ТГ!$A934)</f>
        <v>0</v>
      </c>
      <c r="O933" s="130">
        <f>SUMIFS(ТГ_ИД!$E:$E,ТГ_ИД!$B:$B,ТГ!$G$7,ТГ_ИД!$D:$D,ТГ!$A934)</f>
        <v>0</v>
      </c>
      <c r="P933" s="130">
        <f>SUMIFS(ТГ_ИД!$E:$E,ТГ_ИД!$B:$B,ТГ!$G$8,ТГ_ИД!$D:$D,ТГ!$A934)</f>
        <v>0</v>
      </c>
      <c r="Q933" s="130">
        <f>SUMIFS(ТГ_ИД!$E:$E,ТГ_ИД!$B:$B,ТГ!$G$9,ТГ_ИД!$D:$D,ТГ!$A934)</f>
        <v>0</v>
      </c>
      <c r="R933" s="130">
        <f>SUMIFS(ТГ_ИД!$E:$E,ТГ_ИД!$B:$B,ТГ!$G$10,ТГ_ИД!$D:$D,ТГ!$A934)</f>
        <v>0</v>
      </c>
      <c r="S933" s="130">
        <f>SUMIFS(ТГ_ИД!$E:$E,ТГ_ИД!$B:$B,ТГ!$G$11,ТГ_ИД!$D:$D,ТГ!$A934)</f>
        <v>0</v>
      </c>
      <c r="T933" s="130">
        <f>SUMIFS(ТГ_ИД!$E:$E,ТГ_ИД!$B:$B,ТГ!$G$12,ТГ_ИД!$D:$D,ТГ!$A934)</f>
        <v>0</v>
      </c>
      <c r="U933" s="130">
        <f>SUMIFS(ТГ_ИД!$E:$E,ТГ_ИД!$B:$B,ТГ!$G$13,ТГ_ИД!$D:$D,ТГ!$A934)</f>
        <v>0</v>
      </c>
      <c r="V933" s="130">
        <f>SUMIFS(ТГ_ИД!$E:$E,ТГ_ИД!$B:$B,ТГ!$G$14,ТГ_ИД!$D:$D,ТГ!$A934)</f>
        <v>0</v>
      </c>
    </row>
    <row r="934" spans="1:22" x14ac:dyDescent="0.25">
      <c r="A934" s="116" t="str">
        <f t="shared" si="15"/>
        <v/>
      </c>
      <c r="K934" s="130">
        <f>SUMIFS(ТГ_ИД!$E:$E,ТГ_ИД!$B:$B,ТГ!$G$3,ТГ_ИД!$D:$D,ТГ!$A935)</f>
        <v>0</v>
      </c>
      <c r="L934" s="130">
        <f>SUMIFS(ТГ_ИД!$E:$E,ТГ_ИД!$B:$B,ТГ!$G$4,ТГ_ИД!$D:$D,ТГ!$A935)</f>
        <v>0</v>
      </c>
      <c r="M934" s="130">
        <f>SUMIFS(ТГ_ИД!$E:$E,ТГ_ИД!$B:$B,ТГ!$G$5,ТГ_ИД!$D:$D,ТГ!$A935)</f>
        <v>0</v>
      </c>
      <c r="N934" s="130">
        <f>SUMIFS(ТГ_ИД!$E:$E,ТГ_ИД!$B:$B,ТГ!$G$6,ТГ_ИД!$D:$D,ТГ!$A935)</f>
        <v>0</v>
      </c>
      <c r="O934" s="130">
        <f>SUMIFS(ТГ_ИД!$E:$E,ТГ_ИД!$B:$B,ТГ!$G$7,ТГ_ИД!$D:$D,ТГ!$A935)</f>
        <v>0</v>
      </c>
      <c r="P934" s="130">
        <f>SUMIFS(ТГ_ИД!$E:$E,ТГ_ИД!$B:$B,ТГ!$G$8,ТГ_ИД!$D:$D,ТГ!$A935)</f>
        <v>0</v>
      </c>
      <c r="Q934" s="130">
        <f>SUMIFS(ТГ_ИД!$E:$E,ТГ_ИД!$B:$B,ТГ!$G$9,ТГ_ИД!$D:$D,ТГ!$A935)</f>
        <v>0</v>
      </c>
      <c r="R934" s="130">
        <f>SUMIFS(ТГ_ИД!$E:$E,ТГ_ИД!$B:$B,ТГ!$G$10,ТГ_ИД!$D:$D,ТГ!$A935)</f>
        <v>0</v>
      </c>
      <c r="S934" s="130">
        <f>SUMIFS(ТГ_ИД!$E:$E,ТГ_ИД!$B:$B,ТГ!$G$11,ТГ_ИД!$D:$D,ТГ!$A935)</f>
        <v>0</v>
      </c>
      <c r="T934" s="130">
        <f>SUMIFS(ТГ_ИД!$E:$E,ТГ_ИД!$B:$B,ТГ!$G$12,ТГ_ИД!$D:$D,ТГ!$A935)</f>
        <v>0</v>
      </c>
      <c r="U934" s="130">
        <f>SUMIFS(ТГ_ИД!$E:$E,ТГ_ИД!$B:$B,ТГ!$G$13,ТГ_ИД!$D:$D,ТГ!$A935)</f>
        <v>0</v>
      </c>
      <c r="V934" s="130">
        <f>SUMIFS(ТГ_ИД!$E:$E,ТГ_ИД!$B:$B,ТГ!$G$14,ТГ_ИД!$D:$D,ТГ!$A935)</f>
        <v>0</v>
      </c>
    </row>
    <row r="935" spans="1:22" x14ac:dyDescent="0.25">
      <c r="A935" s="116" t="str">
        <f t="shared" si="15"/>
        <v/>
      </c>
      <c r="K935" s="130">
        <f>SUMIFS(ТГ_ИД!$E:$E,ТГ_ИД!$B:$B,ТГ!$G$3,ТГ_ИД!$D:$D,ТГ!$A936)</f>
        <v>0</v>
      </c>
      <c r="L935" s="130">
        <f>SUMIFS(ТГ_ИД!$E:$E,ТГ_ИД!$B:$B,ТГ!$G$4,ТГ_ИД!$D:$D,ТГ!$A936)</f>
        <v>0</v>
      </c>
      <c r="M935" s="130">
        <f>SUMIFS(ТГ_ИД!$E:$E,ТГ_ИД!$B:$B,ТГ!$G$5,ТГ_ИД!$D:$D,ТГ!$A936)</f>
        <v>0</v>
      </c>
      <c r="N935" s="130">
        <f>SUMIFS(ТГ_ИД!$E:$E,ТГ_ИД!$B:$B,ТГ!$G$6,ТГ_ИД!$D:$D,ТГ!$A936)</f>
        <v>0</v>
      </c>
      <c r="O935" s="130">
        <f>SUMIFS(ТГ_ИД!$E:$E,ТГ_ИД!$B:$B,ТГ!$G$7,ТГ_ИД!$D:$D,ТГ!$A936)</f>
        <v>0</v>
      </c>
      <c r="P935" s="130">
        <f>SUMIFS(ТГ_ИД!$E:$E,ТГ_ИД!$B:$B,ТГ!$G$8,ТГ_ИД!$D:$D,ТГ!$A936)</f>
        <v>0</v>
      </c>
      <c r="Q935" s="130">
        <f>SUMIFS(ТГ_ИД!$E:$E,ТГ_ИД!$B:$B,ТГ!$G$9,ТГ_ИД!$D:$D,ТГ!$A936)</f>
        <v>0</v>
      </c>
      <c r="R935" s="130">
        <f>SUMIFS(ТГ_ИД!$E:$E,ТГ_ИД!$B:$B,ТГ!$G$10,ТГ_ИД!$D:$D,ТГ!$A936)</f>
        <v>0</v>
      </c>
      <c r="S935" s="130">
        <f>SUMIFS(ТГ_ИД!$E:$E,ТГ_ИД!$B:$B,ТГ!$G$11,ТГ_ИД!$D:$D,ТГ!$A936)</f>
        <v>0</v>
      </c>
      <c r="T935" s="130">
        <f>SUMIFS(ТГ_ИД!$E:$E,ТГ_ИД!$B:$B,ТГ!$G$12,ТГ_ИД!$D:$D,ТГ!$A936)</f>
        <v>0</v>
      </c>
      <c r="U935" s="130">
        <f>SUMIFS(ТГ_ИД!$E:$E,ТГ_ИД!$B:$B,ТГ!$G$13,ТГ_ИД!$D:$D,ТГ!$A936)</f>
        <v>0</v>
      </c>
      <c r="V935" s="130">
        <f>SUMIFS(ТГ_ИД!$E:$E,ТГ_ИД!$B:$B,ТГ!$G$14,ТГ_ИД!$D:$D,ТГ!$A936)</f>
        <v>0</v>
      </c>
    </row>
    <row r="936" spans="1:22" x14ac:dyDescent="0.25">
      <c r="A936" s="116" t="str">
        <f t="shared" si="15"/>
        <v/>
      </c>
      <c r="K936" s="130">
        <f>SUMIFS(ТГ_ИД!$E:$E,ТГ_ИД!$B:$B,ТГ!$G$3,ТГ_ИД!$D:$D,ТГ!$A937)</f>
        <v>0</v>
      </c>
      <c r="L936" s="130">
        <f>SUMIFS(ТГ_ИД!$E:$E,ТГ_ИД!$B:$B,ТГ!$G$4,ТГ_ИД!$D:$D,ТГ!$A937)</f>
        <v>0</v>
      </c>
      <c r="M936" s="130">
        <f>SUMIFS(ТГ_ИД!$E:$E,ТГ_ИД!$B:$B,ТГ!$G$5,ТГ_ИД!$D:$D,ТГ!$A937)</f>
        <v>0</v>
      </c>
      <c r="N936" s="130">
        <f>SUMIFS(ТГ_ИД!$E:$E,ТГ_ИД!$B:$B,ТГ!$G$6,ТГ_ИД!$D:$D,ТГ!$A937)</f>
        <v>0</v>
      </c>
      <c r="O936" s="130">
        <f>SUMIFS(ТГ_ИД!$E:$E,ТГ_ИД!$B:$B,ТГ!$G$7,ТГ_ИД!$D:$D,ТГ!$A937)</f>
        <v>0</v>
      </c>
      <c r="P936" s="130">
        <f>SUMIFS(ТГ_ИД!$E:$E,ТГ_ИД!$B:$B,ТГ!$G$8,ТГ_ИД!$D:$D,ТГ!$A937)</f>
        <v>0</v>
      </c>
      <c r="Q936" s="130">
        <f>SUMIFS(ТГ_ИД!$E:$E,ТГ_ИД!$B:$B,ТГ!$G$9,ТГ_ИД!$D:$D,ТГ!$A937)</f>
        <v>0</v>
      </c>
      <c r="R936" s="130">
        <f>SUMIFS(ТГ_ИД!$E:$E,ТГ_ИД!$B:$B,ТГ!$G$10,ТГ_ИД!$D:$D,ТГ!$A937)</f>
        <v>0</v>
      </c>
      <c r="S936" s="130">
        <f>SUMIFS(ТГ_ИД!$E:$E,ТГ_ИД!$B:$B,ТГ!$G$11,ТГ_ИД!$D:$D,ТГ!$A937)</f>
        <v>0</v>
      </c>
      <c r="T936" s="130">
        <f>SUMIFS(ТГ_ИД!$E:$E,ТГ_ИД!$B:$B,ТГ!$G$12,ТГ_ИД!$D:$D,ТГ!$A937)</f>
        <v>0</v>
      </c>
      <c r="U936" s="130">
        <f>SUMIFS(ТГ_ИД!$E:$E,ТГ_ИД!$B:$B,ТГ!$G$13,ТГ_ИД!$D:$D,ТГ!$A937)</f>
        <v>0</v>
      </c>
      <c r="V936" s="130">
        <f>SUMIFS(ТГ_ИД!$E:$E,ТГ_ИД!$B:$B,ТГ!$G$14,ТГ_ИД!$D:$D,ТГ!$A937)</f>
        <v>0</v>
      </c>
    </row>
    <row r="937" spans="1:22" x14ac:dyDescent="0.25">
      <c r="A937" s="116" t="str">
        <f t="shared" si="15"/>
        <v/>
      </c>
      <c r="K937" s="130">
        <f>SUMIFS(ТГ_ИД!$E:$E,ТГ_ИД!$B:$B,ТГ!$G$3,ТГ_ИД!$D:$D,ТГ!$A938)</f>
        <v>0</v>
      </c>
      <c r="L937" s="130">
        <f>SUMIFS(ТГ_ИД!$E:$E,ТГ_ИД!$B:$B,ТГ!$G$4,ТГ_ИД!$D:$D,ТГ!$A938)</f>
        <v>0</v>
      </c>
      <c r="M937" s="130">
        <f>SUMIFS(ТГ_ИД!$E:$E,ТГ_ИД!$B:$B,ТГ!$G$5,ТГ_ИД!$D:$D,ТГ!$A938)</f>
        <v>0</v>
      </c>
      <c r="N937" s="130">
        <f>SUMIFS(ТГ_ИД!$E:$E,ТГ_ИД!$B:$B,ТГ!$G$6,ТГ_ИД!$D:$D,ТГ!$A938)</f>
        <v>0</v>
      </c>
      <c r="O937" s="130">
        <f>SUMIFS(ТГ_ИД!$E:$E,ТГ_ИД!$B:$B,ТГ!$G$7,ТГ_ИД!$D:$D,ТГ!$A938)</f>
        <v>0</v>
      </c>
      <c r="P937" s="130">
        <f>SUMIFS(ТГ_ИД!$E:$E,ТГ_ИД!$B:$B,ТГ!$G$8,ТГ_ИД!$D:$D,ТГ!$A938)</f>
        <v>0</v>
      </c>
      <c r="Q937" s="130">
        <f>SUMIFS(ТГ_ИД!$E:$E,ТГ_ИД!$B:$B,ТГ!$G$9,ТГ_ИД!$D:$D,ТГ!$A938)</f>
        <v>0</v>
      </c>
      <c r="R937" s="130">
        <f>SUMIFS(ТГ_ИД!$E:$E,ТГ_ИД!$B:$B,ТГ!$G$10,ТГ_ИД!$D:$D,ТГ!$A938)</f>
        <v>0</v>
      </c>
      <c r="S937" s="130">
        <f>SUMIFS(ТГ_ИД!$E:$E,ТГ_ИД!$B:$B,ТГ!$G$11,ТГ_ИД!$D:$D,ТГ!$A938)</f>
        <v>0</v>
      </c>
      <c r="T937" s="130">
        <f>SUMIFS(ТГ_ИД!$E:$E,ТГ_ИД!$B:$B,ТГ!$G$12,ТГ_ИД!$D:$D,ТГ!$A938)</f>
        <v>0</v>
      </c>
      <c r="U937" s="130">
        <f>SUMIFS(ТГ_ИД!$E:$E,ТГ_ИД!$B:$B,ТГ!$G$13,ТГ_ИД!$D:$D,ТГ!$A938)</f>
        <v>0</v>
      </c>
      <c r="V937" s="130">
        <f>SUMIFS(ТГ_ИД!$E:$E,ТГ_ИД!$B:$B,ТГ!$G$14,ТГ_ИД!$D:$D,ТГ!$A938)</f>
        <v>0</v>
      </c>
    </row>
    <row r="938" spans="1:22" x14ac:dyDescent="0.25">
      <c r="A938" s="116" t="str">
        <f t="shared" si="15"/>
        <v/>
      </c>
      <c r="K938" s="130">
        <f>SUMIFS(ТГ_ИД!$E:$E,ТГ_ИД!$B:$B,ТГ!$G$3,ТГ_ИД!$D:$D,ТГ!$A939)</f>
        <v>0</v>
      </c>
      <c r="L938" s="130">
        <f>SUMIFS(ТГ_ИД!$E:$E,ТГ_ИД!$B:$B,ТГ!$G$4,ТГ_ИД!$D:$D,ТГ!$A939)</f>
        <v>0</v>
      </c>
      <c r="M938" s="130">
        <f>SUMIFS(ТГ_ИД!$E:$E,ТГ_ИД!$B:$B,ТГ!$G$5,ТГ_ИД!$D:$D,ТГ!$A939)</f>
        <v>0</v>
      </c>
      <c r="N938" s="130">
        <f>SUMIFS(ТГ_ИД!$E:$E,ТГ_ИД!$B:$B,ТГ!$G$6,ТГ_ИД!$D:$D,ТГ!$A939)</f>
        <v>0</v>
      </c>
      <c r="O938" s="130">
        <f>SUMIFS(ТГ_ИД!$E:$E,ТГ_ИД!$B:$B,ТГ!$G$7,ТГ_ИД!$D:$D,ТГ!$A939)</f>
        <v>0</v>
      </c>
      <c r="P938" s="130">
        <f>SUMIFS(ТГ_ИД!$E:$E,ТГ_ИД!$B:$B,ТГ!$G$8,ТГ_ИД!$D:$D,ТГ!$A939)</f>
        <v>0</v>
      </c>
      <c r="Q938" s="130">
        <f>SUMIFS(ТГ_ИД!$E:$E,ТГ_ИД!$B:$B,ТГ!$G$9,ТГ_ИД!$D:$D,ТГ!$A939)</f>
        <v>0</v>
      </c>
      <c r="R938" s="130">
        <f>SUMIFS(ТГ_ИД!$E:$E,ТГ_ИД!$B:$B,ТГ!$G$10,ТГ_ИД!$D:$D,ТГ!$A939)</f>
        <v>0</v>
      </c>
      <c r="S938" s="130">
        <f>SUMIFS(ТГ_ИД!$E:$E,ТГ_ИД!$B:$B,ТГ!$G$11,ТГ_ИД!$D:$D,ТГ!$A939)</f>
        <v>0</v>
      </c>
      <c r="T938" s="130">
        <f>SUMIFS(ТГ_ИД!$E:$E,ТГ_ИД!$B:$B,ТГ!$G$12,ТГ_ИД!$D:$D,ТГ!$A939)</f>
        <v>0</v>
      </c>
      <c r="U938" s="130">
        <f>SUMIFS(ТГ_ИД!$E:$E,ТГ_ИД!$B:$B,ТГ!$G$13,ТГ_ИД!$D:$D,ТГ!$A939)</f>
        <v>0</v>
      </c>
      <c r="V938" s="130">
        <f>SUMIFS(ТГ_ИД!$E:$E,ТГ_ИД!$B:$B,ТГ!$G$14,ТГ_ИД!$D:$D,ТГ!$A939)</f>
        <v>0</v>
      </c>
    </row>
    <row r="939" spans="1:22" x14ac:dyDescent="0.25">
      <c r="A939" s="116" t="str">
        <f t="shared" si="15"/>
        <v/>
      </c>
      <c r="K939" s="130">
        <f>SUMIFS(ТГ_ИД!$E:$E,ТГ_ИД!$B:$B,ТГ!$G$3,ТГ_ИД!$D:$D,ТГ!$A940)</f>
        <v>0</v>
      </c>
      <c r="L939" s="130">
        <f>SUMIFS(ТГ_ИД!$E:$E,ТГ_ИД!$B:$B,ТГ!$G$4,ТГ_ИД!$D:$D,ТГ!$A940)</f>
        <v>0</v>
      </c>
      <c r="M939" s="130">
        <f>SUMIFS(ТГ_ИД!$E:$E,ТГ_ИД!$B:$B,ТГ!$G$5,ТГ_ИД!$D:$D,ТГ!$A940)</f>
        <v>0</v>
      </c>
      <c r="N939" s="130">
        <f>SUMIFS(ТГ_ИД!$E:$E,ТГ_ИД!$B:$B,ТГ!$G$6,ТГ_ИД!$D:$D,ТГ!$A940)</f>
        <v>0</v>
      </c>
      <c r="O939" s="130">
        <f>SUMIFS(ТГ_ИД!$E:$E,ТГ_ИД!$B:$B,ТГ!$G$7,ТГ_ИД!$D:$D,ТГ!$A940)</f>
        <v>0</v>
      </c>
      <c r="P939" s="130">
        <f>SUMIFS(ТГ_ИД!$E:$E,ТГ_ИД!$B:$B,ТГ!$G$8,ТГ_ИД!$D:$D,ТГ!$A940)</f>
        <v>0</v>
      </c>
      <c r="Q939" s="130">
        <f>SUMIFS(ТГ_ИД!$E:$E,ТГ_ИД!$B:$B,ТГ!$G$9,ТГ_ИД!$D:$D,ТГ!$A940)</f>
        <v>0</v>
      </c>
      <c r="R939" s="130">
        <f>SUMIFS(ТГ_ИД!$E:$E,ТГ_ИД!$B:$B,ТГ!$G$10,ТГ_ИД!$D:$D,ТГ!$A940)</f>
        <v>0</v>
      </c>
      <c r="S939" s="130">
        <f>SUMIFS(ТГ_ИД!$E:$E,ТГ_ИД!$B:$B,ТГ!$G$11,ТГ_ИД!$D:$D,ТГ!$A940)</f>
        <v>0</v>
      </c>
      <c r="T939" s="130">
        <f>SUMIFS(ТГ_ИД!$E:$E,ТГ_ИД!$B:$B,ТГ!$G$12,ТГ_ИД!$D:$D,ТГ!$A940)</f>
        <v>0</v>
      </c>
      <c r="U939" s="130">
        <f>SUMIFS(ТГ_ИД!$E:$E,ТГ_ИД!$B:$B,ТГ!$G$13,ТГ_ИД!$D:$D,ТГ!$A940)</f>
        <v>0</v>
      </c>
      <c r="V939" s="130">
        <f>SUMIFS(ТГ_ИД!$E:$E,ТГ_ИД!$B:$B,ТГ!$G$14,ТГ_ИД!$D:$D,ТГ!$A940)</f>
        <v>0</v>
      </c>
    </row>
    <row r="940" spans="1:22" x14ac:dyDescent="0.25">
      <c r="A940" s="116" t="str">
        <f t="shared" si="15"/>
        <v/>
      </c>
      <c r="K940" s="130">
        <f>SUMIFS(ТГ_ИД!$E:$E,ТГ_ИД!$B:$B,ТГ!$G$3,ТГ_ИД!$D:$D,ТГ!$A941)</f>
        <v>0</v>
      </c>
      <c r="L940" s="130">
        <f>SUMIFS(ТГ_ИД!$E:$E,ТГ_ИД!$B:$B,ТГ!$G$4,ТГ_ИД!$D:$D,ТГ!$A941)</f>
        <v>0</v>
      </c>
      <c r="M940" s="130">
        <f>SUMIFS(ТГ_ИД!$E:$E,ТГ_ИД!$B:$B,ТГ!$G$5,ТГ_ИД!$D:$D,ТГ!$A941)</f>
        <v>0</v>
      </c>
      <c r="N940" s="130">
        <f>SUMIFS(ТГ_ИД!$E:$E,ТГ_ИД!$B:$B,ТГ!$G$6,ТГ_ИД!$D:$D,ТГ!$A941)</f>
        <v>0</v>
      </c>
      <c r="O940" s="130">
        <f>SUMIFS(ТГ_ИД!$E:$E,ТГ_ИД!$B:$B,ТГ!$G$7,ТГ_ИД!$D:$D,ТГ!$A941)</f>
        <v>0</v>
      </c>
      <c r="P940" s="130">
        <f>SUMIFS(ТГ_ИД!$E:$E,ТГ_ИД!$B:$B,ТГ!$G$8,ТГ_ИД!$D:$D,ТГ!$A941)</f>
        <v>0</v>
      </c>
      <c r="Q940" s="130">
        <f>SUMIFS(ТГ_ИД!$E:$E,ТГ_ИД!$B:$B,ТГ!$G$9,ТГ_ИД!$D:$D,ТГ!$A941)</f>
        <v>0</v>
      </c>
      <c r="R940" s="130">
        <f>SUMIFS(ТГ_ИД!$E:$E,ТГ_ИД!$B:$B,ТГ!$G$10,ТГ_ИД!$D:$D,ТГ!$A941)</f>
        <v>0</v>
      </c>
      <c r="S940" s="130">
        <f>SUMIFS(ТГ_ИД!$E:$E,ТГ_ИД!$B:$B,ТГ!$G$11,ТГ_ИД!$D:$D,ТГ!$A941)</f>
        <v>0</v>
      </c>
      <c r="T940" s="130">
        <f>SUMIFS(ТГ_ИД!$E:$E,ТГ_ИД!$B:$B,ТГ!$G$12,ТГ_ИД!$D:$D,ТГ!$A941)</f>
        <v>0</v>
      </c>
      <c r="U940" s="130">
        <f>SUMIFS(ТГ_ИД!$E:$E,ТГ_ИД!$B:$B,ТГ!$G$13,ТГ_ИД!$D:$D,ТГ!$A941)</f>
        <v>0</v>
      </c>
      <c r="V940" s="130">
        <f>SUMIFS(ТГ_ИД!$E:$E,ТГ_ИД!$B:$B,ТГ!$G$14,ТГ_ИД!$D:$D,ТГ!$A941)</f>
        <v>0</v>
      </c>
    </row>
    <row r="941" spans="1:22" x14ac:dyDescent="0.25">
      <c r="A941" s="116" t="str">
        <f t="shared" si="15"/>
        <v/>
      </c>
      <c r="K941" s="130">
        <f>SUMIFS(ТГ_ИД!$E:$E,ТГ_ИД!$B:$B,ТГ!$G$3,ТГ_ИД!$D:$D,ТГ!$A942)</f>
        <v>0</v>
      </c>
      <c r="L941" s="130">
        <f>SUMIFS(ТГ_ИД!$E:$E,ТГ_ИД!$B:$B,ТГ!$G$4,ТГ_ИД!$D:$D,ТГ!$A942)</f>
        <v>0</v>
      </c>
      <c r="M941" s="130">
        <f>SUMIFS(ТГ_ИД!$E:$E,ТГ_ИД!$B:$B,ТГ!$G$5,ТГ_ИД!$D:$D,ТГ!$A942)</f>
        <v>0</v>
      </c>
      <c r="N941" s="130">
        <f>SUMIFS(ТГ_ИД!$E:$E,ТГ_ИД!$B:$B,ТГ!$G$6,ТГ_ИД!$D:$D,ТГ!$A942)</f>
        <v>0</v>
      </c>
      <c r="O941" s="130">
        <f>SUMIFS(ТГ_ИД!$E:$E,ТГ_ИД!$B:$B,ТГ!$G$7,ТГ_ИД!$D:$D,ТГ!$A942)</f>
        <v>0</v>
      </c>
      <c r="P941" s="130">
        <f>SUMIFS(ТГ_ИД!$E:$E,ТГ_ИД!$B:$B,ТГ!$G$8,ТГ_ИД!$D:$D,ТГ!$A942)</f>
        <v>0</v>
      </c>
      <c r="Q941" s="130">
        <f>SUMIFS(ТГ_ИД!$E:$E,ТГ_ИД!$B:$B,ТГ!$G$9,ТГ_ИД!$D:$D,ТГ!$A942)</f>
        <v>0</v>
      </c>
      <c r="R941" s="130">
        <f>SUMIFS(ТГ_ИД!$E:$E,ТГ_ИД!$B:$B,ТГ!$G$10,ТГ_ИД!$D:$D,ТГ!$A942)</f>
        <v>0</v>
      </c>
      <c r="S941" s="130">
        <f>SUMIFS(ТГ_ИД!$E:$E,ТГ_ИД!$B:$B,ТГ!$G$11,ТГ_ИД!$D:$D,ТГ!$A942)</f>
        <v>0</v>
      </c>
      <c r="T941" s="130">
        <f>SUMIFS(ТГ_ИД!$E:$E,ТГ_ИД!$B:$B,ТГ!$G$12,ТГ_ИД!$D:$D,ТГ!$A942)</f>
        <v>0</v>
      </c>
      <c r="U941" s="130">
        <f>SUMIFS(ТГ_ИД!$E:$E,ТГ_ИД!$B:$B,ТГ!$G$13,ТГ_ИД!$D:$D,ТГ!$A942)</f>
        <v>0</v>
      </c>
      <c r="V941" s="130">
        <f>SUMIFS(ТГ_ИД!$E:$E,ТГ_ИД!$B:$B,ТГ!$G$14,ТГ_ИД!$D:$D,ТГ!$A942)</f>
        <v>0</v>
      </c>
    </row>
    <row r="942" spans="1:22" x14ac:dyDescent="0.25">
      <c r="A942" s="116" t="str">
        <f t="shared" si="15"/>
        <v/>
      </c>
      <c r="K942" s="130">
        <f>SUMIFS(ТГ_ИД!$E:$E,ТГ_ИД!$B:$B,ТГ!$G$3,ТГ_ИД!$D:$D,ТГ!$A943)</f>
        <v>0</v>
      </c>
      <c r="L942" s="130">
        <f>SUMIFS(ТГ_ИД!$E:$E,ТГ_ИД!$B:$B,ТГ!$G$4,ТГ_ИД!$D:$D,ТГ!$A943)</f>
        <v>0</v>
      </c>
      <c r="M942" s="130">
        <f>SUMIFS(ТГ_ИД!$E:$E,ТГ_ИД!$B:$B,ТГ!$G$5,ТГ_ИД!$D:$D,ТГ!$A943)</f>
        <v>0</v>
      </c>
      <c r="N942" s="130">
        <f>SUMIFS(ТГ_ИД!$E:$E,ТГ_ИД!$B:$B,ТГ!$G$6,ТГ_ИД!$D:$D,ТГ!$A943)</f>
        <v>0</v>
      </c>
      <c r="O942" s="130">
        <f>SUMIFS(ТГ_ИД!$E:$E,ТГ_ИД!$B:$B,ТГ!$G$7,ТГ_ИД!$D:$D,ТГ!$A943)</f>
        <v>0</v>
      </c>
      <c r="P942" s="130">
        <f>SUMIFS(ТГ_ИД!$E:$E,ТГ_ИД!$B:$B,ТГ!$G$8,ТГ_ИД!$D:$D,ТГ!$A943)</f>
        <v>0</v>
      </c>
      <c r="Q942" s="130">
        <f>SUMIFS(ТГ_ИД!$E:$E,ТГ_ИД!$B:$B,ТГ!$G$9,ТГ_ИД!$D:$D,ТГ!$A943)</f>
        <v>0</v>
      </c>
      <c r="R942" s="130">
        <f>SUMIFS(ТГ_ИД!$E:$E,ТГ_ИД!$B:$B,ТГ!$G$10,ТГ_ИД!$D:$D,ТГ!$A943)</f>
        <v>0</v>
      </c>
      <c r="S942" s="130">
        <f>SUMIFS(ТГ_ИД!$E:$E,ТГ_ИД!$B:$B,ТГ!$G$11,ТГ_ИД!$D:$D,ТГ!$A943)</f>
        <v>0</v>
      </c>
      <c r="T942" s="130">
        <f>SUMIFS(ТГ_ИД!$E:$E,ТГ_ИД!$B:$B,ТГ!$G$12,ТГ_ИД!$D:$D,ТГ!$A943)</f>
        <v>0</v>
      </c>
      <c r="U942" s="130">
        <f>SUMIFS(ТГ_ИД!$E:$E,ТГ_ИД!$B:$B,ТГ!$G$13,ТГ_ИД!$D:$D,ТГ!$A943)</f>
        <v>0</v>
      </c>
      <c r="V942" s="130">
        <f>SUMIFS(ТГ_ИД!$E:$E,ТГ_ИД!$B:$B,ТГ!$G$14,ТГ_ИД!$D:$D,ТГ!$A943)</f>
        <v>0</v>
      </c>
    </row>
    <row r="943" spans="1:22" x14ac:dyDescent="0.25">
      <c r="A943" s="116" t="str">
        <f t="shared" si="15"/>
        <v/>
      </c>
      <c r="K943" s="130">
        <f>SUMIFS(ТГ_ИД!$E:$E,ТГ_ИД!$B:$B,ТГ!$G$3,ТГ_ИД!$D:$D,ТГ!$A944)</f>
        <v>0</v>
      </c>
      <c r="L943" s="130">
        <f>SUMIFS(ТГ_ИД!$E:$E,ТГ_ИД!$B:$B,ТГ!$G$4,ТГ_ИД!$D:$D,ТГ!$A944)</f>
        <v>0</v>
      </c>
      <c r="M943" s="130">
        <f>SUMIFS(ТГ_ИД!$E:$E,ТГ_ИД!$B:$B,ТГ!$G$5,ТГ_ИД!$D:$D,ТГ!$A944)</f>
        <v>0</v>
      </c>
      <c r="N943" s="130">
        <f>SUMIFS(ТГ_ИД!$E:$E,ТГ_ИД!$B:$B,ТГ!$G$6,ТГ_ИД!$D:$D,ТГ!$A944)</f>
        <v>0</v>
      </c>
      <c r="O943" s="130">
        <f>SUMIFS(ТГ_ИД!$E:$E,ТГ_ИД!$B:$B,ТГ!$G$7,ТГ_ИД!$D:$D,ТГ!$A944)</f>
        <v>0</v>
      </c>
      <c r="P943" s="130">
        <f>SUMIFS(ТГ_ИД!$E:$E,ТГ_ИД!$B:$B,ТГ!$G$8,ТГ_ИД!$D:$D,ТГ!$A944)</f>
        <v>0</v>
      </c>
      <c r="Q943" s="130">
        <f>SUMIFS(ТГ_ИД!$E:$E,ТГ_ИД!$B:$B,ТГ!$G$9,ТГ_ИД!$D:$D,ТГ!$A944)</f>
        <v>0</v>
      </c>
      <c r="R943" s="130">
        <f>SUMIFS(ТГ_ИД!$E:$E,ТГ_ИД!$B:$B,ТГ!$G$10,ТГ_ИД!$D:$D,ТГ!$A944)</f>
        <v>0</v>
      </c>
      <c r="S943" s="130">
        <f>SUMIFS(ТГ_ИД!$E:$E,ТГ_ИД!$B:$B,ТГ!$G$11,ТГ_ИД!$D:$D,ТГ!$A944)</f>
        <v>0</v>
      </c>
      <c r="T943" s="130">
        <f>SUMIFS(ТГ_ИД!$E:$E,ТГ_ИД!$B:$B,ТГ!$G$12,ТГ_ИД!$D:$D,ТГ!$A944)</f>
        <v>0</v>
      </c>
      <c r="U943" s="130">
        <f>SUMIFS(ТГ_ИД!$E:$E,ТГ_ИД!$B:$B,ТГ!$G$13,ТГ_ИД!$D:$D,ТГ!$A944)</f>
        <v>0</v>
      </c>
      <c r="V943" s="130">
        <f>SUMIFS(ТГ_ИД!$E:$E,ТГ_ИД!$B:$B,ТГ!$G$14,ТГ_ИД!$D:$D,ТГ!$A944)</f>
        <v>0</v>
      </c>
    </row>
    <row r="944" spans="1:22" x14ac:dyDescent="0.25">
      <c r="A944" s="116" t="str">
        <f t="shared" si="15"/>
        <v/>
      </c>
      <c r="K944" s="130">
        <f>SUMIFS(ТГ_ИД!$E:$E,ТГ_ИД!$B:$B,ТГ!$G$3,ТГ_ИД!$D:$D,ТГ!$A945)</f>
        <v>0</v>
      </c>
      <c r="L944" s="130">
        <f>SUMIFS(ТГ_ИД!$E:$E,ТГ_ИД!$B:$B,ТГ!$G$4,ТГ_ИД!$D:$D,ТГ!$A945)</f>
        <v>0</v>
      </c>
      <c r="M944" s="130">
        <f>SUMIFS(ТГ_ИД!$E:$E,ТГ_ИД!$B:$B,ТГ!$G$5,ТГ_ИД!$D:$D,ТГ!$A945)</f>
        <v>0</v>
      </c>
      <c r="N944" s="130">
        <f>SUMIFS(ТГ_ИД!$E:$E,ТГ_ИД!$B:$B,ТГ!$G$6,ТГ_ИД!$D:$D,ТГ!$A945)</f>
        <v>0</v>
      </c>
      <c r="O944" s="130">
        <f>SUMIFS(ТГ_ИД!$E:$E,ТГ_ИД!$B:$B,ТГ!$G$7,ТГ_ИД!$D:$D,ТГ!$A945)</f>
        <v>0</v>
      </c>
      <c r="P944" s="130">
        <f>SUMIFS(ТГ_ИД!$E:$E,ТГ_ИД!$B:$B,ТГ!$G$8,ТГ_ИД!$D:$D,ТГ!$A945)</f>
        <v>0</v>
      </c>
      <c r="Q944" s="130">
        <f>SUMIFS(ТГ_ИД!$E:$E,ТГ_ИД!$B:$B,ТГ!$G$9,ТГ_ИД!$D:$D,ТГ!$A945)</f>
        <v>0</v>
      </c>
      <c r="R944" s="130">
        <f>SUMIFS(ТГ_ИД!$E:$E,ТГ_ИД!$B:$B,ТГ!$G$10,ТГ_ИД!$D:$D,ТГ!$A945)</f>
        <v>0</v>
      </c>
      <c r="S944" s="130">
        <f>SUMIFS(ТГ_ИД!$E:$E,ТГ_ИД!$B:$B,ТГ!$G$11,ТГ_ИД!$D:$D,ТГ!$A945)</f>
        <v>0</v>
      </c>
      <c r="T944" s="130">
        <f>SUMIFS(ТГ_ИД!$E:$E,ТГ_ИД!$B:$B,ТГ!$G$12,ТГ_ИД!$D:$D,ТГ!$A945)</f>
        <v>0</v>
      </c>
      <c r="U944" s="130">
        <f>SUMIFS(ТГ_ИД!$E:$E,ТГ_ИД!$B:$B,ТГ!$G$13,ТГ_ИД!$D:$D,ТГ!$A945)</f>
        <v>0</v>
      </c>
      <c r="V944" s="130">
        <f>SUMIFS(ТГ_ИД!$E:$E,ТГ_ИД!$B:$B,ТГ!$G$14,ТГ_ИД!$D:$D,ТГ!$A945)</f>
        <v>0</v>
      </c>
    </row>
    <row r="945" spans="1:22" x14ac:dyDescent="0.25">
      <c r="A945" s="116" t="str">
        <f t="shared" si="15"/>
        <v/>
      </c>
      <c r="K945" s="130">
        <f>SUMIFS(ТГ_ИД!$E:$E,ТГ_ИД!$B:$B,ТГ!$G$3,ТГ_ИД!$D:$D,ТГ!$A946)</f>
        <v>0</v>
      </c>
      <c r="L945" s="130">
        <f>SUMIFS(ТГ_ИД!$E:$E,ТГ_ИД!$B:$B,ТГ!$G$4,ТГ_ИД!$D:$D,ТГ!$A946)</f>
        <v>0</v>
      </c>
      <c r="M945" s="130">
        <f>SUMIFS(ТГ_ИД!$E:$E,ТГ_ИД!$B:$B,ТГ!$G$5,ТГ_ИД!$D:$D,ТГ!$A946)</f>
        <v>0</v>
      </c>
      <c r="N945" s="130">
        <f>SUMIFS(ТГ_ИД!$E:$E,ТГ_ИД!$B:$B,ТГ!$G$6,ТГ_ИД!$D:$D,ТГ!$A946)</f>
        <v>0</v>
      </c>
      <c r="O945" s="130">
        <f>SUMIFS(ТГ_ИД!$E:$E,ТГ_ИД!$B:$B,ТГ!$G$7,ТГ_ИД!$D:$D,ТГ!$A946)</f>
        <v>0</v>
      </c>
      <c r="P945" s="130">
        <f>SUMIFS(ТГ_ИД!$E:$E,ТГ_ИД!$B:$B,ТГ!$G$8,ТГ_ИД!$D:$D,ТГ!$A946)</f>
        <v>0</v>
      </c>
      <c r="Q945" s="130">
        <f>SUMIFS(ТГ_ИД!$E:$E,ТГ_ИД!$B:$B,ТГ!$G$9,ТГ_ИД!$D:$D,ТГ!$A946)</f>
        <v>0</v>
      </c>
      <c r="R945" s="130">
        <f>SUMIFS(ТГ_ИД!$E:$E,ТГ_ИД!$B:$B,ТГ!$G$10,ТГ_ИД!$D:$D,ТГ!$A946)</f>
        <v>0</v>
      </c>
      <c r="S945" s="130">
        <f>SUMIFS(ТГ_ИД!$E:$E,ТГ_ИД!$B:$B,ТГ!$G$11,ТГ_ИД!$D:$D,ТГ!$A946)</f>
        <v>0</v>
      </c>
      <c r="T945" s="130">
        <f>SUMIFS(ТГ_ИД!$E:$E,ТГ_ИД!$B:$B,ТГ!$G$12,ТГ_ИД!$D:$D,ТГ!$A946)</f>
        <v>0</v>
      </c>
      <c r="U945" s="130">
        <f>SUMIFS(ТГ_ИД!$E:$E,ТГ_ИД!$B:$B,ТГ!$G$13,ТГ_ИД!$D:$D,ТГ!$A946)</f>
        <v>0</v>
      </c>
      <c r="V945" s="130">
        <f>SUMIFS(ТГ_ИД!$E:$E,ТГ_ИД!$B:$B,ТГ!$G$14,ТГ_ИД!$D:$D,ТГ!$A946)</f>
        <v>0</v>
      </c>
    </row>
    <row r="946" spans="1:22" x14ac:dyDescent="0.25">
      <c r="A946" s="116" t="str">
        <f t="shared" si="15"/>
        <v/>
      </c>
      <c r="K946" s="130">
        <f>SUMIFS(ТГ_ИД!$E:$E,ТГ_ИД!$B:$B,ТГ!$G$3,ТГ_ИД!$D:$D,ТГ!$A947)</f>
        <v>0</v>
      </c>
      <c r="L946" s="130">
        <f>SUMIFS(ТГ_ИД!$E:$E,ТГ_ИД!$B:$B,ТГ!$G$4,ТГ_ИД!$D:$D,ТГ!$A947)</f>
        <v>0</v>
      </c>
      <c r="M946" s="130">
        <f>SUMIFS(ТГ_ИД!$E:$E,ТГ_ИД!$B:$B,ТГ!$G$5,ТГ_ИД!$D:$D,ТГ!$A947)</f>
        <v>0</v>
      </c>
      <c r="N946" s="130">
        <f>SUMIFS(ТГ_ИД!$E:$E,ТГ_ИД!$B:$B,ТГ!$G$6,ТГ_ИД!$D:$D,ТГ!$A947)</f>
        <v>0</v>
      </c>
      <c r="O946" s="130">
        <f>SUMIFS(ТГ_ИД!$E:$E,ТГ_ИД!$B:$B,ТГ!$G$7,ТГ_ИД!$D:$D,ТГ!$A947)</f>
        <v>0</v>
      </c>
      <c r="P946" s="130">
        <f>SUMIFS(ТГ_ИД!$E:$E,ТГ_ИД!$B:$B,ТГ!$G$8,ТГ_ИД!$D:$D,ТГ!$A947)</f>
        <v>0</v>
      </c>
      <c r="Q946" s="130">
        <f>SUMIFS(ТГ_ИД!$E:$E,ТГ_ИД!$B:$B,ТГ!$G$9,ТГ_ИД!$D:$D,ТГ!$A947)</f>
        <v>0</v>
      </c>
      <c r="R946" s="130">
        <f>SUMIFS(ТГ_ИД!$E:$E,ТГ_ИД!$B:$B,ТГ!$G$10,ТГ_ИД!$D:$D,ТГ!$A947)</f>
        <v>0</v>
      </c>
      <c r="S946" s="130">
        <f>SUMIFS(ТГ_ИД!$E:$E,ТГ_ИД!$B:$B,ТГ!$G$11,ТГ_ИД!$D:$D,ТГ!$A947)</f>
        <v>0</v>
      </c>
      <c r="T946" s="130">
        <f>SUMIFS(ТГ_ИД!$E:$E,ТГ_ИД!$B:$B,ТГ!$G$12,ТГ_ИД!$D:$D,ТГ!$A947)</f>
        <v>0</v>
      </c>
      <c r="U946" s="130">
        <f>SUMIFS(ТГ_ИД!$E:$E,ТГ_ИД!$B:$B,ТГ!$G$13,ТГ_ИД!$D:$D,ТГ!$A947)</f>
        <v>0</v>
      </c>
      <c r="V946" s="130">
        <f>SUMIFS(ТГ_ИД!$E:$E,ТГ_ИД!$B:$B,ТГ!$G$14,ТГ_ИД!$D:$D,ТГ!$A947)</f>
        <v>0</v>
      </c>
    </row>
    <row r="947" spans="1:22" x14ac:dyDescent="0.25">
      <c r="A947" s="116" t="str">
        <f t="shared" si="15"/>
        <v/>
      </c>
      <c r="K947" s="130">
        <f>SUMIFS(ТГ_ИД!$E:$E,ТГ_ИД!$B:$B,ТГ!$G$3,ТГ_ИД!$D:$D,ТГ!$A948)</f>
        <v>0</v>
      </c>
      <c r="L947" s="130">
        <f>SUMIFS(ТГ_ИД!$E:$E,ТГ_ИД!$B:$B,ТГ!$G$4,ТГ_ИД!$D:$D,ТГ!$A948)</f>
        <v>0</v>
      </c>
      <c r="M947" s="130">
        <f>SUMIFS(ТГ_ИД!$E:$E,ТГ_ИД!$B:$B,ТГ!$G$5,ТГ_ИД!$D:$D,ТГ!$A948)</f>
        <v>0</v>
      </c>
      <c r="N947" s="130">
        <f>SUMIFS(ТГ_ИД!$E:$E,ТГ_ИД!$B:$B,ТГ!$G$6,ТГ_ИД!$D:$D,ТГ!$A948)</f>
        <v>0</v>
      </c>
      <c r="O947" s="130">
        <f>SUMIFS(ТГ_ИД!$E:$E,ТГ_ИД!$B:$B,ТГ!$G$7,ТГ_ИД!$D:$D,ТГ!$A948)</f>
        <v>0</v>
      </c>
      <c r="P947" s="130">
        <f>SUMIFS(ТГ_ИД!$E:$E,ТГ_ИД!$B:$B,ТГ!$G$8,ТГ_ИД!$D:$D,ТГ!$A948)</f>
        <v>0</v>
      </c>
      <c r="Q947" s="130">
        <f>SUMIFS(ТГ_ИД!$E:$E,ТГ_ИД!$B:$B,ТГ!$G$9,ТГ_ИД!$D:$D,ТГ!$A948)</f>
        <v>0</v>
      </c>
      <c r="R947" s="130">
        <f>SUMIFS(ТГ_ИД!$E:$E,ТГ_ИД!$B:$B,ТГ!$G$10,ТГ_ИД!$D:$D,ТГ!$A948)</f>
        <v>0</v>
      </c>
      <c r="S947" s="130">
        <f>SUMIFS(ТГ_ИД!$E:$E,ТГ_ИД!$B:$B,ТГ!$G$11,ТГ_ИД!$D:$D,ТГ!$A948)</f>
        <v>0</v>
      </c>
      <c r="T947" s="130">
        <f>SUMIFS(ТГ_ИД!$E:$E,ТГ_ИД!$B:$B,ТГ!$G$12,ТГ_ИД!$D:$D,ТГ!$A948)</f>
        <v>0</v>
      </c>
      <c r="U947" s="130">
        <f>SUMIFS(ТГ_ИД!$E:$E,ТГ_ИД!$B:$B,ТГ!$G$13,ТГ_ИД!$D:$D,ТГ!$A948)</f>
        <v>0</v>
      </c>
      <c r="V947" s="130">
        <f>SUMIFS(ТГ_ИД!$E:$E,ТГ_ИД!$B:$B,ТГ!$G$14,ТГ_ИД!$D:$D,ТГ!$A948)</f>
        <v>0</v>
      </c>
    </row>
    <row r="948" spans="1:22" x14ac:dyDescent="0.25">
      <c r="A948" s="116" t="str">
        <f t="shared" si="15"/>
        <v/>
      </c>
      <c r="K948" s="130">
        <f>SUMIFS(ТГ_ИД!$E:$E,ТГ_ИД!$B:$B,ТГ!$G$3,ТГ_ИД!$D:$D,ТГ!$A949)</f>
        <v>0</v>
      </c>
      <c r="L948" s="130">
        <f>SUMIFS(ТГ_ИД!$E:$E,ТГ_ИД!$B:$B,ТГ!$G$4,ТГ_ИД!$D:$D,ТГ!$A949)</f>
        <v>0</v>
      </c>
      <c r="M948" s="130">
        <f>SUMIFS(ТГ_ИД!$E:$E,ТГ_ИД!$B:$B,ТГ!$G$5,ТГ_ИД!$D:$D,ТГ!$A949)</f>
        <v>0</v>
      </c>
      <c r="N948" s="130">
        <f>SUMIFS(ТГ_ИД!$E:$E,ТГ_ИД!$B:$B,ТГ!$G$6,ТГ_ИД!$D:$D,ТГ!$A949)</f>
        <v>0</v>
      </c>
      <c r="O948" s="130">
        <f>SUMIFS(ТГ_ИД!$E:$E,ТГ_ИД!$B:$B,ТГ!$G$7,ТГ_ИД!$D:$D,ТГ!$A949)</f>
        <v>0</v>
      </c>
      <c r="P948" s="130">
        <f>SUMIFS(ТГ_ИД!$E:$E,ТГ_ИД!$B:$B,ТГ!$G$8,ТГ_ИД!$D:$D,ТГ!$A949)</f>
        <v>0</v>
      </c>
      <c r="Q948" s="130">
        <f>SUMIFS(ТГ_ИД!$E:$E,ТГ_ИД!$B:$B,ТГ!$G$9,ТГ_ИД!$D:$D,ТГ!$A949)</f>
        <v>0</v>
      </c>
      <c r="R948" s="130">
        <f>SUMIFS(ТГ_ИД!$E:$E,ТГ_ИД!$B:$B,ТГ!$G$10,ТГ_ИД!$D:$D,ТГ!$A949)</f>
        <v>0</v>
      </c>
      <c r="S948" s="130">
        <f>SUMIFS(ТГ_ИД!$E:$E,ТГ_ИД!$B:$B,ТГ!$G$11,ТГ_ИД!$D:$D,ТГ!$A949)</f>
        <v>0</v>
      </c>
      <c r="T948" s="130">
        <f>SUMIFS(ТГ_ИД!$E:$E,ТГ_ИД!$B:$B,ТГ!$G$12,ТГ_ИД!$D:$D,ТГ!$A949)</f>
        <v>0</v>
      </c>
      <c r="U948" s="130">
        <f>SUMIFS(ТГ_ИД!$E:$E,ТГ_ИД!$B:$B,ТГ!$G$13,ТГ_ИД!$D:$D,ТГ!$A949)</f>
        <v>0</v>
      </c>
      <c r="V948" s="130">
        <f>SUMIFS(ТГ_ИД!$E:$E,ТГ_ИД!$B:$B,ТГ!$G$14,ТГ_ИД!$D:$D,ТГ!$A949)</f>
        <v>0</v>
      </c>
    </row>
    <row r="949" spans="1:22" x14ac:dyDescent="0.25">
      <c r="A949" s="116" t="str">
        <f t="shared" si="15"/>
        <v/>
      </c>
      <c r="K949" s="130">
        <f>SUMIFS(ТГ_ИД!$E:$E,ТГ_ИД!$B:$B,ТГ!$G$3,ТГ_ИД!$D:$D,ТГ!$A950)</f>
        <v>0</v>
      </c>
      <c r="L949" s="130">
        <f>SUMIFS(ТГ_ИД!$E:$E,ТГ_ИД!$B:$B,ТГ!$G$4,ТГ_ИД!$D:$D,ТГ!$A950)</f>
        <v>0</v>
      </c>
      <c r="M949" s="130">
        <f>SUMIFS(ТГ_ИД!$E:$E,ТГ_ИД!$B:$B,ТГ!$G$5,ТГ_ИД!$D:$D,ТГ!$A950)</f>
        <v>0</v>
      </c>
      <c r="N949" s="130">
        <f>SUMIFS(ТГ_ИД!$E:$E,ТГ_ИД!$B:$B,ТГ!$G$6,ТГ_ИД!$D:$D,ТГ!$A950)</f>
        <v>0</v>
      </c>
      <c r="O949" s="130">
        <f>SUMIFS(ТГ_ИД!$E:$E,ТГ_ИД!$B:$B,ТГ!$G$7,ТГ_ИД!$D:$D,ТГ!$A950)</f>
        <v>0</v>
      </c>
      <c r="P949" s="130">
        <f>SUMIFS(ТГ_ИД!$E:$E,ТГ_ИД!$B:$B,ТГ!$G$8,ТГ_ИД!$D:$D,ТГ!$A950)</f>
        <v>0</v>
      </c>
      <c r="Q949" s="130">
        <f>SUMIFS(ТГ_ИД!$E:$E,ТГ_ИД!$B:$B,ТГ!$G$9,ТГ_ИД!$D:$D,ТГ!$A950)</f>
        <v>0</v>
      </c>
      <c r="R949" s="130">
        <f>SUMIFS(ТГ_ИД!$E:$E,ТГ_ИД!$B:$B,ТГ!$G$10,ТГ_ИД!$D:$D,ТГ!$A950)</f>
        <v>0</v>
      </c>
      <c r="S949" s="130">
        <f>SUMIFS(ТГ_ИД!$E:$E,ТГ_ИД!$B:$B,ТГ!$G$11,ТГ_ИД!$D:$D,ТГ!$A950)</f>
        <v>0</v>
      </c>
      <c r="T949" s="130">
        <f>SUMIFS(ТГ_ИД!$E:$E,ТГ_ИД!$B:$B,ТГ!$G$12,ТГ_ИД!$D:$D,ТГ!$A950)</f>
        <v>0</v>
      </c>
      <c r="U949" s="130">
        <f>SUMIFS(ТГ_ИД!$E:$E,ТГ_ИД!$B:$B,ТГ!$G$13,ТГ_ИД!$D:$D,ТГ!$A950)</f>
        <v>0</v>
      </c>
      <c r="V949" s="130">
        <f>SUMIFS(ТГ_ИД!$E:$E,ТГ_ИД!$B:$B,ТГ!$G$14,ТГ_ИД!$D:$D,ТГ!$A950)</f>
        <v>0</v>
      </c>
    </row>
    <row r="950" spans="1:22" x14ac:dyDescent="0.25">
      <c r="A950" s="116" t="str">
        <f t="shared" si="15"/>
        <v/>
      </c>
      <c r="K950" s="130">
        <f>SUMIFS(ТГ_ИД!$E:$E,ТГ_ИД!$B:$B,ТГ!$G$3,ТГ_ИД!$D:$D,ТГ!$A951)</f>
        <v>0</v>
      </c>
      <c r="L950" s="130">
        <f>SUMIFS(ТГ_ИД!$E:$E,ТГ_ИД!$B:$B,ТГ!$G$4,ТГ_ИД!$D:$D,ТГ!$A951)</f>
        <v>0</v>
      </c>
      <c r="M950" s="130">
        <f>SUMIFS(ТГ_ИД!$E:$E,ТГ_ИД!$B:$B,ТГ!$G$5,ТГ_ИД!$D:$D,ТГ!$A951)</f>
        <v>0</v>
      </c>
      <c r="N950" s="130">
        <f>SUMIFS(ТГ_ИД!$E:$E,ТГ_ИД!$B:$B,ТГ!$G$6,ТГ_ИД!$D:$D,ТГ!$A951)</f>
        <v>0</v>
      </c>
      <c r="O950" s="130">
        <f>SUMIFS(ТГ_ИД!$E:$E,ТГ_ИД!$B:$B,ТГ!$G$7,ТГ_ИД!$D:$D,ТГ!$A951)</f>
        <v>0</v>
      </c>
      <c r="P950" s="130">
        <f>SUMIFS(ТГ_ИД!$E:$E,ТГ_ИД!$B:$B,ТГ!$G$8,ТГ_ИД!$D:$D,ТГ!$A951)</f>
        <v>0</v>
      </c>
      <c r="Q950" s="130">
        <f>SUMIFS(ТГ_ИД!$E:$E,ТГ_ИД!$B:$B,ТГ!$G$9,ТГ_ИД!$D:$D,ТГ!$A951)</f>
        <v>0</v>
      </c>
      <c r="R950" s="130">
        <f>SUMIFS(ТГ_ИД!$E:$E,ТГ_ИД!$B:$B,ТГ!$G$10,ТГ_ИД!$D:$D,ТГ!$A951)</f>
        <v>0</v>
      </c>
      <c r="S950" s="130">
        <f>SUMIFS(ТГ_ИД!$E:$E,ТГ_ИД!$B:$B,ТГ!$G$11,ТГ_ИД!$D:$D,ТГ!$A951)</f>
        <v>0</v>
      </c>
      <c r="T950" s="130">
        <f>SUMIFS(ТГ_ИД!$E:$E,ТГ_ИД!$B:$B,ТГ!$G$12,ТГ_ИД!$D:$D,ТГ!$A951)</f>
        <v>0</v>
      </c>
      <c r="U950" s="130">
        <f>SUMIFS(ТГ_ИД!$E:$E,ТГ_ИД!$B:$B,ТГ!$G$13,ТГ_ИД!$D:$D,ТГ!$A951)</f>
        <v>0</v>
      </c>
      <c r="V950" s="130">
        <f>SUMIFS(ТГ_ИД!$E:$E,ТГ_ИД!$B:$B,ТГ!$G$14,ТГ_ИД!$D:$D,ТГ!$A951)</f>
        <v>0</v>
      </c>
    </row>
    <row r="951" spans="1:22" x14ac:dyDescent="0.25">
      <c r="A951" s="116" t="str">
        <f t="shared" si="15"/>
        <v/>
      </c>
      <c r="K951" s="130">
        <f>SUMIFS(ТГ_ИД!$E:$E,ТГ_ИД!$B:$B,ТГ!$G$3,ТГ_ИД!$D:$D,ТГ!$A952)</f>
        <v>0</v>
      </c>
      <c r="L951" s="130">
        <f>SUMIFS(ТГ_ИД!$E:$E,ТГ_ИД!$B:$B,ТГ!$G$4,ТГ_ИД!$D:$D,ТГ!$A952)</f>
        <v>0</v>
      </c>
      <c r="M951" s="130">
        <f>SUMIFS(ТГ_ИД!$E:$E,ТГ_ИД!$B:$B,ТГ!$G$5,ТГ_ИД!$D:$D,ТГ!$A952)</f>
        <v>0</v>
      </c>
      <c r="N951" s="130">
        <f>SUMIFS(ТГ_ИД!$E:$E,ТГ_ИД!$B:$B,ТГ!$G$6,ТГ_ИД!$D:$D,ТГ!$A952)</f>
        <v>0</v>
      </c>
      <c r="O951" s="130">
        <f>SUMIFS(ТГ_ИД!$E:$E,ТГ_ИД!$B:$B,ТГ!$G$7,ТГ_ИД!$D:$D,ТГ!$A952)</f>
        <v>0</v>
      </c>
      <c r="P951" s="130">
        <f>SUMIFS(ТГ_ИД!$E:$E,ТГ_ИД!$B:$B,ТГ!$G$8,ТГ_ИД!$D:$D,ТГ!$A952)</f>
        <v>0</v>
      </c>
      <c r="Q951" s="130">
        <f>SUMIFS(ТГ_ИД!$E:$E,ТГ_ИД!$B:$B,ТГ!$G$9,ТГ_ИД!$D:$D,ТГ!$A952)</f>
        <v>0</v>
      </c>
      <c r="R951" s="130">
        <f>SUMIFS(ТГ_ИД!$E:$E,ТГ_ИД!$B:$B,ТГ!$G$10,ТГ_ИД!$D:$D,ТГ!$A952)</f>
        <v>0</v>
      </c>
      <c r="S951" s="130">
        <f>SUMIFS(ТГ_ИД!$E:$E,ТГ_ИД!$B:$B,ТГ!$G$11,ТГ_ИД!$D:$D,ТГ!$A952)</f>
        <v>0</v>
      </c>
      <c r="T951" s="130">
        <f>SUMIFS(ТГ_ИД!$E:$E,ТГ_ИД!$B:$B,ТГ!$G$12,ТГ_ИД!$D:$D,ТГ!$A952)</f>
        <v>0</v>
      </c>
      <c r="U951" s="130">
        <f>SUMIFS(ТГ_ИД!$E:$E,ТГ_ИД!$B:$B,ТГ!$G$13,ТГ_ИД!$D:$D,ТГ!$A952)</f>
        <v>0</v>
      </c>
      <c r="V951" s="130">
        <f>SUMIFS(ТГ_ИД!$E:$E,ТГ_ИД!$B:$B,ТГ!$G$14,ТГ_ИД!$D:$D,ТГ!$A952)</f>
        <v>0</v>
      </c>
    </row>
    <row r="952" spans="1:22" x14ac:dyDescent="0.25">
      <c r="A952" s="116" t="str">
        <f t="shared" si="15"/>
        <v/>
      </c>
      <c r="K952" s="130">
        <f>SUMIFS(ТГ_ИД!$E:$E,ТГ_ИД!$B:$B,ТГ!$G$3,ТГ_ИД!$D:$D,ТГ!$A953)</f>
        <v>0</v>
      </c>
      <c r="L952" s="130">
        <f>SUMIFS(ТГ_ИД!$E:$E,ТГ_ИД!$B:$B,ТГ!$G$4,ТГ_ИД!$D:$D,ТГ!$A953)</f>
        <v>0</v>
      </c>
      <c r="M952" s="130">
        <f>SUMIFS(ТГ_ИД!$E:$E,ТГ_ИД!$B:$B,ТГ!$G$5,ТГ_ИД!$D:$D,ТГ!$A953)</f>
        <v>0</v>
      </c>
      <c r="N952" s="130">
        <f>SUMIFS(ТГ_ИД!$E:$E,ТГ_ИД!$B:$B,ТГ!$G$6,ТГ_ИД!$D:$D,ТГ!$A953)</f>
        <v>0</v>
      </c>
      <c r="O952" s="130">
        <f>SUMIFS(ТГ_ИД!$E:$E,ТГ_ИД!$B:$B,ТГ!$G$7,ТГ_ИД!$D:$D,ТГ!$A953)</f>
        <v>0</v>
      </c>
      <c r="P952" s="130">
        <f>SUMIFS(ТГ_ИД!$E:$E,ТГ_ИД!$B:$B,ТГ!$G$8,ТГ_ИД!$D:$D,ТГ!$A953)</f>
        <v>0</v>
      </c>
      <c r="Q952" s="130">
        <f>SUMIFS(ТГ_ИД!$E:$E,ТГ_ИД!$B:$B,ТГ!$G$9,ТГ_ИД!$D:$D,ТГ!$A953)</f>
        <v>0</v>
      </c>
      <c r="R952" s="130">
        <f>SUMIFS(ТГ_ИД!$E:$E,ТГ_ИД!$B:$B,ТГ!$G$10,ТГ_ИД!$D:$D,ТГ!$A953)</f>
        <v>0</v>
      </c>
      <c r="S952" s="130">
        <f>SUMIFS(ТГ_ИД!$E:$E,ТГ_ИД!$B:$B,ТГ!$G$11,ТГ_ИД!$D:$D,ТГ!$A953)</f>
        <v>0</v>
      </c>
      <c r="T952" s="130">
        <f>SUMIFS(ТГ_ИД!$E:$E,ТГ_ИД!$B:$B,ТГ!$G$12,ТГ_ИД!$D:$D,ТГ!$A953)</f>
        <v>0</v>
      </c>
      <c r="U952" s="130">
        <f>SUMIFS(ТГ_ИД!$E:$E,ТГ_ИД!$B:$B,ТГ!$G$13,ТГ_ИД!$D:$D,ТГ!$A953)</f>
        <v>0</v>
      </c>
      <c r="V952" s="130">
        <f>SUMIFS(ТГ_ИД!$E:$E,ТГ_ИД!$B:$B,ТГ!$G$14,ТГ_ИД!$D:$D,ТГ!$A953)</f>
        <v>0</v>
      </c>
    </row>
    <row r="953" spans="1:22" x14ac:dyDescent="0.25">
      <c r="A953" s="116" t="str">
        <f t="shared" si="15"/>
        <v/>
      </c>
      <c r="K953" s="130">
        <f>SUMIFS(ТГ_ИД!$E:$E,ТГ_ИД!$B:$B,ТГ!$G$3,ТГ_ИД!$D:$D,ТГ!$A954)</f>
        <v>0</v>
      </c>
      <c r="L953" s="130">
        <f>SUMIFS(ТГ_ИД!$E:$E,ТГ_ИД!$B:$B,ТГ!$G$4,ТГ_ИД!$D:$D,ТГ!$A954)</f>
        <v>0</v>
      </c>
      <c r="M953" s="130">
        <f>SUMIFS(ТГ_ИД!$E:$E,ТГ_ИД!$B:$B,ТГ!$G$5,ТГ_ИД!$D:$D,ТГ!$A954)</f>
        <v>0</v>
      </c>
      <c r="N953" s="130">
        <f>SUMIFS(ТГ_ИД!$E:$E,ТГ_ИД!$B:$B,ТГ!$G$6,ТГ_ИД!$D:$D,ТГ!$A954)</f>
        <v>0</v>
      </c>
      <c r="O953" s="130">
        <f>SUMIFS(ТГ_ИД!$E:$E,ТГ_ИД!$B:$B,ТГ!$G$7,ТГ_ИД!$D:$D,ТГ!$A954)</f>
        <v>0</v>
      </c>
      <c r="P953" s="130">
        <f>SUMIFS(ТГ_ИД!$E:$E,ТГ_ИД!$B:$B,ТГ!$G$8,ТГ_ИД!$D:$D,ТГ!$A954)</f>
        <v>0</v>
      </c>
      <c r="Q953" s="130">
        <f>SUMIFS(ТГ_ИД!$E:$E,ТГ_ИД!$B:$B,ТГ!$G$9,ТГ_ИД!$D:$D,ТГ!$A954)</f>
        <v>0</v>
      </c>
      <c r="R953" s="130">
        <f>SUMIFS(ТГ_ИД!$E:$E,ТГ_ИД!$B:$B,ТГ!$G$10,ТГ_ИД!$D:$D,ТГ!$A954)</f>
        <v>0</v>
      </c>
      <c r="S953" s="130">
        <f>SUMIFS(ТГ_ИД!$E:$E,ТГ_ИД!$B:$B,ТГ!$G$11,ТГ_ИД!$D:$D,ТГ!$A954)</f>
        <v>0</v>
      </c>
      <c r="T953" s="130">
        <f>SUMIFS(ТГ_ИД!$E:$E,ТГ_ИД!$B:$B,ТГ!$G$12,ТГ_ИД!$D:$D,ТГ!$A954)</f>
        <v>0</v>
      </c>
      <c r="U953" s="130">
        <f>SUMIFS(ТГ_ИД!$E:$E,ТГ_ИД!$B:$B,ТГ!$G$13,ТГ_ИД!$D:$D,ТГ!$A954)</f>
        <v>0</v>
      </c>
      <c r="V953" s="130">
        <f>SUMIFS(ТГ_ИД!$E:$E,ТГ_ИД!$B:$B,ТГ!$G$14,ТГ_ИД!$D:$D,ТГ!$A954)</f>
        <v>0</v>
      </c>
    </row>
    <row r="954" spans="1:22" x14ac:dyDescent="0.25">
      <c r="A954" s="116" t="str">
        <f t="shared" si="15"/>
        <v/>
      </c>
      <c r="K954" s="130">
        <f>SUMIFS(ТГ_ИД!$E:$E,ТГ_ИД!$B:$B,ТГ!$G$3,ТГ_ИД!$D:$D,ТГ!$A955)</f>
        <v>0</v>
      </c>
      <c r="L954" s="130">
        <f>SUMIFS(ТГ_ИД!$E:$E,ТГ_ИД!$B:$B,ТГ!$G$4,ТГ_ИД!$D:$D,ТГ!$A955)</f>
        <v>0</v>
      </c>
      <c r="M954" s="130">
        <f>SUMIFS(ТГ_ИД!$E:$E,ТГ_ИД!$B:$B,ТГ!$G$5,ТГ_ИД!$D:$D,ТГ!$A955)</f>
        <v>0</v>
      </c>
      <c r="N954" s="130">
        <f>SUMIFS(ТГ_ИД!$E:$E,ТГ_ИД!$B:$B,ТГ!$G$6,ТГ_ИД!$D:$D,ТГ!$A955)</f>
        <v>0</v>
      </c>
      <c r="O954" s="130">
        <f>SUMIFS(ТГ_ИД!$E:$E,ТГ_ИД!$B:$B,ТГ!$G$7,ТГ_ИД!$D:$D,ТГ!$A955)</f>
        <v>0</v>
      </c>
      <c r="P954" s="130">
        <f>SUMIFS(ТГ_ИД!$E:$E,ТГ_ИД!$B:$B,ТГ!$G$8,ТГ_ИД!$D:$D,ТГ!$A955)</f>
        <v>0</v>
      </c>
      <c r="Q954" s="130">
        <f>SUMIFS(ТГ_ИД!$E:$E,ТГ_ИД!$B:$B,ТГ!$G$9,ТГ_ИД!$D:$D,ТГ!$A955)</f>
        <v>0</v>
      </c>
      <c r="R954" s="130">
        <f>SUMIFS(ТГ_ИД!$E:$E,ТГ_ИД!$B:$B,ТГ!$G$10,ТГ_ИД!$D:$D,ТГ!$A955)</f>
        <v>0</v>
      </c>
      <c r="S954" s="130">
        <f>SUMIFS(ТГ_ИД!$E:$E,ТГ_ИД!$B:$B,ТГ!$G$11,ТГ_ИД!$D:$D,ТГ!$A955)</f>
        <v>0</v>
      </c>
      <c r="T954" s="130">
        <f>SUMIFS(ТГ_ИД!$E:$E,ТГ_ИД!$B:$B,ТГ!$G$12,ТГ_ИД!$D:$D,ТГ!$A955)</f>
        <v>0</v>
      </c>
      <c r="U954" s="130">
        <f>SUMIFS(ТГ_ИД!$E:$E,ТГ_ИД!$B:$B,ТГ!$G$13,ТГ_ИД!$D:$D,ТГ!$A955)</f>
        <v>0</v>
      </c>
      <c r="V954" s="130">
        <f>SUMIFS(ТГ_ИД!$E:$E,ТГ_ИД!$B:$B,ТГ!$G$14,ТГ_ИД!$D:$D,ТГ!$A955)</f>
        <v>0</v>
      </c>
    </row>
    <row r="955" spans="1:22" x14ac:dyDescent="0.25">
      <c r="A955" s="116" t="str">
        <f t="shared" si="15"/>
        <v/>
      </c>
      <c r="K955" s="130">
        <f>SUMIFS(ТГ_ИД!$E:$E,ТГ_ИД!$B:$B,ТГ!$G$3,ТГ_ИД!$D:$D,ТГ!$A956)</f>
        <v>0</v>
      </c>
      <c r="L955" s="130">
        <f>SUMIFS(ТГ_ИД!$E:$E,ТГ_ИД!$B:$B,ТГ!$G$4,ТГ_ИД!$D:$D,ТГ!$A956)</f>
        <v>0</v>
      </c>
      <c r="M955" s="130">
        <f>SUMIFS(ТГ_ИД!$E:$E,ТГ_ИД!$B:$B,ТГ!$G$5,ТГ_ИД!$D:$D,ТГ!$A956)</f>
        <v>0</v>
      </c>
      <c r="N955" s="130">
        <f>SUMIFS(ТГ_ИД!$E:$E,ТГ_ИД!$B:$B,ТГ!$G$6,ТГ_ИД!$D:$D,ТГ!$A956)</f>
        <v>0</v>
      </c>
      <c r="O955" s="130">
        <f>SUMIFS(ТГ_ИД!$E:$E,ТГ_ИД!$B:$B,ТГ!$G$7,ТГ_ИД!$D:$D,ТГ!$A956)</f>
        <v>0</v>
      </c>
      <c r="P955" s="130">
        <f>SUMIFS(ТГ_ИД!$E:$E,ТГ_ИД!$B:$B,ТГ!$G$8,ТГ_ИД!$D:$D,ТГ!$A956)</f>
        <v>0</v>
      </c>
      <c r="Q955" s="130">
        <f>SUMIFS(ТГ_ИД!$E:$E,ТГ_ИД!$B:$B,ТГ!$G$9,ТГ_ИД!$D:$D,ТГ!$A956)</f>
        <v>0</v>
      </c>
      <c r="R955" s="130">
        <f>SUMIFS(ТГ_ИД!$E:$E,ТГ_ИД!$B:$B,ТГ!$G$10,ТГ_ИД!$D:$D,ТГ!$A956)</f>
        <v>0</v>
      </c>
      <c r="S955" s="130">
        <f>SUMIFS(ТГ_ИД!$E:$E,ТГ_ИД!$B:$B,ТГ!$G$11,ТГ_ИД!$D:$D,ТГ!$A956)</f>
        <v>0</v>
      </c>
      <c r="T955" s="130">
        <f>SUMIFS(ТГ_ИД!$E:$E,ТГ_ИД!$B:$B,ТГ!$G$12,ТГ_ИД!$D:$D,ТГ!$A956)</f>
        <v>0</v>
      </c>
      <c r="U955" s="130">
        <f>SUMIFS(ТГ_ИД!$E:$E,ТГ_ИД!$B:$B,ТГ!$G$13,ТГ_ИД!$D:$D,ТГ!$A956)</f>
        <v>0</v>
      </c>
      <c r="V955" s="130">
        <f>SUMIFS(ТГ_ИД!$E:$E,ТГ_ИД!$B:$B,ТГ!$G$14,ТГ_ИД!$D:$D,ТГ!$A956)</f>
        <v>0</v>
      </c>
    </row>
    <row r="956" spans="1:22" x14ac:dyDescent="0.25">
      <c r="A956" s="116" t="str">
        <f t="shared" si="15"/>
        <v/>
      </c>
      <c r="K956" s="130">
        <f>SUMIFS(ТГ_ИД!$E:$E,ТГ_ИД!$B:$B,ТГ!$G$3,ТГ_ИД!$D:$D,ТГ!$A957)</f>
        <v>0</v>
      </c>
      <c r="L956" s="130">
        <f>SUMIFS(ТГ_ИД!$E:$E,ТГ_ИД!$B:$B,ТГ!$G$4,ТГ_ИД!$D:$D,ТГ!$A957)</f>
        <v>0</v>
      </c>
      <c r="M956" s="130">
        <f>SUMIFS(ТГ_ИД!$E:$E,ТГ_ИД!$B:$B,ТГ!$G$5,ТГ_ИД!$D:$D,ТГ!$A957)</f>
        <v>0</v>
      </c>
      <c r="N956" s="130">
        <f>SUMIFS(ТГ_ИД!$E:$E,ТГ_ИД!$B:$B,ТГ!$G$6,ТГ_ИД!$D:$D,ТГ!$A957)</f>
        <v>0</v>
      </c>
      <c r="O956" s="130">
        <f>SUMIFS(ТГ_ИД!$E:$E,ТГ_ИД!$B:$B,ТГ!$G$7,ТГ_ИД!$D:$D,ТГ!$A957)</f>
        <v>0</v>
      </c>
      <c r="P956" s="130">
        <f>SUMIFS(ТГ_ИД!$E:$E,ТГ_ИД!$B:$B,ТГ!$G$8,ТГ_ИД!$D:$D,ТГ!$A957)</f>
        <v>0</v>
      </c>
      <c r="Q956" s="130">
        <f>SUMIFS(ТГ_ИД!$E:$E,ТГ_ИД!$B:$B,ТГ!$G$9,ТГ_ИД!$D:$D,ТГ!$A957)</f>
        <v>0</v>
      </c>
      <c r="R956" s="130">
        <f>SUMIFS(ТГ_ИД!$E:$E,ТГ_ИД!$B:$B,ТГ!$G$10,ТГ_ИД!$D:$D,ТГ!$A957)</f>
        <v>0</v>
      </c>
      <c r="S956" s="130">
        <f>SUMIFS(ТГ_ИД!$E:$E,ТГ_ИД!$B:$B,ТГ!$G$11,ТГ_ИД!$D:$D,ТГ!$A957)</f>
        <v>0</v>
      </c>
      <c r="T956" s="130">
        <f>SUMIFS(ТГ_ИД!$E:$E,ТГ_ИД!$B:$B,ТГ!$G$12,ТГ_ИД!$D:$D,ТГ!$A957)</f>
        <v>0</v>
      </c>
      <c r="U956" s="130">
        <f>SUMIFS(ТГ_ИД!$E:$E,ТГ_ИД!$B:$B,ТГ!$G$13,ТГ_ИД!$D:$D,ТГ!$A957)</f>
        <v>0</v>
      </c>
      <c r="V956" s="130">
        <f>SUMIFS(ТГ_ИД!$E:$E,ТГ_ИД!$B:$B,ТГ!$G$14,ТГ_ИД!$D:$D,ТГ!$A957)</f>
        <v>0</v>
      </c>
    </row>
    <row r="957" spans="1:22" x14ac:dyDescent="0.25">
      <c r="A957" s="116" t="str">
        <f t="shared" si="15"/>
        <v/>
      </c>
      <c r="K957" s="130">
        <f>SUMIFS(ТГ_ИД!$E:$E,ТГ_ИД!$B:$B,ТГ!$G$3,ТГ_ИД!$D:$D,ТГ!$A958)</f>
        <v>0</v>
      </c>
      <c r="L957" s="130">
        <f>SUMIFS(ТГ_ИД!$E:$E,ТГ_ИД!$B:$B,ТГ!$G$4,ТГ_ИД!$D:$D,ТГ!$A958)</f>
        <v>0</v>
      </c>
      <c r="M957" s="130">
        <f>SUMIFS(ТГ_ИД!$E:$E,ТГ_ИД!$B:$B,ТГ!$G$5,ТГ_ИД!$D:$D,ТГ!$A958)</f>
        <v>0</v>
      </c>
      <c r="N957" s="130">
        <f>SUMIFS(ТГ_ИД!$E:$E,ТГ_ИД!$B:$B,ТГ!$G$6,ТГ_ИД!$D:$D,ТГ!$A958)</f>
        <v>0</v>
      </c>
      <c r="O957" s="130">
        <f>SUMIFS(ТГ_ИД!$E:$E,ТГ_ИД!$B:$B,ТГ!$G$7,ТГ_ИД!$D:$D,ТГ!$A958)</f>
        <v>0</v>
      </c>
      <c r="P957" s="130">
        <f>SUMIFS(ТГ_ИД!$E:$E,ТГ_ИД!$B:$B,ТГ!$G$8,ТГ_ИД!$D:$D,ТГ!$A958)</f>
        <v>0</v>
      </c>
      <c r="Q957" s="130">
        <f>SUMIFS(ТГ_ИД!$E:$E,ТГ_ИД!$B:$B,ТГ!$G$9,ТГ_ИД!$D:$D,ТГ!$A958)</f>
        <v>0</v>
      </c>
      <c r="R957" s="130">
        <f>SUMIFS(ТГ_ИД!$E:$E,ТГ_ИД!$B:$B,ТГ!$G$10,ТГ_ИД!$D:$D,ТГ!$A958)</f>
        <v>0</v>
      </c>
      <c r="S957" s="130">
        <f>SUMIFS(ТГ_ИД!$E:$E,ТГ_ИД!$B:$B,ТГ!$G$11,ТГ_ИД!$D:$D,ТГ!$A958)</f>
        <v>0</v>
      </c>
      <c r="T957" s="130">
        <f>SUMIFS(ТГ_ИД!$E:$E,ТГ_ИД!$B:$B,ТГ!$G$12,ТГ_ИД!$D:$D,ТГ!$A958)</f>
        <v>0</v>
      </c>
      <c r="U957" s="130">
        <f>SUMIFS(ТГ_ИД!$E:$E,ТГ_ИД!$B:$B,ТГ!$G$13,ТГ_ИД!$D:$D,ТГ!$A958)</f>
        <v>0</v>
      </c>
      <c r="V957" s="130">
        <f>SUMIFS(ТГ_ИД!$E:$E,ТГ_ИД!$B:$B,ТГ!$G$14,ТГ_ИД!$D:$D,ТГ!$A958)</f>
        <v>0</v>
      </c>
    </row>
    <row r="958" spans="1:22" x14ac:dyDescent="0.25">
      <c r="A958" s="116" t="str">
        <f t="shared" si="15"/>
        <v/>
      </c>
      <c r="K958" s="130">
        <f>SUMIFS(ТГ_ИД!$E:$E,ТГ_ИД!$B:$B,ТГ!$G$3,ТГ_ИД!$D:$D,ТГ!$A959)</f>
        <v>0</v>
      </c>
      <c r="L958" s="130">
        <f>SUMIFS(ТГ_ИД!$E:$E,ТГ_ИД!$B:$B,ТГ!$G$4,ТГ_ИД!$D:$D,ТГ!$A959)</f>
        <v>0</v>
      </c>
      <c r="M958" s="130">
        <f>SUMIFS(ТГ_ИД!$E:$E,ТГ_ИД!$B:$B,ТГ!$G$5,ТГ_ИД!$D:$D,ТГ!$A959)</f>
        <v>0</v>
      </c>
      <c r="N958" s="130">
        <f>SUMIFS(ТГ_ИД!$E:$E,ТГ_ИД!$B:$B,ТГ!$G$6,ТГ_ИД!$D:$D,ТГ!$A959)</f>
        <v>0</v>
      </c>
      <c r="O958" s="130">
        <f>SUMIFS(ТГ_ИД!$E:$E,ТГ_ИД!$B:$B,ТГ!$G$7,ТГ_ИД!$D:$D,ТГ!$A959)</f>
        <v>0</v>
      </c>
      <c r="P958" s="130">
        <f>SUMIFS(ТГ_ИД!$E:$E,ТГ_ИД!$B:$B,ТГ!$G$8,ТГ_ИД!$D:$D,ТГ!$A959)</f>
        <v>0</v>
      </c>
      <c r="Q958" s="130">
        <f>SUMIFS(ТГ_ИД!$E:$E,ТГ_ИД!$B:$B,ТГ!$G$9,ТГ_ИД!$D:$D,ТГ!$A959)</f>
        <v>0</v>
      </c>
      <c r="R958" s="130">
        <f>SUMIFS(ТГ_ИД!$E:$E,ТГ_ИД!$B:$B,ТГ!$G$10,ТГ_ИД!$D:$D,ТГ!$A959)</f>
        <v>0</v>
      </c>
      <c r="S958" s="130">
        <f>SUMIFS(ТГ_ИД!$E:$E,ТГ_ИД!$B:$B,ТГ!$G$11,ТГ_ИД!$D:$D,ТГ!$A959)</f>
        <v>0</v>
      </c>
      <c r="T958" s="130">
        <f>SUMIFS(ТГ_ИД!$E:$E,ТГ_ИД!$B:$B,ТГ!$G$12,ТГ_ИД!$D:$D,ТГ!$A959)</f>
        <v>0</v>
      </c>
      <c r="U958" s="130">
        <f>SUMIFS(ТГ_ИД!$E:$E,ТГ_ИД!$B:$B,ТГ!$G$13,ТГ_ИД!$D:$D,ТГ!$A959)</f>
        <v>0</v>
      </c>
      <c r="V958" s="130">
        <f>SUMIFS(ТГ_ИД!$E:$E,ТГ_ИД!$B:$B,ТГ!$G$14,ТГ_ИД!$D:$D,ТГ!$A959)</f>
        <v>0</v>
      </c>
    </row>
    <row r="959" spans="1:22" x14ac:dyDescent="0.25">
      <c r="A959" s="116" t="str">
        <f t="shared" si="15"/>
        <v/>
      </c>
      <c r="K959" s="130">
        <f>SUMIFS(ТГ_ИД!$E:$E,ТГ_ИД!$B:$B,ТГ!$G$3,ТГ_ИД!$D:$D,ТГ!$A960)</f>
        <v>0</v>
      </c>
      <c r="L959" s="130">
        <f>SUMIFS(ТГ_ИД!$E:$E,ТГ_ИД!$B:$B,ТГ!$G$4,ТГ_ИД!$D:$D,ТГ!$A960)</f>
        <v>0</v>
      </c>
      <c r="M959" s="130">
        <f>SUMIFS(ТГ_ИД!$E:$E,ТГ_ИД!$B:$B,ТГ!$G$5,ТГ_ИД!$D:$D,ТГ!$A960)</f>
        <v>0</v>
      </c>
      <c r="N959" s="130">
        <f>SUMIFS(ТГ_ИД!$E:$E,ТГ_ИД!$B:$B,ТГ!$G$6,ТГ_ИД!$D:$D,ТГ!$A960)</f>
        <v>0</v>
      </c>
      <c r="O959" s="130">
        <f>SUMIFS(ТГ_ИД!$E:$E,ТГ_ИД!$B:$B,ТГ!$G$7,ТГ_ИД!$D:$D,ТГ!$A960)</f>
        <v>0</v>
      </c>
      <c r="P959" s="130">
        <f>SUMIFS(ТГ_ИД!$E:$E,ТГ_ИД!$B:$B,ТГ!$G$8,ТГ_ИД!$D:$D,ТГ!$A960)</f>
        <v>0</v>
      </c>
      <c r="Q959" s="130">
        <f>SUMIFS(ТГ_ИД!$E:$E,ТГ_ИД!$B:$B,ТГ!$G$9,ТГ_ИД!$D:$D,ТГ!$A960)</f>
        <v>0</v>
      </c>
      <c r="R959" s="130">
        <f>SUMIFS(ТГ_ИД!$E:$E,ТГ_ИД!$B:$B,ТГ!$G$10,ТГ_ИД!$D:$D,ТГ!$A960)</f>
        <v>0</v>
      </c>
      <c r="S959" s="130">
        <f>SUMIFS(ТГ_ИД!$E:$E,ТГ_ИД!$B:$B,ТГ!$G$11,ТГ_ИД!$D:$D,ТГ!$A960)</f>
        <v>0</v>
      </c>
      <c r="T959" s="130">
        <f>SUMIFS(ТГ_ИД!$E:$E,ТГ_ИД!$B:$B,ТГ!$G$12,ТГ_ИД!$D:$D,ТГ!$A960)</f>
        <v>0</v>
      </c>
      <c r="U959" s="130">
        <f>SUMIFS(ТГ_ИД!$E:$E,ТГ_ИД!$B:$B,ТГ!$G$13,ТГ_ИД!$D:$D,ТГ!$A960)</f>
        <v>0</v>
      </c>
      <c r="V959" s="130">
        <f>SUMIFS(ТГ_ИД!$E:$E,ТГ_ИД!$B:$B,ТГ!$G$14,ТГ_ИД!$D:$D,ТГ!$A960)</f>
        <v>0</v>
      </c>
    </row>
    <row r="960" spans="1:22" x14ac:dyDescent="0.25">
      <c r="A960" s="116" t="str">
        <f t="shared" si="15"/>
        <v/>
      </c>
      <c r="K960" s="130">
        <f>SUMIFS(ТГ_ИД!$E:$E,ТГ_ИД!$B:$B,ТГ!$G$3,ТГ_ИД!$D:$D,ТГ!$A961)</f>
        <v>0</v>
      </c>
      <c r="L960" s="130">
        <f>SUMIFS(ТГ_ИД!$E:$E,ТГ_ИД!$B:$B,ТГ!$G$4,ТГ_ИД!$D:$D,ТГ!$A961)</f>
        <v>0</v>
      </c>
      <c r="M960" s="130">
        <f>SUMIFS(ТГ_ИД!$E:$E,ТГ_ИД!$B:$B,ТГ!$G$5,ТГ_ИД!$D:$D,ТГ!$A961)</f>
        <v>0</v>
      </c>
      <c r="N960" s="130">
        <f>SUMIFS(ТГ_ИД!$E:$E,ТГ_ИД!$B:$B,ТГ!$G$6,ТГ_ИД!$D:$D,ТГ!$A961)</f>
        <v>0</v>
      </c>
      <c r="O960" s="130">
        <f>SUMIFS(ТГ_ИД!$E:$E,ТГ_ИД!$B:$B,ТГ!$G$7,ТГ_ИД!$D:$D,ТГ!$A961)</f>
        <v>0</v>
      </c>
      <c r="P960" s="130">
        <f>SUMIFS(ТГ_ИД!$E:$E,ТГ_ИД!$B:$B,ТГ!$G$8,ТГ_ИД!$D:$D,ТГ!$A961)</f>
        <v>0</v>
      </c>
      <c r="Q960" s="130">
        <f>SUMIFS(ТГ_ИД!$E:$E,ТГ_ИД!$B:$B,ТГ!$G$9,ТГ_ИД!$D:$D,ТГ!$A961)</f>
        <v>0</v>
      </c>
      <c r="R960" s="130">
        <f>SUMIFS(ТГ_ИД!$E:$E,ТГ_ИД!$B:$B,ТГ!$G$10,ТГ_ИД!$D:$D,ТГ!$A961)</f>
        <v>0</v>
      </c>
      <c r="S960" s="130">
        <f>SUMIFS(ТГ_ИД!$E:$E,ТГ_ИД!$B:$B,ТГ!$G$11,ТГ_ИД!$D:$D,ТГ!$A961)</f>
        <v>0</v>
      </c>
      <c r="T960" s="130">
        <f>SUMIFS(ТГ_ИД!$E:$E,ТГ_ИД!$B:$B,ТГ!$G$12,ТГ_ИД!$D:$D,ТГ!$A961)</f>
        <v>0</v>
      </c>
      <c r="U960" s="130">
        <f>SUMIFS(ТГ_ИД!$E:$E,ТГ_ИД!$B:$B,ТГ!$G$13,ТГ_ИД!$D:$D,ТГ!$A961)</f>
        <v>0</v>
      </c>
      <c r="V960" s="130">
        <f>SUMIFS(ТГ_ИД!$E:$E,ТГ_ИД!$B:$B,ТГ!$G$14,ТГ_ИД!$D:$D,ТГ!$A961)</f>
        <v>0</v>
      </c>
    </row>
    <row r="961" spans="1:22" x14ac:dyDescent="0.25">
      <c r="A961" s="116" t="str">
        <f t="shared" si="15"/>
        <v/>
      </c>
      <c r="K961" s="130">
        <f>SUMIFS(ТГ_ИД!$E:$E,ТГ_ИД!$B:$B,ТГ!$G$3,ТГ_ИД!$D:$D,ТГ!$A962)</f>
        <v>0</v>
      </c>
      <c r="L961" s="130">
        <f>SUMIFS(ТГ_ИД!$E:$E,ТГ_ИД!$B:$B,ТГ!$G$4,ТГ_ИД!$D:$D,ТГ!$A962)</f>
        <v>0</v>
      </c>
      <c r="M961" s="130">
        <f>SUMIFS(ТГ_ИД!$E:$E,ТГ_ИД!$B:$B,ТГ!$G$5,ТГ_ИД!$D:$D,ТГ!$A962)</f>
        <v>0</v>
      </c>
      <c r="N961" s="130">
        <f>SUMIFS(ТГ_ИД!$E:$E,ТГ_ИД!$B:$B,ТГ!$G$6,ТГ_ИД!$D:$D,ТГ!$A962)</f>
        <v>0</v>
      </c>
      <c r="O961" s="130">
        <f>SUMIFS(ТГ_ИД!$E:$E,ТГ_ИД!$B:$B,ТГ!$G$7,ТГ_ИД!$D:$D,ТГ!$A962)</f>
        <v>0</v>
      </c>
      <c r="P961" s="130">
        <f>SUMIFS(ТГ_ИД!$E:$E,ТГ_ИД!$B:$B,ТГ!$G$8,ТГ_ИД!$D:$D,ТГ!$A962)</f>
        <v>0</v>
      </c>
      <c r="Q961" s="130">
        <f>SUMIFS(ТГ_ИД!$E:$E,ТГ_ИД!$B:$B,ТГ!$G$9,ТГ_ИД!$D:$D,ТГ!$A962)</f>
        <v>0</v>
      </c>
      <c r="R961" s="130">
        <f>SUMIFS(ТГ_ИД!$E:$E,ТГ_ИД!$B:$B,ТГ!$G$10,ТГ_ИД!$D:$D,ТГ!$A962)</f>
        <v>0</v>
      </c>
      <c r="S961" s="130">
        <f>SUMIFS(ТГ_ИД!$E:$E,ТГ_ИД!$B:$B,ТГ!$G$11,ТГ_ИД!$D:$D,ТГ!$A962)</f>
        <v>0</v>
      </c>
      <c r="T961" s="130">
        <f>SUMIFS(ТГ_ИД!$E:$E,ТГ_ИД!$B:$B,ТГ!$G$12,ТГ_ИД!$D:$D,ТГ!$A962)</f>
        <v>0</v>
      </c>
      <c r="U961" s="130">
        <f>SUMIFS(ТГ_ИД!$E:$E,ТГ_ИД!$B:$B,ТГ!$G$13,ТГ_ИД!$D:$D,ТГ!$A962)</f>
        <v>0</v>
      </c>
      <c r="V961" s="130">
        <f>SUMIFS(ТГ_ИД!$E:$E,ТГ_ИД!$B:$B,ТГ!$G$14,ТГ_ИД!$D:$D,ТГ!$A962)</f>
        <v>0</v>
      </c>
    </row>
    <row r="962" spans="1:22" x14ac:dyDescent="0.25">
      <c r="A962" s="116" t="str">
        <f t="shared" si="15"/>
        <v/>
      </c>
      <c r="K962" s="130">
        <f>SUMIFS(ТГ_ИД!$E:$E,ТГ_ИД!$B:$B,ТГ!$G$3,ТГ_ИД!$D:$D,ТГ!$A963)</f>
        <v>0</v>
      </c>
      <c r="L962" s="130">
        <f>SUMIFS(ТГ_ИД!$E:$E,ТГ_ИД!$B:$B,ТГ!$G$4,ТГ_ИД!$D:$D,ТГ!$A963)</f>
        <v>0</v>
      </c>
      <c r="M962" s="130">
        <f>SUMIFS(ТГ_ИД!$E:$E,ТГ_ИД!$B:$B,ТГ!$G$5,ТГ_ИД!$D:$D,ТГ!$A963)</f>
        <v>0</v>
      </c>
      <c r="N962" s="130">
        <f>SUMIFS(ТГ_ИД!$E:$E,ТГ_ИД!$B:$B,ТГ!$G$6,ТГ_ИД!$D:$D,ТГ!$A963)</f>
        <v>0</v>
      </c>
      <c r="O962" s="130">
        <f>SUMIFS(ТГ_ИД!$E:$E,ТГ_ИД!$B:$B,ТГ!$G$7,ТГ_ИД!$D:$D,ТГ!$A963)</f>
        <v>0</v>
      </c>
      <c r="P962" s="130">
        <f>SUMIFS(ТГ_ИД!$E:$E,ТГ_ИД!$B:$B,ТГ!$G$8,ТГ_ИД!$D:$D,ТГ!$A963)</f>
        <v>0</v>
      </c>
      <c r="Q962" s="130">
        <f>SUMIFS(ТГ_ИД!$E:$E,ТГ_ИД!$B:$B,ТГ!$G$9,ТГ_ИД!$D:$D,ТГ!$A963)</f>
        <v>0</v>
      </c>
      <c r="R962" s="130">
        <f>SUMIFS(ТГ_ИД!$E:$E,ТГ_ИД!$B:$B,ТГ!$G$10,ТГ_ИД!$D:$D,ТГ!$A963)</f>
        <v>0</v>
      </c>
      <c r="S962" s="130">
        <f>SUMIFS(ТГ_ИД!$E:$E,ТГ_ИД!$B:$B,ТГ!$G$11,ТГ_ИД!$D:$D,ТГ!$A963)</f>
        <v>0</v>
      </c>
      <c r="T962" s="130">
        <f>SUMIFS(ТГ_ИД!$E:$E,ТГ_ИД!$B:$B,ТГ!$G$12,ТГ_ИД!$D:$D,ТГ!$A963)</f>
        <v>0</v>
      </c>
      <c r="U962" s="130">
        <f>SUMIFS(ТГ_ИД!$E:$E,ТГ_ИД!$B:$B,ТГ!$G$13,ТГ_ИД!$D:$D,ТГ!$A963)</f>
        <v>0</v>
      </c>
      <c r="V962" s="130">
        <f>SUMIFS(ТГ_ИД!$E:$E,ТГ_ИД!$B:$B,ТГ!$G$14,ТГ_ИД!$D:$D,ТГ!$A963)</f>
        <v>0</v>
      </c>
    </row>
    <row r="963" spans="1:22" x14ac:dyDescent="0.25">
      <c r="A963" s="116" t="str">
        <f t="shared" si="15"/>
        <v/>
      </c>
      <c r="K963" s="130">
        <f>SUMIFS(ТГ_ИД!$E:$E,ТГ_ИД!$B:$B,ТГ!$G$3,ТГ_ИД!$D:$D,ТГ!$A964)</f>
        <v>0</v>
      </c>
      <c r="L963" s="130">
        <f>SUMIFS(ТГ_ИД!$E:$E,ТГ_ИД!$B:$B,ТГ!$G$4,ТГ_ИД!$D:$D,ТГ!$A964)</f>
        <v>0</v>
      </c>
      <c r="M963" s="130">
        <f>SUMIFS(ТГ_ИД!$E:$E,ТГ_ИД!$B:$B,ТГ!$G$5,ТГ_ИД!$D:$D,ТГ!$A964)</f>
        <v>0</v>
      </c>
      <c r="N963" s="130">
        <f>SUMIFS(ТГ_ИД!$E:$E,ТГ_ИД!$B:$B,ТГ!$G$6,ТГ_ИД!$D:$D,ТГ!$A964)</f>
        <v>0</v>
      </c>
      <c r="O963" s="130">
        <f>SUMIFS(ТГ_ИД!$E:$E,ТГ_ИД!$B:$B,ТГ!$G$7,ТГ_ИД!$D:$D,ТГ!$A964)</f>
        <v>0</v>
      </c>
      <c r="P963" s="130">
        <f>SUMIFS(ТГ_ИД!$E:$E,ТГ_ИД!$B:$B,ТГ!$G$8,ТГ_ИД!$D:$D,ТГ!$A964)</f>
        <v>0</v>
      </c>
      <c r="Q963" s="130">
        <f>SUMIFS(ТГ_ИД!$E:$E,ТГ_ИД!$B:$B,ТГ!$G$9,ТГ_ИД!$D:$D,ТГ!$A964)</f>
        <v>0</v>
      </c>
      <c r="R963" s="130">
        <f>SUMIFS(ТГ_ИД!$E:$E,ТГ_ИД!$B:$B,ТГ!$G$10,ТГ_ИД!$D:$D,ТГ!$A964)</f>
        <v>0</v>
      </c>
      <c r="S963" s="130">
        <f>SUMIFS(ТГ_ИД!$E:$E,ТГ_ИД!$B:$B,ТГ!$G$11,ТГ_ИД!$D:$D,ТГ!$A964)</f>
        <v>0</v>
      </c>
      <c r="T963" s="130">
        <f>SUMIFS(ТГ_ИД!$E:$E,ТГ_ИД!$B:$B,ТГ!$G$12,ТГ_ИД!$D:$D,ТГ!$A964)</f>
        <v>0</v>
      </c>
      <c r="U963" s="130">
        <f>SUMIFS(ТГ_ИД!$E:$E,ТГ_ИД!$B:$B,ТГ!$G$13,ТГ_ИД!$D:$D,ТГ!$A964)</f>
        <v>0</v>
      </c>
      <c r="V963" s="130">
        <f>SUMIFS(ТГ_ИД!$E:$E,ТГ_ИД!$B:$B,ТГ!$G$14,ТГ_ИД!$D:$D,ТГ!$A964)</f>
        <v>0</v>
      </c>
    </row>
    <row r="964" spans="1:22" x14ac:dyDescent="0.25">
      <c r="A964" s="116" t="str">
        <f t="shared" si="15"/>
        <v/>
      </c>
      <c r="K964" s="130">
        <f>SUMIFS(ТГ_ИД!$E:$E,ТГ_ИД!$B:$B,ТГ!$G$3,ТГ_ИД!$D:$D,ТГ!$A965)</f>
        <v>0</v>
      </c>
      <c r="L964" s="130">
        <f>SUMIFS(ТГ_ИД!$E:$E,ТГ_ИД!$B:$B,ТГ!$G$4,ТГ_ИД!$D:$D,ТГ!$A965)</f>
        <v>0</v>
      </c>
      <c r="M964" s="130">
        <f>SUMIFS(ТГ_ИД!$E:$E,ТГ_ИД!$B:$B,ТГ!$G$5,ТГ_ИД!$D:$D,ТГ!$A965)</f>
        <v>0</v>
      </c>
      <c r="N964" s="130">
        <f>SUMIFS(ТГ_ИД!$E:$E,ТГ_ИД!$B:$B,ТГ!$G$6,ТГ_ИД!$D:$D,ТГ!$A965)</f>
        <v>0</v>
      </c>
      <c r="O964" s="130">
        <f>SUMIFS(ТГ_ИД!$E:$E,ТГ_ИД!$B:$B,ТГ!$G$7,ТГ_ИД!$D:$D,ТГ!$A965)</f>
        <v>0</v>
      </c>
      <c r="P964" s="130">
        <f>SUMIFS(ТГ_ИД!$E:$E,ТГ_ИД!$B:$B,ТГ!$G$8,ТГ_ИД!$D:$D,ТГ!$A965)</f>
        <v>0</v>
      </c>
      <c r="Q964" s="130">
        <f>SUMIFS(ТГ_ИД!$E:$E,ТГ_ИД!$B:$B,ТГ!$G$9,ТГ_ИД!$D:$D,ТГ!$A965)</f>
        <v>0</v>
      </c>
      <c r="R964" s="130">
        <f>SUMIFS(ТГ_ИД!$E:$E,ТГ_ИД!$B:$B,ТГ!$G$10,ТГ_ИД!$D:$D,ТГ!$A965)</f>
        <v>0</v>
      </c>
      <c r="S964" s="130">
        <f>SUMIFS(ТГ_ИД!$E:$E,ТГ_ИД!$B:$B,ТГ!$G$11,ТГ_ИД!$D:$D,ТГ!$A965)</f>
        <v>0</v>
      </c>
      <c r="T964" s="130">
        <f>SUMIFS(ТГ_ИД!$E:$E,ТГ_ИД!$B:$B,ТГ!$G$12,ТГ_ИД!$D:$D,ТГ!$A965)</f>
        <v>0</v>
      </c>
      <c r="U964" s="130">
        <f>SUMIFS(ТГ_ИД!$E:$E,ТГ_ИД!$B:$B,ТГ!$G$13,ТГ_ИД!$D:$D,ТГ!$A965)</f>
        <v>0</v>
      </c>
      <c r="V964" s="130">
        <f>SUMIFS(ТГ_ИД!$E:$E,ТГ_ИД!$B:$B,ТГ!$G$14,ТГ_ИД!$D:$D,ТГ!$A965)</f>
        <v>0</v>
      </c>
    </row>
    <row r="965" spans="1:22" x14ac:dyDescent="0.25">
      <c r="A965" s="116" t="str">
        <f t="shared" ref="A965:A1001" si="16">IF(B965="","",TEXT(B965,"00000"))</f>
        <v/>
      </c>
      <c r="K965" s="130">
        <f>SUMIFS(ТГ_ИД!$E:$E,ТГ_ИД!$B:$B,ТГ!$G$3,ТГ_ИД!$D:$D,ТГ!$A966)</f>
        <v>0</v>
      </c>
      <c r="L965" s="130">
        <f>SUMIFS(ТГ_ИД!$E:$E,ТГ_ИД!$B:$B,ТГ!$G$4,ТГ_ИД!$D:$D,ТГ!$A966)</f>
        <v>0</v>
      </c>
      <c r="M965" s="130">
        <f>SUMIFS(ТГ_ИД!$E:$E,ТГ_ИД!$B:$B,ТГ!$G$5,ТГ_ИД!$D:$D,ТГ!$A966)</f>
        <v>0</v>
      </c>
      <c r="N965" s="130">
        <f>SUMIFS(ТГ_ИД!$E:$E,ТГ_ИД!$B:$B,ТГ!$G$6,ТГ_ИД!$D:$D,ТГ!$A966)</f>
        <v>0</v>
      </c>
      <c r="O965" s="130">
        <f>SUMIFS(ТГ_ИД!$E:$E,ТГ_ИД!$B:$B,ТГ!$G$7,ТГ_ИД!$D:$D,ТГ!$A966)</f>
        <v>0</v>
      </c>
      <c r="P965" s="130">
        <f>SUMIFS(ТГ_ИД!$E:$E,ТГ_ИД!$B:$B,ТГ!$G$8,ТГ_ИД!$D:$D,ТГ!$A966)</f>
        <v>0</v>
      </c>
      <c r="Q965" s="130">
        <f>SUMIFS(ТГ_ИД!$E:$E,ТГ_ИД!$B:$B,ТГ!$G$9,ТГ_ИД!$D:$D,ТГ!$A966)</f>
        <v>0</v>
      </c>
      <c r="R965" s="130">
        <f>SUMIFS(ТГ_ИД!$E:$E,ТГ_ИД!$B:$B,ТГ!$G$10,ТГ_ИД!$D:$D,ТГ!$A966)</f>
        <v>0</v>
      </c>
      <c r="S965" s="130">
        <f>SUMIFS(ТГ_ИД!$E:$E,ТГ_ИД!$B:$B,ТГ!$G$11,ТГ_ИД!$D:$D,ТГ!$A966)</f>
        <v>0</v>
      </c>
      <c r="T965" s="130">
        <f>SUMIFS(ТГ_ИД!$E:$E,ТГ_ИД!$B:$B,ТГ!$G$12,ТГ_ИД!$D:$D,ТГ!$A966)</f>
        <v>0</v>
      </c>
      <c r="U965" s="130">
        <f>SUMIFS(ТГ_ИД!$E:$E,ТГ_ИД!$B:$B,ТГ!$G$13,ТГ_ИД!$D:$D,ТГ!$A966)</f>
        <v>0</v>
      </c>
      <c r="V965" s="130">
        <f>SUMIFS(ТГ_ИД!$E:$E,ТГ_ИД!$B:$B,ТГ!$G$14,ТГ_ИД!$D:$D,ТГ!$A966)</f>
        <v>0</v>
      </c>
    </row>
    <row r="966" spans="1:22" x14ac:dyDescent="0.25">
      <c r="A966" s="116" t="str">
        <f t="shared" si="16"/>
        <v/>
      </c>
      <c r="K966" s="130">
        <f>SUMIFS(ТГ_ИД!$E:$E,ТГ_ИД!$B:$B,ТГ!$G$3,ТГ_ИД!$D:$D,ТГ!$A967)</f>
        <v>0</v>
      </c>
      <c r="L966" s="130">
        <f>SUMIFS(ТГ_ИД!$E:$E,ТГ_ИД!$B:$B,ТГ!$G$4,ТГ_ИД!$D:$D,ТГ!$A967)</f>
        <v>0</v>
      </c>
      <c r="M966" s="130">
        <f>SUMIFS(ТГ_ИД!$E:$E,ТГ_ИД!$B:$B,ТГ!$G$5,ТГ_ИД!$D:$D,ТГ!$A967)</f>
        <v>0</v>
      </c>
      <c r="N966" s="130">
        <f>SUMIFS(ТГ_ИД!$E:$E,ТГ_ИД!$B:$B,ТГ!$G$6,ТГ_ИД!$D:$D,ТГ!$A967)</f>
        <v>0</v>
      </c>
      <c r="O966" s="130">
        <f>SUMIFS(ТГ_ИД!$E:$E,ТГ_ИД!$B:$B,ТГ!$G$7,ТГ_ИД!$D:$D,ТГ!$A967)</f>
        <v>0</v>
      </c>
      <c r="P966" s="130">
        <f>SUMIFS(ТГ_ИД!$E:$E,ТГ_ИД!$B:$B,ТГ!$G$8,ТГ_ИД!$D:$D,ТГ!$A967)</f>
        <v>0</v>
      </c>
      <c r="Q966" s="130">
        <f>SUMIFS(ТГ_ИД!$E:$E,ТГ_ИД!$B:$B,ТГ!$G$9,ТГ_ИД!$D:$D,ТГ!$A967)</f>
        <v>0</v>
      </c>
      <c r="R966" s="130">
        <f>SUMIFS(ТГ_ИД!$E:$E,ТГ_ИД!$B:$B,ТГ!$G$10,ТГ_ИД!$D:$D,ТГ!$A967)</f>
        <v>0</v>
      </c>
      <c r="S966" s="130">
        <f>SUMIFS(ТГ_ИД!$E:$E,ТГ_ИД!$B:$B,ТГ!$G$11,ТГ_ИД!$D:$D,ТГ!$A967)</f>
        <v>0</v>
      </c>
      <c r="T966" s="130">
        <f>SUMIFS(ТГ_ИД!$E:$E,ТГ_ИД!$B:$B,ТГ!$G$12,ТГ_ИД!$D:$D,ТГ!$A967)</f>
        <v>0</v>
      </c>
      <c r="U966" s="130">
        <f>SUMIFS(ТГ_ИД!$E:$E,ТГ_ИД!$B:$B,ТГ!$G$13,ТГ_ИД!$D:$D,ТГ!$A967)</f>
        <v>0</v>
      </c>
      <c r="V966" s="130">
        <f>SUMIFS(ТГ_ИД!$E:$E,ТГ_ИД!$B:$B,ТГ!$G$14,ТГ_ИД!$D:$D,ТГ!$A967)</f>
        <v>0</v>
      </c>
    </row>
    <row r="967" spans="1:22" x14ac:dyDescent="0.25">
      <c r="A967" s="116" t="str">
        <f t="shared" si="16"/>
        <v/>
      </c>
      <c r="K967" s="130">
        <f>SUMIFS(ТГ_ИД!$E:$E,ТГ_ИД!$B:$B,ТГ!$G$3,ТГ_ИД!$D:$D,ТГ!$A968)</f>
        <v>0</v>
      </c>
      <c r="L967" s="130">
        <f>SUMIFS(ТГ_ИД!$E:$E,ТГ_ИД!$B:$B,ТГ!$G$4,ТГ_ИД!$D:$D,ТГ!$A968)</f>
        <v>0</v>
      </c>
      <c r="M967" s="130">
        <f>SUMIFS(ТГ_ИД!$E:$E,ТГ_ИД!$B:$B,ТГ!$G$5,ТГ_ИД!$D:$D,ТГ!$A968)</f>
        <v>0</v>
      </c>
      <c r="N967" s="130">
        <f>SUMIFS(ТГ_ИД!$E:$E,ТГ_ИД!$B:$B,ТГ!$G$6,ТГ_ИД!$D:$D,ТГ!$A968)</f>
        <v>0</v>
      </c>
      <c r="O967" s="130">
        <f>SUMIFS(ТГ_ИД!$E:$E,ТГ_ИД!$B:$B,ТГ!$G$7,ТГ_ИД!$D:$D,ТГ!$A968)</f>
        <v>0</v>
      </c>
      <c r="P967" s="130">
        <f>SUMIFS(ТГ_ИД!$E:$E,ТГ_ИД!$B:$B,ТГ!$G$8,ТГ_ИД!$D:$D,ТГ!$A968)</f>
        <v>0</v>
      </c>
      <c r="Q967" s="130">
        <f>SUMIFS(ТГ_ИД!$E:$E,ТГ_ИД!$B:$B,ТГ!$G$9,ТГ_ИД!$D:$D,ТГ!$A968)</f>
        <v>0</v>
      </c>
      <c r="R967" s="130">
        <f>SUMIFS(ТГ_ИД!$E:$E,ТГ_ИД!$B:$B,ТГ!$G$10,ТГ_ИД!$D:$D,ТГ!$A968)</f>
        <v>0</v>
      </c>
      <c r="S967" s="130">
        <f>SUMIFS(ТГ_ИД!$E:$E,ТГ_ИД!$B:$B,ТГ!$G$11,ТГ_ИД!$D:$D,ТГ!$A968)</f>
        <v>0</v>
      </c>
      <c r="T967" s="130">
        <f>SUMIFS(ТГ_ИД!$E:$E,ТГ_ИД!$B:$B,ТГ!$G$12,ТГ_ИД!$D:$D,ТГ!$A968)</f>
        <v>0</v>
      </c>
      <c r="U967" s="130">
        <f>SUMIFS(ТГ_ИД!$E:$E,ТГ_ИД!$B:$B,ТГ!$G$13,ТГ_ИД!$D:$D,ТГ!$A968)</f>
        <v>0</v>
      </c>
      <c r="V967" s="130">
        <f>SUMIFS(ТГ_ИД!$E:$E,ТГ_ИД!$B:$B,ТГ!$G$14,ТГ_ИД!$D:$D,ТГ!$A968)</f>
        <v>0</v>
      </c>
    </row>
    <row r="968" spans="1:22" x14ac:dyDescent="0.25">
      <c r="A968" s="116" t="str">
        <f t="shared" si="16"/>
        <v/>
      </c>
      <c r="K968" s="130">
        <f>SUMIFS(ТГ_ИД!$E:$E,ТГ_ИД!$B:$B,ТГ!$G$3,ТГ_ИД!$D:$D,ТГ!$A969)</f>
        <v>0</v>
      </c>
      <c r="L968" s="130">
        <f>SUMIFS(ТГ_ИД!$E:$E,ТГ_ИД!$B:$B,ТГ!$G$4,ТГ_ИД!$D:$D,ТГ!$A969)</f>
        <v>0</v>
      </c>
      <c r="M968" s="130">
        <f>SUMIFS(ТГ_ИД!$E:$E,ТГ_ИД!$B:$B,ТГ!$G$5,ТГ_ИД!$D:$D,ТГ!$A969)</f>
        <v>0</v>
      </c>
      <c r="N968" s="130">
        <f>SUMIFS(ТГ_ИД!$E:$E,ТГ_ИД!$B:$B,ТГ!$G$6,ТГ_ИД!$D:$D,ТГ!$A969)</f>
        <v>0</v>
      </c>
      <c r="O968" s="130">
        <f>SUMIFS(ТГ_ИД!$E:$E,ТГ_ИД!$B:$B,ТГ!$G$7,ТГ_ИД!$D:$D,ТГ!$A969)</f>
        <v>0</v>
      </c>
      <c r="P968" s="130">
        <f>SUMIFS(ТГ_ИД!$E:$E,ТГ_ИД!$B:$B,ТГ!$G$8,ТГ_ИД!$D:$D,ТГ!$A969)</f>
        <v>0</v>
      </c>
      <c r="Q968" s="130">
        <f>SUMIFS(ТГ_ИД!$E:$E,ТГ_ИД!$B:$B,ТГ!$G$9,ТГ_ИД!$D:$D,ТГ!$A969)</f>
        <v>0</v>
      </c>
      <c r="R968" s="130">
        <f>SUMIFS(ТГ_ИД!$E:$E,ТГ_ИД!$B:$B,ТГ!$G$10,ТГ_ИД!$D:$D,ТГ!$A969)</f>
        <v>0</v>
      </c>
      <c r="S968" s="130">
        <f>SUMIFS(ТГ_ИД!$E:$E,ТГ_ИД!$B:$B,ТГ!$G$11,ТГ_ИД!$D:$D,ТГ!$A969)</f>
        <v>0</v>
      </c>
      <c r="T968" s="130">
        <f>SUMIFS(ТГ_ИД!$E:$E,ТГ_ИД!$B:$B,ТГ!$G$12,ТГ_ИД!$D:$D,ТГ!$A969)</f>
        <v>0</v>
      </c>
      <c r="U968" s="130">
        <f>SUMIFS(ТГ_ИД!$E:$E,ТГ_ИД!$B:$B,ТГ!$G$13,ТГ_ИД!$D:$D,ТГ!$A969)</f>
        <v>0</v>
      </c>
      <c r="V968" s="130">
        <f>SUMIFS(ТГ_ИД!$E:$E,ТГ_ИД!$B:$B,ТГ!$G$14,ТГ_ИД!$D:$D,ТГ!$A969)</f>
        <v>0</v>
      </c>
    </row>
    <row r="969" spans="1:22" x14ac:dyDescent="0.25">
      <c r="A969" s="116" t="str">
        <f t="shared" si="16"/>
        <v/>
      </c>
      <c r="K969" s="130">
        <f>SUMIFS(ТГ_ИД!$E:$E,ТГ_ИД!$B:$B,ТГ!$G$3,ТГ_ИД!$D:$D,ТГ!$A970)</f>
        <v>0</v>
      </c>
      <c r="L969" s="130">
        <f>SUMIFS(ТГ_ИД!$E:$E,ТГ_ИД!$B:$B,ТГ!$G$4,ТГ_ИД!$D:$D,ТГ!$A970)</f>
        <v>0</v>
      </c>
      <c r="M969" s="130">
        <f>SUMIFS(ТГ_ИД!$E:$E,ТГ_ИД!$B:$B,ТГ!$G$5,ТГ_ИД!$D:$D,ТГ!$A970)</f>
        <v>0</v>
      </c>
      <c r="N969" s="130">
        <f>SUMIFS(ТГ_ИД!$E:$E,ТГ_ИД!$B:$B,ТГ!$G$6,ТГ_ИД!$D:$D,ТГ!$A970)</f>
        <v>0</v>
      </c>
      <c r="O969" s="130">
        <f>SUMIFS(ТГ_ИД!$E:$E,ТГ_ИД!$B:$B,ТГ!$G$7,ТГ_ИД!$D:$D,ТГ!$A970)</f>
        <v>0</v>
      </c>
      <c r="P969" s="130">
        <f>SUMIFS(ТГ_ИД!$E:$E,ТГ_ИД!$B:$B,ТГ!$G$8,ТГ_ИД!$D:$D,ТГ!$A970)</f>
        <v>0</v>
      </c>
      <c r="Q969" s="130">
        <f>SUMIFS(ТГ_ИД!$E:$E,ТГ_ИД!$B:$B,ТГ!$G$9,ТГ_ИД!$D:$D,ТГ!$A970)</f>
        <v>0</v>
      </c>
      <c r="R969" s="130">
        <f>SUMIFS(ТГ_ИД!$E:$E,ТГ_ИД!$B:$B,ТГ!$G$10,ТГ_ИД!$D:$D,ТГ!$A970)</f>
        <v>0</v>
      </c>
      <c r="S969" s="130">
        <f>SUMIFS(ТГ_ИД!$E:$E,ТГ_ИД!$B:$B,ТГ!$G$11,ТГ_ИД!$D:$D,ТГ!$A970)</f>
        <v>0</v>
      </c>
      <c r="T969" s="130">
        <f>SUMIFS(ТГ_ИД!$E:$E,ТГ_ИД!$B:$B,ТГ!$G$12,ТГ_ИД!$D:$D,ТГ!$A970)</f>
        <v>0</v>
      </c>
      <c r="U969" s="130">
        <f>SUMIFS(ТГ_ИД!$E:$E,ТГ_ИД!$B:$B,ТГ!$G$13,ТГ_ИД!$D:$D,ТГ!$A970)</f>
        <v>0</v>
      </c>
      <c r="V969" s="130">
        <f>SUMIFS(ТГ_ИД!$E:$E,ТГ_ИД!$B:$B,ТГ!$G$14,ТГ_ИД!$D:$D,ТГ!$A970)</f>
        <v>0</v>
      </c>
    </row>
    <row r="970" spans="1:22" x14ac:dyDescent="0.25">
      <c r="A970" s="116" t="str">
        <f t="shared" si="16"/>
        <v/>
      </c>
      <c r="K970" s="130">
        <f>SUMIFS(ТГ_ИД!$E:$E,ТГ_ИД!$B:$B,ТГ!$G$3,ТГ_ИД!$D:$D,ТГ!$A971)</f>
        <v>0</v>
      </c>
      <c r="L970" s="130">
        <f>SUMIFS(ТГ_ИД!$E:$E,ТГ_ИД!$B:$B,ТГ!$G$4,ТГ_ИД!$D:$D,ТГ!$A971)</f>
        <v>0</v>
      </c>
      <c r="M970" s="130">
        <f>SUMIFS(ТГ_ИД!$E:$E,ТГ_ИД!$B:$B,ТГ!$G$5,ТГ_ИД!$D:$D,ТГ!$A971)</f>
        <v>0</v>
      </c>
      <c r="N970" s="130">
        <f>SUMIFS(ТГ_ИД!$E:$E,ТГ_ИД!$B:$B,ТГ!$G$6,ТГ_ИД!$D:$D,ТГ!$A971)</f>
        <v>0</v>
      </c>
      <c r="O970" s="130">
        <f>SUMIFS(ТГ_ИД!$E:$E,ТГ_ИД!$B:$B,ТГ!$G$7,ТГ_ИД!$D:$D,ТГ!$A971)</f>
        <v>0</v>
      </c>
      <c r="P970" s="130">
        <f>SUMIFS(ТГ_ИД!$E:$E,ТГ_ИД!$B:$B,ТГ!$G$8,ТГ_ИД!$D:$D,ТГ!$A971)</f>
        <v>0</v>
      </c>
      <c r="Q970" s="130">
        <f>SUMIFS(ТГ_ИД!$E:$E,ТГ_ИД!$B:$B,ТГ!$G$9,ТГ_ИД!$D:$D,ТГ!$A971)</f>
        <v>0</v>
      </c>
      <c r="R970" s="130">
        <f>SUMIFS(ТГ_ИД!$E:$E,ТГ_ИД!$B:$B,ТГ!$G$10,ТГ_ИД!$D:$D,ТГ!$A971)</f>
        <v>0</v>
      </c>
      <c r="S970" s="130">
        <f>SUMIFS(ТГ_ИД!$E:$E,ТГ_ИД!$B:$B,ТГ!$G$11,ТГ_ИД!$D:$D,ТГ!$A971)</f>
        <v>0</v>
      </c>
      <c r="T970" s="130">
        <f>SUMIFS(ТГ_ИД!$E:$E,ТГ_ИД!$B:$B,ТГ!$G$12,ТГ_ИД!$D:$D,ТГ!$A971)</f>
        <v>0</v>
      </c>
      <c r="U970" s="130">
        <f>SUMIFS(ТГ_ИД!$E:$E,ТГ_ИД!$B:$B,ТГ!$G$13,ТГ_ИД!$D:$D,ТГ!$A971)</f>
        <v>0</v>
      </c>
      <c r="V970" s="130">
        <f>SUMIFS(ТГ_ИД!$E:$E,ТГ_ИД!$B:$B,ТГ!$G$14,ТГ_ИД!$D:$D,ТГ!$A971)</f>
        <v>0</v>
      </c>
    </row>
    <row r="971" spans="1:22" x14ac:dyDescent="0.25">
      <c r="A971" s="116" t="str">
        <f t="shared" si="16"/>
        <v/>
      </c>
      <c r="K971" s="130">
        <f>SUMIFS(ТГ_ИД!$E:$E,ТГ_ИД!$B:$B,ТГ!$G$3,ТГ_ИД!$D:$D,ТГ!$A972)</f>
        <v>0</v>
      </c>
      <c r="L971" s="130">
        <f>SUMIFS(ТГ_ИД!$E:$E,ТГ_ИД!$B:$B,ТГ!$G$4,ТГ_ИД!$D:$D,ТГ!$A972)</f>
        <v>0</v>
      </c>
      <c r="M971" s="130">
        <f>SUMIFS(ТГ_ИД!$E:$E,ТГ_ИД!$B:$B,ТГ!$G$5,ТГ_ИД!$D:$D,ТГ!$A972)</f>
        <v>0</v>
      </c>
      <c r="N971" s="130">
        <f>SUMIFS(ТГ_ИД!$E:$E,ТГ_ИД!$B:$B,ТГ!$G$6,ТГ_ИД!$D:$D,ТГ!$A972)</f>
        <v>0</v>
      </c>
      <c r="O971" s="130">
        <f>SUMIFS(ТГ_ИД!$E:$E,ТГ_ИД!$B:$B,ТГ!$G$7,ТГ_ИД!$D:$D,ТГ!$A972)</f>
        <v>0</v>
      </c>
      <c r="P971" s="130">
        <f>SUMIFS(ТГ_ИД!$E:$E,ТГ_ИД!$B:$B,ТГ!$G$8,ТГ_ИД!$D:$D,ТГ!$A972)</f>
        <v>0</v>
      </c>
      <c r="Q971" s="130">
        <f>SUMIFS(ТГ_ИД!$E:$E,ТГ_ИД!$B:$B,ТГ!$G$9,ТГ_ИД!$D:$D,ТГ!$A972)</f>
        <v>0</v>
      </c>
      <c r="R971" s="130">
        <f>SUMIFS(ТГ_ИД!$E:$E,ТГ_ИД!$B:$B,ТГ!$G$10,ТГ_ИД!$D:$D,ТГ!$A972)</f>
        <v>0</v>
      </c>
      <c r="S971" s="130">
        <f>SUMIFS(ТГ_ИД!$E:$E,ТГ_ИД!$B:$B,ТГ!$G$11,ТГ_ИД!$D:$D,ТГ!$A972)</f>
        <v>0</v>
      </c>
      <c r="T971" s="130">
        <f>SUMIFS(ТГ_ИД!$E:$E,ТГ_ИД!$B:$B,ТГ!$G$12,ТГ_ИД!$D:$D,ТГ!$A972)</f>
        <v>0</v>
      </c>
      <c r="U971" s="130">
        <f>SUMIFS(ТГ_ИД!$E:$E,ТГ_ИД!$B:$B,ТГ!$G$13,ТГ_ИД!$D:$D,ТГ!$A972)</f>
        <v>0</v>
      </c>
      <c r="V971" s="130">
        <f>SUMIFS(ТГ_ИД!$E:$E,ТГ_ИД!$B:$B,ТГ!$G$14,ТГ_ИД!$D:$D,ТГ!$A972)</f>
        <v>0</v>
      </c>
    </row>
    <row r="972" spans="1:22" x14ac:dyDescent="0.25">
      <c r="A972" s="116" t="str">
        <f t="shared" si="16"/>
        <v/>
      </c>
      <c r="K972" s="130">
        <f>SUMIFS(ТГ_ИД!$E:$E,ТГ_ИД!$B:$B,ТГ!$G$3,ТГ_ИД!$D:$D,ТГ!$A973)</f>
        <v>0</v>
      </c>
      <c r="L972" s="130">
        <f>SUMIFS(ТГ_ИД!$E:$E,ТГ_ИД!$B:$B,ТГ!$G$4,ТГ_ИД!$D:$D,ТГ!$A973)</f>
        <v>0</v>
      </c>
      <c r="M972" s="130">
        <f>SUMIFS(ТГ_ИД!$E:$E,ТГ_ИД!$B:$B,ТГ!$G$5,ТГ_ИД!$D:$D,ТГ!$A973)</f>
        <v>0</v>
      </c>
      <c r="N972" s="130">
        <f>SUMIFS(ТГ_ИД!$E:$E,ТГ_ИД!$B:$B,ТГ!$G$6,ТГ_ИД!$D:$D,ТГ!$A973)</f>
        <v>0</v>
      </c>
      <c r="O972" s="130">
        <f>SUMIFS(ТГ_ИД!$E:$E,ТГ_ИД!$B:$B,ТГ!$G$7,ТГ_ИД!$D:$D,ТГ!$A973)</f>
        <v>0</v>
      </c>
      <c r="P972" s="130">
        <f>SUMIFS(ТГ_ИД!$E:$E,ТГ_ИД!$B:$B,ТГ!$G$8,ТГ_ИД!$D:$D,ТГ!$A973)</f>
        <v>0</v>
      </c>
      <c r="Q972" s="130">
        <f>SUMIFS(ТГ_ИД!$E:$E,ТГ_ИД!$B:$B,ТГ!$G$9,ТГ_ИД!$D:$D,ТГ!$A973)</f>
        <v>0</v>
      </c>
      <c r="R972" s="130">
        <f>SUMIFS(ТГ_ИД!$E:$E,ТГ_ИД!$B:$B,ТГ!$G$10,ТГ_ИД!$D:$D,ТГ!$A973)</f>
        <v>0</v>
      </c>
      <c r="S972" s="130">
        <f>SUMIFS(ТГ_ИД!$E:$E,ТГ_ИД!$B:$B,ТГ!$G$11,ТГ_ИД!$D:$D,ТГ!$A973)</f>
        <v>0</v>
      </c>
      <c r="T972" s="130">
        <f>SUMIFS(ТГ_ИД!$E:$E,ТГ_ИД!$B:$B,ТГ!$G$12,ТГ_ИД!$D:$D,ТГ!$A973)</f>
        <v>0</v>
      </c>
      <c r="U972" s="130">
        <f>SUMIFS(ТГ_ИД!$E:$E,ТГ_ИД!$B:$B,ТГ!$G$13,ТГ_ИД!$D:$D,ТГ!$A973)</f>
        <v>0</v>
      </c>
      <c r="V972" s="130">
        <f>SUMIFS(ТГ_ИД!$E:$E,ТГ_ИД!$B:$B,ТГ!$G$14,ТГ_ИД!$D:$D,ТГ!$A973)</f>
        <v>0</v>
      </c>
    </row>
    <row r="973" spans="1:22" x14ac:dyDescent="0.25">
      <c r="A973" s="116" t="str">
        <f t="shared" si="16"/>
        <v/>
      </c>
      <c r="K973" s="130">
        <f>SUMIFS(ТГ_ИД!$E:$E,ТГ_ИД!$B:$B,ТГ!$G$3,ТГ_ИД!$D:$D,ТГ!$A974)</f>
        <v>0</v>
      </c>
      <c r="L973" s="130">
        <f>SUMIFS(ТГ_ИД!$E:$E,ТГ_ИД!$B:$B,ТГ!$G$4,ТГ_ИД!$D:$D,ТГ!$A974)</f>
        <v>0</v>
      </c>
      <c r="M973" s="130">
        <f>SUMIFS(ТГ_ИД!$E:$E,ТГ_ИД!$B:$B,ТГ!$G$5,ТГ_ИД!$D:$D,ТГ!$A974)</f>
        <v>0</v>
      </c>
      <c r="N973" s="130">
        <f>SUMIFS(ТГ_ИД!$E:$E,ТГ_ИД!$B:$B,ТГ!$G$6,ТГ_ИД!$D:$D,ТГ!$A974)</f>
        <v>0</v>
      </c>
      <c r="O973" s="130">
        <f>SUMIFS(ТГ_ИД!$E:$E,ТГ_ИД!$B:$B,ТГ!$G$7,ТГ_ИД!$D:$D,ТГ!$A974)</f>
        <v>0</v>
      </c>
      <c r="P973" s="130">
        <f>SUMIFS(ТГ_ИД!$E:$E,ТГ_ИД!$B:$B,ТГ!$G$8,ТГ_ИД!$D:$D,ТГ!$A974)</f>
        <v>0</v>
      </c>
      <c r="Q973" s="130">
        <f>SUMIFS(ТГ_ИД!$E:$E,ТГ_ИД!$B:$B,ТГ!$G$9,ТГ_ИД!$D:$D,ТГ!$A974)</f>
        <v>0</v>
      </c>
      <c r="R973" s="130">
        <f>SUMIFS(ТГ_ИД!$E:$E,ТГ_ИД!$B:$B,ТГ!$G$10,ТГ_ИД!$D:$D,ТГ!$A974)</f>
        <v>0</v>
      </c>
      <c r="S973" s="130">
        <f>SUMIFS(ТГ_ИД!$E:$E,ТГ_ИД!$B:$B,ТГ!$G$11,ТГ_ИД!$D:$D,ТГ!$A974)</f>
        <v>0</v>
      </c>
      <c r="T973" s="130">
        <f>SUMIFS(ТГ_ИД!$E:$E,ТГ_ИД!$B:$B,ТГ!$G$12,ТГ_ИД!$D:$D,ТГ!$A974)</f>
        <v>0</v>
      </c>
      <c r="U973" s="130">
        <f>SUMIFS(ТГ_ИД!$E:$E,ТГ_ИД!$B:$B,ТГ!$G$13,ТГ_ИД!$D:$D,ТГ!$A974)</f>
        <v>0</v>
      </c>
      <c r="V973" s="130">
        <f>SUMIFS(ТГ_ИД!$E:$E,ТГ_ИД!$B:$B,ТГ!$G$14,ТГ_ИД!$D:$D,ТГ!$A974)</f>
        <v>0</v>
      </c>
    </row>
    <row r="974" spans="1:22" x14ac:dyDescent="0.25">
      <c r="A974" s="116" t="str">
        <f t="shared" si="16"/>
        <v/>
      </c>
      <c r="K974" s="130">
        <f>SUMIFS(ТГ_ИД!$E:$E,ТГ_ИД!$B:$B,ТГ!$G$3,ТГ_ИД!$D:$D,ТГ!$A975)</f>
        <v>0</v>
      </c>
      <c r="L974" s="130">
        <f>SUMIFS(ТГ_ИД!$E:$E,ТГ_ИД!$B:$B,ТГ!$G$4,ТГ_ИД!$D:$D,ТГ!$A975)</f>
        <v>0</v>
      </c>
      <c r="M974" s="130">
        <f>SUMIFS(ТГ_ИД!$E:$E,ТГ_ИД!$B:$B,ТГ!$G$5,ТГ_ИД!$D:$D,ТГ!$A975)</f>
        <v>0</v>
      </c>
      <c r="N974" s="130">
        <f>SUMIFS(ТГ_ИД!$E:$E,ТГ_ИД!$B:$B,ТГ!$G$6,ТГ_ИД!$D:$D,ТГ!$A975)</f>
        <v>0</v>
      </c>
      <c r="O974" s="130">
        <f>SUMIFS(ТГ_ИД!$E:$E,ТГ_ИД!$B:$B,ТГ!$G$7,ТГ_ИД!$D:$D,ТГ!$A975)</f>
        <v>0</v>
      </c>
      <c r="P974" s="130">
        <f>SUMIFS(ТГ_ИД!$E:$E,ТГ_ИД!$B:$B,ТГ!$G$8,ТГ_ИД!$D:$D,ТГ!$A975)</f>
        <v>0</v>
      </c>
      <c r="Q974" s="130">
        <f>SUMIFS(ТГ_ИД!$E:$E,ТГ_ИД!$B:$B,ТГ!$G$9,ТГ_ИД!$D:$D,ТГ!$A975)</f>
        <v>0</v>
      </c>
      <c r="R974" s="130">
        <f>SUMIFS(ТГ_ИД!$E:$E,ТГ_ИД!$B:$B,ТГ!$G$10,ТГ_ИД!$D:$D,ТГ!$A975)</f>
        <v>0</v>
      </c>
      <c r="S974" s="130">
        <f>SUMIFS(ТГ_ИД!$E:$E,ТГ_ИД!$B:$B,ТГ!$G$11,ТГ_ИД!$D:$D,ТГ!$A975)</f>
        <v>0</v>
      </c>
      <c r="T974" s="130">
        <f>SUMIFS(ТГ_ИД!$E:$E,ТГ_ИД!$B:$B,ТГ!$G$12,ТГ_ИД!$D:$D,ТГ!$A975)</f>
        <v>0</v>
      </c>
      <c r="U974" s="130">
        <f>SUMIFS(ТГ_ИД!$E:$E,ТГ_ИД!$B:$B,ТГ!$G$13,ТГ_ИД!$D:$D,ТГ!$A975)</f>
        <v>0</v>
      </c>
      <c r="V974" s="130">
        <f>SUMIFS(ТГ_ИД!$E:$E,ТГ_ИД!$B:$B,ТГ!$G$14,ТГ_ИД!$D:$D,ТГ!$A975)</f>
        <v>0</v>
      </c>
    </row>
    <row r="975" spans="1:22" x14ac:dyDescent="0.25">
      <c r="A975" s="116" t="str">
        <f t="shared" si="16"/>
        <v/>
      </c>
      <c r="K975" s="130">
        <f>SUMIFS(ТГ_ИД!$E:$E,ТГ_ИД!$B:$B,ТГ!$G$3,ТГ_ИД!$D:$D,ТГ!$A976)</f>
        <v>0</v>
      </c>
      <c r="L975" s="130">
        <f>SUMIFS(ТГ_ИД!$E:$E,ТГ_ИД!$B:$B,ТГ!$G$4,ТГ_ИД!$D:$D,ТГ!$A976)</f>
        <v>0</v>
      </c>
      <c r="M975" s="130">
        <f>SUMIFS(ТГ_ИД!$E:$E,ТГ_ИД!$B:$B,ТГ!$G$5,ТГ_ИД!$D:$D,ТГ!$A976)</f>
        <v>0</v>
      </c>
      <c r="N975" s="130">
        <f>SUMIFS(ТГ_ИД!$E:$E,ТГ_ИД!$B:$B,ТГ!$G$6,ТГ_ИД!$D:$D,ТГ!$A976)</f>
        <v>0</v>
      </c>
      <c r="O975" s="130">
        <f>SUMIFS(ТГ_ИД!$E:$E,ТГ_ИД!$B:$B,ТГ!$G$7,ТГ_ИД!$D:$D,ТГ!$A976)</f>
        <v>0</v>
      </c>
      <c r="P975" s="130">
        <f>SUMIFS(ТГ_ИД!$E:$E,ТГ_ИД!$B:$B,ТГ!$G$8,ТГ_ИД!$D:$D,ТГ!$A976)</f>
        <v>0</v>
      </c>
      <c r="Q975" s="130">
        <f>SUMIFS(ТГ_ИД!$E:$E,ТГ_ИД!$B:$B,ТГ!$G$9,ТГ_ИД!$D:$D,ТГ!$A976)</f>
        <v>0</v>
      </c>
      <c r="R975" s="130">
        <f>SUMIFS(ТГ_ИД!$E:$E,ТГ_ИД!$B:$B,ТГ!$G$10,ТГ_ИД!$D:$D,ТГ!$A976)</f>
        <v>0</v>
      </c>
      <c r="S975" s="130">
        <f>SUMIFS(ТГ_ИД!$E:$E,ТГ_ИД!$B:$B,ТГ!$G$11,ТГ_ИД!$D:$D,ТГ!$A976)</f>
        <v>0</v>
      </c>
      <c r="T975" s="130">
        <f>SUMIFS(ТГ_ИД!$E:$E,ТГ_ИД!$B:$B,ТГ!$G$12,ТГ_ИД!$D:$D,ТГ!$A976)</f>
        <v>0</v>
      </c>
      <c r="U975" s="130">
        <f>SUMIFS(ТГ_ИД!$E:$E,ТГ_ИД!$B:$B,ТГ!$G$13,ТГ_ИД!$D:$D,ТГ!$A976)</f>
        <v>0</v>
      </c>
      <c r="V975" s="130">
        <f>SUMIFS(ТГ_ИД!$E:$E,ТГ_ИД!$B:$B,ТГ!$G$14,ТГ_ИД!$D:$D,ТГ!$A976)</f>
        <v>0</v>
      </c>
    </row>
    <row r="976" spans="1:22" x14ac:dyDescent="0.25">
      <c r="A976" s="116" t="str">
        <f t="shared" si="16"/>
        <v/>
      </c>
      <c r="K976" s="130">
        <f>SUMIFS(ТГ_ИД!$E:$E,ТГ_ИД!$B:$B,ТГ!$G$3,ТГ_ИД!$D:$D,ТГ!$A977)</f>
        <v>0</v>
      </c>
      <c r="L976" s="130">
        <f>SUMIFS(ТГ_ИД!$E:$E,ТГ_ИД!$B:$B,ТГ!$G$4,ТГ_ИД!$D:$D,ТГ!$A977)</f>
        <v>0</v>
      </c>
      <c r="M976" s="130">
        <f>SUMIFS(ТГ_ИД!$E:$E,ТГ_ИД!$B:$B,ТГ!$G$5,ТГ_ИД!$D:$D,ТГ!$A977)</f>
        <v>0</v>
      </c>
      <c r="N976" s="130">
        <f>SUMIFS(ТГ_ИД!$E:$E,ТГ_ИД!$B:$B,ТГ!$G$6,ТГ_ИД!$D:$D,ТГ!$A977)</f>
        <v>0</v>
      </c>
      <c r="O976" s="130">
        <f>SUMIFS(ТГ_ИД!$E:$E,ТГ_ИД!$B:$B,ТГ!$G$7,ТГ_ИД!$D:$D,ТГ!$A977)</f>
        <v>0</v>
      </c>
      <c r="P976" s="130">
        <f>SUMIFS(ТГ_ИД!$E:$E,ТГ_ИД!$B:$B,ТГ!$G$8,ТГ_ИД!$D:$D,ТГ!$A977)</f>
        <v>0</v>
      </c>
      <c r="Q976" s="130">
        <f>SUMIFS(ТГ_ИД!$E:$E,ТГ_ИД!$B:$B,ТГ!$G$9,ТГ_ИД!$D:$D,ТГ!$A977)</f>
        <v>0</v>
      </c>
      <c r="R976" s="130">
        <f>SUMIFS(ТГ_ИД!$E:$E,ТГ_ИД!$B:$B,ТГ!$G$10,ТГ_ИД!$D:$D,ТГ!$A977)</f>
        <v>0</v>
      </c>
      <c r="S976" s="130">
        <f>SUMIFS(ТГ_ИД!$E:$E,ТГ_ИД!$B:$B,ТГ!$G$11,ТГ_ИД!$D:$D,ТГ!$A977)</f>
        <v>0</v>
      </c>
      <c r="T976" s="130">
        <f>SUMIFS(ТГ_ИД!$E:$E,ТГ_ИД!$B:$B,ТГ!$G$12,ТГ_ИД!$D:$D,ТГ!$A977)</f>
        <v>0</v>
      </c>
      <c r="U976" s="130">
        <f>SUMIFS(ТГ_ИД!$E:$E,ТГ_ИД!$B:$B,ТГ!$G$13,ТГ_ИД!$D:$D,ТГ!$A977)</f>
        <v>0</v>
      </c>
      <c r="V976" s="130">
        <f>SUMIFS(ТГ_ИД!$E:$E,ТГ_ИД!$B:$B,ТГ!$G$14,ТГ_ИД!$D:$D,ТГ!$A977)</f>
        <v>0</v>
      </c>
    </row>
    <row r="977" spans="1:22" x14ac:dyDescent="0.25">
      <c r="A977" s="116" t="str">
        <f t="shared" si="16"/>
        <v/>
      </c>
      <c r="K977" s="130">
        <f>SUMIFS(ТГ_ИД!$E:$E,ТГ_ИД!$B:$B,ТГ!$G$3,ТГ_ИД!$D:$D,ТГ!$A978)</f>
        <v>0</v>
      </c>
      <c r="L977" s="130">
        <f>SUMIFS(ТГ_ИД!$E:$E,ТГ_ИД!$B:$B,ТГ!$G$4,ТГ_ИД!$D:$D,ТГ!$A978)</f>
        <v>0</v>
      </c>
      <c r="M977" s="130">
        <f>SUMIFS(ТГ_ИД!$E:$E,ТГ_ИД!$B:$B,ТГ!$G$5,ТГ_ИД!$D:$D,ТГ!$A978)</f>
        <v>0</v>
      </c>
      <c r="N977" s="130">
        <f>SUMIFS(ТГ_ИД!$E:$E,ТГ_ИД!$B:$B,ТГ!$G$6,ТГ_ИД!$D:$D,ТГ!$A978)</f>
        <v>0</v>
      </c>
      <c r="O977" s="130">
        <f>SUMIFS(ТГ_ИД!$E:$E,ТГ_ИД!$B:$B,ТГ!$G$7,ТГ_ИД!$D:$D,ТГ!$A978)</f>
        <v>0</v>
      </c>
      <c r="P977" s="130">
        <f>SUMIFS(ТГ_ИД!$E:$E,ТГ_ИД!$B:$B,ТГ!$G$8,ТГ_ИД!$D:$D,ТГ!$A978)</f>
        <v>0</v>
      </c>
      <c r="Q977" s="130">
        <f>SUMIFS(ТГ_ИД!$E:$E,ТГ_ИД!$B:$B,ТГ!$G$9,ТГ_ИД!$D:$D,ТГ!$A978)</f>
        <v>0</v>
      </c>
      <c r="R977" s="130">
        <f>SUMIFS(ТГ_ИД!$E:$E,ТГ_ИД!$B:$B,ТГ!$G$10,ТГ_ИД!$D:$D,ТГ!$A978)</f>
        <v>0</v>
      </c>
      <c r="S977" s="130">
        <f>SUMIFS(ТГ_ИД!$E:$E,ТГ_ИД!$B:$B,ТГ!$G$11,ТГ_ИД!$D:$D,ТГ!$A978)</f>
        <v>0</v>
      </c>
      <c r="T977" s="130">
        <f>SUMIFS(ТГ_ИД!$E:$E,ТГ_ИД!$B:$B,ТГ!$G$12,ТГ_ИД!$D:$D,ТГ!$A978)</f>
        <v>0</v>
      </c>
      <c r="U977" s="130">
        <f>SUMIFS(ТГ_ИД!$E:$E,ТГ_ИД!$B:$B,ТГ!$G$13,ТГ_ИД!$D:$D,ТГ!$A978)</f>
        <v>0</v>
      </c>
      <c r="V977" s="130">
        <f>SUMIFS(ТГ_ИД!$E:$E,ТГ_ИД!$B:$B,ТГ!$G$14,ТГ_ИД!$D:$D,ТГ!$A978)</f>
        <v>0</v>
      </c>
    </row>
    <row r="978" spans="1:22" x14ac:dyDescent="0.25">
      <c r="A978" s="116" t="str">
        <f t="shared" si="16"/>
        <v/>
      </c>
      <c r="K978" s="130">
        <f>SUMIFS(ТГ_ИД!$E:$E,ТГ_ИД!$B:$B,ТГ!$G$3,ТГ_ИД!$D:$D,ТГ!$A979)</f>
        <v>0</v>
      </c>
      <c r="L978" s="130">
        <f>SUMIFS(ТГ_ИД!$E:$E,ТГ_ИД!$B:$B,ТГ!$G$4,ТГ_ИД!$D:$D,ТГ!$A979)</f>
        <v>0</v>
      </c>
      <c r="M978" s="130">
        <f>SUMIFS(ТГ_ИД!$E:$E,ТГ_ИД!$B:$B,ТГ!$G$5,ТГ_ИД!$D:$D,ТГ!$A979)</f>
        <v>0</v>
      </c>
      <c r="N978" s="130">
        <f>SUMIFS(ТГ_ИД!$E:$E,ТГ_ИД!$B:$B,ТГ!$G$6,ТГ_ИД!$D:$D,ТГ!$A979)</f>
        <v>0</v>
      </c>
      <c r="O978" s="130">
        <f>SUMIFS(ТГ_ИД!$E:$E,ТГ_ИД!$B:$B,ТГ!$G$7,ТГ_ИД!$D:$D,ТГ!$A979)</f>
        <v>0</v>
      </c>
      <c r="P978" s="130">
        <f>SUMIFS(ТГ_ИД!$E:$E,ТГ_ИД!$B:$B,ТГ!$G$8,ТГ_ИД!$D:$D,ТГ!$A979)</f>
        <v>0</v>
      </c>
      <c r="Q978" s="130">
        <f>SUMIFS(ТГ_ИД!$E:$E,ТГ_ИД!$B:$B,ТГ!$G$9,ТГ_ИД!$D:$D,ТГ!$A979)</f>
        <v>0</v>
      </c>
      <c r="R978" s="130">
        <f>SUMIFS(ТГ_ИД!$E:$E,ТГ_ИД!$B:$B,ТГ!$G$10,ТГ_ИД!$D:$D,ТГ!$A979)</f>
        <v>0</v>
      </c>
      <c r="S978" s="130">
        <f>SUMIFS(ТГ_ИД!$E:$E,ТГ_ИД!$B:$B,ТГ!$G$11,ТГ_ИД!$D:$D,ТГ!$A979)</f>
        <v>0</v>
      </c>
      <c r="T978" s="130">
        <f>SUMIFS(ТГ_ИД!$E:$E,ТГ_ИД!$B:$B,ТГ!$G$12,ТГ_ИД!$D:$D,ТГ!$A979)</f>
        <v>0</v>
      </c>
      <c r="U978" s="130">
        <f>SUMIFS(ТГ_ИД!$E:$E,ТГ_ИД!$B:$B,ТГ!$G$13,ТГ_ИД!$D:$D,ТГ!$A979)</f>
        <v>0</v>
      </c>
      <c r="V978" s="130">
        <f>SUMIFS(ТГ_ИД!$E:$E,ТГ_ИД!$B:$B,ТГ!$G$14,ТГ_ИД!$D:$D,ТГ!$A979)</f>
        <v>0</v>
      </c>
    </row>
    <row r="979" spans="1:22" x14ac:dyDescent="0.25">
      <c r="A979" s="116" t="str">
        <f t="shared" si="16"/>
        <v/>
      </c>
      <c r="K979" s="130">
        <f>SUMIFS(ТГ_ИД!$E:$E,ТГ_ИД!$B:$B,ТГ!$G$3,ТГ_ИД!$D:$D,ТГ!$A980)</f>
        <v>0</v>
      </c>
      <c r="L979" s="130">
        <f>SUMIFS(ТГ_ИД!$E:$E,ТГ_ИД!$B:$B,ТГ!$G$4,ТГ_ИД!$D:$D,ТГ!$A980)</f>
        <v>0</v>
      </c>
      <c r="M979" s="130">
        <f>SUMIFS(ТГ_ИД!$E:$E,ТГ_ИД!$B:$B,ТГ!$G$5,ТГ_ИД!$D:$D,ТГ!$A980)</f>
        <v>0</v>
      </c>
      <c r="N979" s="130">
        <f>SUMIFS(ТГ_ИД!$E:$E,ТГ_ИД!$B:$B,ТГ!$G$6,ТГ_ИД!$D:$D,ТГ!$A980)</f>
        <v>0</v>
      </c>
      <c r="O979" s="130">
        <f>SUMIFS(ТГ_ИД!$E:$E,ТГ_ИД!$B:$B,ТГ!$G$7,ТГ_ИД!$D:$D,ТГ!$A980)</f>
        <v>0</v>
      </c>
      <c r="P979" s="130">
        <f>SUMIFS(ТГ_ИД!$E:$E,ТГ_ИД!$B:$B,ТГ!$G$8,ТГ_ИД!$D:$D,ТГ!$A980)</f>
        <v>0</v>
      </c>
      <c r="Q979" s="130">
        <f>SUMIFS(ТГ_ИД!$E:$E,ТГ_ИД!$B:$B,ТГ!$G$9,ТГ_ИД!$D:$D,ТГ!$A980)</f>
        <v>0</v>
      </c>
      <c r="R979" s="130">
        <f>SUMIFS(ТГ_ИД!$E:$E,ТГ_ИД!$B:$B,ТГ!$G$10,ТГ_ИД!$D:$D,ТГ!$A980)</f>
        <v>0</v>
      </c>
      <c r="S979" s="130">
        <f>SUMIFS(ТГ_ИД!$E:$E,ТГ_ИД!$B:$B,ТГ!$G$11,ТГ_ИД!$D:$D,ТГ!$A980)</f>
        <v>0</v>
      </c>
      <c r="T979" s="130">
        <f>SUMIFS(ТГ_ИД!$E:$E,ТГ_ИД!$B:$B,ТГ!$G$12,ТГ_ИД!$D:$D,ТГ!$A980)</f>
        <v>0</v>
      </c>
      <c r="U979" s="130">
        <f>SUMIFS(ТГ_ИД!$E:$E,ТГ_ИД!$B:$B,ТГ!$G$13,ТГ_ИД!$D:$D,ТГ!$A980)</f>
        <v>0</v>
      </c>
      <c r="V979" s="130">
        <f>SUMIFS(ТГ_ИД!$E:$E,ТГ_ИД!$B:$B,ТГ!$G$14,ТГ_ИД!$D:$D,ТГ!$A980)</f>
        <v>0</v>
      </c>
    </row>
    <row r="980" spans="1:22" x14ac:dyDescent="0.25">
      <c r="A980" s="116" t="str">
        <f t="shared" si="16"/>
        <v/>
      </c>
      <c r="K980" s="130">
        <f>SUMIFS(ТГ_ИД!$E:$E,ТГ_ИД!$B:$B,ТГ!$G$3,ТГ_ИД!$D:$D,ТГ!$A981)</f>
        <v>0</v>
      </c>
      <c r="L980" s="130">
        <f>SUMIFS(ТГ_ИД!$E:$E,ТГ_ИД!$B:$B,ТГ!$G$4,ТГ_ИД!$D:$D,ТГ!$A981)</f>
        <v>0</v>
      </c>
      <c r="M980" s="130">
        <f>SUMIFS(ТГ_ИД!$E:$E,ТГ_ИД!$B:$B,ТГ!$G$5,ТГ_ИД!$D:$D,ТГ!$A981)</f>
        <v>0</v>
      </c>
      <c r="N980" s="130">
        <f>SUMIFS(ТГ_ИД!$E:$E,ТГ_ИД!$B:$B,ТГ!$G$6,ТГ_ИД!$D:$D,ТГ!$A981)</f>
        <v>0</v>
      </c>
      <c r="O980" s="130">
        <f>SUMIFS(ТГ_ИД!$E:$E,ТГ_ИД!$B:$B,ТГ!$G$7,ТГ_ИД!$D:$D,ТГ!$A981)</f>
        <v>0</v>
      </c>
      <c r="P980" s="130">
        <f>SUMIFS(ТГ_ИД!$E:$E,ТГ_ИД!$B:$B,ТГ!$G$8,ТГ_ИД!$D:$D,ТГ!$A981)</f>
        <v>0</v>
      </c>
      <c r="Q980" s="130">
        <f>SUMIFS(ТГ_ИД!$E:$E,ТГ_ИД!$B:$B,ТГ!$G$9,ТГ_ИД!$D:$D,ТГ!$A981)</f>
        <v>0</v>
      </c>
      <c r="R980" s="130">
        <f>SUMIFS(ТГ_ИД!$E:$E,ТГ_ИД!$B:$B,ТГ!$G$10,ТГ_ИД!$D:$D,ТГ!$A981)</f>
        <v>0</v>
      </c>
      <c r="S980" s="130">
        <f>SUMIFS(ТГ_ИД!$E:$E,ТГ_ИД!$B:$B,ТГ!$G$11,ТГ_ИД!$D:$D,ТГ!$A981)</f>
        <v>0</v>
      </c>
      <c r="T980" s="130">
        <f>SUMIFS(ТГ_ИД!$E:$E,ТГ_ИД!$B:$B,ТГ!$G$12,ТГ_ИД!$D:$D,ТГ!$A981)</f>
        <v>0</v>
      </c>
      <c r="U980" s="130">
        <f>SUMIFS(ТГ_ИД!$E:$E,ТГ_ИД!$B:$B,ТГ!$G$13,ТГ_ИД!$D:$D,ТГ!$A981)</f>
        <v>0</v>
      </c>
      <c r="V980" s="130">
        <f>SUMIFS(ТГ_ИД!$E:$E,ТГ_ИД!$B:$B,ТГ!$G$14,ТГ_ИД!$D:$D,ТГ!$A981)</f>
        <v>0</v>
      </c>
    </row>
    <row r="981" spans="1:22" x14ac:dyDescent="0.25">
      <c r="A981" s="116" t="str">
        <f t="shared" si="16"/>
        <v/>
      </c>
      <c r="K981" s="130">
        <f>SUMIFS(ТГ_ИД!$E:$E,ТГ_ИД!$B:$B,ТГ!$G$3,ТГ_ИД!$D:$D,ТГ!$A982)</f>
        <v>0</v>
      </c>
      <c r="L981" s="130">
        <f>SUMIFS(ТГ_ИД!$E:$E,ТГ_ИД!$B:$B,ТГ!$G$4,ТГ_ИД!$D:$D,ТГ!$A982)</f>
        <v>0</v>
      </c>
      <c r="M981" s="130">
        <f>SUMIFS(ТГ_ИД!$E:$E,ТГ_ИД!$B:$B,ТГ!$G$5,ТГ_ИД!$D:$D,ТГ!$A982)</f>
        <v>0</v>
      </c>
      <c r="N981" s="130">
        <f>SUMIFS(ТГ_ИД!$E:$E,ТГ_ИД!$B:$B,ТГ!$G$6,ТГ_ИД!$D:$D,ТГ!$A982)</f>
        <v>0</v>
      </c>
      <c r="O981" s="130">
        <f>SUMIFS(ТГ_ИД!$E:$E,ТГ_ИД!$B:$B,ТГ!$G$7,ТГ_ИД!$D:$D,ТГ!$A982)</f>
        <v>0</v>
      </c>
      <c r="P981" s="130">
        <f>SUMIFS(ТГ_ИД!$E:$E,ТГ_ИД!$B:$B,ТГ!$G$8,ТГ_ИД!$D:$D,ТГ!$A982)</f>
        <v>0</v>
      </c>
      <c r="Q981" s="130">
        <f>SUMIFS(ТГ_ИД!$E:$E,ТГ_ИД!$B:$B,ТГ!$G$9,ТГ_ИД!$D:$D,ТГ!$A982)</f>
        <v>0</v>
      </c>
      <c r="R981" s="130">
        <f>SUMIFS(ТГ_ИД!$E:$E,ТГ_ИД!$B:$B,ТГ!$G$10,ТГ_ИД!$D:$D,ТГ!$A982)</f>
        <v>0</v>
      </c>
      <c r="S981" s="130">
        <f>SUMIFS(ТГ_ИД!$E:$E,ТГ_ИД!$B:$B,ТГ!$G$11,ТГ_ИД!$D:$D,ТГ!$A982)</f>
        <v>0</v>
      </c>
      <c r="T981" s="130">
        <f>SUMIFS(ТГ_ИД!$E:$E,ТГ_ИД!$B:$B,ТГ!$G$12,ТГ_ИД!$D:$D,ТГ!$A982)</f>
        <v>0</v>
      </c>
      <c r="U981" s="130">
        <f>SUMIFS(ТГ_ИД!$E:$E,ТГ_ИД!$B:$B,ТГ!$G$13,ТГ_ИД!$D:$D,ТГ!$A982)</f>
        <v>0</v>
      </c>
      <c r="V981" s="130">
        <f>SUMIFS(ТГ_ИД!$E:$E,ТГ_ИД!$B:$B,ТГ!$G$14,ТГ_ИД!$D:$D,ТГ!$A982)</f>
        <v>0</v>
      </c>
    </row>
    <row r="982" spans="1:22" x14ac:dyDescent="0.25">
      <c r="A982" s="116" t="str">
        <f t="shared" si="16"/>
        <v/>
      </c>
      <c r="K982" s="130">
        <f>SUMIFS(ТГ_ИД!$E:$E,ТГ_ИД!$B:$B,ТГ!$G$3,ТГ_ИД!$D:$D,ТГ!$A983)</f>
        <v>0</v>
      </c>
      <c r="L982" s="130">
        <f>SUMIFS(ТГ_ИД!$E:$E,ТГ_ИД!$B:$B,ТГ!$G$4,ТГ_ИД!$D:$D,ТГ!$A983)</f>
        <v>0</v>
      </c>
      <c r="M982" s="130">
        <f>SUMIFS(ТГ_ИД!$E:$E,ТГ_ИД!$B:$B,ТГ!$G$5,ТГ_ИД!$D:$D,ТГ!$A983)</f>
        <v>0</v>
      </c>
      <c r="N982" s="130">
        <f>SUMIFS(ТГ_ИД!$E:$E,ТГ_ИД!$B:$B,ТГ!$G$6,ТГ_ИД!$D:$D,ТГ!$A983)</f>
        <v>0</v>
      </c>
      <c r="O982" s="130">
        <f>SUMIFS(ТГ_ИД!$E:$E,ТГ_ИД!$B:$B,ТГ!$G$7,ТГ_ИД!$D:$D,ТГ!$A983)</f>
        <v>0</v>
      </c>
      <c r="P982" s="130">
        <f>SUMIFS(ТГ_ИД!$E:$E,ТГ_ИД!$B:$B,ТГ!$G$8,ТГ_ИД!$D:$D,ТГ!$A983)</f>
        <v>0</v>
      </c>
      <c r="Q982" s="130">
        <f>SUMIFS(ТГ_ИД!$E:$E,ТГ_ИД!$B:$B,ТГ!$G$9,ТГ_ИД!$D:$D,ТГ!$A983)</f>
        <v>0</v>
      </c>
      <c r="R982" s="130">
        <f>SUMIFS(ТГ_ИД!$E:$E,ТГ_ИД!$B:$B,ТГ!$G$10,ТГ_ИД!$D:$D,ТГ!$A983)</f>
        <v>0</v>
      </c>
      <c r="S982" s="130">
        <f>SUMIFS(ТГ_ИД!$E:$E,ТГ_ИД!$B:$B,ТГ!$G$11,ТГ_ИД!$D:$D,ТГ!$A983)</f>
        <v>0</v>
      </c>
      <c r="T982" s="130">
        <f>SUMIFS(ТГ_ИД!$E:$E,ТГ_ИД!$B:$B,ТГ!$G$12,ТГ_ИД!$D:$D,ТГ!$A983)</f>
        <v>0</v>
      </c>
      <c r="U982" s="130">
        <f>SUMIFS(ТГ_ИД!$E:$E,ТГ_ИД!$B:$B,ТГ!$G$13,ТГ_ИД!$D:$D,ТГ!$A983)</f>
        <v>0</v>
      </c>
      <c r="V982" s="130">
        <f>SUMIFS(ТГ_ИД!$E:$E,ТГ_ИД!$B:$B,ТГ!$G$14,ТГ_ИД!$D:$D,ТГ!$A983)</f>
        <v>0</v>
      </c>
    </row>
    <row r="983" spans="1:22" x14ac:dyDescent="0.25">
      <c r="A983" s="116" t="str">
        <f t="shared" si="16"/>
        <v/>
      </c>
      <c r="K983" s="130">
        <f>SUMIFS(ТГ_ИД!$E:$E,ТГ_ИД!$B:$B,ТГ!$G$3,ТГ_ИД!$D:$D,ТГ!$A984)</f>
        <v>0</v>
      </c>
      <c r="L983" s="130">
        <f>SUMIFS(ТГ_ИД!$E:$E,ТГ_ИД!$B:$B,ТГ!$G$4,ТГ_ИД!$D:$D,ТГ!$A984)</f>
        <v>0</v>
      </c>
      <c r="M983" s="130">
        <f>SUMIFS(ТГ_ИД!$E:$E,ТГ_ИД!$B:$B,ТГ!$G$5,ТГ_ИД!$D:$D,ТГ!$A984)</f>
        <v>0</v>
      </c>
      <c r="N983" s="130">
        <f>SUMIFS(ТГ_ИД!$E:$E,ТГ_ИД!$B:$B,ТГ!$G$6,ТГ_ИД!$D:$D,ТГ!$A984)</f>
        <v>0</v>
      </c>
      <c r="O983" s="130">
        <f>SUMIFS(ТГ_ИД!$E:$E,ТГ_ИД!$B:$B,ТГ!$G$7,ТГ_ИД!$D:$D,ТГ!$A984)</f>
        <v>0</v>
      </c>
      <c r="P983" s="130">
        <f>SUMIFS(ТГ_ИД!$E:$E,ТГ_ИД!$B:$B,ТГ!$G$8,ТГ_ИД!$D:$D,ТГ!$A984)</f>
        <v>0</v>
      </c>
      <c r="Q983" s="130">
        <f>SUMIFS(ТГ_ИД!$E:$E,ТГ_ИД!$B:$B,ТГ!$G$9,ТГ_ИД!$D:$D,ТГ!$A984)</f>
        <v>0</v>
      </c>
      <c r="R983" s="130">
        <f>SUMIFS(ТГ_ИД!$E:$E,ТГ_ИД!$B:$B,ТГ!$G$10,ТГ_ИД!$D:$D,ТГ!$A984)</f>
        <v>0</v>
      </c>
      <c r="S983" s="130">
        <f>SUMIFS(ТГ_ИД!$E:$E,ТГ_ИД!$B:$B,ТГ!$G$11,ТГ_ИД!$D:$D,ТГ!$A984)</f>
        <v>0</v>
      </c>
      <c r="T983" s="130">
        <f>SUMIFS(ТГ_ИД!$E:$E,ТГ_ИД!$B:$B,ТГ!$G$12,ТГ_ИД!$D:$D,ТГ!$A984)</f>
        <v>0</v>
      </c>
      <c r="U983" s="130">
        <f>SUMIFS(ТГ_ИД!$E:$E,ТГ_ИД!$B:$B,ТГ!$G$13,ТГ_ИД!$D:$D,ТГ!$A984)</f>
        <v>0</v>
      </c>
      <c r="V983" s="130">
        <f>SUMIFS(ТГ_ИД!$E:$E,ТГ_ИД!$B:$B,ТГ!$G$14,ТГ_ИД!$D:$D,ТГ!$A984)</f>
        <v>0</v>
      </c>
    </row>
    <row r="984" spans="1:22" x14ac:dyDescent="0.25">
      <c r="A984" s="116" t="str">
        <f t="shared" si="16"/>
        <v/>
      </c>
      <c r="K984" s="130">
        <f>SUMIFS(ТГ_ИД!$E:$E,ТГ_ИД!$B:$B,ТГ!$G$3,ТГ_ИД!$D:$D,ТГ!$A985)</f>
        <v>0</v>
      </c>
      <c r="L984" s="130">
        <f>SUMIFS(ТГ_ИД!$E:$E,ТГ_ИД!$B:$B,ТГ!$G$4,ТГ_ИД!$D:$D,ТГ!$A985)</f>
        <v>0</v>
      </c>
      <c r="M984" s="130">
        <f>SUMIFS(ТГ_ИД!$E:$E,ТГ_ИД!$B:$B,ТГ!$G$5,ТГ_ИД!$D:$D,ТГ!$A985)</f>
        <v>0</v>
      </c>
      <c r="N984" s="130">
        <f>SUMIFS(ТГ_ИД!$E:$E,ТГ_ИД!$B:$B,ТГ!$G$6,ТГ_ИД!$D:$D,ТГ!$A985)</f>
        <v>0</v>
      </c>
      <c r="O984" s="130">
        <f>SUMIFS(ТГ_ИД!$E:$E,ТГ_ИД!$B:$B,ТГ!$G$7,ТГ_ИД!$D:$D,ТГ!$A985)</f>
        <v>0</v>
      </c>
      <c r="P984" s="130">
        <f>SUMIFS(ТГ_ИД!$E:$E,ТГ_ИД!$B:$B,ТГ!$G$8,ТГ_ИД!$D:$D,ТГ!$A985)</f>
        <v>0</v>
      </c>
      <c r="Q984" s="130">
        <f>SUMIFS(ТГ_ИД!$E:$E,ТГ_ИД!$B:$B,ТГ!$G$9,ТГ_ИД!$D:$D,ТГ!$A985)</f>
        <v>0</v>
      </c>
      <c r="R984" s="130">
        <f>SUMIFS(ТГ_ИД!$E:$E,ТГ_ИД!$B:$B,ТГ!$G$10,ТГ_ИД!$D:$D,ТГ!$A985)</f>
        <v>0</v>
      </c>
      <c r="S984" s="130">
        <f>SUMIFS(ТГ_ИД!$E:$E,ТГ_ИД!$B:$B,ТГ!$G$11,ТГ_ИД!$D:$D,ТГ!$A985)</f>
        <v>0</v>
      </c>
      <c r="T984" s="130">
        <f>SUMIFS(ТГ_ИД!$E:$E,ТГ_ИД!$B:$B,ТГ!$G$12,ТГ_ИД!$D:$D,ТГ!$A985)</f>
        <v>0</v>
      </c>
      <c r="U984" s="130">
        <f>SUMIFS(ТГ_ИД!$E:$E,ТГ_ИД!$B:$B,ТГ!$G$13,ТГ_ИД!$D:$D,ТГ!$A985)</f>
        <v>0</v>
      </c>
      <c r="V984" s="130">
        <f>SUMIFS(ТГ_ИД!$E:$E,ТГ_ИД!$B:$B,ТГ!$G$14,ТГ_ИД!$D:$D,ТГ!$A985)</f>
        <v>0</v>
      </c>
    </row>
    <row r="985" spans="1:22" x14ac:dyDescent="0.25">
      <c r="A985" s="116" t="str">
        <f t="shared" si="16"/>
        <v/>
      </c>
      <c r="K985" s="130">
        <f>SUMIFS(ТГ_ИД!$E:$E,ТГ_ИД!$B:$B,ТГ!$G$3,ТГ_ИД!$D:$D,ТГ!$A986)</f>
        <v>0</v>
      </c>
      <c r="L985" s="130">
        <f>SUMIFS(ТГ_ИД!$E:$E,ТГ_ИД!$B:$B,ТГ!$G$4,ТГ_ИД!$D:$D,ТГ!$A986)</f>
        <v>0</v>
      </c>
      <c r="M985" s="130">
        <f>SUMIFS(ТГ_ИД!$E:$E,ТГ_ИД!$B:$B,ТГ!$G$5,ТГ_ИД!$D:$D,ТГ!$A986)</f>
        <v>0</v>
      </c>
      <c r="N985" s="130">
        <f>SUMIFS(ТГ_ИД!$E:$E,ТГ_ИД!$B:$B,ТГ!$G$6,ТГ_ИД!$D:$D,ТГ!$A986)</f>
        <v>0</v>
      </c>
      <c r="O985" s="130">
        <f>SUMIFS(ТГ_ИД!$E:$E,ТГ_ИД!$B:$B,ТГ!$G$7,ТГ_ИД!$D:$D,ТГ!$A986)</f>
        <v>0</v>
      </c>
      <c r="P985" s="130">
        <f>SUMIFS(ТГ_ИД!$E:$E,ТГ_ИД!$B:$B,ТГ!$G$8,ТГ_ИД!$D:$D,ТГ!$A986)</f>
        <v>0</v>
      </c>
      <c r="Q985" s="130">
        <f>SUMIFS(ТГ_ИД!$E:$E,ТГ_ИД!$B:$B,ТГ!$G$9,ТГ_ИД!$D:$D,ТГ!$A986)</f>
        <v>0</v>
      </c>
      <c r="R985" s="130">
        <f>SUMIFS(ТГ_ИД!$E:$E,ТГ_ИД!$B:$B,ТГ!$G$10,ТГ_ИД!$D:$D,ТГ!$A986)</f>
        <v>0</v>
      </c>
      <c r="S985" s="130">
        <f>SUMIFS(ТГ_ИД!$E:$E,ТГ_ИД!$B:$B,ТГ!$G$11,ТГ_ИД!$D:$D,ТГ!$A986)</f>
        <v>0</v>
      </c>
      <c r="T985" s="130">
        <f>SUMIFS(ТГ_ИД!$E:$E,ТГ_ИД!$B:$B,ТГ!$G$12,ТГ_ИД!$D:$D,ТГ!$A986)</f>
        <v>0</v>
      </c>
      <c r="U985" s="130">
        <f>SUMIFS(ТГ_ИД!$E:$E,ТГ_ИД!$B:$B,ТГ!$G$13,ТГ_ИД!$D:$D,ТГ!$A986)</f>
        <v>0</v>
      </c>
      <c r="V985" s="130">
        <f>SUMIFS(ТГ_ИД!$E:$E,ТГ_ИД!$B:$B,ТГ!$G$14,ТГ_ИД!$D:$D,ТГ!$A986)</f>
        <v>0</v>
      </c>
    </row>
    <row r="986" spans="1:22" x14ac:dyDescent="0.25">
      <c r="A986" s="116" t="str">
        <f t="shared" si="16"/>
        <v/>
      </c>
      <c r="K986" s="130">
        <f>SUMIFS(ТГ_ИД!$E:$E,ТГ_ИД!$B:$B,ТГ!$G$3,ТГ_ИД!$D:$D,ТГ!$A987)</f>
        <v>0</v>
      </c>
      <c r="L986" s="130">
        <f>SUMIFS(ТГ_ИД!$E:$E,ТГ_ИД!$B:$B,ТГ!$G$4,ТГ_ИД!$D:$D,ТГ!$A987)</f>
        <v>0</v>
      </c>
      <c r="M986" s="130">
        <f>SUMIFS(ТГ_ИД!$E:$E,ТГ_ИД!$B:$B,ТГ!$G$5,ТГ_ИД!$D:$D,ТГ!$A987)</f>
        <v>0</v>
      </c>
      <c r="N986" s="130">
        <f>SUMIFS(ТГ_ИД!$E:$E,ТГ_ИД!$B:$B,ТГ!$G$6,ТГ_ИД!$D:$D,ТГ!$A987)</f>
        <v>0</v>
      </c>
      <c r="O986" s="130">
        <f>SUMIFS(ТГ_ИД!$E:$E,ТГ_ИД!$B:$B,ТГ!$G$7,ТГ_ИД!$D:$D,ТГ!$A987)</f>
        <v>0</v>
      </c>
      <c r="P986" s="130">
        <f>SUMIFS(ТГ_ИД!$E:$E,ТГ_ИД!$B:$B,ТГ!$G$8,ТГ_ИД!$D:$D,ТГ!$A987)</f>
        <v>0</v>
      </c>
      <c r="Q986" s="130">
        <f>SUMIFS(ТГ_ИД!$E:$E,ТГ_ИД!$B:$B,ТГ!$G$9,ТГ_ИД!$D:$D,ТГ!$A987)</f>
        <v>0</v>
      </c>
      <c r="R986" s="130">
        <f>SUMIFS(ТГ_ИД!$E:$E,ТГ_ИД!$B:$B,ТГ!$G$10,ТГ_ИД!$D:$D,ТГ!$A987)</f>
        <v>0</v>
      </c>
      <c r="S986" s="130">
        <f>SUMIFS(ТГ_ИД!$E:$E,ТГ_ИД!$B:$B,ТГ!$G$11,ТГ_ИД!$D:$D,ТГ!$A987)</f>
        <v>0</v>
      </c>
      <c r="T986" s="130">
        <f>SUMIFS(ТГ_ИД!$E:$E,ТГ_ИД!$B:$B,ТГ!$G$12,ТГ_ИД!$D:$D,ТГ!$A987)</f>
        <v>0</v>
      </c>
      <c r="U986" s="130">
        <f>SUMIFS(ТГ_ИД!$E:$E,ТГ_ИД!$B:$B,ТГ!$G$13,ТГ_ИД!$D:$D,ТГ!$A987)</f>
        <v>0</v>
      </c>
      <c r="V986" s="130">
        <f>SUMIFS(ТГ_ИД!$E:$E,ТГ_ИД!$B:$B,ТГ!$G$14,ТГ_ИД!$D:$D,ТГ!$A987)</f>
        <v>0</v>
      </c>
    </row>
    <row r="987" spans="1:22" x14ac:dyDescent="0.25">
      <c r="A987" s="116" t="str">
        <f t="shared" si="16"/>
        <v/>
      </c>
      <c r="K987" s="130">
        <f>SUMIFS(ТГ_ИД!$E:$E,ТГ_ИД!$B:$B,ТГ!$G$3,ТГ_ИД!$D:$D,ТГ!$A988)</f>
        <v>0</v>
      </c>
      <c r="L987" s="130">
        <f>SUMIFS(ТГ_ИД!$E:$E,ТГ_ИД!$B:$B,ТГ!$G$4,ТГ_ИД!$D:$D,ТГ!$A988)</f>
        <v>0</v>
      </c>
      <c r="M987" s="130">
        <f>SUMIFS(ТГ_ИД!$E:$E,ТГ_ИД!$B:$B,ТГ!$G$5,ТГ_ИД!$D:$D,ТГ!$A988)</f>
        <v>0</v>
      </c>
      <c r="N987" s="130">
        <f>SUMIFS(ТГ_ИД!$E:$E,ТГ_ИД!$B:$B,ТГ!$G$6,ТГ_ИД!$D:$D,ТГ!$A988)</f>
        <v>0</v>
      </c>
      <c r="O987" s="130">
        <f>SUMIFS(ТГ_ИД!$E:$E,ТГ_ИД!$B:$B,ТГ!$G$7,ТГ_ИД!$D:$D,ТГ!$A988)</f>
        <v>0</v>
      </c>
      <c r="P987" s="130">
        <f>SUMIFS(ТГ_ИД!$E:$E,ТГ_ИД!$B:$B,ТГ!$G$8,ТГ_ИД!$D:$D,ТГ!$A988)</f>
        <v>0</v>
      </c>
      <c r="Q987" s="130">
        <f>SUMIFS(ТГ_ИД!$E:$E,ТГ_ИД!$B:$B,ТГ!$G$9,ТГ_ИД!$D:$D,ТГ!$A988)</f>
        <v>0</v>
      </c>
      <c r="R987" s="130">
        <f>SUMIFS(ТГ_ИД!$E:$E,ТГ_ИД!$B:$B,ТГ!$G$10,ТГ_ИД!$D:$D,ТГ!$A988)</f>
        <v>0</v>
      </c>
      <c r="S987" s="130">
        <f>SUMIFS(ТГ_ИД!$E:$E,ТГ_ИД!$B:$B,ТГ!$G$11,ТГ_ИД!$D:$D,ТГ!$A988)</f>
        <v>0</v>
      </c>
      <c r="T987" s="130">
        <f>SUMIFS(ТГ_ИД!$E:$E,ТГ_ИД!$B:$B,ТГ!$G$12,ТГ_ИД!$D:$D,ТГ!$A988)</f>
        <v>0</v>
      </c>
      <c r="U987" s="130">
        <f>SUMIFS(ТГ_ИД!$E:$E,ТГ_ИД!$B:$B,ТГ!$G$13,ТГ_ИД!$D:$D,ТГ!$A988)</f>
        <v>0</v>
      </c>
      <c r="V987" s="130">
        <f>SUMIFS(ТГ_ИД!$E:$E,ТГ_ИД!$B:$B,ТГ!$G$14,ТГ_ИД!$D:$D,ТГ!$A988)</f>
        <v>0</v>
      </c>
    </row>
    <row r="988" spans="1:22" x14ac:dyDescent="0.25">
      <c r="A988" s="116" t="str">
        <f t="shared" si="16"/>
        <v/>
      </c>
      <c r="K988" s="130">
        <f>SUMIFS(ТГ_ИД!$E:$E,ТГ_ИД!$B:$B,ТГ!$G$3,ТГ_ИД!$D:$D,ТГ!$A989)</f>
        <v>0</v>
      </c>
      <c r="L988" s="130">
        <f>SUMIFS(ТГ_ИД!$E:$E,ТГ_ИД!$B:$B,ТГ!$G$4,ТГ_ИД!$D:$D,ТГ!$A989)</f>
        <v>0</v>
      </c>
      <c r="M988" s="130">
        <f>SUMIFS(ТГ_ИД!$E:$E,ТГ_ИД!$B:$B,ТГ!$G$5,ТГ_ИД!$D:$D,ТГ!$A989)</f>
        <v>0</v>
      </c>
      <c r="N988" s="130">
        <f>SUMIFS(ТГ_ИД!$E:$E,ТГ_ИД!$B:$B,ТГ!$G$6,ТГ_ИД!$D:$D,ТГ!$A989)</f>
        <v>0</v>
      </c>
      <c r="O988" s="130">
        <f>SUMIFS(ТГ_ИД!$E:$E,ТГ_ИД!$B:$B,ТГ!$G$7,ТГ_ИД!$D:$D,ТГ!$A989)</f>
        <v>0</v>
      </c>
      <c r="P988" s="130">
        <f>SUMIFS(ТГ_ИД!$E:$E,ТГ_ИД!$B:$B,ТГ!$G$8,ТГ_ИД!$D:$D,ТГ!$A989)</f>
        <v>0</v>
      </c>
      <c r="Q988" s="130">
        <f>SUMIFS(ТГ_ИД!$E:$E,ТГ_ИД!$B:$B,ТГ!$G$9,ТГ_ИД!$D:$D,ТГ!$A989)</f>
        <v>0</v>
      </c>
      <c r="R988" s="130">
        <f>SUMIFS(ТГ_ИД!$E:$E,ТГ_ИД!$B:$B,ТГ!$G$10,ТГ_ИД!$D:$D,ТГ!$A989)</f>
        <v>0</v>
      </c>
      <c r="S988" s="130">
        <f>SUMIFS(ТГ_ИД!$E:$E,ТГ_ИД!$B:$B,ТГ!$G$11,ТГ_ИД!$D:$D,ТГ!$A989)</f>
        <v>0</v>
      </c>
      <c r="T988" s="130">
        <f>SUMIFS(ТГ_ИД!$E:$E,ТГ_ИД!$B:$B,ТГ!$G$12,ТГ_ИД!$D:$D,ТГ!$A989)</f>
        <v>0</v>
      </c>
      <c r="U988" s="130">
        <f>SUMIFS(ТГ_ИД!$E:$E,ТГ_ИД!$B:$B,ТГ!$G$13,ТГ_ИД!$D:$D,ТГ!$A989)</f>
        <v>0</v>
      </c>
      <c r="V988" s="130">
        <f>SUMIFS(ТГ_ИД!$E:$E,ТГ_ИД!$B:$B,ТГ!$G$14,ТГ_ИД!$D:$D,ТГ!$A989)</f>
        <v>0</v>
      </c>
    </row>
    <row r="989" spans="1:22" x14ac:dyDescent="0.25">
      <c r="A989" s="116" t="str">
        <f t="shared" si="16"/>
        <v/>
      </c>
      <c r="K989" s="130">
        <f>SUMIFS(ТГ_ИД!$E:$E,ТГ_ИД!$B:$B,ТГ!$G$3,ТГ_ИД!$D:$D,ТГ!$A990)</f>
        <v>0</v>
      </c>
      <c r="L989" s="130">
        <f>SUMIFS(ТГ_ИД!$E:$E,ТГ_ИД!$B:$B,ТГ!$G$4,ТГ_ИД!$D:$D,ТГ!$A990)</f>
        <v>0</v>
      </c>
      <c r="M989" s="130">
        <f>SUMIFS(ТГ_ИД!$E:$E,ТГ_ИД!$B:$B,ТГ!$G$5,ТГ_ИД!$D:$D,ТГ!$A990)</f>
        <v>0</v>
      </c>
      <c r="N989" s="130">
        <f>SUMIFS(ТГ_ИД!$E:$E,ТГ_ИД!$B:$B,ТГ!$G$6,ТГ_ИД!$D:$D,ТГ!$A990)</f>
        <v>0</v>
      </c>
      <c r="O989" s="130">
        <f>SUMIFS(ТГ_ИД!$E:$E,ТГ_ИД!$B:$B,ТГ!$G$7,ТГ_ИД!$D:$D,ТГ!$A990)</f>
        <v>0</v>
      </c>
      <c r="P989" s="130">
        <f>SUMIFS(ТГ_ИД!$E:$E,ТГ_ИД!$B:$B,ТГ!$G$8,ТГ_ИД!$D:$D,ТГ!$A990)</f>
        <v>0</v>
      </c>
      <c r="Q989" s="130">
        <f>SUMIFS(ТГ_ИД!$E:$E,ТГ_ИД!$B:$B,ТГ!$G$9,ТГ_ИД!$D:$D,ТГ!$A990)</f>
        <v>0</v>
      </c>
      <c r="R989" s="130">
        <f>SUMIFS(ТГ_ИД!$E:$E,ТГ_ИД!$B:$B,ТГ!$G$10,ТГ_ИД!$D:$D,ТГ!$A990)</f>
        <v>0</v>
      </c>
      <c r="S989" s="130">
        <f>SUMIFS(ТГ_ИД!$E:$E,ТГ_ИД!$B:$B,ТГ!$G$11,ТГ_ИД!$D:$D,ТГ!$A990)</f>
        <v>0</v>
      </c>
      <c r="T989" s="130">
        <f>SUMIFS(ТГ_ИД!$E:$E,ТГ_ИД!$B:$B,ТГ!$G$12,ТГ_ИД!$D:$D,ТГ!$A990)</f>
        <v>0</v>
      </c>
      <c r="U989" s="130">
        <f>SUMIFS(ТГ_ИД!$E:$E,ТГ_ИД!$B:$B,ТГ!$G$13,ТГ_ИД!$D:$D,ТГ!$A990)</f>
        <v>0</v>
      </c>
      <c r="V989" s="130">
        <f>SUMIFS(ТГ_ИД!$E:$E,ТГ_ИД!$B:$B,ТГ!$G$14,ТГ_ИД!$D:$D,ТГ!$A990)</f>
        <v>0</v>
      </c>
    </row>
    <row r="990" spans="1:22" x14ac:dyDescent="0.25">
      <c r="A990" s="116" t="str">
        <f t="shared" si="16"/>
        <v/>
      </c>
      <c r="K990" s="130">
        <f>SUMIFS(ТГ_ИД!$E:$E,ТГ_ИД!$B:$B,ТГ!$G$3,ТГ_ИД!$D:$D,ТГ!$A991)</f>
        <v>0</v>
      </c>
      <c r="L990" s="130">
        <f>SUMIFS(ТГ_ИД!$E:$E,ТГ_ИД!$B:$B,ТГ!$G$4,ТГ_ИД!$D:$D,ТГ!$A991)</f>
        <v>0</v>
      </c>
      <c r="M990" s="130">
        <f>SUMIFS(ТГ_ИД!$E:$E,ТГ_ИД!$B:$B,ТГ!$G$5,ТГ_ИД!$D:$D,ТГ!$A991)</f>
        <v>0</v>
      </c>
      <c r="N990" s="130">
        <f>SUMIFS(ТГ_ИД!$E:$E,ТГ_ИД!$B:$B,ТГ!$G$6,ТГ_ИД!$D:$D,ТГ!$A991)</f>
        <v>0</v>
      </c>
      <c r="O990" s="130">
        <f>SUMIFS(ТГ_ИД!$E:$E,ТГ_ИД!$B:$B,ТГ!$G$7,ТГ_ИД!$D:$D,ТГ!$A991)</f>
        <v>0</v>
      </c>
      <c r="P990" s="130">
        <f>SUMIFS(ТГ_ИД!$E:$E,ТГ_ИД!$B:$B,ТГ!$G$8,ТГ_ИД!$D:$D,ТГ!$A991)</f>
        <v>0</v>
      </c>
      <c r="Q990" s="130">
        <f>SUMIFS(ТГ_ИД!$E:$E,ТГ_ИД!$B:$B,ТГ!$G$9,ТГ_ИД!$D:$D,ТГ!$A991)</f>
        <v>0</v>
      </c>
      <c r="R990" s="130">
        <f>SUMIFS(ТГ_ИД!$E:$E,ТГ_ИД!$B:$B,ТГ!$G$10,ТГ_ИД!$D:$D,ТГ!$A991)</f>
        <v>0</v>
      </c>
      <c r="S990" s="130">
        <f>SUMIFS(ТГ_ИД!$E:$E,ТГ_ИД!$B:$B,ТГ!$G$11,ТГ_ИД!$D:$D,ТГ!$A991)</f>
        <v>0</v>
      </c>
      <c r="T990" s="130">
        <f>SUMIFS(ТГ_ИД!$E:$E,ТГ_ИД!$B:$B,ТГ!$G$12,ТГ_ИД!$D:$D,ТГ!$A991)</f>
        <v>0</v>
      </c>
      <c r="U990" s="130">
        <f>SUMIFS(ТГ_ИД!$E:$E,ТГ_ИД!$B:$B,ТГ!$G$13,ТГ_ИД!$D:$D,ТГ!$A991)</f>
        <v>0</v>
      </c>
      <c r="V990" s="130">
        <f>SUMIFS(ТГ_ИД!$E:$E,ТГ_ИД!$B:$B,ТГ!$G$14,ТГ_ИД!$D:$D,ТГ!$A991)</f>
        <v>0</v>
      </c>
    </row>
    <row r="991" spans="1:22" x14ac:dyDescent="0.25">
      <c r="A991" s="116" t="str">
        <f t="shared" si="16"/>
        <v/>
      </c>
      <c r="K991" s="130">
        <f>SUMIFS(ТГ_ИД!$E:$E,ТГ_ИД!$B:$B,ТГ!$G$3,ТГ_ИД!$D:$D,ТГ!$A992)</f>
        <v>0</v>
      </c>
      <c r="L991" s="130">
        <f>SUMIFS(ТГ_ИД!$E:$E,ТГ_ИД!$B:$B,ТГ!$G$4,ТГ_ИД!$D:$D,ТГ!$A992)</f>
        <v>0</v>
      </c>
      <c r="M991" s="130">
        <f>SUMIFS(ТГ_ИД!$E:$E,ТГ_ИД!$B:$B,ТГ!$G$5,ТГ_ИД!$D:$D,ТГ!$A992)</f>
        <v>0</v>
      </c>
      <c r="N991" s="130">
        <f>SUMIFS(ТГ_ИД!$E:$E,ТГ_ИД!$B:$B,ТГ!$G$6,ТГ_ИД!$D:$D,ТГ!$A992)</f>
        <v>0</v>
      </c>
      <c r="O991" s="130">
        <f>SUMIFS(ТГ_ИД!$E:$E,ТГ_ИД!$B:$B,ТГ!$G$7,ТГ_ИД!$D:$D,ТГ!$A992)</f>
        <v>0</v>
      </c>
      <c r="P991" s="130">
        <f>SUMIFS(ТГ_ИД!$E:$E,ТГ_ИД!$B:$B,ТГ!$G$8,ТГ_ИД!$D:$D,ТГ!$A992)</f>
        <v>0</v>
      </c>
      <c r="Q991" s="130">
        <f>SUMIFS(ТГ_ИД!$E:$E,ТГ_ИД!$B:$B,ТГ!$G$9,ТГ_ИД!$D:$D,ТГ!$A992)</f>
        <v>0</v>
      </c>
      <c r="R991" s="130">
        <f>SUMIFS(ТГ_ИД!$E:$E,ТГ_ИД!$B:$B,ТГ!$G$10,ТГ_ИД!$D:$D,ТГ!$A992)</f>
        <v>0</v>
      </c>
      <c r="S991" s="130">
        <f>SUMIFS(ТГ_ИД!$E:$E,ТГ_ИД!$B:$B,ТГ!$G$11,ТГ_ИД!$D:$D,ТГ!$A992)</f>
        <v>0</v>
      </c>
      <c r="T991" s="130">
        <f>SUMIFS(ТГ_ИД!$E:$E,ТГ_ИД!$B:$B,ТГ!$G$12,ТГ_ИД!$D:$D,ТГ!$A992)</f>
        <v>0</v>
      </c>
      <c r="U991" s="130">
        <f>SUMIFS(ТГ_ИД!$E:$E,ТГ_ИД!$B:$B,ТГ!$G$13,ТГ_ИД!$D:$D,ТГ!$A992)</f>
        <v>0</v>
      </c>
      <c r="V991" s="130">
        <f>SUMIFS(ТГ_ИД!$E:$E,ТГ_ИД!$B:$B,ТГ!$G$14,ТГ_ИД!$D:$D,ТГ!$A992)</f>
        <v>0</v>
      </c>
    </row>
    <row r="992" spans="1:22" x14ac:dyDescent="0.25">
      <c r="A992" s="116" t="str">
        <f t="shared" si="16"/>
        <v/>
      </c>
      <c r="K992" s="130">
        <f>SUMIFS(ТГ_ИД!$E:$E,ТГ_ИД!$B:$B,ТГ!$G$3,ТГ_ИД!$D:$D,ТГ!$A993)</f>
        <v>0</v>
      </c>
      <c r="L992" s="130">
        <f>SUMIFS(ТГ_ИД!$E:$E,ТГ_ИД!$B:$B,ТГ!$G$4,ТГ_ИД!$D:$D,ТГ!$A993)</f>
        <v>0</v>
      </c>
      <c r="M992" s="130">
        <f>SUMIFS(ТГ_ИД!$E:$E,ТГ_ИД!$B:$B,ТГ!$G$5,ТГ_ИД!$D:$D,ТГ!$A993)</f>
        <v>0</v>
      </c>
      <c r="N992" s="130">
        <f>SUMIFS(ТГ_ИД!$E:$E,ТГ_ИД!$B:$B,ТГ!$G$6,ТГ_ИД!$D:$D,ТГ!$A993)</f>
        <v>0</v>
      </c>
      <c r="O992" s="130">
        <f>SUMIFS(ТГ_ИД!$E:$E,ТГ_ИД!$B:$B,ТГ!$G$7,ТГ_ИД!$D:$D,ТГ!$A993)</f>
        <v>0</v>
      </c>
      <c r="P992" s="130">
        <f>SUMIFS(ТГ_ИД!$E:$E,ТГ_ИД!$B:$B,ТГ!$G$8,ТГ_ИД!$D:$D,ТГ!$A993)</f>
        <v>0</v>
      </c>
      <c r="Q992" s="130">
        <f>SUMIFS(ТГ_ИД!$E:$E,ТГ_ИД!$B:$B,ТГ!$G$9,ТГ_ИД!$D:$D,ТГ!$A993)</f>
        <v>0</v>
      </c>
      <c r="R992" s="130">
        <f>SUMIFS(ТГ_ИД!$E:$E,ТГ_ИД!$B:$B,ТГ!$G$10,ТГ_ИД!$D:$D,ТГ!$A993)</f>
        <v>0</v>
      </c>
      <c r="S992" s="130">
        <f>SUMIFS(ТГ_ИД!$E:$E,ТГ_ИД!$B:$B,ТГ!$G$11,ТГ_ИД!$D:$D,ТГ!$A993)</f>
        <v>0</v>
      </c>
      <c r="T992" s="130">
        <f>SUMIFS(ТГ_ИД!$E:$E,ТГ_ИД!$B:$B,ТГ!$G$12,ТГ_ИД!$D:$D,ТГ!$A993)</f>
        <v>0</v>
      </c>
      <c r="U992" s="130">
        <f>SUMIFS(ТГ_ИД!$E:$E,ТГ_ИД!$B:$B,ТГ!$G$13,ТГ_ИД!$D:$D,ТГ!$A993)</f>
        <v>0</v>
      </c>
      <c r="V992" s="130">
        <f>SUMIFS(ТГ_ИД!$E:$E,ТГ_ИД!$B:$B,ТГ!$G$14,ТГ_ИД!$D:$D,ТГ!$A993)</f>
        <v>0</v>
      </c>
    </row>
    <row r="993" spans="1:22" x14ac:dyDescent="0.25">
      <c r="A993" s="116" t="str">
        <f t="shared" si="16"/>
        <v/>
      </c>
      <c r="K993" s="130">
        <f>SUMIFS(ТГ_ИД!$E:$E,ТГ_ИД!$B:$B,ТГ!$G$3,ТГ_ИД!$D:$D,ТГ!$A994)</f>
        <v>0</v>
      </c>
      <c r="L993" s="130">
        <f>SUMIFS(ТГ_ИД!$E:$E,ТГ_ИД!$B:$B,ТГ!$G$4,ТГ_ИД!$D:$D,ТГ!$A994)</f>
        <v>0</v>
      </c>
      <c r="M993" s="130">
        <f>SUMIFS(ТГ_ИД!$E:$E,ТГ_ИД!$B:$B,ТГ!$G$5,ТГ_ИД!$D:$D,ТГ!$A994)</f>
        <v>0</v>
      </c>
      <c r="N993" s="130">
        <f>SUMIFS(ТГ_ИД!$E:$E,ТГ_ИД!$B:$B,ТГ!$G$6,ТГ_ИД!$D:$D,ТГ!$A994)</f>
        <v>0</v>
      </c>
      <c r="O993" s="130">
        <f>SUMIFS(ТГ_ИД!$E:$E,ТГ_ИД!$B:$B,ТГ!$G$7,ТГ_ИД!$D:$D,ТГ!$A994)</f>
        <v>0</v>
      </c>
      <c r="P993" s="130">
        <f>SUMIFS(ТГ_ИД!$E:$E,ТГ_ИД!$B:$B,ТГ!$G$8,ТГ_ИД!$D:$D,ТГ!$A994)</f>
        <v>0</v>
      </c>
      <c r="Q993" s="130">
        <f>SUMIFS(ТГ_ИД!$E:$E,ТГ_ИД!$B:$B,ТГ!$G$9,ТГ_ИД!$D:$D,ТГ!$A994)</f>
        <v>0</v>
      </c>
      <c r="R993" s="130">
        <f>SUMIFS(ТГ_ИД!$E:$E,ТГ_ИД!$B:$B,ТГ!$G$10,ТГ_ИД!$D:$D,ТГ!$A994)</f>
        <v>0</v>
      </c>
      <c r="S993" s="130">
        <f>SUMIFS(ТГ_ИД!$E:$E,ТГ_ИД!$B:$B,ТГ!$G$11,ТГ_ИД!$D:$D,ТГ!$A994)</f>
        <v>0</v>
      </c>
      <c r="T993" s="130">
        <f>SUMIFS(ТГ_ИД!$E:$E,ТГ_ИД!$B:$B,ТГ!$G$12,ТГ_ИД!$D:$D,ТГ!$A994)</f>
        <v>0</v>
      </c>
      <c r="U993" s="130">
        <f>SUMIFS(ТГ_ИД!$E:$E,ТГ_ИД!$B:$B,ТГ!$G$13,ТГ_ИД!$D:$D,ТГ!$A994)</f>
        <v>0</v>
      </c>
      <c r="V993" s="130">
        <f>SUMIFS(ТГ_ИД!$E:$E,ТГ_ИД!$B:$B,ТГ!$G$14,ТГ_ИД!$D:$D,ТГ!$A994)</f>
        <v>0</v>
      </c>
    </row>
    <row r="994" spans="1:22" x14ac:dyDescent="0.25">
      <c r="A994" s="116" t="str">
        <f t="shared" si="16"/>
        <v/>
      </c>
      <c r="K994" s="130">
        <f>SUMIFS(ТГ_ИД!$E:$E,ТГ_ИД!$B:$B,ТГ!$G$3,ТГ_ИД!$D:$D,ТГ!$A995)</f>
        <v>0</v>
      </c>
      <c r="L994" s="130">
        <f>SUMIFS(ТГ_ИД!$E:$E,ТГ_ИД!$B:$B,ТГ!$G$4,ТГ_ИД!$D:$D,ТГ!$A995)</f>
        <v>0</v>
      </c>
      <c r="M994" s="130">
        <f>SUMIFS(ТГ_ИД!$E:$E,ТГ_ИД!$B:$B,ТГ!$G$5,ТГ_ИД!$D:$D,ТГ!$A995)</f>
        <v>0</v>
      </c>
      <c r="N994" s="130">
        <f>SUMIFS(ТГ_ИД!$E:$E,ТГ_ИД!$B:$B,ТГ!$G$6,ТГ_ИД!$D:$D,ТГ!$A995)</f>
        <v>0</v>
      </c>
      <c r="O994" s="130">
        <f>SUMIFS(ТГ_ИД!$E:$E,ТГ_ИД!$B:$B,ТГ!$G$7,ТГ_ИД!$D:$D,ТГ!$A995)</f>
        <v>0</v>
      </c>
      <c r="P994" s="130">
        <f>SUMIFS(ТГ_ИД!$E:$E,ТГ_ИД!$B:$B,ТГ!$G$8,ТГ_ИД!$D:$D,ТГ!$A995)</f>
        <v>0</v>
      </c>
      <c r="Q994" s="130">
        <f>SUMIFS(ТГ_ИД!$E:$E,ТГ_ИД!$B:$B,ТГ!$G$9,ТГ_ИД!$D:$D,ТГ!$A995)</f>
        <v>0</v>
      </c>
      <c r="R994" s="130">
        <f>SUMIFS(ТГ_ИД!$E:$E,ТГ_ИД!$B:$B,ТГ!$G$10,ТГ_ИД!$D:$D,ТГ!$A995)</f>
        <v>0</v>
      </c>
      <c r="S994" s="130">
        <f>SUMIFS(ТГ_ИД!$E:$E,ТГ_ИД!$B:$B,ТГ!$G$11,ТГ_ИД!$D:$D,ТГ!$A995)</f>
        <v>0</v>
      </c>
      <c r="T994" s="130">
        <f>SUMIFS(ТГ_ИД!$E:$E,ТГ_ИД!$B:$B,ТГ!$G$12,ТГ_ИД!$D:$D,ТГ!$A995)</f>
        <v>0</v>
      </c>
      <c r="U994" s="130">
        <f>SUMIFS(ТГ_ИД!$E:$E,ТГ_ИД!$B:$B,ТГ!$G$13,ТГ_ИД!$D:$D,ТГ!$A995)</f>
        <v>0</v>
      </c>
      <c r="V994" s="130">
        <f>SUMIFS(ТГ_ИД!$E:$E,ТГ_ИД!$B:$B,ТГ!$G$14,ТГ_ИД!$D:$D,ТГ!$A995)</f>
        <v>0</v>
      </c>
    </row>
    <row r="995" spans="1:22" x14ac:dyDescent="0.25">
      <c r="A995" s="116" t="str">
        <f t="shared" si="16"/>
        <v/>
      </c>
      <c r="K995" s="130">
        <f>SUMIFS(ТГ_ИД!$E:$E,ТГ_ИД!$B:$B,ТГ!$G$3,ТГ_ИД!$D:$D,ТГ!$A996)</f>
        <v>0</v>
      </c>
      <c r="L995" s="130">
        <f>SUMIFS(ТГ_ИД!$E:$E,ТГ_ИД!$B:$B,ТГ!$G$4,ТГ_ИД!$D:$D,ТГ!$A996)</f>
        <v>0</v>
      </c>
      <c r="M995" s="130">
        <f>SUMIFS(ТГ_ИД!$E:$E,ТГ_ИД!$B:$B,ТГ!$G$5,ТГ_ИД!$D:$D,ТГ!$A996)</f>
        <v>0</v>
      </c>
      <c r="N995" s="130">
        <f>SUMIFS(ТГ_ИД!$E:$E,ТГ_ИД!$B:$B,ТГ!$G$6,ТГ_ИД!$D:$D,ТГ!$A996)</f>
        <v>0</v>
      </c>
      <c r="O995" s="130">
        <f>SUMIFS(ТГ_ИД!$E:$E,ТГ_ИД!$B:$B,ТГ!$G$7,ТГ_ИД!$D:$D,ТГ!$A996)</f>
        <v>0</v>
      </c>
      <c r="P995" s="130">
        <f>SUMIFS(ТГ_ИД!$E:$E,ТГ_ИД!$B:$B,ТГ!$G$8,ТГ_ИД!$D:$D,ТГ!$A996)</f>
        <v>0</v>
      </c>
      <c r="Q995" s="130">
        <f>SUMIFS(ТГ_ИД!$E:$E,ТГ_ИД!$B:$B,ТГ!$G$9,ТГ_ИД!$D:$D,ТГ!$A996)</f>
        <v>0</v>
      </c>
      <c r="R995" s="130">
        <f>SUMIFS(ТГ_ИД!$E:$E,ТГ_ИД!$B:$B,ТГ!$G$10,ТГ_ИД!$D:$D,ТГ!$A996)</f>
        <v>0</v>
      </c>
      <c r="S995" s="130">
        <f>SUMIFS(ТГ_ИД!$E:$E,ТГ_ИД!$B:$B,ТГ!$G$11,ТГ_ИД!$D:$D,ТГ!$A996)</f>
        <v>0</v>
      </c>
      <c r="T995" s="130">
        <f>SUMIFS(ТГ_ИД!$E:$E,ТГ_ИД!$B:$B,ТГ!$G$12,ТГ_ИД!$D:$D,ТГ!$A996)</f>
        <v>0</v>
      </c>
      <c r="U995" s="130">
        <f>SUMIFS(ТГ_ИД!$E:$E,ТГ_ИД!$B:$B,ТГ!$G$13,ТГ_ИД!$D:$D,ТГ!$A996)</f>
        <v>0</v>
      </c>
      <c r="V995" s="130">
        <f>SUMIFS(ТГ_ИД!$E:$E,ТГ_ИД!$B:$B,ТГ!$G$14,ТГ_ИД!$D:$D,ТГ!$A996)</f>
        <v>0</v>
      </c>
    </row>
    <row r="996" spans="1:22" x14ac:dyDescent="0.25">
      <c r="A996" s="116" t="str">
        <f t="shared" si="16"/>
        <v/>
      </c>
      <c r="K996" s="130">
        <f>SUMIFS(ТГ_ИД!$E:$E,ТГ_ИД!$B:$B,ТГ!$G$3,ТГ_ИД!$D:$D,ТГ!$A997)</f>
        <v>0</v>
      </c>
      <c r="L996" s="130">
        <f>SUMIFS(ТГ_ИД!$E:$E,ТГ_ИД!$B:$B,ТГ!$G$4,ТГ_ИД!$D:$D,ТГ!$A997)</f>
        <v>0</v>
      </c>
      <c r="M996" s="130">
        <f>SUMIFS(ТГ_ИД!$E:$E,ТГ_ИД!$B:$B,ТГ!$G$5,ТГ_ИД!$D:$D,ТГ!$A997)</f>
        <v>0</v>
      </c>
      <c r="N996" s="130">
        <f>SUMIFS(ТГ_ИД!$E:$E,ТГ_ИД!$B:$B,ТГ!$G$6,ТГ_ИД!$D:$D,ТГ!$A997)</f>
        <v>0</v>
      </c>
      <c r="O996" s="130">
        <f>SUMIFS(ТГ_ИД!$E:$E,ТГ_ИД!$B:$B,ТГ!$G$7,ТГ_ИД!$D:$D,ТГ!$A997)</f>
        <v>0</v>
      </c>
      <c r="P996" s="130">
        <f>SUMIFS(ТГ_ИД!$E:$E,ТГ_ИД!$B:$B,ТГ!$G$8,ТГ_ИД!$D:$D,ТГ!$A997)</f>
        <v>0</v>
      </c>
      <c r="Q996" s="130">
        <f>SUMIFS(ТГ_ИД!$E:$E,ТГ_ИД!$B:$B,ТГ!$G$9,ТГ_ИД!$D:$D,ТГ!$A997)</f>
        <v>0</v>
      </c>
      <c r="R996" s="130">
        <f>SUMIFS(ТГ_ИД!$E:$E,ТГ_ИД!$B:$B,ТГ!$G$10,ТГ_ИД!$D:$D,ТГ!$A997)</f>
        <v>0</v>
      </c>
      <c r="S996" s="130">
        <f>SUMIFS(ТГ_ИД!$E:$E,ТГ_ИД!$B:$B,ТГ!$G$11,ТГ_ИД!$D:$D,ТГ!$A997)</f>
        <v>0</v>
      </c>
      <c r="T996" s="130">
        <f>SUMIFS(ТГ_ИД!$E:$E,ТГ_ИД!$B:$B,ТГ!$G$12,ТГ_ИД!$D:$D,ТГ!$A997)</f>
        <v>0</v>
      </c>
      <c r="U996" s="130">
        <f>SUMIFS(ТГ_ИД!$E:$E,ТГ_ИД!$B:$B,ТГ!$G$13,ТГ_ИД!$D:$D,ТГ!$A997)</f>
        <v>0</v>
      </c>
      <c r="V996" s="130">
        <f>SUMIFS(ТГ_ИД!$E:$E,ТГ_ИД!$B:$B,ТГ!$G$14,ТГ_ИД!$D:$D,ТГ!$A997)</f>
        <v>0</v>
      </c>
    </row>
    <row r="997" spans="1:22" x14ac:dyDescent="0.25">
      <c r="A997" s="116" t="str">
        <f t="shared" si="16"/>
        <v/>
      </c>
      <c r="K997" s="130">
        <f>SUMIFS(ТГ_ИД!$E:$E,ТГ_ИД!$B:$B,ТГ!$G$3,ТГ_ИД!$D:$D,ТГ!$A998)</f>
        <v>0</v>
      </c>
      <c r="L997" s="130">
        <f>SUMIFS(ТГ_ИД!$E:$E,ТГ_ИД!$B:$B,ТГ!$G$4,ТГ_ИД!$D:$D,ТГ!$A998)</f>
        <v>0</v>
      </c>
      <c r="M997" s="130">
        <f>SUMIFS(ТГ_ИД!$E:$E,ТГ_ИД!$B:$B,ТГ!$G$5,ТГ_ИД!$D:$D,ТГ!$A998)</f>
        <v>0</v>
      </c>
      <c r="N997" s="130">
        <f>SUMIFS(ТГ_ИД!$E:$E,ТГ_ИД!$B:$B,ТГ!$G$6,ТГ_ИД!$D:$D,ТГ!$A998)</f>
        <v>0</v>
      </c>
      <c r="O997" s="130">
        <f>SUMIFS(ТГ_ИД!$E:$E,ТГ_ИД!$B:$B,ТГ!$G$7,ТГ_ИД!$D:$D,ТГ!$A998)</f>
        <v>0</v>
      </c>
      <c r="P997" s="130">
        <f>SUMIFS(ТГ_ИД!$E:$E,ТГ_ИД!$B:$B,ТГ!$G$8,ТГ_ИД!$D:$D,ТГ!$A998)</f>
        <v>0</v>
      </c>
      <c r="Q997" s="130">
        <f>SUMIFS(ТГ_ИД!$E:$E,ТГ_ИД!$B:$B,ТГ!$G$9,ТГ_ИД!$D:$D,ТГ!$A998)</f>
        <v>0</v>
      </c>
      <c r="R997" s="130">
        <f>SUMIFS(ТГ_ИД!$E:$E,ТГ_ИД!$B:$B,ТГ!$G$10,ТГ_ИД!$D:$D,ТГ!$A998)</f>
        <v>0</v>
      </c>
      <c r="S997" s="130">
        <f>SUMIFS(ТГ_ИД!$E:$E,ТГ_ИД!$B:$B,ТГ!$G$11,ТГ_ИД!$D:$D,ТГ!$A998)</f>
        <v>0</v>
      </c>
      <c r="T997" s="130">
        <f>SUMIFS(ТГ_ИД!$E:$E,ТГ_ИД!$B:$B,ТГ!$G$12,ТГ_ИД!$D:$D,ТГ!$A998)</f>
        <v>0</v>
      </c>
      <c r="U997" s="130">
        <f>SUMIFS(ТГ_ИД!$E:$E,ТГ_ИД!$B:$B,ТГ!$G$13,ТГ_ИД!$D:$D,ТГ!$A998)</f>
        <v>0</v>
      </c>
      <c r="V997" s="130">
        <f>SUMIFS(ТГ_ИД!$E:$E,ТГ_ИД!$B:$B,ТГ!$G$14,ТГ_ИД!$D:$D,ТГ!$A998)</f>
        <v>0</v>
      </c>
    </row>
    <row r="998" spans="1:22" x14ac:dyDescent="0.25">
      <c r="A998" s="116" t="str">
        <f t="shared" si="16"/>
        <v/>
      </c>
      <c r="K998" s="130">
        <f>SUMIFS(ТГ_ИД!$E:$E,ТГ_ИД!$B:$B,ТГ!$G$3,ТГ_ИД!$D:$D,ТГ!$A999)</f>
        <v>0</v>
      </c>
      <c r="L998" s="130">
        <f>SUMIFS(ТГ_ИД!$E:$E,ТГ_ИД!$B:$B,ТГ!$G$4,ТГ_ИД!$D:$D,ТГ!$A999)</f>
        <v>0</v>
      </c>
      <c r="M998" s="130">
        <f>SUMIFS(ТГ_ИД!$E:$E,ТГ_ИД!$B:$B,ТГ!$G$5,ТГ_ИД!$D:$D,ТГ!$A999)</f>
        <v>0</v>
      </c>
      <c r="N998" s="130">
        <f>SUMIFS(ТГ_ИД!$E:$E,ТГ_ИД!$B:$B,ТГ!$G$6,ТГ_ИД!$D:$D,ТГ!$A999)</f>
        <v>0</v>
      </c>
      <c r="O998" s="130">
        <f>SUMIFS(ТГ_ИД!$E:$E,ТГ_ИД!$B:$B,ТГ!$G$7,ТГ_ИД!$D:$D,ТГ!$A999)</f>
        <v>0</v>
      </c>
      <c r="P998" s="130">
        <f>SUMIFS(ТГ_ИД!$E:$E,ТГ_ИД!$B:$B,ТГ!$G$8,ТГ_ИД!$D:$D,ТГ!$A999)</f>
        <v>0</v>
      </c>
      <c r="Q998" s="130">
        <f>SUMIFS(ТГ_ИД!$E:$E,ТГ_ИД!$B:$B,ТГ!$G$9,ТГ_ИД!$D:$D,ТГ!$A999)</f>
        <v>0</v>
      </c>
      <c r="R998" s="130">
        <f>SUMIFS(ТГ_ИД!$E:$E,ТГ_ИД!$B:$B,ТГ!$G$10,ТГ_ИД!$D:$D,ТГ!$A999)</f>
        <v>0</v>
      </c>
      <c r="S998" s="130">
        <f>SUMIFS(ТГ_ИД!$E:$E,ТГ_ИД!$B:$B,ТГ!$G$11,ТГ_ИД!$D:$D,ТГ!$A999)</f>
        <v>0</v>
      </c>
      <c r="T998" s="130">
        <f>SUMIFS(ТГ_ИД!$E:$E,ТГ_ИД!$B:$B,ТГ!$G$12,ТГ_ИД!$D:$D,ТГ!$A999)</f>
        <v>0</v>
      </c>
      <c r="U998" s="130">
        <f>SUMIFS(ТГ_ИД!$E:$E,ТГ_ИД!$B:$B,ТГ!$G$13,ТГ_ИД!$D:$D,ТГ!$A999)</f>
        <v>0</v>
      </c>
      <c r="V998" s="130">
        <f>SUMIFS(ТГ_ИД!$E:$E,ТГ_ИД!$B:$B,ТГ!$G$14,ТГ_ИД!$D:$D,ТГ!$A999)</f>
        <v>0</v>
      </c>
    </row>
    <row r="999" spans="1:22" x14ac:dyDescent="0.25">
      <c r="A999" s="116" t="str">
        <f t="shared" si="16"/>
        <v/>
      </c>
      <c r="K999" s="130">
        <f>SUMIFS(ТГ_ИД!$E:$E,ТГ_ИД!$B:$B,ТГ!$G$3,ТГ_ИД!$D:$D,ТГ!$A1000)</f>
        <v>0</v>
      </c>
      <c r="L999" s="130">
        <f>SUMIFS(ТГ_ИД!$E:$E,ТГ_ИД!$B:$B,ТГ!$G$4,ТГ_ИД!$D:$D,ТГ!$A1000)</f>
        <v>0</v>
      </c>
      <c r="M999" s="130">
        <f>SUMIFS(ТГ_ИД!$E:$E,ТГ_ИД!$B:$B,ТГ!$G$5,ТГ_ИД!$D:$D,ТГ!$A1000)</f>
        <v>0</v>
      </c>
      <c r="N999" s="130">
        <f>SUMIFS(ТГ_ИД!$E:$E,ТГ_ИД!$B:$B,ТГ!$G$6,ТГ_ИД!$D:$D,ТГ!$A1000)</f>
        <v>0</v>
      </c>
      <c r="O999" s="130">
        <f>SUMIFS(ТГ_ИД!$E:$E,ТГ_ИД!$B:$B,ТГ!$G$7,ТГ_ИД!$D:$D,ТГ!$A1000)</f>
        <v>0</v>
      </c>
      <c r="P999" s="130">
        <f>SUMIFS(ТГ_ИД!$E:$E,ТГ_ИД!$B:$B,ТГ!$G$8,ТГ_ИД!$D:$D,ТГ!$A1000)</f>
        <v>0</v>
      </c>
      <c r="Q999" s="130">
        <f>SUMIFS(ТГ_ИД!$E:$E,ТГ_ИД!$B:$B,ТГ!$G$9,ТГ_ИД!$D:$D,ТГ!$A1000)</f>
        <v>0</v>
      </c>
      <c r="R999" s="130">
        <f>SUMIFS(ТГ_ИД!$E:$E,ТГ_ИД!$B:$B,ТГ!$G$10,ТГ_ИД!$D:$D,ТГ!$A1000)</f>
        <v>0</v>
      </c>
      <c r="S999" s="130">
        <f>SUMIFS(ТГ_ИД!$E:$E,ТГ_ИД!$B:$B,ТГ!$G$11,ТГ_ИД!$D:$D,ТГ!$A1000)</f>
        <v>0</v>
      </c>
      <c r="T999" s="130">
        <f>SUMIFS(ТГ_ИД!$E:$E,ТГ_ИД!$B:$B,ТГ!$G$12,ТГ_ИД!$D:$D,ТГ!$A1000)</f>
        <v>0</v>
      </c>
      <c r="U999" s="130">
        <f>SUMIFS(ТГ_ИД!$E:$E,ТГ_ИД!$B:$B,ТГ!$G$13,ТГ_ИД!$D:$D,ТГ!$A1000)</f>
        <v>0</v>
      </c>
      <c r="V999" s="130">
        <f>SUMIFS(ТГ_ИД!$E:$E,ТГ_ИД!$B:$B,ТГ!$G$14,ТГ_ИД!$D:$D,ТГ!$A1000)</f>
        <v>0</v>
      </c>
    </row>
    <row r="1000" spans="1:22" x14ac:dyDescent="0.25">
      <c r="A1000" s="116" t="str">
        <f t="shared" si="16"/>
        <v/>
      </c>
      <c r="K1000" s="130">
        <f>SUMIFS(ТГ_ИД!$E:$E,ТГ_ИД!$B:$B,ТГ!$G$3,ТГ_ИД!$D:$D,ТГ!$A1001)</f>
        <v>0</v>
      </c>
      <c r="L1000" s="130">
        <f>SUMIFS(ТГ_ИД!$E:$E,ТГ_ИД!$B:$B,ТГ!$G$4,ТГ_ИД!$D:$D,ТГ!$A1001)</f>
        <v>0</v>
      </c>
      <c r="M1000" s="130">
        <f>SUMIFS(ТГ_ИД!$E:$E,ТГ_ИД!$B:$B,ТГ!$G$5,ТГ_ИД!$D:$D,ТГ!$A1001)</f>
        <v>0</v>
      </c>
      <c r="N1000" s="130">
        <f>SUMIFS(ТГ_ИД!$E:$E,ТГ_ИД!$B:$B,ТГ!$G$6,ТГ_ИД!$D:$D,ТГ!$A1001)</f>
        <v>0</v>
      </c>
      <c r="O1000" s="130">
        <f>SUMIFS(ТГ_ИД!$E:$E,ТГ_ИД!$B:$B,ТГ!$G$7,ТГ_ИД!$D:$D,ТГ!$A1001)</f>
        <v>0</v>
      </c>
      <c r="P1000" s="130">
        <f>SUMIFS(ТГ_ИД!$E:$E,ТГ_ИД!$B:$B,ТГ!$G$8,ТГ_ИД!$D:$D,ТГ!$A1001)</f>
        <v>0</v>
      </c>
      <c r="Q1000" s="130">
        <f>SUMIFS(ТГ_ИД!$E:$E,ТГ_ИД!$B:$B,ТГ!$G$9,ТГ_ИД!$D:$D,ТГ!$A1001)</f>
        <v>0</v>
      </c>
      <c r="R1000" s="130">
        <f>SUMIFS(ТГ_ИД!$E:$E,ТГ_ИД!$B:$B,ТГ!$G$10,ТГ_ИД!$D:$D,ТГ!$A1001)</f>
        <v>0</v>
      </c>
      <c r="S1000" s="130">
        <f>SUMIFS(ТГ_ИД!$E:$E,ТГ_ИД!$B:$B,ТГ!$G$11,ТГ_ИД!$D:$D,ТГ!$A1001)</f>
        <v>0</v>
      </c>
      <c r="T1000" s="130">
        <f>SUMIFS(ТГ_ИД!$E:$E,ТГ_ИД!$B:$B,ТГ!$G$12,ТГ_ИД!$D:$D,ТГ!$A1001)</f>
        <v>0</v>
      </c>
      <c r="U1000" s="130">
        <f>SUMIFS(ТГ_ИД!$E:$E,ТГ_ИД!$B:$B,ТГ!$G$13,ТГ_ИД!$D:$D,ТГ!$A1001)</f>
        <v>0</v>
      </c>
      <c r="V1000" s="130">
        <f>SUMIFS(ТГ_ИД!$E:$E,ТГ_ИД!$B:$B,ТГ!$G$14,ТГ_ИД!$D:$D,ТГ!$A1001)</f>
        <v>0</v>
      </c>
    </row>
    <row r="1001" spans="1:22" ht="15.75" thickBot="1" x14ac:dyDescent="0.3">
      <c r="A1001" s="117" t="str">
        <f t="shared" si="16"/>
        <v/>
      </c>
      <c r="K1001" s="130">
        <f>SUMIFS(ТГ_ИД!$E:$E,ТГ_ИД!$B:$B,ТГ!$G$3,ТГ_ИД!$D:$D,ТГ!$A1002)</f>
        <v>0</v>
      </c>
      <c r="L1001" s="130">
        <f>SUMIFS(ТГ_ИД!$E:$E,ТГ_ИД!$B:$B,ТГ!$G$4,ТГ_ИД!$D:$D,ТГ!$A1002)</f>
        <v>0</v>
      </c>
      <c r="M1001" s="130">
        <f>SUMIFS(ТГ_ИД!$E:$E,ТГ_ИД!$B:$B,ТГ!$G$5,ТГ_ИД!$D:$D,ТГ!$A1002)</f>
        <v>0</v>
      </c>
      <c r="N1001" s="130">
        <f>SUMIFS(ТГ_ИД!$E:$E,ТГ_ИД!$B:$B,ТГ!$G$6,ТГ_ИД!$D:$D,ТГ!$A1002)</f>
        <v>0</v>
      </c>
      <c r="O1001" s="130">
        <f>SUMIFS(ТГ_ИД!$E:$E,ТГ_ИД!$B:$B,ТГ!$G$7,ТГ_ИД!$D:$D,ТГ!$A1002)</f>
        <v>0</v>
      </c>
      <c r="P1001" s="130">
        <f>SUMIFS(ТГ_ИД!$E:$E,ТГ_ИД!$B:$B,ТГ!$G$8,ТГ_ИД!$D:$D,ТГ!$A1002)</f>
        <v>0</v>
      </c>
      <c r="Q1001" s="130">
        <f>SUMIFS(ТГ_ИД!$E:$E,ТГ_ИД!$B:$B,ТГ!$G$9,ТГ_ИД!$D:$D,ТГ!$A1002)</f>
        <v>0</v>
      </c>
      <c r="R1001" s="130">
        <f>SUMIFS(ТГ_ИД!$E:$E,ТГ_ИД!$B:$B,ТГ!$G$10,ТГ_ИД!$D:$D,ТГ!$A1002)</f>
        <v>0</v>
      </c>
      <c r="S1001" s="130">
        <f>SUMIFS(ТГ_ИД!$E:$E,ТГ_ИД!$B:$B,ТГ!$G$11,ТГ_ИД!$D:$D,ТГ!$A1002)</f>
        <v>0</v>
      </c>
      <c r="T1001" s="130">
        <f>SUMIFS(ТГ_ИД!$E:$E,ТГ_ИД!$B:$B,ТГ!$G$12,ТГ_ИД!$D:$D,ТГ!$A1002)</f>
        <v>0</v>
      </c>
      <c r="U1001" s="130">
        <f>SUMIFS(ТГ_ИД!$E:$E,ТГ_ИД!$B:$B,ТГ!$G$13,ТГ_ИД!$D:$D,ТГ!$A1002)</f>
        <v>0</v>
      </c>
      <c r="V1001" s="130">
        <f>SUMIFS(ТГ_ИД!$E:$E,ТГ_ИД!$B:$B,ТГ!$G$14,ТГ_ИД!$D:$D,ТГ!$A1002)</f>
        <v>0</v>
      </c>
    </row>
  </sheetData>
  <sheetProtection algorithmName="SHA-512" hashValue="03sLTxvhqWg6pzGUhNCPi19incvVr807M8eBc81W0uUy0anv5kXpVT2YcL7OBmAim3pIyxXam+IICNSGYSd5kw==" saltValue="Ra72ndwT8QLAlT/RVQvoJw==" spinCount="100000" sheet="1" objects="1"/>
  <pageMargins left="0.7" right="0.7" top="0.75" bottom="0.75" header="0.3" footer="0.3"/>
  <pageSetup paperSize="9" orientation="portrait" r:id="rId1"/>
  <ignoredErrors>
    <ignoredError sqref="G3:G14 I6:I14 J3:J14 I3:I5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C4030-6718-4BB9-A2DC-896B33646E18}">
  <sheetPr codeName="Лист5"/>
  <dimension ref="A1:J1199"/>
  <sheetViews>
    <sheetView showGridLines="0" topLeftCell="B25" zoomScale="85" zoomScaleNormal="85" zoomScaleSheetLayoutView="100" workbookViewId="0">
      <selection activeCell="J57" sqref="J57"/>
    </sheetView>
  </sheetViews>
  <sheetFormatPr defaultColWidth="68.140625" defaultRowHeight="15" x14ac:dyDescent="0.25"/>
  <cols>
    <col min="1" max="1" width="19.7109375" style="121" bestFit="1" customWidth="1"/>
    <col min="2" max="2" width="16.140625" style="121" bestFit="1" customWidth="1"/>
    <col min="3" max="3" width="19" style="121" bestFit="1" customWidth="1"/>
    <col min="4" max="4" width="54.85546875" style="121" bestFit="1" customWidth="1"/>
    <col min="5" max="5" width="42.5703125" style="121" bestFit="1" customWidth="1"/>
    <col min="6" max="6" width="49.85546875" style="121" bestFit="1" customWidth="1"/>
    <col min="7" max="8" width="14.5703125" style="129" customWidth="1"/>
    <col min="9" max="9" width="14.5703125" style="119" customWidth="1"/>
    <col min="10" max="10" width="68.140625" style="121"/>
    <col min="11" max="18" width="19.5703125" style="121" customWidth="1"/>
    <col min="19" max="16384" width="68.140625" style="121"/>
  </cols>
  <sheetData>
    <row r="1" spans="1:10" ht="45" customHeight="1" x14ac:dyDescent="0.25">
      <c r="A1" s="120" t="s">
        <v>0</v>
      </c>
      <c r="B1" s="120" t="s">
        <v>11</v>
      </c>
      <c r="C1" s="120" t="s">
        <v>12</v>
      </c>
      <c r="D1" s="120" t="s">
        <v>13</v>
      </c>
      <c r="E1" s="120" t="s">
        <v>14</v>
      </c>
      <c r="F1" s="120" t="s">
        <v>15</v>
      </c>
      <c r="G1" s="120" t="s">
        <v>83</v>
      </c>
      <c r="H1" s="120" t="s">
        <v>84</v>
      </c>
      <c r="I1" s="150" t="s">
        <v>62</v>
      </c>
      <c r="J1" s="152" t="s">
        <v>1120</v>
      </c>
    </row>
    <row r="2" spans="1:10" x14ac:dyDescent="0.25">
      <c r="A2" s="155" t="s">
        <v>4</v>
      </c>
      <c r="B2" s="155" t="s">
        <v>574</v>
      </c>
      <c r="C2" s="155" t="s">
        <v>608</v>
      </c>
      <c r="D2" s="155" t="s">
        <v>855</v>
      </c>
      <c r="E2" s="155" t="s">
        <v>856</v>
      </c>
      <c r="F2" s="155" t="s">
        <v>1121</v>
      </c>
      <c r="G2" s="156"/>
      <c r="H2" s="156"/>
      <c r="I2" s="151">
        <f>IF(J2="",SUM(G2:H2),0)</f>
        <v>0</v>
      </c>
      <c r="J2" s="153"/>
    </row>
    <row r="3" spans="1:10" x14ac:dyDescent="0.25">
      <c r="A3" s="155" t="s">
        <v>4</v>
      </c>
      <c r="B3" s="155" t="s">
        <v>574</v>
      </c>
      <c r="C3" s="155" t="s">
        <v>608</v>
      </c>
      <c r="D3" s="155" t="s">
        <v>855</v>
      </c>
      <c r="E3" s="155" t="s">
        <v>856</v>
      </c>
      <c r="F3" s="155" t="s">
        <v>1122</v>
      </c>
      <c r="G3" s="156"/>
      <c r="H3" s="156"/>
      <c r="I3" s="151">
        <f t="shared" ref="I3:I66" si="0">IF(J3="",SUM(G3:H3),0)</f>
        <v>0</v>
      </c>
      <c r="J3" s="153"/>
    </row>
    <row r="4" spans="1:10" x14ac:dyDescent="0.25">
      <c r="A4" s="155" t="s">
        <v>4</v>
      </c>
      <c r="B4" s="155" t="s">
        <v>574</v>
      </c>
      <c r="C4" s="155" t="s">
        <v>608</v>
      </c>
      <c r="D4" s="155" t="s">
        <v>857</v>
      </c>
      <c r="E4" s="155" t="s">
        <v>1123</v>
      </c>
      <c r="F4" s="155" t="s">
        <v>1124</v>
      </c>
      <c r="G4" s="156"/>
      <c r="H4" s="156"/>
      <c r="I4" s="151">
        <f t="shared" si="0"/>
        <v>0</v>
      </c>
      <c r="J4" s="153"/>
    </row>
    <row r="5" spans="1:10" x14ac:dyDescent="0.25">
      <c r="A5" s="155" t="s">
        <v>4</v>
      </c>
      <c r="B5" s="155" t="s">
        <v>574</v>
      </c>
      <c r="C5" s="155" t="s">
        <v>608</v>
      </c>
      <c r="D5" s="155" t="s">
        <v>857</v>
      </c>
      <c r="E5" s="155" t="s">
        <v>1123</v>
      </c>
      <c r="F5" s="155" t="s">
        <v>1125</v>
      </c>
      <c r="G5" s="156"/>
      <c r="H5" s="156"/>
      <c r="I5" s="151">
        <f t="shared" si="0"/>
        <v>0</v>
      </c>
      <c r="J5" s="153"/>
    </row>
    <row r="6" spans="1:10" x14ac:dyDescent="0.25">
      <c r="A6" s="155" t="s">
        <v>4</v>
      </c>
      <c r="B6" s="155" t="s">
        <v>574</v>
      </c>
      <c r="C6" s="155" t="s">
        <v>608</v>
      </c>
      <c r="D6" s="155" t="s">
        <v>857</v>
      </c>
      <c r="E6" s="155" t="s">
        <v>1123</v>
      </c>
      <c r="F6" s="155" t="s">
        <v>1126</v>
      </c>
      <c r="G6" s="156"/>
      <c r="H6" s="156"/>
      <c r="I6" s="151">
        <f t="shared" si="0"/>
        <v>0</v>
      </c>
      <c r="J6" s="153"/>
    </row>
    <row r="7" spans="1:10" x14ac:dyDescent="0.25">
      <c r="A7" s="155" t="s">
        <v>4</v>
      </c>
      <c r="B7" s="155" t="s">
        <v>574</v>
      </c>
      <c r="C7" s="155" t="s">
        <v>608</v>
      </c>
      <c r="D7" s="155" t="s">
        <v>858</v>
      </c>
      <c r="E7" s="155" t="s">
        <v>859</v>
      </c>
      <c r="F7" s="155" t="s">
        <v>1127</v>
      </c>
      <c r="G7" s="156"/>
      <c r="H7" s="156"/>
      <c r="I7" s="151">
        <f t="shared" si="0"/>
        <v>0</v>
      </c>
      <c r="J7" s="153"/>
    </row>
    <row r="8" spans="1:10" x14ac:dyDescent="0.25">
      <c r="A8" s="155" t="s">
        <v>4</v>
      </c>
      <c r="B8" s="155" t="s">
        <v>574</v>
      </c>
      <c r="C8" s="155" t="s">
        <v>608</v>
      </c>
      <c r="D8" s="155" t="s">
        <v>860</v>
      </c>
      <c r="E8" s="155" t="s">
        <v>861</v>
      </c>
      <c r="F8" s="155" t="s">
        <v>1128</v>
      </c>
      <c r="G8" s="156"/>
      <c r="H8" s="156"/>
      <c r="I8" s="151">
        <f t="shared" si="0"/>
        <v>0</v>
      </c>
      <c r="J8" s="153"/>
    </row>
    <row r="9" spans="1:10" x14ac:dyDescent="0.25">
      <c r="A9" s="155" t="s">
        <v>4</v>
      </c>
      <c r="B9" s="155" t="s">
        <v>574</v>
      </c>
      <c r="C9" s="155" t="s">
        <v>608</v>
      </c>
      <c r="D9" s="155" t="s">
        <v>860</v>
      </c>
      <c r="E9" s="155" t="s">
        <v>861</v>
      </c>
      <c r="F9" s="155" t="s">
        <v>1129</v>
      </c>
      <c r="G9" s="156"/>
      <c r="H9" s="156"/>
      <c r="I9" s="151">
        <f t="shared" si="0"/>
        <v>0</v>
      </c>
      <c r="J9" s="153"/>
    </row>
    <row r="10" spans="1:10" x14ac:dyDescent="0.25">
      <c r="A10" s="155" t="s">
        <v>4</v>
      </c>
      <c r="B10" s="155" t="s">
        <v>574</v>
      </c>
      <c r="C10" s="155" t="s">
        <v>608</v>
      </c>
      <c r="D10" s="155" t="s">
        <v>860</v>
      </c>
      <c r="E10" s="155" t="s">
        <v>861</v>
      </c>
      <c r="F10" s="155" t="s">
        <v>1130</v>
      </c>
      <c r="G10" s="156"/>
      <c r="H10" s="156"/>
      <c r="I10" s="151">
        <f t="shared" si="0"/>
        <v>0</v>
      </c>
      <c r="J10" s="153"/>
    </row>
    <row r="11" spans="1:10" x14ac:dyDescent="0.25">
      <c r="A11" s="155" t="s">
        <v>4</v>
      </c>
      <c r="B11" s="155" t="s">
        <v>574</v>
      </c>
      <c r="C11" s="155" t="s">
        <v>608</v>
      </c>
      <c r="D11" s="155" t="s">
        <v>862</v>
      </c>
      <c r="E11" s="155" t="s">
        <v>863</v>
      </c>
      <c r="F11" s="155" t="s">
        <v>864</v>
      </c>
      <c r="G11" s="170">
        <v>16062.24</v>
      </c>
      <c r="H11" s="156"/>
      <c r="I11" s="151">
        <f t="shared" si="0"/>
        <v>16062.24</v>
      </c>
      <c r="J11" s="153"/>
    </row>
    <row r="12" spans="1:10" x14ac:dyDescent="0.25">
      <c r="A12" s="155" t="s">
        <v>4</v>
      </c>
      <c r="B12" s="155" t="s">
        <v>574</v>
      </c>
      <c r="C12" s="155" t="s">
        <v>608</v>
      </c>
      <c r="D12" s="155" t="s">
        <v>862</v>
      </c>
      <c r="E12" s="155" t="s">
        <v>863</v>
      </c>
      <c r="F12" s="155" t="s">
        <v>1131</v>
      </c>
      <c r="G12" s="156"/>
      <c r="H12" s="156"/>
      <c r="I12" s="151">
        <f t="shared" si="0"/>
        <v>0</v>
      </c>
      <c r="J12" s="153"/>
    </row>
    <row r="13" spans="1:10" x14ac:dyDescent="0.25">
      <c r="A13" s="155" t="s">
        <v>4</v>
      </c>
      <c r="B13" s="155" t="s">
        <v>574</v>
      </c>
      <c r="C13" s="155" t="s">
        <v>608</v>
      </c>
      <c r="D13" s="155" t="s">
        <v>862</v>
      </c>
      <c r="E13" s="155" t="s">
        <v>863</v>
      </c>
      <c r="F13" s="155" t="s">
        <v>1132</v>
      </c>
      <c r="G13" s="156"/>
      <c r="H13" s="156"/>
      <c r="I13" s="151">
        <f t="shared" si="0"/>
        <v>0</v>
      </c>
      <c r="J13" s="153"/>
    </row>
    <row r="14" spans="1:10" x14ac:dyDescent="0.25">
      <c r="A14" s="155" t="s">
        <v>4</v>
      </c>
      <c r="B14" s="155" t="s">
        <v>574</v>
      </c>
      <c r="C14" s="155" t="s">
        <v>608</v>
      </c>
      <c r="D14" s="155" t="s">
        <v>862</v>
      </c>
      <c r="E14" s="155" t="s">
        <v>863</v>
      </c>
      <c r="F14" s="155" t="s">
        <v>1133</v>
      </c>
      <c r="G14" s="156"/>
      <c r="H14" s="156"/>
      <c r="I14" s="151">
        <f t="shared" si="0"/>
        <v>0</v>
      </c>
      <c r="J14" s="153"/>
    </row>
    <row r="15" spans="1:10" x14ac:dyDescent="0.25">
      <c r="A15" s="155" t="s">
        <v>4</v>
      </c>
      <c r="B15" s="155" t="s">
        <v>574</v>
      </c>
      <c r="C15" s="155" t="s">
        <v>608</v>
      </c>
      <c r="D15" s="155" t="s">
        <v>862</v>
      </c>
      <c r="E15" s="155" t="s">
        <v>863</v>
      </c>
      <c r="F15" s="155" t="s">
        <v>1134</v>
      </c>
      <c r="G15" s="156"/>
      <c r="H15" s="156"/>
      <c r="I15" s="151">
        <f t="shared" si="0"/>
        <v>0</v>
      </c>
      <c r="J15" s="153"/>
    </row>
    <row r="16" spans="1:10" x14ac:dyDescent="0.25">
      <c r="A16" s="155" t="s">
        <v>4</v>
      </c>
      <c r="B16" s="155" t="s">
        <v>574</v>
      </c>
      <c r="C16" s="155" t="s">
        <v>608</v>
      </c>
      <c r="D16" s="155" t="s">
        <v>862</v>
      </c>
      <c r="E16" s="155" t="s">
        <v>863</v>
      </c>
      <c r="F16" s="155" t="s">
        <v>1135</v>
      </c>
      <c r="G16" s="156"/>
      <c r="H16" s="156"/>
      <c r="I16" s="151">
        <f t="shared" si="0"/>
        <v>0</v>
      </c>
      <c r="J16" s="153"/>
    </row>
    <row r="17" spans="1:10" x14ac:dyDescent="0.25">
      <c r="A17" s="155" t="s">
        <v>4</v>
      </c>
      <c r="B17" s="155" t="s">
        <v>574</v>
      </c>
      <c r="C17" s="155" t="s">
        <v>608</v>
      </c>
      <c r="D17" s="155" t="s">
        <v>865</v>
      </c>
      <c r="E17" s="155" t="s">
        <v>866</v>
      </c>
      <c r="F17" s="155" t="s">
        <v>1136</v>
      </c>
      <c r="G17" s="156"/>
      <c r="H17" s="156"/>
      <c r="I17" s="151">
        <f t="shared" si="0"/>
        <v>0</v>
      </c>
      <c r="J17" s="153"/>
    </row>
    <row r="18" spans="1:10" x14ac:dyDescent="0.25">
      <c r="A18" s="155" t="s">
        <v>4</v>
      </c>
      <c r="B18" s="155" t="s">
        <v>574</v>
      </c>
      <c r="C18" s="155" t="s">
        <v>608</v>
      </c>
      <c r="D18" s="155" t="s">
        <v>867</v>
      </c>
      <c r="E18" s="155" t="s">
        <v>868</v>
      </c>
      <c r="F18" s="155" t="s">
        <v>1137</v>
      </c>
      <c r="G18" s="156"/>
      <c r="H18" s="156"/>
      <c r="I18" s="151">
        <f t="shared" si="0"/>
        <v>0</v>
      </c>
      <c r="J18" s="153"/>
    </row>
    <row r="19" spans="1:10" x14ac:dyDescent="0.25">
      <c r="A19" s="155" t="s">
        <v>4</v>
      </c>
      <c r="B19" s="155" t="s">
        <v>574</v>
      </c>
      <c r="C19" s="155" t="s">
        <v>608</v>
      </c>
      <c r="D19" s="155" t="s">
        <v>867</v>
      </c>
      <c r="E19" s="155" t="s">
        <v>868</v>
      </c>
      <c r="F19" s="155" t="s">
        <v>1138</v>
      </c>
      <c r="G19" s="156"/>
      <c r="H19" s="156"/>
      <c r="I19" s="151">
        <f t="shared" si="0"/>
        <v>0</v>
      </c>
      <c r="J19" s="153"/>
    </row>
    <row r="20" spans="1:10" x14ac:dyDescent="0.25">
      <c r="A20" s="155" t="s">
        <v>4</v>
      </c>
      <c r="B20" s="155" t="s">
        <v>574</v>
      </c>
      <c r="C20" s="155" t="s">
        <v>608</v>
      </c>
      <c r="D20" s="155" t="s">
        <v>867</v>
      </c>
      <c r="E20" s="155" t="s">
        <v>868</v>
      </c>
      <c r="F20" s="155" t="s">
        <v>1139</v>
      </c>
      <c r="G20" s="156"/>
      <c r="H20" s="156"/>
      <c r="I20" s="151">
        <f t="shared" si="0"/>
        <v>0</v>
      </c>
      <c r="J20" s="153"/>
    </row>
    <row r="21" spans="1:10" x14ac:dyDescent="0.25">
      <c r="A21" s="155" t="s">
        <v>4</v>
      </c>
      <c r="B21" s="155" t="s">
        <v>574</v>
      </c>
      <c r="C21" s="155" t="s">
        <v>608</v>
      </c>
      <c r="D21" s="155" t="s">
        <v>867</v>
      </c>
      <c r="E21" s="155" t="s">
        <v>868</v>
      </c>
      <c r="F21" s="155" t="s">
        <v>1140</v>
      </c>
      <c r="G21" s="156"/>
      <c r="H21" s="156"/>
      <c r="I21" s="151">
        <f t="shared" si="0"/>
        <v>0</v>
      </c>
      <c r="J21" s="153"/>
    </row>
    <row r="22" spans="1:10" x14ac:dyDescent="0.25">
      <c r="A22" s="155" t="s">
        <v>4</v>
      </c>
      <c r="B22" s="155" t="s">
        <v>574</v>
      </c>
      <c r="C22" s="155" t="s">
        <v>608</v>
      </c>
      <c r="D22" s="155" t="s">
        <v>869</v>
      </c>
      <c r="E22" s="155" t="s">
        <v>870</v>
      </c>
      <c r="F22" s="155" t="s">
        <v>871</v>
      </c>
      <c r="G22" s="156"/>
      <c r="H22" s="156"/>
      <c r="I22" s="151">
        <f t="shared" si="0"/>
        <v>0</v>
      </c>
      <c r="J22" s="153"/>
    </row>
    <row r="23" spans="1:10" x14ac:dyDescent="0.25">
      <c r="A23" s="155" t="s">
        <v>4</v>
      </c>
      <c r="B23" s="155" t="s">
        <v>574</v>
      </c>
      <c r="C23" s="155" t="s">
        <v>608</v>
      </c>
      <c r="D23" s="155" t="s">
        <v>869</v>
      </c>
      <c r="E23" s="155" t="s">
        <v>870</v>
      </c>
      <c r="F23" s="155" t="s">
        <v>872</v>
      </c>
      <c r="G23" s="156"/>
      <c r="H23" s="156"/>
      <c r="I23" s="151">
        <f t="shared" si="0"/>
        <v>0</v>
      </c>
      <c r="J23" s="153"/>
    </row>
    <row r="24" spans="1:10" x14ac:dyDescent="0.25">
      <c r="A24" s="155" t="s">
        <v>4</v>
      </c>
      <c r="B24" s="155" t="s">
        <v>574</v>
      </c>
      <c r="C24" s="155" t="s">
        <v>608</v>
      </c>
      <c r="D24" s="155" t="s">
        <v>869</v>
      </c>
      <c r="E24" s="155" t="s">
        <v>870</v>
      </c>
      <c r="F24" s="155" t="s">
        <v>873</v>
      </c>
      <c r="G24" s="156"/>
      <c r="H24" s="156"/>
      <c r="I24" s="151">
        <f t="shared" si="0"/>
        <v>0</v>
      </c>
      <c r="J24" s="153"/>
    </row>
    <row r="25" spans="1:10" x14ac:dyDescent="0.25">
      <c r="A25" s="155" t="s">
        <v>4</v>
      </c>
      <c r="B25" s="155" t="s">
        <v>574</v>
      </c>
      <c r="C25" s="155" t="s">
        <v>608</v>
      </c>
      <c r="D25" s="155" t="s">
        <v>869</v>
      </c>
      <c r="E25" s="155" t="s">
        <v>870</v>
      </c>
      <c r="F25" s="155" t="s">
        <v>874</v>
      </c>
      <c r="G25" s="156"/>
      <c r="H25" s="156"/>
      <c r="I25" s="151">
        <f t="shared" si="0"/>
        <v>0</v>
      </c>
      <c r="J25" s="153"/>
    </row>
    <row r="26" spans="1:10" x14ac:dyDescent="0.25">
      <c r="A26" s="155" t="s">
        <v>4</v>
      </c>
      <c r="B26" s="155" t="s">
        <v>574</v>
      </c>
      <c r="C26" s="155" t="s">
        <v>608</v>
      </c>
      <c r="D26" s="155" t="s">
        <v>869</v>
      </c>
      <c r="E26" s="155" t="s">
        <v>870</v>
      </c>
      <c r="F26" s="155" t="s">
        <v>1141</v>
      </c>
      <c r="G26" s="156"/>
      <c r="H26" s="156"/>
      <c r="I26" s="151">
        <f t="shared" si="0"/>
        <v>0</v>
      </c>
      <c r="J26" s="153"/>
    </row>
    <row r="27" spans="1:10" x14ac:dyDescent="0.25">
      <c r="A27" s="155" t="s">
        <v>4</v>
      </c>
      <c r="B27" s="155" t="s">
        <v>574</v>
      </c>
      <c r="C27" s="155" t="s">
        <v>608</v>
      </c>
      <c r="D27" s="155" t="s">
        <v>869</v>
      </c>
      <c r="E27" s="155" t="s">
        <v>870</v>
      </c>
      <c r="F27" s="155" t="s">
        <v>1142</v>
      </c>
      <c r="G27" s="156"/>
      <c r="H27" s="156"/>
      <c r="I27" s="151">
        <f t="shared" si="0"/>
        <v>0</v>
      </c>
      <c r="J27" s="153"/>
    </row>
    <row r="28" spans="1:10" x14ac:dyDescent="0.25">
      <c r="A28" s="155" t="s">
        <v>4</v>
      </c>
      <c r="B28" s="155" t="s">
        <v>574</v>
      </c>
      <c r="C28" s="155" t="s">
        <v>608</v>
      </c>
      <c r="D28" s="155" t="s">
        <v>869</v>
      </c>
      <c r="E28" s="155" t="s">
        <v>870</v>
      </c>
      <c r="F28" s="155" t="s">
        <v>1143</v>
      </c>
      <c r="G28" s="156"/>
      <c r="H28" s="156"/>
      <c r="I28" s="151">
        <f t="shared" si="0"/>
        <v>0</v>
      </c>
      <c r="J28" s="153"/>
    </row>
    <row r="29" spans="1:10" x14ac:dyDescent="0.25">
      <c r="A29" s="155" t="s">
        <v>4</v>
      </c>
      <c r="B29" s="155" t="s">
        <v>574</v>
      </c>
      <c r="C29" s="155" t="s">
        <v>608</v>
      </c>
      <c r="D29" s="155" t="s">
        <v>869</v>
      </c>
      <c r="E29" s="155" t="s">
        <v>870</v>
      </c>
      <c r="F29" s="155" t="s">
        <v>1144</v>
      </c>
      <c r="G29" s="156"/>
      <c r="H29" s="156"/>
      <c r="I29" s="151">
        <f t="shared" si="0"/>
        <v>0</v>
      </c>
      <c r="J29" s="153"/>
    </row>
    <row r="30" spans="1:10" x14ac:dyDescent="0.25">
      <c r="A30" s="155" t="s">
        <v>4</v>
      </c>
      <c r="B30" s="155" t="s">
        <v>574</v>
      </c>
      <c r="C30" s="155" t="s">
        <v>608</v>
      </c>
      <c r="D30" s="155" t="s">
        <v>869</v>
      </c>
      <c r="E30" s="155" t="s">
        <v>870</v>
      </c>
      <c r="F30" s="155" t="s">
        <v>1145</v>
      </c>
      <c r="G30" s="156"/>
      <c r="H30" s="156"/>
      <c r="I30" s="151">
        <f t="shared" si="0"/>
        <v>0</v>
      </c>
      <c r="J30" s="153"/>
    </row>
    <row r="31" spans="1:10" x14ac:dyDescent="0.25">
      <c r="A31" s="155" t="s">
        <v>4</v>
      </c>
      <c r="B31" s="155" t="s">
        <v>574</v>
      </c>
      <c r="C31" s="155" t="s">
        <v>608</v>
      </c>
      <c r="D31" s="155" t="s">
        <v>869</v>
      </c>
      <c r="E31" s="155" t="s">
        <v>875</v>
      </c>
      <c r="F31" s="155" t="s">
        <v>876</v>
      </c>
      <c r="G31" s="156"/>
      <c r="H31" s="156"/>
      <c r="I31" s="151">
        <f t="shared" si="0"/>
        <v>0</v>
      </c>
      <c r="J31" s="153"/>
    </row>
    <row r="32" spans="1:10" x14ac:dyDescent="0.25">
      <c r="A32" s="155" t="s">
        <v>4</v>
      </c>
      <c r="B32" s="155" t="s">
        <v>574</v>
      </c>
      <c r="C32" s="155" t="s">
        <v>608</v>
      </c>
      <c r="D32" s="155" t="s">
        <v>869</v>
      </c>
      <c r="E32" s="155" t="s">
        <v>875</v>
      </c>
      <c r="F32" s="155" t="s">
        <v>877</v>
      </c>
      <c r="G32" s="156"/>
      <c r="H32" s="156"/>
      <c r="I32" s="151">
        <f t="shared" si="0"/>
        <v>0</v>
      </c>
      <c r="J32" s="153"/>
    </row>
    <row r="33" spans="1:10" x14ac:dyDescent="0.25">
      <c r="A33" s="155" t="s">
        <v>4</v>
      </c>
      <c r="B33" s="155" t="s">
        <v>574</v>
      </c>
      <c r="C33" s="155" t="s">
        <v>608</v>
      </c>
      <c r="D33" s="155" t="s">
        <v>869</v>
      </c>
      <c r="E33" s="155" t="s">
        <v>875</v>
      </c>
      <c r="F33" s="155" t="s">
        <v>878</v>
      </c>
      <c r="G33" s="156"/>
      <c r="H33" s="156"/>
      <c r="I33" s="151">
        <f t="shared" si="0"/>
        <v>0</v>
      </c>
      <c r="J33" s="153"/>
    </row>
    <row r="34" spans="1:10" x14ac:dyDescent="0.25">
      <c r="A34" s="155" t="s">
        <v>4</v>
      </c>
      <c r="B34" s="155" t="s">
        <v>574</v>
      </c>
      <c r="C34" s="155" t="s">
        <v>608</v>
      </c>
      <c r="D34" s="155" t="s">
        <v>869</v>
      </c>
      <c r="E34" s="155" t="s">
        <v>875</v>
      </c>
      <c r="F34" s="155" t="s">
        <v>879</v>
      </c>
      <c r="G34" s="156"/>
      <c r="H34" s="156"/>
      <c r="I34" s="151">
        <f t="shared" si="0"/>
        <v>0</v>
      </c>
      <c r="J34" s="153"/>
    </row>
    <row r="35" spans="1:10" x14ac:dyDescent="0.25">
      <c r="A35" s="155" t="s">
        <v>4</v>
      </c>
      <c r="B35" s="155" t="s">
        <v>574</v>
      </c>
      <c r="C35" s="155" t="s">
        <v>608</v>
      </c>
      <c r="D35" s="155" t="s">
        <v>869</v>
      </c>
      <c r="E35" s="155" t="s">
        <v>875</v>
      </c>
      <c r="F35" s="155" t="s">
        <v>880</v>
      </c>
      <c r="G35" s="156"/>
      <c r="H35" s="156"/>
      <c r="I35" s="151">
        <f t="shared" si="0"/>
        <v>0</v>
      </c>
      <c r="J35" s="153"/>
    </row>
    <row r="36" spans="1:10" x14ac:dyDescent="0.25">
      <c r="A36" s="155" t="s">
        <v>4</v>
      </c>
      <c r="B36" s="155" t="s">
        <v>574</v>
      </c>
      <c r="C36" s="155" t="s">
        <v>608</v>
      </c>
      <c r="D36" s="155" t="s">
        <v>881</v>
      </c>
      <c r="E36" s="155" t="s">
        <v>882</v>
      </c>
      <c r="F36" s="155" t="s">
        <v>1146</v>
      </c>
      <c r="G36" s="156"/>
      <c r="H36" s="156"/>
      <c r="I36" s="151">
        <f t="shared" si="0"/>
        <v>0</v>
      </c>
      <c r="J36" s="153"/>
    </row>
    <row r="37" spans="1:10" x14ac:dyDescent="0.25">
      <c r="A37" s="155" t="s">
        <v>4</v>
      </c>
      <c r="B37" s="155" t="s">
        <v>574</v>
      </c>
      <c r="C37" s="155" t="s">
        <v>608</v>
      </c>
      <c r="D37" s="155" t="s">
        <v>881</v>
      </c>
      <c r="E37" s="155" t="s">
        <v>882</v>
      </c>
      <c r="F37" s="155" t="s">
        <v>1147</v>
      </c>
      <c r="G37" s="156"/>
      <c r="H37" s="156"/>
      <c r="I37" s="151">
        <f t="shared" si="0"/>
        <v>0</v>
      </c>
      <c r="J37" s="153"/>
    </row>
    <row r="38" spans="1:10" x14ac:dyDescent="0.25">
      <c r="A38" s="155" t="s">
        <v>4</v>
      </c>
      <c r="B38" s="155" t="s">
        <v>574</v>
      </c>
      <c r="C38" s="155" t="s">
        <v>608</v>
      </c>
      <c r="D38" s="155" t="s">
        <v>883</v>
      </c>
      <c r="E38" s="155" t="s">
        <v>884</v>
      </c>
      <c r="F38" s="155" t="s">
        <v>1148</v>
      </c>
      <c r="G38" s="156"/>
      <c r="H38" s="156"/>
      <c r="I38" s="151">
        <f t="shared" si="0"/>
        <v>0</v>
      </c>
      <c r="J38" s="153"/>
    </row>
    <row r="39" spans="1:10" x14ac:dyDescent="0.25">
      <c r="A39" s="159" t="s">
        <v>4</v>
      </c>
      <c r="B39" s="159" t="s">
        <v>574</v>
      </c>
      <c r="C39" s="159" t="s">
        <v>608</v>
      </c>
      <c r="D39" s="159" t="s">
        <v>885</v>
      </c>
      <c r="E39" s="159" t="s">
        <v>886</v>
      </c>
      <c r="F39" s="159" t="s">
        <v>887</v>
      </c>
      <c r="G39" s="161">
        <v>1143731.8799999999</v>
      </c>
      <c r="H39" s="160"/>
      <c r="I39" s="151">
        <f t="shared" si="0"/>
        <v>0</v>
      </c>
      <c r="J39" s="158" t="s">
        <v>1172</v>
      </c>
    </row>
    <row r="40" spans="1:10" x14ac:dyDescent="0.25">
      <c r="A40" s="159" t="s">
        <v>4</v>
      </c>
      <c r="B40" s="159" t="s">
        <v>574</v>
      </c>
      <c r="C40" s="159" t="s">
        <v>608</v>
      </c>
      <c r="D40" s="159" t="s">
        <v>885</v>
      </c>
      <c r="E40" s="159" t="s">
        <v>886</v>
      </c>
      <c r="F40" s="159" t="s">
        <v>888</v>
      </c>
      <c r="G40" s="161">
        <v>57589.47</v>
      </c>
      <c r="H40" s="160"/>
      <c r="I40" s="151">
        <f t="shared" si="0"/>
        <v>0</v>
      </c>
      <c r="J40" s="158" t="s">
        <v>1172</v>
      </c>
    </row>
    <row r="41" spans="1:10" x14ac:dyDescent="0.25">
      <c r="A41" s="159" t="s">
        <v>4</v>
      </c>
      <c r="B41" s="159" t="s">
        <v>574</v>
      </c>
      <c r="C41" s="159" t="s">
        <v>608</v>
      </c>
      <c r="D41" s="159" t="s">
        <v>885</v>
      </c>
      <c r="E41" s="159" t="s">
        <v>886</v>
      </c>
      <c r="F41" s="159" t="s">
        <v>889</v>
      </c>
      <c r="G41" s="161">
        <v>298678.65000000002</v>
      </c>
      <c r="H41" s="160"/>
      <c r="I41" s="151">
        <f t="shared" si="0"/>
        <v>0</v>
      </c>
      <c r="J41" s="158" t="s">
        <v>1172</v>
      </c>
    </row>
    <row r="42" spans="1:10" x14ac:dyDescent="0.25">
      <c r="A42" s="155" t="s">
        <v>4</v>
      </c>
      <c r="B42" s="155" t="s">
        <v>574</v>
      </c>
      <c r="C42" s="155" t="s">
        <v>608</v>
      </c>
      <c r="D42" s="155" t="s">
        <v>885</v>
      </c>
      <c r="E42" s="155" t="s">
        <v>886</v>
      </c>
      <c r="F42" s="155" t="s">
        <v>1149</v>
      </c>
      <c r="G42" s="156"/>
      <c r="H42" s="156"/>
      <c r="I42" s="151">
        <f t="shared" si="0"/>
        <v>0</v>
      </c>
      <c r="J42" s="153"/>
    </row>
    <row r="43" spans="1:10" x14ac:dyDescent="0.25">
      <c r="A43" s="155" t="s">
        <v>4</v>
      </c>
      <c r="B43" s="155" t="s">
        <v>574</v>
      </c>
      <c r="C43" s="155" t="s">
        <v>608</v>
      </c>
      <c r="D43" s="155" t="s">
        <v>885</v>
      </c>
      <c r="E43" s="155" t="s">
        <v>886</v>
      </c>
      <c r="F43" s="155" t="s">
        <v>1150</v>
      </c>
      <c r="G43" s="156"/>
      <c r="H43" s="156"/>
      <c r="I43" s="151">
        <f t="shared" si="0"/>
        <v>0</v>
      </c>
      <c r="J43" s="153"/>
    </row>
    <row r="44" spans="1:10" x14ac:dyDescent="0.25">
      <c r="A44" s="155" t="s">
        <v>4</v>
      </c>
      <c r="B44" s="155" t="s">
        <v>574</v>
      </c>
      <c r="C44" s="155" t="s">
        <v>608</v>
      </c>
      <c r="D44" s="155" t="s">
        <v>885</v>
      </c>
      <c r="E44" s="155" t="s">
        <v>886</v>
      </c>
      <c r="F44" s="155" t="s">
        <v>1151</v>
      </c>
      <c r="G44" s="156"/>
      <c r="H44" s="156"/>
      <c r="I44" s="151">
        <f t="shared" si="0"/>
        <v>0</v>
      </c>
      <c r="J44" s="153"/>
    </row>
    <row r="45" spans="1:10" x14ac:dyDescent="0.25">
      <c r="A45" s="155" t="s">
        <v>4</v>
      </c>
      <c r="B45" s="155" t="s">
        <v>574</v>
      </c>
      <c r="C45" s="155" t="s">
        <v>608</v>
      </c>
      <c r="D45" s="155" t="s">
        <v>885</v>
      </c>
      <c r="E45" s="155" t="s">
        <v>886</v>
      </c>
      <c r="F45" s="155" t="s">
        <v>1152</v>
      </c>
      <c r="G45" s="156"/>
      <c r="H45" s="156"/>
      <c r="I45" s="151">
        <f t="shared" si="0"/>
        <v>0</v>
      </c>
      <c r="J45" s="153"/>
    </row>
    <row r="46" spans="1:10" x14ac:dyDescent="0.25">
      <c r="A46" s="155" t="s">
        <v>4</v>
      </c>
      <c r="B46" s="155" t="s">
        <v>574</v>
      </c>
      <c r="C46" s="155" t="s">
        <v>608</v>
      </c>
      <c r="D46" s="155" t="s">
        <v>890</v>
      </c>
      <c r="E46" s="155" t="s">
        <v>891</v>
      </c>
      <c r="F46" s="155" t="s">
        <v>1153</v>
      </c>
      <c r="G46" s="156"/>
      <c r="H46" s="156"/>
      <c r="I46" s="151">
        <f t="shared" si="0"/>
        <v>0</v>
      </c>
      <c r="J46" s="153"/>
    </row>
    <row r="47" spans="1:10" x14ac:dyDescent="0.25">
      <c r="A47" s="155" t="s">
        <v>4</v>
      </c>
      <c r="B47" s="155" t="s">
        <v>574</v>
      </c>
      <c r="C47" s="155" t="s">
        <v>608</v>
      </c>
      <c r="D47" s="155" t="s">
        <v>890</v>
      </c>
      <c r="E47" s="155" t="s">
        <v>891</v>
      </c>
      <c r="F47" s="155" t="s">
        <v>1154</v>
      </c>
      <c r="G47" s="156"/>
      <c r="H47" s="156"/>
      <c r="I47" s="151">
        <f t="shared" si="0"/>
        <v>0</v>
      </c>
      <c r="J47" s="153"/>
    </row>
    <row r="48" spans="1:10" x14ac:dyDescent="0.25">
      <c r="A48" s="155" t="s">
        <v>4</v>
      </c>
      <c r="B48" s="155" t="s">
        <v>574</v>
      </c>
      <c r="C48" s="155" t="s">
        <v>608</v>
      </c>
      <c r="D48" s="155" t="s">
        <v>890</v>
      </c>
      <c r="E48" s="155" t="s">
        <v>891</v>
      </c>
      <c r="F48" s="155" t="s">
        <v>1155</v>
      </c>
      <c r="G48" s="156"/>
      <c r="H48" s="156"/>
      <c r="I48" s="151">
        <f t="shared" si="0"/>
        <v>0</v>
      </c>
      <c r="J48" s="153"/>
    </row>
    <row r="49" spans="1:10" x14ac:dyDescent="0.25">
      <c r="A49" s="155" t="s">
        <v>4</v>
      </c>
      <c r="B49" s="155" t="s">
        <v>574</v>
      </c>
      <c r="C49" s="155" t="s">
        <v>608</v>
      </c>
      <c r="D49" s="155" t="s">
        <v>890</v>
      </c>
      <c r="E49" s="155" t="s">
        <v>891</v>
      </c>
      <c r="F49" s="155" t="s">
        <v>1156</v>
      </c>
      <c r="G49" s="156"/>
      <c r="H49" s="156"/>
      <c r="I49" s="151">
        <f t="shared" si="0"/>
        <v>0</v>
      </c>
      <c r="J49" s="153"/>
    </row>
    <row r="50" spans="1:10" x14ac:dyDescent="0.25">
      <c r="A50" s="155" t="s">
        <v>4</v>
      </c>
      <c r="B50" s="155" t="s">
        <v>574</v>
      </c>
      <c r="C50" s="155" t="s">
        <v>608</v>
      </c>
      <c r="D50" s="155" t="s">
        <v>890</v>
      </c>
      <c r="E50" s="155" t="s">
        <v>891</v>
      </c>
      <c r="F50" s="155" t="s">
        <v>1157</v>
      </c>
      <c r="G50" s="156"/>
      <c r="H50" s="156"/>
      <c r="I50" s="151">
        <f t="shared" si="0"/>
        <v>0</v>
      </c>
      <c r="J50" s="153"/>
    </row>
    <row r="51" spans="1:10" x14ac:dyDescent="0.25">
      <c r="A51" s="155" t="s">
        <v>4</v>
      </c>
      <c r="B51" s="155" t="s">
        <v>574</v>
      </c>
      <c r="C51" s="155" t="s">
        <v>608</v>
      </c>
      <c r="D51" s="155" t="s">
        <v>890</v>
      </c>
      <c r="E51" s="155" t="s">
        <v>891</v>
      </c>
      <c r="F51" s="155" t="s">
        <v>1158</v>
      </c>
      <c r="G51" s="156"/>
      <c r="H51" s="156"/>
      <c r="I51" s="151">
        <f t="shared" si="0"/>
        <v>0</v>
      </c>
      <c r="J51" s="153"/>
    </row>
    <row r="52" spans="1:10" x14ac:dyDescent="0.25">
      <c r="A52" s="155" t="s">
        <v>4</v>
      </c>
      <c r="B52" s="155" t="s">
        <v>574</v>
      </c>
      <c r="C52" s="155" t="s">
        <v>608</v>
      </c>
      <c r="D52" s="155" t="s">
        <v>892</v>
      </c>
      <c r="E52" s="155" t="s">
        <v>893</v>
      </c>
      <c r="F52" s="155" t="s">
        <v>894</v>
      </c>
      <c r="G52" s="157">
        <v>0.25</v>
      </c>
      <c r="H52" s="156"/>
      <c r="I52" s="151">
        <f t="shared" si="0"/>
        <v>0.25</v>
      </c>
      <c r="J52" s="153"/>
    </row>
    <row r="53" spans="1:10" x14ac:dyDescent="0.25">
      <c r="A53" s="155" t="s">
        <v>4</v>
      </c>
      <c r="B53" s="155" t="s">
        <v>579</v>
      </c>
      <c r="C53" s="155" t="s">
        <v>608</v>
      </c>
      <c r="D53" s="155" t="s">
        <v>1159</v>
      </c>
      <c r="E53" s="155" t="s">
        <v>1160</v>
      </c>
      <c r="F53" s="155" t="s">
        <v>1161</v>
      </c>
      <c r="G53" s="156"/>
      <c r="H53" s="156"/>
      <c r="I53" s="151">
        <f t="shared" si="0"/>
        <v>0</v>
      </c>
      <c r="J53" s="153"/>
    </row>
    <row r="54" spans="1:10" x14ac:dyDescent="0.25">
      <c r="A54" s="155" t="s">
        <v>4</v>
      </c>
      <c r="B54" s="155" t="s">
        <v>579</v>
      </c>
      <c r="C54" s="155" t="s">
        <v>608</v>
      </c>
      <c r="D54" s="155" t="s">
        <v>895</v>
      </c>
      <c r="E54" s="155" t="s">
        <v>896</v>
      </c>
      <c r="F54" s="155" t="s">
        <v>1162</v>
      </c>
      <c r="G54" s="156"/>
      <c r="H54" s="156"/>
      <c r="I54" s="151">
        <f t="shared" si="0"/>
        <v>0</v>
      </c>
      <c r="J54" s="153"/>
    </row>
    <row r="55" spans="1:10" x14ac:dyDescent="0.25">
      <c r="A55" s="155" t="s">
        <v>4</v>
      </c>
      <c r="B55" s="155" t="s">
        <v>579</v>
      </c>
      <c r="C55" s="155" t="s">
        <v>608</v>
      </c>
      <c r="D55" s="155" t="s">
        <v>895</v>
      </c>
      <c r="E55" s="155" t="s">
        <v>896</v>
      </c>
      <c r="F55" s="155" t="s">
        <v>1163</v>
      </c>
      <c r="G55" s="156"/>
      <c r="H55" s="156"/>
      <c r="I55" s="151">
        <f t="shared" si="0"/>
        <v>0</v>
      </c>
      <c r="J55" s="153"/>
    </row>
    <row r="56" spans="1:10" x14ac:dyDescent="0.25">
      <c r="A56" s="155" t="s">
        <v>4</v>
      </c>
      <c r="B56" s="155" t="s">
        <v>579</v>
      </c>
      <c r="C56" s="155" t="s">
        <v>608</v>
      </c>
      <c r="D56" s="155" t="s">
        <v>897</v>
      </c>
      <c r="E56" s="155" t="s">
        <v>898</v>
      </c>
      <c r="F56" s="155" t="s">
        <v>899</v>
      </c>
      <c r="G56" s="156"/>
      <c r="H56" s="157">
        <v>0.02</v>
      </c>
      <c r="I56" s="151">
        <f t="shared" si="0"/>
        <v>0.02</v>
      </c>
      <c r="J56" s="153"/>
    </row>
    <row r="57" spans="1:10" x14ac:dyDescent="0.25">
      <c r="A57" s="159" t="s">
        <v>4</v>
      </c>
      <c r="B57" s="159" t="s">
        <v>579</v>
      </c>
      <c r="C57" s="159" t="s">
        <v>608</v>
      </c>
      <c r="D57" s="159" t="s">
        <v>900</v>
      </c>
      <c r="E57" s="159" t="s">
        <v>901</v>
      </c>
      <c r="F57" s="159" t="s">
        <v>902</v>
      </c>
      <c r="G57" s="161">
        <v>155173.51</v>
      </c>
      <c r="H57" s="160"/>
      <c r="I57" s="151">
        <f t="shared" si="0"/>
        <v>0</v>
      </c>
      <c r="J57" s="158" t="s">
        <v>1171</v>
      </c>
    </row>
    <row r="58" spans="1:10" x14ac:dyDescent="0.25">
      <c r="A58" s="155" t="s">
        <v>4</v>
      </c>
      <c r="B58" s="155" t="s">
        <v>579</v>
      </c>
      <c r="C58" s="155" t="s">
        <v>608</v>
      </c>
      <c r="D58" s="155" t="s">
        <v>903</v>
      </c>
      <c r="E58" s="155" t="s">
        <v>904</v>
      </c>
      <c r="F58" s="155" t="s">
        <v>1164</v>
      </c>
      <c r="G58" s="156"/>
      <c r="H58" s="156"/>
      <c r="I58" s="151">
        <f t="shared" si="0"/>
        <v>0</v>
      </c>
      <c r="J58" s="153"/>
    </row>
    <row r="59" spans="1:10" x14ac:dyDescent="0.25">
      <c r="A59" s="155" t="s">
        <v>4</v>
      </c>
      <c r="B59" s="155" t="s">
        <v>579</v>
      </c>
      <c r="C59" s="155" t="s">
        <v>608</v>
      </c>
      <c r="D59" s="155" t="s">
        <v>905</v>
      </c>
      <c r="E59" s="155" t="s">
        <v>1165</v>
      </c>
      <c r="F59" s="155" t="s">
        <v>1166</v>
      </c>
      <c r="G59" s="156"/>
      <c r="H59" s="156"/>
      <c r="I59" s="151">
        <f t="shared" si="0"/>
        <v>0</v>
      </c>
      <c r="J59" s="153"/>
    </row>
    <row r="60" spans="1:10" x14ac:dyDescent="0.25">
      <c r="A60" s="155" t="s">
        <v>4</v>
      </c>
      <c r="B60" s="155" t="s">
        <v>579</v>
      </c>
      <c r="C60" s="155" t="s">
        <v>608</v>
      </c>
      <c r="D60" s="155" t="s">
        <v>906</v>
      </c>
      <c r="E60" s="155" t="s">
        <v>907</v>
      </c>
      <c r="F60" s="155" t="s">
        <v>1167</v>
      </c>
      <c r="G60" s="156"/>
      <c r="H60" s="156"/>
      <c r="I60" s="151">
        <f t="shared" si="0"/>
        <v>0</v>
      </c>
      <c r="J60" s="153"/>
    </row>
    <row r="61" spans="1:10" x14ac:dyDescent="0.25">
      <c r="A61" s="155" t="s">
        <v>4</v>
      </c>
      <c r="B61" s="155" t="s">
        <v>579</v>
      </c>
      <c r="C61" s="155" t="s">
        <v>608</v>
      </c>
      <c r="D61" s="155" t="s">
        <v>908</v>
      </c>
      <c r="E61" s="155" t="s">
        <v>909</v>
      </c>
      <c r="F61" s="155" t="s">
        <v>1168</v>
      </c>
      <c r="G61" s="156"/>
      <c r="H61" s="156"/>
      <c r="I61" s="151">
        <f t="shared" si="0"/>
        <v>0</v>
      </c>
      <c r="J61" s="153"/>
    </row>
    <row r="62" spans="1:10" x14ac:dyDescent="0.25">
      <c r="A62" s="155" t="s">
        <v>4</v>
      </c>
      <c r="B62" s="155" t="s">
        <v>579</v>
      </c>
      <c r="C62" s="155" t="s">
        <v>608</v>
      </c>
      <c r="D62" s="155" t="s">
        <v>908</v>
      </c>
      <c r="E62" s="155" t="s">
        <v>909</v>
      </c>
      <c r="F62" s="155" t="s">
        <v>1169</v>
      </c>
      <c r="G62" s="156"/>
      <c r="H62" s="156"/>
      <c r="I62" s="151">
        <f t="shared" si="0"/>
        <v>0</v>
      </c>
      <c r="J62" s="153"/>
    </row>
    <row r="63" spans="1:10" x14ac:dyDescent="0.25">
      <c r="A63" s="122"/>
      <c r="B63" s="122"/>
      <c r="C63" s="122"/>
      <c r="D63" s="122"/>
      <c r="E63" s="122"/>
      <c r="F63" s="122"/>
      <c r="G63" s="123"/>
      <c r="H63" s="123"/>
      <c r="I63" s="151">
        <f t="shared" si="0"/>
        <v>0</v>
      </c>
      <c r="J63" s="153"/>
    </row>
    <row r="64" spans="1:10" x14ac:dyDescent="0.25">
      <c r="A64" s="122"/>
      <c r="B64" s="122"/>
      <c r="C64" s="122"/>
      <c r="D64" s="122"/>
      <c r="E64" s="122"/>
      <c r="F64" s="122"/>
      <c r="G64" s="123"/>
      <c r="H64" s="123"/>
      <c r="I64" s="151">
        <f t="shared" si="0"/>
        <v>0</v>
      </c>
      <c r="J64" s="153"/>
    </row>
    <row r="65" spans="1:10" x14ac:dyDescent="0.25">
      <c r="A65" s="122"/>
      <c r="B65" s="122"/>
      <c r="C65" s="122"/>
      <c r="D65" s="122"/>
      <c r="E65" s="122"/>
      <c r="F65" s="122"/>
      <c r="G65" s="123"/>
      <c r="H65" s="123"/>
      <c r="I65" s="151">
        <f t="shared" si="0"/>
        <v>0</v>
      </c>
      <c r="J65" s="153"/>
    </row>
    <row r="66" spans="1:10" x14ac:dyDescent="0.25">
      <c r="A66" s="122"/>
      <c r="B66" s="122"/>
      <c r="C66" s="122"/>
      <c r="D66" s="122"/>
      <c r="E66" s="122"/>
      <c r="F66" s="122"/>
      <c r="G66" s="124"/>
      <c r="H66" s="123"/>
      <c r="I66" s="151">
        <f t="shared" si="0"/>
        <v>0</v>
      </c>
      <c r="J66" s="153"/>
    </row>
    <row r="67" spans="1:10" x14ac:dyDescent="0.25">
      <c r="A67" s="122"/>
      <c r="B67" s="122"/>
      <c r="C67" s="122"/>
      <c r="D67" s="122"/>
      <c r="E67" s="122"/>
      <c r="F67" s="122"/>
      <c r="G67" s="123"/>
      <c r="H67" s="123"/>
      <c r="I67" s="151">
        <f t="shared" ref="I67:I130" si="1">IF(J67="",SUM(G67:H67),0)</f>
        <v>0</v>
      </c>
      <c r="J67" s="153"/>
    </row>
    <row r="68" spans="1:10" x14ac:dyDescent="0.25">
      <c r="A68" s="122"/>
      <c r="B68" s="122"/>
      <c r="C68" s="122"/>
      <c r="D68" s="122"/>
      <c r="E68" s="122"/>
      <c r="F68" s="122"/>
      <c r="G68" s="123"/>
      <c r="H68" s="123"/>
      <c r="I68" s="151">
        <f t="shared" si="1"/>
        <v>0</v>
      </c>
      <c r="J68" s="153"/>
    </row>
    <row r="69" spans="1:10" x14ac:dyDescent="0.25">
      <c r="A69" s="122"/>
      <c r="B69" s="122"/>
      <c r="C69" s="122"/>
      <c r="D69" s="122"/>
      <c r="E69" s="122"/>
      <c r="F69" s="122"/>
      <c r="G69" s="123"/>
      <c r="H69" s="123"/>
      <c r="I69" s="151">
        <f t="shared" si="1"/>
        <v>0</v>
      </c>
      <c r="J69" s="153"/>
    </row>
    <row r="70" spans="1:10" x14ac:dyDescent="0.25">
      <c r="A70" s="122"/>
      <c r="B70" s="122"/>
      <c r="C70" s="122"/>
      <c r="D70" s="122"/>
      <c r="E70" s="122"/>
      <c r="F70" s="122"/>
      <c r="G70" s="123"/>
      <c r="H70" s="123"/>
      <c r="I70" s="151">
        <f t="shared" si="1"/>
        <v>0</v>
      </c>
      <c r="J70" s="153"/>
    </row>
    <row r="71" spans="1:10" x14ac:dyDescent="0.25">
      <c r="A71" s="122"/>
      <c r="B71" s="122"/>
      <c r="C71" s="122"/>
      <c r="D71" s="122"/>
      <c r="E71" s="122"/>
      <c r="F71" s="122"/>
      <c r="G71" s="124"/>
      <c r="H71" s="123"/>
      <c r="I71" s="151">
        <f t="shared" si="1"/>
        <v>0</v>
      </c>
      <c r="J71" s="153"/>
    </row>
    <row r="72" spans="1:10" x14ac:dyDescent="0.25">
      <c r="A72" s="122"/>
      <c r="B72" s="122"/>
      <c r="C72" s="122"/>
      <c r="D72" s="122"/>
      <c r="E72" s="122"/>
      <c r="F72" s="122"/>
      <c r="G72" s="123"/>
      <c r="H72" s="123"/>
      <c r="I72" s="151">
        <f t="shared" si="1"/>
        <v>0</v>
      </c>
      <c r="J72" s="153"/>
    </row>
    <row r="73" spans="1:10" x14ac:dyDescent="0.25">
      <c r="A73" s="122"/>
      <c r="B73" s="122"/>
      <c r="C73" s="122"/>
      <c r="D73" s="122"/>
      <c r="E73" s="122"/>
      <c r="F73" s="122"/>
      <c r="G73" s="123"/>
      <c r="H73" s="123"/>
      <c r="I73" s="151">
        <f t="shared" si="1"/>
        <v>0</v>
      </c>
      <c r="J73" s="153"/>
    </row>
    <row r="74" spans="1:10" x14ac:dyDescent="0.25">
      <c r="A74" s="122"/>
      <c r="B74" s="122"/>
      <c r="C74" s="122"/>
      <c r="D74" s="122"/>
      <c r="E74" s="122"/>
      <c r="F74" s="122"/>
      <c r="G74" s="123"/>
      <c r="H74" s="123"/>
      <c r="I74" s="151">
        <f t="shared" si="1"/>
        <v>0</v>
      </c>
      <c r="J74" s="153"/>
    </row>
    <row r="75" spans="1:10" x14ac:dyDescent="0.25">
      <c r="A75" s="122"/>
      <c r="B75" s="122"/>
      <c r="C75" s="122"/>
      <c r="D75" s="122"/>
      <c r="E75" s="122"/>
      <c r="F75" s="122"/>
      <c r="G75" s="123"/>
      <c r="H75" s="123"/>
      <c r="I75" s="151">
        <f t="shared" si="1"/>
        <v>0</v>
      </c>
      <c r="J75" s="153"/>
    </row>
    <row r="76" spans="1:10" x14ac:dyDescent="0.25">
      <c r="A76" s="122"/>
      <c r="B76" s="122"/>
      <c r="C76" s="122"/>
      <c r="D76" s="122"/>
      <c r="E76" s="122"/>
      <c r="F76" s="122"/>
      <c r="G76" s="123"/>
      <c r="H76" s="123"/>
      <c r="I76" s="151">
        <f t="shared" si="1"/>
        <v>0</v>
      </c>
      <c r="J76" s="153"/>
    </row>
    <row r="77" spans="1:10" x14ac:dyDescent="0.25">
      <c r="A77" s="122"/>
      <c r="B77" s="122"/>
      <c r="C77" s="122"/>
      <c r="D77" s="122"/>
      <c r="E77" s="122"/>
      <c r="F77" s="122"/>
      <c r="G77" s="123"/>
      <c r="H77" s="123"/>
      <c r="I77" s="151">
        <f t="shared" si="1"/>
        <v>0</v>
      </c>
      <c r="J77" s="153"/>
    </row>
    <row r="78" spans="1:10" x14ac:dyDescent="0.25">
      <c r="A78" s="122"/>
      <c r="B78" s="122"/>
      <c r="C78" s="122"/>
      <c r="D78" s="122"/>
      <c r="E78" s="122"/>
      <c r="F78" s="122"/>
      <c r="G78" s="124"/>
      <c r="H78" s="123"/>
      <c r="I78" s="151">
        <f t="shared" si="1"/>
        <v>0</v>
      </c>
      <c r="J78" s="153"/>
    </row>
    <row r="79" spans="1:10" x14ac:dyDescent="0.25">
      <c r="A79" s="122"/>
      <c r="B79" s="122"/>
      <c r="C79" s="122"/>
      <c r="D79" s="122"/>
      <c r="E79" s="122"/>
      <c r="F79" s="122"/>
      <c r="G79" s="124"/>
      <c r="H79" s="123"/>
      <c r="I79" s="151">
        <f t="shared" si="1"/>
        <v>0</v>
      </c>
      <c r="J79" s="153"/>
    </row>
    <row r="80" spans="1:10" x14ac:dyDescent="0.25">
      <c r="A80" s="122"/>
      <c r="B80" s="122"/>
      <c r="C80" s="122"/>
      <c r="D80" s="122"/>
      <c r="E80" s="122"/>
      <c r="F80" s="122"/>
      <c r="G80" s="123"/>
      <c r="H80" s="123"/>
      <c r="I80" s="151">
        <f t="shared" si="1"/>
        <v>0</v>
      </c>
      <c r="J80" s="153"/>
    </row>
    <row r="81" spans="1:10" x14ac:dyDescent="0.25">
      <c r="A81" s="122"/>
      <c r="B81" s="122"/>
      <c r="C81" s="122"/>
      <c r="D81" s="122"/>
      <c r="E81" s="122"/>
      <c r="F81" s="122"/>
      <c r="G81" s="123"/>
      <c r="H81" s="123"/>
      <c r="I81" s="151">
        <f t="shared" si="1"/>
        <v>0</v>
      </c>
      <c r="J81" s="153"/>
    </row>
    <row r="82" spans="1:10" x14ac:dyDescent="0.25">
      <c r="A82" s="122"/>
      <c r="B82" s="122"/>
      <c r="C82" s="122"/>
      <c r="D82" s="122"/>
      <c r="E82" s="122"/>
      <c r="F82" s="122"/>
      <c r="G82" s="123"/>
      <c r="H82" s="123"/>
      <c r="I82" s="151">
        <f t="shared" si="1"/>
        <v>0</v>
      </c>
      <c r="J82" s="153"/>
    </row>
    <row r="83" spans="1:10" x14ac:dyDescent="0.25">
      <c r="A83" s="122"/>
      <c r="B83" s="122"/>
      <c r="C83" s="122"/>
      <c r="D83" s="122"/>
      <c r="E83" s="122"/>
      <c r="F83" s="122"/>
      <c r="G83" s="123"/>
      <c r="H83" s="123"/>
      <c r="I83" s="151">
        <f t="shared" si="1"/>
        <v>0</v>
      </c>
      <c r="J83" s="153"/>
    </row>
    <row r="84" spans="1:10" x14ac:dyDescent="0.25">
      <c r="A84" s="122"/>
      <c r="B84" s="122"/>
      <c r="C84" s="122"/>
      <c r="D84" s="122"/>
      <c r="E84" s="122"/>
      <c r="F84" s="122"/>
      <c r="G84" s="123"/>
      <c r="H84" s="123"/>
      <c r="I84" s="151">
        <f t="shared" si="1"/>
        <v>0</v>
      </c>
      <c r="J84" s="153"/>
    </row>
    <row r="85" spans="1:10" x14ac:dyDescent="0.25">
      <c r="A85" s="122"/>
      <c r="B85" s="122"/>
      <c r="C85" s="122"/>
      <c r="D85" s="122"/>
      <c r="E85" s="122"/>
      <c r="F85" s="122"/>
      <c r="G85" s="123"/>
      <c r="H85" s="123"/>
      <c r="I85" s="151">
        <f t="shared" si="1"/>
        <v>0</v>
      </c>
      <c r="J85" s="153"/>
    </row>
    <row r="86" spans="1:10" x14ac:dyDescent="0.25">
      <c r="A86" s="122"/>
      <c r="B86" s="122"/>
      <c r="C86" s="122"/>
      <c r="D86" s="122"/>
      <c r="E86" s="122"/>
      <c r="F86" s="122"/>
      <c r="G86" s="123"/>
      <c r="H86" s="123"/>
      <c r="I86" s="151">
        <f t="shared" si="1"/>
        <v>0</v>
      </c>
      <c r="J86" s="153"/>
    </row>
    <row r="87" spans="1:10" x14ac:dyDescent="0.25">
      <c r="A87" s="122"/>
      <c r="B87" s="122"/>
      <c r="C87" s="122"/>
      <c r="D87" s="122"/>
      <c r="E87" s="122"/>
      <c r="F87" s="122"/>
      <c r="G87" s="123"/>
      <c r="H87" s="123"/>
      <c r="I87" s="151">
        <f t="shared" si="1"/>
        <v>0</v>
      </c>
      <c r="J87" s="153"/>
    </row>
    <row r="88" spans="1:10" x14ac:dyDescent="0.25">
      <c r="A88" s="125"/>
      <c r="B88" s="125"/>
      <c r="C88" s="125"/>
      <c r="D88" s="125"/>
      <c r="E88" s="125"/>
      <c r="F88" s="125"/>
      <c r="G88" s="126"/>
      <c r="H88" s="126"/>
      <c r="I88" s="151">
        <f t="shared" si="1"/>
        <v>0</v>
      </c>
      <c r="J88" s="153"/>
    </row>
    <row r="89" spans="1:10" x14ac:dyDescent="0.25">
      <c r="A89" s="125"/>
      <c r="B89" s="125"/>
      <c r="C89" s="125"/>
      <c r="D89" s="125"/>
      <c r="E89" s="125"/>
      <c r="F89" s="125"/>
      <c r="G89" s="126"/>
      <c r="H89" s="126"/>
      <c r="I89" s="151">
        <f t="shared" si="1"/>
        <v>0</v>
      </c>
      <c r="J89" s="153"/>
    </row>
    <row r="90" spans="1:10" x14ac:dyDescent="0.25">
      <c r="A90" s="125"/>
      <c r="B90" s="125"/>
      <c r="C90" s="125"/>
      <c r="D90" s="125"/>
      <c r="E90" s="125"/>
      <c r="F90" s="125"/>
      <c r="G90" s="126"/>
      <c r="H90" s="126"/>
      <c r="I90" s="151">
        <f t="shared" si="1"/>
        <v>0</v>
      </c>
      <c r="J90" s="153"/>
    </row>
    <row r="91" spans="1:10" x14ac:dyDescent="0.25">
      <c r="A91" s="125"/>
      <c r="B91" s="125"/>
      <c r="C91" s="125"/>
      <c r="D91" s="125"/>
      <c r="E91" s="125"/>
      <c r="F91" s="125"/>
      <c r="G91" s="126"/>
      <c r="H91" s="126"/>
      <c r="I91" s="151">
        <f t="shared" si="1"/>
        <v>0</v>
      </c>
      <c r="J91" s="153"/>
    </row>
    <row r="92" spans="1:10" x14ac:dyDescent="0.25">
      <c r="A92" s="125"/>
      <c r="B92" s="125"/>
      <c r="C92" s="125"/>
      <c r="D92" s="125"/>
      <c r="E92" s="125"/>
      <c r="F92" s="125"/>
      <c r="G92" s="126"/>
      <c r="H92" s="127"/>
      <c r="I92" s="151">
        <f t="shared" si="1"/>
        <v>0</v>
      </c>
      <c r="J92" s="153"/>
    </row>
    <row r="93" spans="1:10" x14ac:dyDescent="0.25">
      <c r="A93" s="125"/>
      <c r="B93" s="125"/>
      <c r="C93" s="125"/>
      <c r="D93" s="125"/>
      <c r="E93" s="125"/>
      <c r="F93" s="125"/>
      <c r="G93" s="126"/>
      <c r="H93" s="126"/>
      <c r="I93" s="151">
        <f t="shared" si="1"/>
        <v>0</v>
      </c>
      <c r="J93" s="153"/>
    </row>
    <row r="94" spans="1:10" x14ac:dyDescent="0.25">
      <c r="A94" s="125"/>
      <c r="B94" s="125"/>
      <c r="C94" s="125"/>
      <c r="D94" s="125"/>
      <c r="E94" s="125"/>
      <c r="F94" s="125"/>
      <c r="G94" s="126"/>
      <c r="H94" s="126"/>
      <c r="I94" s="151">
        <f t="shared" si="1"/>
        <v>0</v>
      </c>
      <c r="J94" s="153"/>
    </row>
    <row r="95" spans="1:10" x14ac:dyDescent="0.25">
      <c r="A95" s="125"/>
      <c r="B95" s="125"/>
      <c r="C95" s="125"/>
      <c r="D95" s="125"/>
      <c r="E95" s="125"/>
      <c r="F95" s="125"/>
      <c r="G95" s="126"/>
      <c r="H95" s="126"/>
      <c r="I95" s="151">
        <f t="shared" si="1"/>
        <v>0</v>
      </c>
      <c r="J95" s="153"/>
    </row>
    <row r="96" spans="1:10" x14ac:dyDescent="0.25">
      <c r="A96" s="125"/>
      <c r="B96" s="125"/>
      <c r="C96" s="125"/>
      <c r="D96" s="125"/>
      <c r="E96" s="125"/>
      <c r="F96" s="125"/>
      <c r="G96" s="126"/>
      <c r="H96" s="126"/>
      <c r="I96" s="151">
        <f t="shared" si="1"/>
        <v>0</v>
      </c>
      <c r="J96" s="153"/>
    </row>
    <row r="97" spans="1:10" x14ac:dyDescent="0.25">
      <c r="A97" s="125"/>
      <c r="B97" s="125"/>
      <c r="C97" s="125"/>
      <c r="D97" s="125"/>
      <c r="E97" s="125"/>
      <c r="F97" s="125"/>
      <c r="G97" s="126"/>
      <c r="H97" s="126"/>
      <c r="I97" s="151">
        <f t="shared" si="1"/>
        <v>0</v>
      </c>
      <c r="J97" s="153"/>
    </row>
    <row r="98" spans="1:10" x14ac:dyDescent="0.25">
      <c r="A98" s="125"/>
      <c r="B98" s="125"/>
      <c r="C98" s="125"/>
      <c r="D98" s="125"/>
      <c r="E98" s="125"/>
      <c r="F98" s="125"/>
      <c r="G98" s="126"/>
      <c r="H98" s="126"/>
      <c r="I98" s="151">
        <f t="shared" si="1"/>
        <v>0</v>
      </c>
      <c r="J98" s="153"/>
    </row>
    <row r="99" spans="1:10" x14ac:dyDescent="0.25">
      <c r="A99" s="125"/>
      <c r="B99" s="125"/>
      <c r="C99" s="125"/>
      <c r="D99" s="125"/>
      <c r="E99" s="125"/>
      <c r="F99" s="125"/>
      <c r="G99" s="126"/>
      <c r="H99" s="126"/>
      <c r="I99" s="151">
        <f t="shared" si="1"/>
        <v>0</v>
      </c>
      <c r="J99" s="153"/>
    </row>
    <row r="100" spans="1:10" x14ac:dyDescent="0.25">
      <c r="A100" s="125"/>
      <c r="B100" s="125"/>
      <c r="C100" s="125"/>
      <c r="D100" s="125"/>
      <c r="E100" s="125"/>
      <c r="F100" s="125"/>
      <c r="G100" s="126"/>
      <c r="H100" s="126"/>
      <c r="I100" s="151">
        <f t="shared" si="1"/>
        <v>0</v>
      </c>
      <c r="J100" s="153"/>
    </row>
    <row r="101" spans="1:10" x14ac:dyDescent="0.25">
      <c r="A101" s="125"/>
      <c r="B101" s="125"/>
      <c r="C101" s="125"/>
      <c r="D101" s="125"/>
      <c r="E101" s="125"/>
      <c r="F101" s="125"/>
      <c r="G101" s="126"/>
      <c r="H101" s="126"/>
      <c r="I101" s="151">
        <f t="shared" si="1"/>
        <v>0</v>
      </c>
      <c r="J101" s="153"/>
    </row>
    <row r="102" spans="1:10" x14ac:dyDescent="0.25">
      <c r="A102" s="125"/>
      <c r="B102" s="125"/>
      <c r="C102" s="125"/>
      <c r="D102" s="125"/>
      <c r="E102" s="125"/>
      <c r="F102" s="125"/>
      <c r="G102" s="128"/>
      <c r="H102" s="126"/>
      <c r="I102" s="151">
        <f t="shared" si="1"/>
        <v>0</v>
      </c>
      <c r="J102" s="153"/>
    </row>
    <row r="103" spans="1:10" x14ac:dyDescent="0.25">
      <c r="A103" s="125"/>
      <c r="B103" s="125"/>
      <c r="C103" s="125"/>
      <c r="D103" s="125"/>
      <c r="E103" s="125"/>
      <c r="F103" s="125"/>
      <c r="G103" s="128"/>
      <c r="H103" s="126"/>
      <c r="I103" s="151">
        <f t="shared" si="1"/>
        <v>0</v>
      </c>
      <c r="J103" s="153"/>
    </row>
    <row r="104" spans="1:10" x14ac:dyDescent="0.25">
      <c r="A104" s="125"/>
      <c r="B104" s="125"/>
      <c r="C104" s="125"/>
      <c r="D104" s="125"/>
      <c r="E104" s="125"/>
      <c r="F104" s="125"/>
      <c r="G104" s="128"/>
      <c r="H104" s="126"/>
      <c r="I104" s="151">
        <f t="shared" si="1"/>
        <v>0</v>
      </c>
      <c r="J104" s="153"/>
    </row>
    <row r="105" spans="1:10" x14ac:dyDescent="0.25">
      <c r="A105" s="125"/>
      <c r="B105" s="125"/>
      <c r="C105" s="125"/>
      <c r="D105" s="125"/>
      <c r="E105" s="125"/>
      <c r="F105" s="125"/>
      <c r="G105" s="128"/>
      <c r="H105" s="126"/>
      <c r="I105" s="151">
        <f t="shared" si="1"/>
        <v>0</v>
      </c>
      <c r="J105" s="153"/>
    </row>
    <row r="106" spans="1:10" x14ac:dyDescent="0.25">
      <c r="A106" s="125"/>
      <c r="B106" s="125"/>
      <c r="C106" s="125"/>
      <c r="D106" s="125"/>
      <c r="E106" s="125"/>
      <c r="F106" s="125"/>
      <c r="G106" s="128"/>
      <c r="H106" s="126"/>
      <c r="I106" s="151">
        <f t="shared" si="1"/>
        <v>0</v>
      </c>
      <c r="J106" s="153"/>
    </row>
    <row r="107" spans="1:10" x14ac:dyDescent="0.25">
      <c r="A107" s="125"/>
      <c r="B107" s="125"/>
      <c r="C107" s="125"/>
      <c r="D107" s="125"/>
      <c r="E107" s="125"/>
      <c r="F107" s="125"/>
      <c r="G107" s="128"/>
      <c r="H107" s="126"/>
      <c r="I107" s="151">
        <f t="shared" si="1"/>
        <v>0</v>
      </c>
      <c r="J107" s="153"/>
    </row>
    <row r="108" spans="1:10" x14ac:dyDescent="0.25">
      <c r="A108" s="125"/>
      <c r="B108" s="125"/>
      <c r="C108" s="125"/>
      <c r="D108" s="125"/>
      <c r="E108" s="125"/>
      <c r="F108" s="125"/>
      <c r="G108" s="128"/>
      <c r="H108" s="126"/>
      <c r="I108" s="151">
        <f t="shared" si="1"/>
        <v>0</v>
      </c>
      <c r="J108" s="153"/>
    </row>
    <row r="109" spans="1:10" x14ac:dyDescent="0.25">
      <c r="A109" s="125"/>
      <c r="B109" s="125"/>
      <c r="C109" s="125"/>
      <c r="D109" s="125"/>
      <c r="E109" s="125"/>
      <c r="F109" s="125"/>
      <c r="G109" s="128"/>
      <c r="H109" s="126"/>
      <c r="I109" s="151">
        <f t="shared" si="1"/>
        <v>0</v>
      </c>
      <c r="J109" s="153"/>
    </row>
    <row r="110" spans="1:10" x14ac:dyDescent="0.25">
      <c r="A110" s="125"/>
      <c r="B110" s="125"/>
      <c r="C110" s="125"/>
      <c r="D110" s="125"/>
      <c r="E110" s="125"/>
      <c r="F110" s="125"/>
      <c r="G110" s="128"/>
      <c r="H110" s="126"/>
      <c r="I110" s="151">
        <f t="shared" si="1"/>
        <v>0</v>
      </c>
      <c r="J110" s="153"/>
    </row>
    <row r="111" spans="1:10" x14ac:dyDescent="0.25">
      <c r="A111" s="125"/>
      <c r="B111" s="125"/>
      <c r="C111" s="125"/>
      <c r="D111" s="125"/>
      <c r="E111" s="125"/>
      <c r="F111" s="125"/>
      <c r="G111" s="128"/>
      <c r="H111" s="126"/>
      <c r="I111" s="151">
        <f t="shared" si="1"/>
        <v>0</v>
      </c>
      <c r="J111" s="153"/>
    </row>
    <row r="112" spans="1:10" x14ac:dyDescent="0.25">
      <c r="A112" s="125"/>
      <c r="B112" s="125"/>
      <c r="C112" s="125"/>
      <c r="D112" s="125"/>
      <c r="E112" s="125"/>
      <c r="F112" s="125"/>
      <c r="G112" s="127"/>
      <c r="H112" s="126"/>
      <c r="I112" s="151">
        <f t="shared" si="1"/>
        <v>0</v>
      </c>
      <c r="J112" s="153"/>
    </row>
    <row r="113" spans="1:10" x14ac:dyDescent="0.25">
      <c r="A113" s="125"/>
      <c r="B113" s="125"/>
      <c r="C113" s="125"/>
      <c r="D113" s="125"/>
      <c r="E113" s="125"/>
      <c r="F113" s="125"/>
      <c r="G113" s="126"/>
      <c r="H113" s="126"/>
      <c r="I113" s="151">
        <f t="shared" si="1"/>
        <v>0</v>
      </c>
      <c r="J113" s="153"/>
    </row>
    <row r="114" spans="1:10" x14ac:dyDescent="0.25">
      <c r="A114" s="125"/>
      <c r="B114" s="125"/>
      <c r="C114" s="125"/>
      <c r="D114" s="125"/>
      <c r="E114" s="125"/>
      <c r="F114" s="125"/>
      <c r="G114" s="126"/>
      <c r="H114" s="126"/>
      <c r="I114" s="151">
        <f t="shared" si="1"/>
        <v>0</v>
      </c>
      <c r="J114" s="153"/>
    </row>
    <row r="115" spans="1:10" x14ac:dyDescent="0.25">
      <c r="A115" s="125"/>
      <c r="B115" s="125"/>
      <c r="C115" s="125"/>
      <c r="D115" s="125"/>
      <c r="E115" s="125"/>
      <c r="F115" s="125"/>
      <c r="G115" s="126"/>
      <c r="H115" s="126"/>
      <c r="I115" s="151">
        <f t="shared" si="1"/>
        <v>0</v>
      </c>
      <c r="J115" s="153"/>
    </row>
    <row r="116" spans="1:10" x14ac:dyDescent="0.25">
      <c r="A116" s="125"/>
      <c r="B116" s="125"/>
      <c r="C116" s="125"/>
      <c r="D116" s="125"/>
      <c r="E116" s="125"/>
      <c r="F116" s="125"/>
      <c r="G116" s="126"/>
      <c r="H116" s="126"/>
      <c r="I116" s="151">
        <f t="shared" si="1"/>
        <v>0</v>
      </c>
      <c r="J116" s="153"/>
    </row>
    <row r="117" spans="1:10" x14ac:dyDescent="0.25">
      <c r="A117" s="125"/>
      <c r="B117" s="125"/>
      <c r="C117" s="125"/>
      <c r="D117" s="125"/>
      <c r="E117" s="125"/>
      <c r="F117" s="125"/>
      <c r="G117" s="126"/>
      <c r="H117" s="126"/>
      <c r="I117" s="151">
        <f t="shared" si="1"/>
        <v>0</v>
      </c>
      <c r="J117" s="153"/>
    </row>
    <row r="118" spans="1:10" x14ac:dyDescent="0.25">
      <c r="A118" s="125"/>
      <c r="B118" s="125"/>
      <c r="C118" s="125"/>
      <c r="D118" s="125"/>
      <c r="E118" s="125"/>
      <c r="F118" s="125"/>
      <c r="G118" s="126"/>
      <c r="H118" s="126"/>
      <c r="I118" s="151">
        <f t="shared" si="1"/>
        <v>0</v>
      </c>
      <c r="J118" s="153"/>
    </row>
    <row r="119" spans="1:10" x14ac:dyDescent="0.25">
      <c r="A119" s="125"/>
      <c r="B119" s="125"/>
      <c r="C119" s="125"/>
      <c r="D119" s="125"/>
      <c r="E119" s="125"/>
      <c r="F119" s="125"/>
      <c r="G119" s="126"/>
      <c r="H119" s="126"/>
      <c r="I119" s="151">
        <f t="shared" si="1"/>
        <v>0</v>
      </c>
      <c r="J119" s="153"/>
    </row>
    <row r="120" spans="1:10" x14ac:dyDescent="0.25">
      <c r="A120" s="125"/>
      <c r="B120" s="125"/>
      <c r="C120" s="125"/>
      <c r="D120" s="125"/>
      <c r="E120" s="125"/>
      <c r="F120" s="125"/>
      <c r="G120" s="126"/>
      <c r="H120" s="126"/>
      <c r="I120" s="151">
        <f t="shared" si="1"/>
        <v>0</v>
      </c>
      <c r="J120" s="153"/>
    </row>
    <row r="121" spans="1:10" x14ac:dyDescent="0.25">
      <c r="A121" s="125"/>
      <c r="B121" s="125"/>
      <c r="C121" s="125"/>
      <c r="D121" s="125"/>
      <c r="E121" s="125"/>
      <c r="F121" s="125"/>
      <c r="G121" s="126"/>
      <c r="H121" s="126"/>
      <c r="I121" s="151">
        <f t="shared" si="1"/>
        <v>0</v>
      </c>
      <c r="J121" s="153"/>
    </row>
    <row r="122" spans="1:10" x14ac:dyDescent="0.25">
      <c r="A122" s="125"/>
      <c r="B122" s="125"/>
      <c r="C122" s="125"/>
      <c r="D122" s="125"/>
      <c r="E122" s="125"/>
      <c r="F122" s="125"/>
      <c r="G122" s="126"/>
      <c r="H122" s="126"/>
      <c r="I122" s="151">
        <f t="shared" si="1"/>
        <v>0</v>
      </c>
      <c r="J122" s="153"/>
    </row>
    <row r="123" spans="1:10" x14ac:dyDescent="0.25">
      <c r="A123" s="125"/>
      <c r="B123" s="125"/>
      <c r="C123" s="125"/>
      <c r="D123" s="125"/>
      <c r="E123" s="125"/>
      <c r="F123" s="125"/>
      <c r="G123" s="126"/>
      <c r="H123" s="126"/>
      <c r="I123" s="151">
        <f t="shared" si="1"/>
        <v>0</v>
      </c>
      <c r="J123" s="153"/>
    </row>
    <row r="124" spans="1:10" x14ac:dyDescent="0.25">
      <c r="A124" s="125"/>
      <c r="B124" s="125"/>
      <c r="C124" s="125"/>
      <c r="D124" s="125"/>
      <c r="E124" s="125"/>
      <c r="F124" s="125"/>
      <c r="G124" s="126"/>
      <c r="H124" s="126"/>
      <c r="I124" s="151">
        <f t="shared" si="1"/>
        <v>0</v>
      </c>
      <c r="J124" s="153"/>
    </row>
    <row r="125" spans="1:10" x14ac:dyDescent="0.25">
      <c r="A125" s="125"/>
      <c r="B125" s="125"/>
      <c r="C125" s="125"/>
      <c r="D125" s="125"/>
      <c r="E125" s="125"/>
      <c r="F125" s="125"/>
      <c r="G125" s="126"/>
      <c r="H125" s="126"/>
      <c r="I125" s="151">
        <f t="shared" si="1"/>
        <v>0</v>
      </c>
      <c r="J125" s="153"/>
    </row>
    <row r="126" spans="1:10" x14ac:dyDescent="0.25">
      <c r="A126" s="125"/>
      <c r="B126" s="125"/>
      <c r="C126" s="125"/>
      <c r="D126" s="125"/>
      <c r="E126" s="125"/>
      <c r="F126" s="125"/>
      <c r="G126" s="126"/>
      <c r="H126" s="126"/>
      <c r="I126" s="151">
        <f t="shared" si="1"/>
        <v>0</v>
      </c>
      <c r="J126" s="153"/>
    </row>
    <row r="127" spans="1:10" x14ac:dyDescent="0.25">
      <c r="A127" s="125"/>
      <c r="B127" s="125"/>
      <c r="C127" s="125"/>
      <c r="D127" s="125"/>
      <c r="E127" s="125"/>
      <c r="F127" s="125"/>
      <c r="G127" s="126"/>
      <c r="H127" s="126"/>
      <c r="I127" s="151">
        <f t="shared" si="1"/>
        <v>0</v>
      </c>
      <c r="J127" s="153"/>
    </row>
    <row r="128" spans="1:10" x14ac:dyDescent="0.25">
      <c r="A128" s="125"/>
      <c r="B128" s="125"/>
      <c r="C128" s="125"/>
      <c r="D128" s="125"/>
      <c r="E128" s="125"/>
      <c r="F128" s="125"/>
      <c r="G128" s="126"/>
      <c r="H128" s="126"/>
      <c r="I128" s="151">
        <f t="shared" si="1"/>
        <v>0</v>
      </c>
      <c r="J128" s="153"/>
    </row>
    <row r="129" spans="1:10" x14ac:dyDescent="0.25">
      <c r="A129" s="125"/>
      <c r="B129" s="125"/>
      <c r="C129" s="125"/>
      <c r="D129" s="125"/>
      <c r="E129" s="125"/>
      <c r="F129" s="125"/>
      <c r="G129" s="126"/>
      <c r="H129" s="126"/>
      <c r="I129" s="151">
        <f t="shared" si="1"/>
        <v>0</v>
      </c>
      <c r="J129" s="153"/>
    </row>
    <row r="130" spans="1:10" x14ac:dyDescent="0.25">
      <c r="A130" s="125"/>
      <c r="B130" s="125"/>
      <c r="C130" s="125"/>
      <c r="D130" s="125"/>
      <c r="E130" s="125"/>
      <c r="F130" s="125"/>
      <c r="G130" s="126"/>
      <c r="H130" s="126"/>
      <c r="I130" s="151">
        <f t="shared" si="1"/>
        <v>0</v>
      </c>
      <c r="J130" s="153"/>
    </row>
    <row r="131" spans="1:10" x14ac:dyDescent="0.25">
      <c r="A131" s="125"/>
      <c r="B131" s="125"/>
      <c r="C131" s="125"/>
      <c r="D131" s="125"/>
      <c r="E131" s="125"/>
      <c r="F131" s="125"/>
      <c r="G131" s="126"/>
      <c r="H131" s="126"/>
      <c r="I131" s="151">
        <f t="shared" ref="I131:I194" si="2">IF(J131="",SUM(G131:H131),0)</f>
        <v>0</v>
      </c>
      <c r="J131" s="153"/>
    </row>
    <row r="132" spans="1:10" x14ac:dyDescent="0.25">
      <c r="A132" s="125"/>
      <c r="B132" s="125"/>
      <c r="C132" s="125"/>
      <c r="D132" s="125"/>
      <c r="E132" s="125"/>
      <c r="F132" s="125"/>
      <c r="G132" s="126"/>
      <c r="H132" s="126"/>
      <c r="I132" s="151">
        <f t="shared" si="2"/>
        <v>0</v>
      </c>
      <c r="J132" s="153"/>
    </row>
    <row r="133" spans="1:10" x14ac:dyDescent="0.25">
      <c r="A133" s="125"/>
      <c r="B133" s="125"/>
      <c r="C133" s="125"/>
      <c r="D133" s="125"/>
      <c r="E133" s="125"/>
      <c r="F133" s="125"/>
      <c r="G133" s="126"/>
      <c r="H133" s="126"/>
      <c r="I133" s="151">
        <f t="shared" si="2"/>
        <v>0</v>
      </c>
      <c r="J133" s="153"/>
    </row>
    <row r="134" spans="1:10" x14ac:dyDescent="0.25">
      <c r="A134" s="125"/>
      <c r="B134" s="125"/>
      <c r="C134" s="125"/>
      <c r="D134" s="125"/>
      <c r="E134" s="125"/>
      <c r="F134" s="125"/>
      <c r="G134" s="126"/>
      <c r="H134" s="126"/>
      <c r="I134" s="151">
        <f t="shared" si="2"/>
        <v>0</v>
      </c>
      <c r="J134" s="153"/>
    </row>
    <row r="135" spans="1:10" x14ac:dyDescent="0.25">
      <c r="A135" s="125"/>
      <c r="B135" s="125"/>
      <c r="C135" s="125"/>
      <c r="D135" s="125"/>
      <c r="E135" s="125"/>
      <c r="F135" s="125"/>
      <c r="G135" s="126"/>
      <c r="H135" s="126"/>
      <c r="I135" s="151">
        <f t="shared" si="2"/>
        <v>0</v>
      </c>
      <c r="J135" s="153"/>
    </row>
    <row r="136" spans="1:10" x14ac:dyDescent="0.25">
      <c r="A136" s="125"/>
      <c r="B136" s="125"/>
      <c r="C136" s="125"/>
      <c r="D136" s="125"/>
      <c r="E136" s="125"/>
      <c r="F136" s="125"/>
      <c r="G136" s="126"/>
      <c r="H136" s="126"/>
      <c r="I136" s="151">
        <f t="shared" si="2"/>
        <v>0</v>
      </c>
      <c r="J136" s="153"/>
    </row>
    <row r="137" spans="1:10" x14ac:dyDescent="0.25">
      <c r="A137" s="125"/>
      <c r="B137" s="125"/>
      <c r="C137" s="125"/>
      <c r="D137" s="125"/>
      <c r="E137" s="125"/>
      <c r="F137" s="125"/>
      <c r="G137" s="126"/>
      <c r="H137" s="126"/>
      <c r="I137" s="151">
        <f t="shared" si="2"/>
        <v>0</v>
      </c>
      <c r="J137" s="153"/>
    </row>
    <row r="138" spans="1:10" x14ac:dyDescent="0.25">
      <c r="A138" s="125"/>
      <c r="B138" s="125"/>
      <c r="C138" s="125"/>
      <c r="D138" s="125"/>
      <c r="E138" s="125"/>
      <c r="F138" s="125"/>
      <c r="G138" s="126"/>
      <c r="H138" s="127"/>
      <c r="I138" s="151">
        <f t="shared" si="2"/>
        <v>0</v>
      </c>
      <c r="J138" s="153"/>
    </row>
    <row r="139" spans="1:10" x14ac:dyDescent="0.25">
      <c r="A139" s="125"/>
      <c r="B139" s="125"/>
      <c r="C139" s="125"/>
      <c r="D139" s="125"/>
      <c r="E139" s="125"/>
      <c r="F139" s="125"/>
      <c r="G139" s="126"/>
      <c r="H139" s="126"/>
      <c r="I139" s="151">
        <f t="shared" si="2"/>
        <v>0</v>
      </c>
      <c r="J139" s="153"/>
    </row>
    <row r="140" spans="1:10" x14ac:dyDescent="0.25">
      <c r="A140" s="125"/>
      <c r="B140" s="125"/>
      <c r="C140" s="125"/>
      <c r="D140" s="125"/>
      <c r="E140" s="125"/>
      <c r="F140" s="125"/>
      <c r="G140" s="126"/>
      <c r="H140" s="126"/>
      <c r="I140" s="151">
        <f t="shared" si="2"/>
        <v>0</v>
      </c>
      <c r="J140" s="153"/>
    </row>
    <row r="141" spans="1:10" x14ac:dyDescent="0.25">
      <c r="A141" s="125"/>
      <c r="B141" s="125"/>
      <c r="C141" s="125"/>
      <c r="D141" s="125"/>
      <c r="E141" s="125"/>
      <c r="F141" s="125"/>
      <c r="G141" s="126"/>
      <c r="H141" s="126"/>
      <c r="I141" s="151">
        <f t="shared" si="2"/>
        <v>0</v>
      </c>
      <c r="J141" s="153"/>
    </row>
    <row r="142" spans="1:10" x14ac:dyDescent="0.25">
      <c r="A142" s="125"/>
      <c r="B142" s="125"/>
      <c r="C142" s="125"/>
      <c r="D142" s="125"/>
      <c r="E142" s="125"/>
      <c r="F142" s="125"/>
      <c r="G142" s="126"/>
      <c r="H142" s="126"/>
      <c r="I142" s="151">
        <f t="shared" si="2"/>
        <v>0</v>
      </c>
      <c r="J142" s="153"/>
    </row>
    <row r="143" spans="1:10" x14ac:dyDescent="0.25">
      <c r="A143" s="125"/>
      <c r="B143" s="125"/>
      <c r="C143" s="125"/>
      <c r="D143" s="125"/>
      <c r="E143" s="125"/>
      <c r="F143" s="125"/>
      <c r="G143" s="126"/>
      <c r="H143" s="127"/>
      <c r="I143" s="151">
        <f t="shared" si="2"/>
        <v>0</v>
      </c>
      <c r="J143" s="153"/>
    </row>
    <row r="144" spans="1:10" x14ac:dyDescent="0.25">
      <c r="A144" s="125"/>
      <c r="B144" s="125"/>
      <c r="C144" s="125"/>
      <c r="D144" s="125"/>
      <c r="E144" s="125"/>
      <c r="F144" s="125"/>
      <c r="G144" s="126"/>
      <c r="H144" s="126"/>
      <c r="I144" s="151">
        <f t="shared" si="2"/>
        <v>0</v>
      </c>
      <c r="J144" s="153"/>
    </row>
    <row r="145" spans="1:10" x14ac:dyDescent="0.25">
      <c r="A145" s="125"/>
      <c r="B145" s="125"/>
      <c r="C145" s="125"/>
      <c r="D145" s="125"/>
      <c r="E145" s="125"/>
      <c r="F145" s="125"/>
      <c r="G145" s="126"/>
      <c r="H145" s="127"/>
      <c r="I145" s="151">
        <f t="shared" si="2"/>
        <v>0</v>
      </c>
      <c r="J145" s="153"/>
    </row>
    <row r="146" spans="1:10" x14ac:dyDescent="0.25">
      <c r="A146" s="125"/>
      <c r="B146" s="125"/>
      <c r="C146" s="125"/>
      <c r="D146" s="125"/>
      <c r="E146" s="125"/>
      <c r="F146" s="125"/>
      <c r="G146" s="126"/>
      <c r="H146" s="126"/>
      <c r="I146" s="151">
        <f t="shared" si="2"/>
        <v>0</v>
      </c>
      <c r="J146" s="153"/>
    </row>
    <row r="147" spans="1:10" x14ac:dyDescent="0.25">
      <c r="A147" s="125"/>
      <c r="B147" s="125"/>
      <c r="C147" s="125"/>
      <c r="D147" s="125"/>
      <c r="E147" s="125"/>
      <c r="F147" s="125"/>
      <c r="G147" s="126"/>
      <c r="H147" s="126"/>
      <c r="I147" s="151">
        <f t="shared" si="2"/>
        <v>0</v>
      </c>
      <c r="J147" s="153"/>
    </row>
    <row r="148" spans="1:10" x14ac:dyDescent="0.25">
      <c r="A148" s="125"/>
      <c r="B148" s="125"/>
      <c r="C148" s="125"/>
      <c r="D148" s="125"/>
      <c r="E148" s="125"/>
      <c r="F148" s="125"/>
      <c r="G148" s="126"/>
      <c r="H148" s="126"/>
      <c r="I148" s="151">
        <f t="shared" si="2"/>
        <v>0</v>
      </c>
      <c r="J148" s="153"/>
    </row>
    <row r="149" spans="1:10" x14ac:dyDescent="0.25">
      <c r="A149" s="125"/>
      <c r="B149" s="125"/>
      <c r="C149" s="125"/>
      <c r="D149" s="125"/>
      <c r="E149" s="125"/>
      <c r="F149" s="125"/>
      <c r="G149" s="126"/>
      <c r="H149" s="127"/>
      <c r="I149" s="151">
        <f t="shared" si="2"/>
        <v>0</v>
      </c>
      <c r="J149" s="153"/>
    </row>
    <row r="150" spans="1:10" x14ac:dyDescent="0.25">
      <c r="A150" s="125"/>
      <c r="B150" s="125"/>
      <c r="C150" s="125"/>
      <c r="D150" s="125"/>
      <c r="E150" s="125"/>
      <c r="F150" s="125"/>
      <c r="G150" s="126"/>
      <c r="H150" s="126"/>
      <c r="I150" s="151">
        <f t="shared" si="2"/>
        <v>0</v>
      </c>
      <c r="J150" s="153"/>
    </row>
    <row r="151" spans="1:10" x14ac:dyDescent="0.25">
      <c r="A151" s="125"/>
      <c r="B151" s="125"/>
      <c r="C151" s="125"/>
      <c r="D151" s="125"/>
      <c r="E151" s="125"/>
      <c r="F151" s="125"/>
      <c r="G151" s="126"/>
      <c r="H151" s="126"/>
      <c r="I151" s="151">
        <f t="shared" si="2"/>
        <v>0</v>
      </c>
      <c r="J151" s="153"/>
    </row>
    <row r="152" spans="1:10" x14ac:dyDescent="0.25">
      <c r="A152" s="125"/>
      <c r="B152" s="125"/>
      <c r="C152" s="125"/>
      <c r="D152" s="125"/>
      <c r="E152" s="125"/>
      <c r="F152" s="125"/>
      <c r="G152" s="126"/>
      <c r="H152" s="126"/>
      <c r="I152" s="151">
        <f t="shared" si="2"/>
        <v>0</v>
      </c>
      <c r="J152" s="153"/>
    </row>
    <row r="153" spans="1:10" x14ac:dyDescent="0.25">
      <c r="A153" s="125"/>
      <c r="B153" s="125"/>
      <c r="C153" s="125"/>
      <c r="D153" s="125"/>
      <c r="E153" s="125"/>
      <c r="F153" s="125"/>
      <c r="G153" s="126"/>
      <c r="H153" s="127"/>
      <c r="I153" s="151">
        <f t="shared" si="2"/>
        <v>0</v>
      </c>
      <c r="J153" s="153"/>
    </row>
    <row r="154" spans="1:10" x14ac:dyDescent="0.25">
      <c r="A154" s="125"/>
      <c r="B154" s="125"/>
      <c r="C154" s="125"/>
      <c r="D154" s="125"/>
      <c r="E154" s="125"/>
      <c r="F154" s="125"/>
      <c r="G154" s="126"/>
      <c r="H154" s="126"/>
      <c r="I154" s="151">
        <f t="shared" si="2"/>
        <v>0</v>
      </c>
      <c r="J154" s="153"/>
    </row>
    <row r="155" spans="1:10" x14ac:dyDescent="0.25">
      <c r="A155" s="125"/>
      <c r="B155" s="125"/>
      <c r="C155" s="125"/>
      <c r="D155" s="125"/>
      <c r="E155" s="125"/>
      <c r="F155" s="125"/>
      <c r="G155" s="126"/>
      <c r="H155" s="127"/>
      <c r="I155" s="151">
        <f t="shared" si="2"/>
        <v>0</v>
      </c>
      <c r="J155" s="153"/>
    </row>
    <row r="156" spans="1:10" x14ac:dyDescent="0.25">
      <c r="A156" s="125"/>
      <c r="B156" s="125"/>
      <c r="C156" s="125"/>
      <c r="D156" s="125"/>
      <c r="E156" s="125"/>
      <c r="F156" s="125"/>
      <c r="G156" s="126"/>
      <c r="H156" s="126"/>
      <c r="I156" s="151">
        <f t="shared" si="2"/>
        <v>0</v>
      </c>
      <c r="J156" s="153"/>
    </row>
    <row r="157" spans="1:10" x14ac:dyDescent="0.25">
      <c r="A157" s="125"/>
      <c r="B157" s="125"/>
      <c r="C157" s="125"/>
      <c r="D157" s="125"/>
      <c r="E157" s="125"/>
      <c r="F157" s="125"/>
      <c r="G157" s="126"/>
      <c r="H157" s="126"/>
      <c r="I157" s="151">
        <f t="shared" si="2"/>
        <v>0</v>
      </c>
      <c r="J157" s="153"/>
    </row>
    <row r="158" spans="1:10" x14ac:dyDescent="0.25">
      <c r="A158" s="125"/>
      <c r="B158" s="125"/>
      <c r="C158" s="125"/>
      <c r="D158" s="125"/>
      <c r="E158" s="125"/>
      <c r="F158" s="125"/>
      <c r="G158" s="126"/>
      <c r="H158" s="127"/>
      <c r="I158" s="151">
        <f t="shared" si="2"/>
        <v>0</v>
      </c>
      <c r="J158" s="153"/>
    </row>
    <row r="159" spans="1:10" x14ac:dyDescent="0.25">
      <c r="A159" s="125"/>
      <c r="B159" s="125"/>
      <c r="C159" s="125"/>
      <c r="D159" s="125"/>
      <c r="E159" s="125"/>
      <c r="F159" s="125"/>
      <c r="G159" s="126"/>
      <c r="H159" s="126"/>
      <c r="I159" s="151">
        <f t="shared" si="2"/>
        <v>0</v>
      </c>
      <c r="J159" s="153"/>
    </row>
    <row r="160" spans="1:10" x14ac:dyDescent="0.25">
      <c r="A160" s="125"/>
      <c r="B160" s="125"/>
      <c r="C160" s="125"/>
      <c r="D160" s="125"/>
      <c r="E160" s="125"/>
      <c r="F160" s="125"/>
      <c r="G160" s="126"/>
      <c r="H160" s="126"/>
      <c r="I160" s="151">
        <f t="shared" si="2"/>
        <v>0</v>
      </c>
      <c r="J160" s="153"/>
    </row>
    <row r="161" spans="1:10" x14ac:dyDescent="0.25">
      <c r="A161" s="125"/>
      <c r="B161" s="125"/>
      <c r="C161" s="125"/>
      <c r="D161" s="125"/>
      <c r="E161" s="125"/>
      <c r="F161" s="125"/>
      <c r="G161" s="126"/>
      <c r="H161" s="126"/>
      <c r="I161" s="151">
        <f t="shared" si="2"/>
        <v>0</v>
      </c>
      <c r="J161" s="153"/>
    </row>
    <row r="162" spans="1:10" x14ac:dyDescent="0.25">
      <c r="A162" s="125"/>
      <c r="B162" s="125"/>
      <c r="C162" s="125"/>
      <c r="D162" s="125"/>
      <c r="E162" s="125"/>
      <c r="F162" s="125"/>
      <c r="G162" s="126"/>
      <c r="H162" s="126"/>
      <c r="I162" s="151">
        <f t="shared" si="2"/>
        <v>0</v>
      </c>
      <c r="J162" s="153"/>
    </row>
    <row r="163" spans="1:10" x14ac:dyDescent="0.25">
      <c r="A163" s="125"/>
      <c r="B163" s="125"/>
      <c r="C163" s="125"/>
      <c r="D163" s="125"/>
      <c r="E163" s="125"/>
      <c r="F163" s="125"/>
      <c r="G163" s="126"/>
      <c r="H163" s="126"/>
      <c r="I163" s="151">
        <f t="shared" si="2"/>
        <v>0</v>
      </c>
      <c r="J163" s="153"/>
    </row>
    <row r="164" spans="1:10" x14ac:dyDescent="0.25">
      <c r="A164" s="125"/>
      <c r="B164" s="125"/>
      <c r="C164" s="125"/>
      <c r="D164" s="125"/>
      <c r="E164" s="125"/>
      <c r="F164" s="125"/>
      <c r="G164" s="126"/>
      <c r="H164" s="126"/>
      <c r="I164" s="151">
        <f t="shared" si="2"/>
        <v>0</v>
      </c>
      <c r="J164" s="153"/>
    </row>
    <row r="165" spans="1:10" x14ac:dyDescent="0.25">
      <c r="A165" s="125"/>
      <c r="B165" s="125"/>
      <c r="C165" s="125"/>
      <c r="D165" s="125"/>
      <c r="E165" s="125"/>
      <c r="F165" s="125"/>
      <c r="G165" s="126"/>
      <c r="H165" s="126"/>
      <c r="I165" s="151">
        <f t="shared" si="2"/>
        <v>0</v>
      </c>
      <c r="J165" s="153"/>
    </row>
    <row r="166" spans="1:10" x14ac:dyDescent="0.25">
      <c r="A166" s="125"/>
      <c r="B166" s="125"/>
      <c r="C166" s="125"/>
      <c r="D166" s="125"/>
      <c r="E166" s="125"/>
      <c r="F166" s="125"/>
      <c r="G166" s="126"/>
      <c r="H166" s="126"/>
      <c r="I166" s="151">
        <f t="shared" si="2"/>
        <v>0</v>
      </c>
      <c r="J166" s="153"/>
    </row>
    <row r="167" spans="1:10" x14ac:dyDescent="0.25">
      <c r="A167" s="125"/>
      <c r="B167" s="125"/>
      <c r="C167" s="125"/>
      <c r="D167" s="125"/>
      <c r="E167" s="125"/>
      <c r="F167" s="125"/>
      <c r="G167" s="126"/>
      <c r="H167" s="126"/>
      <c r="I167" s="151">
        <f t="shared" si="2"/>
        <v>0</v>
      </c>
      <c r="J167" s="153"/>
    </row>
    <row r="168" spans="1:10" x14ac:dyDescent="0.25">
      <c r="A168" s="125"/>
      <c r="B168" s="125"/>
      <c r="C168" s="125"/>
      <c r="D168" s="125"/>
      <c r="E168" s="125"/>
      <c r="F168" s="125"/>
      <c r="G168" s="126"/>
      <c r="H168" s="126"/>
      <c r="I168" s="151">
        <f t="shared" si="2"/>
        <v>0</v>
      </c>
      <c r="J168" s="153"/>
    </row>
    <row r="169" spans="1:10" x14ac:dyDescent="0.25">
      <c r="A169" s="125"/>
      <c r="B169" s="125"/>
      <c r="C169" s="125"/>
      <c r="D169" s="125"/>
      <c r="E169" s="125"/>
      <c r="F169" s="125"/>
      <c r="G169" s="126"/>
      <c r="H169" s="126"/>
      <c r="I169" s="151">
        <f t="shared" si="2"/>
        <v>0</v>
      </c>
      <c r="J169" s="153"/>
    </row>
    <row r="170" spans="1:10" x14ac:dyDescent="0.25">
      <c r="A170" s="125"/>
      <c r="B170" s="125"/>
      <c r="C170" s="125"/>
      <c r="D170" s="125"/>
      <c r="E170" s="125"/>
      <c r="F170" s="125"/>
      <c r="G170" s="126"/>
      <c r="H170" s="126"/>
      <c r="I170" s="151">
        <f t="shared" si="2"/>
        <v>0</v>
      </c>
      <c r="J170" s="153"/>
    </row>
    <row r="171" spans="1:10" x14ac:dyDescent="0.25">
      <c r="A171" s="125"/>
      <c r="B171" s="125"/>
      <c r="C171" s="125"/>
      <c r="D171" s="125"/>
      <c r="E171" s="125"/>
      <c r="F171" s="125"/>
      <c r="G171" s="126"/>
      <c r="H171" s="126"/>
      <c r="I171" s="151">
        <f t="shared" si="2"/>
        <v>0</v>
      </c>
      <c r="J171" s="153"/>
    </row>
    <row r="172" spans="1:10" x14ac:dyDescent="0.25">
      <c r="A172" s="125"/>
      <c r="B172" s="125"/>
      <c r="C172" s="125"/>
      <c r="D172" s="125"/>
      <c r="E172" s="125"/>
      <c r="F172" s="125"/>
      <c r="G172" s="126"/>
      <c r="H172" s="126"/>
      <c r="I172" s="151">
        <f t="shared" si="2"/>
        <v>0</v>
      </c>
      <c r="J172" s="153"/>
    </row>
    <row r="173" spans="1:10" x14ac:dyDescent="0.25">
      <c r="A173" s="125"/>
      <c r="B173" s="125"/>
      <c r="C173" s="125"/>
      <c r="D173" s="125"/>
      <c r="E173" s="125"/>
      <c r="F173" s="125"/>
      <c r="G173" s="126"/>
      <c r="H173" s="126"/>
      <c r="I173" s="151">
        <f t="shared" si="2"/>
        <v>0</v>
      </c>
      <c r="J173" s="153"/>
    </row>
    <row r="174" spans="1:10" x14ac:dyDescent="0.25">
      <c r="A174" s="125"/>
      <c r="B174" s="125"/>
      <c r="C174" s="125"/>
      <c r="D174" s="125"/>
      <c r="E174" s="125"/>
      <c r="F174" s="125"/>
      <c r="G174" s="126"/>
      <c r="H174" s="126"/>
      <c r="I174" s="151">
        <f t="shared" si="2"/>
        <v>0</v>
      </c>
      <c r="J174" s="153"/>
    </row>
    <row r="175" spans="1:10" x14ac:dyDescent="0.25">
      <c r="A175" s="125"/>
      <c r="B175" s="125"/>
      <c r="C175" s="125"/>
      <c r="D175" s="125"/>
      <c r="E175" s="125"/>
      <c r="F175" s="125"/>
      <c r="G175" s="126"/>
      <c r="H175" s="126"/>
      <c r="I175" s="151">
        <f t="shared" si="2"/>
        <v>0</v>
      </c>
      <c r="J175" s="153"/>
    </row>
    <row r="176" spans="1:10" x14ac:dyDescent="0.25">
      <c r="A176" s="125"/>
      <c r="B176" s="125"/>
      <c r="C176" s="125"/>
      <c r="D176" s="125"/>
      <c r="E176" s="125"/>
      <c r="F176" s="125"/>
      <c r="G176" s="126"/>
      <c r="H176" s="126"/>
      <c r="I176" s="151">
        <f t="shared" si="2"/>
        <v>0</v>
      </c>
      <c r="J176" s="153"/>
    </row>
    <row r="177" spans="1:10" x14ac:dyDescent="0.25">
      <c r="A177" s="125"/>
      <c r="B177" s="125"/>
      <c r="C177" s="125"/>
      <c r="D177" s="125"/>
      <c r="E177" s="125"/>
      <c r="F177" s="125"/>
      <c r="G177" s="126"/>
      <c r="H177" s="126"/>
      <c r="I177" s="151">
        <f t="shared" si="2"/>
        <v>0</v>
      </c>
      <c r="J177" s="153"/>
    </row>
    <row r="178" spans="1:10" x14ac:dyDescent="0.25">
      <c r="A178" s="125"/>
      <c r="B178" s="125"/>
      <c r="C178" s="125"/>
      <c r="D178" s="125"/>
      <c r="E178" s="125"/>
      <c r="F178" s="125"/>
      <c r="G178" s="126"/>
      <c r="H178" s="126"/>
      <c r="I178" s="151">
        <f t="shared" si="2"/>
        <v>0</v>
      </c>
      <c r="J178" s="153"/>
    </row>
    <row r="179" spans="1:10" x14ac:dyDescent="0.25">
      <c r="A179" s="125"/>
      <c r="B179" s="125"/>
      <c r="C179" s="125"/>
      <c r="D179" s="125"/>
      <c r="E179" s="125"/>
      <c r="F179" s="125"/>
      <c r="G179" s="126"/>
      <c r="H179" s="126"/>
      <c r="I179" s="151">
        <f t="shared" si="2"/>
        <v>0</v>
      </c>
      <c r="J179" s="153"/>
    </row>
    <row r="180" spans="1:10" x14ac:dyDescent="0.25">
      <c r="A180" s="125"/>
      <c r="B180" s="125"/>
      <c r="C180" s="125"/>
      <c r="D180" s="125"/>
      <c r="E180" s="125"/>
      <c r="F180" s="125"/>
      <c r="G180" s="126"/>
      <c r="H180" s="126"/>
      <c r="I180" s="151">
        <f t="shared" si="2"/>
        <v>0</v>
      </c>
      <c r="J180" s="153"/>
    </row>
    <row r="181" spans="1:10" x14ac:dyDescent="0.25">
      <c r="A181" s="125"/>
      <c r="B181" s="125"/>
      <c r="C181" s="125"/>
      <c r="D181" s="125"/>
      <c r="E181" s="125"/>
      <c r="F181" s="125"/>
      <c r="G181" s="126"/>
      <c r="H181" s="126"/>
      <c r="I181" s="151">
        <f t="shared" si="2"/>
        <v>0</v>
      </c>
      <c r="J181" s="153"/>
    </row>
    <row r="182" spans="1:10" x14ac:dyDescent="0.25">
      <c r="A182" s="125"/>
      <c r="B182" s="125"/>
      <c r="C182" s="125"/>
      <c r="D182" s="125"/>
      <c r="E182" s="125"/>
      <c r="F182" s="125"/>
      <c r="G182" s="126"/>
      <c r="H182" s="126"/>
      <c r="I182" s="151">
        <f t="shared" si="2"/>
        <v>0</v>
      </c>
      <c r="J182" s="153"/>
    </row>
    <row r="183" spans="1:10" x14ac:dyDescent="0.25">
      <c r="A183" s="125"/>
      <c r="B183" s="125"/>
      <c r="C183" s="125"/>
      <c r="D183" s="125"/>
      <c r="E183" s="125"/>
      <c r="F183" s="125"/>
      <c r="G183" s="126"/>
      <c r="H183" s="126"/>
      <c r="I183" s="151">
        <f t="shared" si="2"/>
        <v>0</v>
      </c>
      <c r="J183" s="153"/>
    </row>
    <row r="184" spans="1:10" x14ac:dyDescent="0.25">
      <c r="A184" s="125"/>
      <c r="B184" s="125"/>
      <c r="C184" s="125"/>
      <c r="D184" s="125"/>
      <c r="E184" s="125"/>
      <c r="F184" s="125"/>
      <c r="G184" s="126"/>
      <c r="H184" s="126"/>
      <c r="I184" s="151">
        <f t="shared" si="2"/>
        <v>0</v>
      </c>
      <c r="J184" s="153"/>
    </row>
    <row r="185" spans="1:10" x14ac:dyDescent="0.25">
      <c r="A185" s="125"/>
      <c r="B185" s="125"/>
      <c r="C185" s="125"/>
      <c r="D185" s="125"/>
      <c r="E185" s="125"/>
      <c r="F185" s="125"/>
      <c r="G185" s="126"/>
      <c r="H185" s="126"/>
      <c r="I185" s="151">
        <f t="shared" si="2"/>
        <v>0</v>
      </c>
      <c r="J185" s="153"/>
    </row>
    <row r="186" spans="1:10" x14ac:dyDescent="0.25">
      <c r="A186" s="125"/>
      <c r="B186" s="125"/>
      <c r="C186" s="125"/>
      <c r="D186" s="125"/>
      <c r="E186" s="125"/>
      <c r="F186" s="125"/>
      <c r="G186" s="126"/>
      <c r="H186" s="126"/>
      <c r="I186" s="151">
        <f t="shared" si="2"/>
        <v>0</v>
      </c>
      <c r="J186" s="153"/>
    </row>
    <row r="187" spans="1:10" x14ac:dyDescent="0.25">
      <c r="A187" s="125"/>
      <c r="B187" s="125"/>
      <c r="C187" s="125"/>
      <c r="D187" s="125"/>
      <c r="E187" s="125"/>
      <c r="F187" s="125"/>
      <c r="G187" s="126"/>
      <c r="H187" s="126"/>
      <c r="I187" s="151">
        <f t="shared" si="2"/>
        <v>0</v>
      </c>
      <c r="J187" s="153"/>
    </row>
    <row r="188" spans="1:10" x14ac:dyDescent="0.25">
      <c r="A188" s="125"/>
      <c r="B188" s="125"/>
      <c r="C188" s="125"/>
      <c r="D188" s="125"/>
      <c r="E188" s="125"/>
      <c r="F188" s="125"/>
      <c r="G188" s="126"/>
      <c r="H188" s="126"/>
      <c r="I188" s="151">
        <f t="shared" si="2"/>
        <v>0</v>
      </c>
      <c r="J188" s="153"/>
    </row>
    <row r="189" spans="1:10" x14ac:dyDescent="0.25">
      <c r="A189" s="125"/>
      <c r="B189" s="125"/>
      <c r="C189" s="125"/>
      <c r="D189" s="125"/>
      <c r="E189" s="125"/>
      <c r="F189" s="125"/>
      <c r="G189" s="126"/>
      <c r="H189" s="126"/>
      <c r="I189" s="151">
        <f t="shared" si="2"/>
        <v>0</v>
      </c>
      <c r="J189" s="153"/>
    </row>
    <row r="190" spans="1:10" x14ac:dyDescent="0.25">
      <c r="A190" s="125"/>
      <c r="B190" s="125"/>
      <c r="C190" s="125"/>
      <c r="D190" s="125"/>
      <c r="E190" s="125"/>
      <c r="F190" s="125"/>
      <c r="G190" s="126"/>
      <c r="H190" s="126"/>
      <c r="I190" s="151">
        <f t="shared" si="2"/>
        <v>0</v>
      </c>
      <c r="J190" s="153"/>
    </row>
    <row r="191" spans="1:10" x14ac:dyDescent="0.25">
      <c r="A191" s="125"/>
      <c r="B191" s="125"/>
      <c r="C191" s="125"/>
      <c r="D191" s="125"/>
      <c r="E191" s="125"/>
      <c r="F191" s="125"/>
      <c r="G191" s="126"/>
      <c r="H191" s="126"/>
      <c r="I191" s="151">
        <f t="shared" si="2"/>
        <v>0</v>
      </c>
      <c r="J191" s="153"/>
    </row>
    <row r="192" spans="1:10" x14ac:dyDescent="0.25">
      <c r="A192" s="125"/>
      <c r="B192" s="125"/>
      <c r="C192" s="125"/>
      <c r="D192" s="125"/>
      <c r="E192" s="125"/>
      <c r="F192" s="125"/>
      <c r="G192" s="126"/>
      <c r="H192" s="126"/>
      <c r="I192" s="151">
        <f t="shared" si="2"/>
        <v>0</v>
      </c>
      <c r="J192" s="153"/>
    </row>
    <row r="193" spans="1:10" x14ac:dyDescent="0.25">
      <c r="A193" s="125"/>
      <c r="B193" s="125"/>
      <c r="C193" s="125"/>
      <c r="D193" s="125"/>
      <c r="E193" s="125"/>
      <c r="F193" s="125"/>
      <c r="G193" s="126"/>
      <c r="H193" s="126"/>
      <c r="I193" s="151">
        <f t="shared" si="2"/>
        <v>0</v>
      </c>
      <c r="J193" s="153"/>
    </row>
    <row r="194" spans="1:10" x14ac:dyDescent="0.25">
      <c r="A194" s="125"/>
      <c r="B194" s="125"/>
      <c r="C194" s="125"/>
      <c r="D194" s="125"/>
      <c r="E194" s="125"/>
      <c r="F194" s="125"/>
      <c r="G194" s="126"/>
      <c r="H194" s="126"/>
      <c r="I194" s="151">
        <f t="shared" si="2"/>
        <v>0</v>
      </c>
      <c r="J194" s="153"/>
    </row>
    <row r="195" spans="1:10" x14ac:dyDescent="0.25">
      <c r="A195" s="125"/>
      <c r="B195" s="125"/>
      <c r="C195" s="125"/>
      <c r="D195" s="125"/>
      <c r="E195" s="125"/>
      <c r="F195" s="125"/>
      <c r="G195" s="126"/>
      <c r="H195" s="126"/>
      <c r="I195" s="151">
        <f t="shared" ref="I195:I258" si="3">IF(J195="",SUM(G195:H195),0)</f>
        <v>0</v>
      </c>
      <c r="J195" s="153"/>
    </row>
    <row r="196" spans="1:10" x14ac:dyDescent="0.25">
      <c r="A196" s="125"/>
      <c r="B196" s="125"/>
      <c r="C196" s="125"/>
      <c r="D196" s="125"/>
      <c r="E196" s="125"/>
      <c r="F196" s="125"/>
      <c r="G196" s="126"/>
      <c r="H196" s="126"/>
      <c r="I196" s="151">
        <f t="shared" si="3"/>
        <v>0</v>
      </c>
      <c r="J196" s="153"/>
    </row>
    <row r="197" spans="1:10" x14ac:dyDescent="0.25">
      <c r="A197" s="125"/>
      <c r="B197" s="125"/>
      <c r="C197" s="125"/>
      <c r="D197" s="125"/>
      <c r="E197" s="125"/>
      <c r="F197" s="125"/>
      <c r="G197" s="126"/>
      <c r="H197" s="126"/>
      <c r="I197" s="151">
        <f t="shared" si="3"/>
        <v>0</v>
      </c>
      <c r="J197" s="153"/>
    </row>
    <row r="198" spans="1:10" x14ac:dyDescent="0.25">
      <c r="A198" s="125"/>
      <c r="B198" s="125"/>
      <c r="C198" s="125"/>
      <c r="D198" s="125"/>
      <c r="E198" s="125"/>
      <c r="F198" s="125"/>
      <c r="G198" s="126"/>
      <c r="H198" s="126"/>
      <c r="I198" s="151">
        <f t="shared" si="3"/>
        <v>0</v>
      </c>
      <c r="J198" s="153"/>
    </row>
    <row r="199" spans="1:10" x14ac:dyDescent="0.25">
      <c r="A199" s="125"/>
      <c r="B199" s="125"/>
      <c r="C199" s="125"/>
      <c r="D199" s="125"/>
      <c r="E199" s="125"/>
      <c r="F199" s="125"/>
      <c r="G199" s="126"/>
      <c r="H199" s="126"/>
      <c r="I199" s="151">
        <f t="shared" si="3"/>
        <v>0</v>
      </c>
      <c r="J199" s="153"/>
    </row>
    <row r="200" spans="1:10" x14ac:dyDescent="0.25">
      <c r="A200" s="125"/>
      <c r="B200" s="125"/>
      <c r="C200" s="125"/>
      <c r="D200" s="125"/>
      <c r="E200" s="125"/>
      <c r="F200" s="125"/>
      <c r="G200" s="126"/>
      <c r="H200" s="126"/>
      <c r="I200" s="151">
        <f t="shared" si="3"/>
        <v>0</v>
      </c>
      <c r="J200" s="153"/>
    </row>
    <row r="201" spans="1:10" x14ac:dyDescent="0.25">
      <c r="A201" s="125"/>
      <c r="B201" s="125"/>
      <c r="C201" s="125"/>
      <c r="D201" s="125"/>
      <c r="E201" s="125"/>
      <c r="F201" s="125"/>
      <c r="G201" s="126"/>
      <c r="H201" s="126"/>
      <c r="I201" s="151">
        <f t="shared" si="3"/>
        <v>0</v>
      </c>
      <c r="J201" s="153"/>
    </row>
    <row r="202" spans="1:10" x14ac:dyDescent="0.25">
      <c r="A202" s="125"/>
      <c r="B202" s="125"/>
      <c r="C202" s="125"/>
      <c r="D202" s="125"/>
      <c r="E202" s="125"/>
      <c r="F202" s="125"/>
      <c r="G202" s="126"/>
      <c r="H202" s="126"/>
      <c r="I202" s="151">
        <f t="shared" si="3"/>
        <v>0</v>
      </c>
      <c r="J202" s="153"/>
    </row>
    <row r="203" spans="1:10" x14ac:dyDescent="0.25">
      <c r="A203" s="125"/>
      <c r="B203" s="125"/>
      <c r="C203" s="125"/>
      <c r="D203" s="125"/>
      <c r="E203" s="125"/>
      <c r="F203" s="125"/>
      <c r="G203" s="126"/>
      <c r="H203" s="126"/>
      <c r="I203" s="151">
        <f t="shared" si="3"/>
        <v>0</v>
      </c>
      <c r="J203" s="153"/>
    </row>
    <row r="204" spans="1:10" x14ac:dyDescent="0.25">
      <c r="A204" s="125"/>
      <c r="B204" s="125"/>
      <c r="C204" s="125"/>
      <c r="D204" s="125"/>
      <c r="E204" s="125"/>
      <c r="F204" s="125"/>
      <c r="G204" s="126"/>
      <c r="H204" s="126"/>
      <c r="I204" s="151">
        <f t="shared" si="3"/>
        <v>0</v>
      </c>
      <c r="J204" s="153"/>
    </row>
    <row r="205" spans="1:10" x14ac:dyDescent="0.25">
      <c r="A205" s="125"/>
      <c r="B205" s="125"/>
      <c r="C205" s="125"/>
      <c r="D205" s="125"/>
      <c r="E205" s="125"/>
      <c r="F205" s="125"/>
      <c r="G205" s="126"/>
      <c r="H205" s="126"/>
      <c r="I205" s="151">
        <f t="shared" si="3"/>
        <v>0</v>
      </c>
      <c r="J205" s="153"/>
    </row>
    <row r="206" spans="1:10" x14ac:dyDescent="0.25">
      <c r="A206" s="125"/>
      <c r="B206" s="125"/>
      <c r="C206" s="125"/>
      <c r="D206" s="125"/>
      <c r="E206" s="125"/>
      <c r="F206" s="125"/>
      <c r="G206" s="126"/>
      <c r="H206" s="126"/>
      <c r="I206" s="151">
        <f t="shared" si="3"/>
        <v>0</v>
      </c>
      <c r="J206" s="153"/>
    </row>
    <row r="207" spans="1:10" x14ac:dyDescent="0.25">
      <c r="A207" s="125"/>
      <c r="B207" s="125"/>
      <c r="C207" s="125"/>
      <c r="D207" s="125"/>
      <c r="E207" s="125"/>
      <c r="F207" s="125"/>
      <c r="G207" s="126"/>
      <c r="H207" s="126"/>
      <c r="I207" s="151">
        <f t="shared" si="3"/>
        <v>0</v>
      </c>
      <c r="J207" s="153"/>
    </row>
    <row r="208" spans="1:10" x14ac:dyDescent="0.25">
      <c r="A208" s="125"/>
      <c r="B208" s="125"/>
      <c r="C208" s="125"/>
      <c r="D208" s="125"/>
      <c r="E208" s="125"/>
      <c r="F208" s="125"/>
      <c r="G208" s="126"/>
      <c r="H208" s="126"/>
      <c r="I208" s="151">
        <f t="shared" si="3"/>
        <v>0</v>
      </c>
      <c r="J208" s="153"/>
    </row>
    <row r="209" spans="1:10" x14ac:dyDescent="0.25">
      <c r="A209" s="125"/>
      <c r="B209" s="125"/>
      <c r="C209" s="125"/>
      <c r="D209" s="125"/>
      <c r="E209" s="125"/>
      <c r="F209" s="125"/>
      <c r="G209" s="126"/>
      <c r="H209" s="126"/>
      <c r="I209" s="151">
        <f t="shared" si="3"/>
        <v>0</v>
      </c>
      <c r="J209" s="153"/>
    </row>
    <row r="210" spans="1:10" x14ac:dyDescent="0.25">
      <c r="A210" s="125"/>
      <c r="B210" s="125"/>
      <c r="C210" s="125"/>
      <c r="D210" s="125"/>
      <c r="E210" s="125"/>
      <c r="F210" s="125"/>
      <c r="G210" s="126"/>
      <c r="H210" s="126"/>
      <c r="I210" s="151">
        <f t="shared" si="3"/>
        <v>0</v>
      </c>
      <c r="J210" s="153"/>
    </row>
    <row r="211" spans="1:10" x14ac:dyDescent="0.25">
      <c r="A211" s="125"/>
      <c r="B211" s="125"/>
      <c r="C211" s="125"/>
      <c r="D211" s="125"/>
      <c r="E211" s="125"/>
      <c r="F211" s="125"/>
      <c r="G211" s="126"/>
      <c r="H211" s="126"/>
      <c r="I211" s="151">
        <f t="shared" si="3"/>
        <v>0</v>
      </c>
      <c r="J211" s="153"/>
    </row>
    <row r="212" spans="1:10" x14ac:dyDescent="0.25">
      <c r="A212" s="125"/>
      <c r="B212" s="125"/>
      <c r="C212" s="125"/>
      <c r="D212" s="125"/>
      <c r="E212" s="125"/>
      <c r="F212" s="125"/>
      <c r="G212" s="126"/>
      <c r="H212" s="126"/>
      <c r="I212" s="151">
        <f t="shared" si="3"/>
        <v>0</v>
      </c>
      <c r="J212" s="153"/>
    </row>
    <row r="213" spans="1:10" x14ac:dyDescent="0.25">
      <c r="A213" s="125"/>
      <c r="B213" s="125"/>
      <c r="C213" s="125"/>
      <c r="D213" s="125"/>
      <c r="E213" s="125"/>
      <c r="F213" s="125"/>
      <c r="G213" s="126"/>
      <c r="H213" s="126"/>
      <c r="I213" s="151">
        <f t="shared" si="3"/>
        <v>0</v>
      </c>
      <c r="J213" s="153"/>
    </row>
    <row r="214" spans="1:10" x14ac:dyDescent="0.25">
      <c r="A214" s="125"/>
      <c r="B214" s="125"/>
      <c r="C214" s="125"/>
      <c r="D214" s="125"/>
      <c r="E214" s="125"/>
      <c r="F214" s="125"/>
      <c r="G214" s="126"/>
      <c r="H214" s="126"/>
      <c r="I214" s="151">
        <f t="shared" si="3"/>
        <v>0</v>
      </c>
      <c r="J214" s="153"/>
    </row>
    <row r="215" spans="1:10" x14ac:dyDescent="0.25">
      <c r="A215" s="125"/>
      <c r="B215" s="125"/>
      <c r="C215" s="125"/>
      <c r="D215" s="125"/>
      <c r="E215" s="125"/>
      <c r="F215" s="125"/>
      <c r="G215" s="126"/>
      <c r="H215" s="126"/>
      <c r="I215" s="151">
        <f t="shared" si="3"/>
        <v>0</v>
      </c>
      <c r="J215" s="153"/>
    </row>
    <row r="216" spans="1:10" x14ac:dyDescent="0.25">
      <c r="A216" s="125"/>
      <c r="B216" s="125"/>
      <c r="C216" s="125"/>
      <c r="D216" s="125"/>
      <c r="E216" s="125"/>
      <c r="F216" s="125"/>
      <c r="G216" s="126"/>
      <c r="H216" s="126"/>
      <c r="I216" s="151">
        <f t="shared" si="3"/>
        <v>0</v>
      </c>
      <c r="J216" s="153"/>
    </row>
    <row r="217" spans="1:10" x14ac:dyDescent="0.25">
      <c r="A217" s="125"/>
      <c r="B217" s="125"/>
      <c r="C217" s="125"/>
      <c r="D217" s="125"/>
      <c r="E217" s="125"/>
      <c r="F217" s="125"/>
      <c r="G217" s="126"/>
      <c r="H217" s="126"/>
      <c r="I217" s="151">
        <f t="shared" si="3"/>
        <v>0</v>
      </c>
      <c r="J217" s="153"/>
    </row>
    <row r="218" spans="1:10" x14ac:dyDescent="0.25">
      <c r="A218" s="125"/>
      <c r="B218" s="125"/>
      <c r="C218" s="125"/>
      <c r="D218" s="125"/>
      <c r="E218" s="125"/>
      <c r="F218" s="125"/>
      <c r="G218" s="126"/>
      <c r="H218" s="126"/>
      <c r="I218" s="151">
        <f t="shared" si="3"/>
        <v>0</v>
      </c>
      <c r="J218" s="153"/>
    </row>
    <row r="219" spans="1:10" x14ac:dyDescent="0.25">
      <c r="A219" s="125"/>
      <c r="B219" s="125"/>
      <c r="C219" s="125"/>
      <c r="D219" s="125"/>
      <c r="E219" s="125"/>
      <c r="F219" s="125"/>
      <c r="G219" s="126"/>
      <c r="H219" s="126"/>
      <c r="I219" s="151">
        <f t="shared" si="3"/>
        <v>0</v>
      </c>
      <c r="J219" s="153"/>
    </row>
    <row r="220" spans="1:10" x14ac:dyDescent="0.25">
      <c r="A220" s="125"/>
      <c r="B220" s="125"/>
      <c r="C220" s="125"/>
      <c r="D220" s="125"/>
      <c r="E220" s="125"/>
      <c r="F220" s="125"/>
      <c r="G220" s="126"/>
      <c r="H220" s="126"/>
      <c r="I220" s="151">
        <f t="shared" si="3"/>
        <v>0</v>
      </c>
      <c r="J220" s="153"/>
    </row>
    <row r="221" spans="1:10" x14ac:dyDescent="0.25">
      <c r="A221" s="125"/>
      <c r="B221" s="125"/>
      <c r="C221" s="125"/>
      <c r="D221" s="125"/>
      <c r="E221" s="125"/>
      <c r="F221" s="125"/>
      <c r="G221" s="126"/>
      <c r="H221" s="126"/>
      <c r="I221" s="151">
        <f t="shared" si="3"/>
        <v>0</v>
      </c>
      <c r="J221" s="153"/>
    </row>
    <row r="222" spans="1:10" x14ac:dyDescent="0.25">
      <c r="A222" s="125"/>
      <c r="B222" s="125"/>
      <c r="C222" s="125"/>
      <c r="D222" s="125"/>
      <c r="E222" s="125"/>
      <c r="F222" s="125"/>
      <c r="G222" s="126"/>
      <c r="H222" s="126"/>
      <c r="I222" s="151">
        <f t="shared" si="3"/>
        <v>0</v>
      </c>
      <c r="J222" s="153"/>
    </row>
    <row r="223" spans="1:10" x14ac:dyDescent="0.25">
      <c r="A223" s="125"/>
      <c r="B223" s="125"/>
      <c r="C223" s="125"/>
      <c r="D223" s="125"/>
      <c r="E223" s="125"/>
      <c r="F223" s="125"/>
      <c r="G223" s="126"/>
      <c r="H223" s="126"/>
      <c r="I223" s="151">
        <f t="shared" si="3"/>
        <v>0</v>
      </c>
      <c r="J223" s="153"/>
    </row>
    <row r="224" spans="1:10" x14ac:dyDescent="0.25">
      <c r="A224" s="125"/>
      <c r="B224" s="125"/>
      <c r="C224" s="125"/>
      <c r="D224" s="125"/>
      <c r="E224" s="125"/>
      <c r="F224" s="125"/>
      <c r="G224" s="126"/>
      <c r="H224" s="126"/>
      <c r="I224" s="151">
        <f t="shared" si="3"/>
        <v>0</v>
      </c>
      <c r="J224" s="153"/>
    </row>
    <row r="225" spans="1:10" x14ac:dyDescent="0.25">
      <c r="A225" s="125"/>
      <c r="B225" s="125"/>
      <c r="C225" s="125"/>
      <c r="D225" s="125"/>
      <c r="E225" s="125"/>
      <c r="F225" s="125"/>
      <c r="G225" s="126"/>
      <c r="H225" s="126"/>
      <c r="I225" s="151">
        <f t="shared" si="3"/>
        <v>0</v>
      </c>
      <c r="J225" s="153"/>
    </row>
    <row r="226" spans="1:10" x14ac:dyDescent="0.25">
      <c r="A226" s="125"/>
      <c r="B226" s="125"/>
      <c r="C226" s="125"/>
      <c r="D226" s="125"/>
      <c r="E226" s="125"/>
      <c r="F226" s="125"/>
      <c r="G226" s="126"/>
      <c r="H226" s="126"/>
      <c r="I226" s="151">
        <f t="shared" si="3"/>
        <v>0</v>
      </c>
      <c r="J226" s="153"/>
    </row>
    <row r="227" spans="1:10" x14ac:dyDescent="0.25">
      <c r="A227" s="125"/>
      <c r="B227" s="125"/>
      <c r="C227" s="125"/>
      <c r="D227" s="125"/>
      <c r="E227" s="125"/>
      <c r="F227" s="125"/>
      <c r="G227" s="126"/>
      <c r="H227" s="126"/>
      <c r="I227" s="151">
        <f t="shared" si="3"/>
        <v>0</v>
      </c>
      <c r="J227" s="153"/>
    </row>
    <row r="228" spans="1:10" x14ac:dyDescent="0.25">
      <c r="A228" s="125"/>
      <c r="B228" s="125"/>
      <c r="C228" s="125"/>
      <c r="D228" s="125"/>
      <c r="E228" s="125"/>
      <c r="F228" s="125"/>
      <c r="G228" s="126"/>
      <c r="H228" s="126"/>
      <c r="I228" s="151">
        <f t="shared" si="3"/>
        <v>0</v>
      </c>
      <c r="J228" s="153"/>
    </row>
    <row r="229" spans="1:10" x14ac:dyDescent="0.25">
      <c r="A229" s="125"/>
      <c r="B229" s="125"/>
      <c r="C229" s="125"/>
      <c r="D229" s="125"/>
      <c r="E229" s="125"/>
      <c r="F229" s="125"/>
      <c r="G229" s="126"/>
      <c r="H229" s="126"/>
      <c r="I229" s="151">
        <f t="shared" si="3"/>
        <v>0</v>
      </c>
      <c r="J229" s="153"/>
    </row>
    <row r="230" spans="1:10" x14ac:dyDescent="0.25">
      <c r="A230" s="125"/>
      <c r="B230" s="125"/>
      <c r="C230" s="125"/>
      <c r="D230" s="125"/>
      <c r="E230" s="125"/>
      <c r="F230" s="125"/>
      <c r="G230" s="126"/>
      <c r="H230" s="126"/>
      <c r="I230" s="151">
        <f t="shared" si="3"/>
        <v>0</v>
      </c>
      <c r="J230" s="153"/>
    </row>
    <row r="231" spans="1:10" x14ac:dyDescent="0.25">
      <c r="A231" s="125"/>
      <c r="B231" s="125"/>
      <c r="C231" s="125"/>
      <c r="D231" s="125"/>
      <c r="E231" s="125"/>
      <c r="F231" s="125"/>
      <c r="G231" s="126"/>
      <c r="H231" s="126"/>
      <c r="I231" s="151">
        <f t="shared" si="3"/>
        <v>0</v>
      </c>
      <c r="J231" s="153"/>
    </row>
    <row r="232" spans="1:10" x14ac:dyDescent="0.25">
      <c r="A232" s="125"/>
      <c r="B232" s="125"/>
      <c r="C232" s="125"/>
      <c r="D232" s="125"/>
      <c r="E232" s="125"/>
      <c r="F232" s="125"/>
      <c r="G232" s="126"/>
      <c r="H232" s="126"/>
      <c r="I232" s="151">
        <f t="shared" si="3"/>
        <v>0</v>
      </c>
      <c r="J232" s="153"/>
    </row>
    <row r="233" spans="1:10" x14ac:dyDescent="0.25">
      <c r="A233" s="125"/>
      <c r="B233" s="125"/>
      <c r="C233" s="125"/>
      <c r="D233" s="125"/>
      <c r="E233" s="125"/>
      <c r="F233" s="125"/>
      <c r="G233" s="126"/>
      <c r="H233" s="126"/>
      <c r="I233" s="151">
        <f t="shared" si="3"/>
        <v>0</v>
      </c>
      <c r="J233" s="153"/>
    </row>
    <row r="234" spans="1:10" x14ac:dyDescent="0.25">
      <c r="A234" s="125"/>
      <c r="B234" s="125"/>
      <c r="C234" s="125"/>
      <c r="D234" s="125"/>
      <c r="E234" s="125"/>
      <c r="F234" s="125"/>
      <c r="G234" s="126"/>
      <c r="H234" s="126"/>
      <c r="I234" s="151">
        <f t="shared" si="3"/>
        <v>0</v>
      </c>
      <c r="J234" s="153"/>
    </row>
    <row r="235" spans="1:10" x14ac:dyDescent="0.25">
      <c r="A235" s="125"/>
      <c r="B235" s="125"/>
      <c r="C235" s="125"/>
      <c r="D235" s="125"/>
      <c r="E235" s="125"/>
      <c r="F235" s="125"/>
      <c r="G235" s="126"/>
      <c r="H235" s="126"/>
      <c r="I235" s="151">
        <f t="shared" si="3"/>
        <v>0</v>
      </c>
      <c r="J235" s="153"/>
    </row>
    <row r="236" spans="1:10" x14ac:dyDescent="0.25">
      <c r="A236" s="125"/>
      <c r="B236" s="125"/>
      <c r="C236" s="125"/>
      <c r="D236" s="125"/>
      <c r="E236" s="125"/>
      <c r="F236" s="125"/>
      <c r="G236" s="126"/>
      <c r="H236" s="126"/>
      <c r="I236" s="151">
        <f t="shared" si="3"/>
        <v>0</v>
      </c>
      <c r="J236" s="153"/>
    </row>
    <row r="237" spans="1:10" x14ac:dyDescent="0.25">
      <c r="A237" s="125"/>
      <c r="B237" s="125"/>
      <c r="C237" s="125"/>
      <c r="D237" s="125"/>
      <c r="E237" s="125"/>
      <c r="F237" s="125"/>
      <c r="G237" s="126"/>
      <c r="H237" s="126"/>
      <c r="I237" s="151">
        <f t="shared" si="3"/>
        <v>0</v>
      </c>
      <c r="J237" s="153"/>
    </row>
    <row r="238" spans="1:10" x14ac:dyDescent="0.25">
      <c r="A238" s="125"/>
      <c r="B238" s="125"/>
      <c r="C238" s="125"/>
      <c r="D238" s="125"/>
      <c r="E238" s="125"/>
      <c r="F238" s="125"/>
      <c r="G238" s="126"/>
      <c r="H238" s="126"/>
      <c r="I238" s="151">
        <f t="shared" si="3"/>
        <v>0</v>
      </c>
      <c r="J238" s="153"/>
    </row>
    <row r="239" spans="1:10" x14ac:dyDescent="0.25">
      <c r="A239" s="125"/>
      <c r="B239" s="125"/>
      <c r="C239" s="125"/>
      <c r="D239" s="125"/>
      <c r="E239" s="125"/>
      <c r="F239" s="125"/>
      <c r="G239" s="126"/>
      <c r="H239" s="126"/>
      <c r="I239" s="151">
        <f t="shared" si="3"/>
        <v>0</v>
      </c>
      <c r="J239" s="153"/>
    </row>
    <row r="240" spans="1:10" x14ac:dyDescent="0.25">
      <c r="A240" s="125"/>
      <c r="B240" s="125"/>
      <c r="C240" s="125"/>
      <c r="D240" s="125"/>
      <c r="E240" s="125"/>
      <c r="F240" s="125"/>
      <c r="G240" s="126"/>
      <c r="H240" s="126"/>
      <c r="I240" s="151">
        <f t="shared" si="3"/>
        <v>0</v>
      </c>
      <c r="J240" s="153"/>
    </row>
    <row r="241" spans="1:10" x14ac:dyDescent="0.25">
      <c r="A241" s="125"/>
      <c r="B241" s="125"/>
      <c r="C241" s="125"/>
      <c r="D241" s="125"/>
      <c r="E241" s="125"/>
      <c r="F241" s="125"/>
      <c r="G241" s="126"/>
      <c r="H241" s="126"/>
      <c r="I241" s="151">
        <f t="shared" si="3"/>
        <v>0</v>
      </c>
      <c r="J241" s="153"/>
    </row>
    <row r="242" spans="1:10" x14ac:dyDescent="0.25">
      <c r="A242" s="125"/>
      <c r="B242" s="125"/>
      <c r="C242" s="125"/>
      <c r="D242" s="125"/>
      <c r="E242" s="125"/>
      <c r="F242" s="125"/>
      <c r="G242" s="126"/>
      <c r="H242" s="126"/>
      <c r="I242" s="151">
        <f t="shared" si="3"/>
        <v>0</v>
      </c>
      <c r="J242" s="153"/>
    </row>
    <row r="243" spans="1:10" x14ac:dyDescent="0.25">
      <c r="A243" s="125"/>
      <c r="B243" s="125"/>
      <c r="C243" s="125"/>
      <c r="D243" s="125"/>
      <c r="E243" s="125"/>
      <c r="F243" s="125"/>
      <c r="G243" s="126"/>
      <c r="H243" s="126"/>
      <c r="I243" s="151">
        <f t="shared" si="3"/>
        <v>0</v>
      </c>
      <c r="J243" s="153"/>
    </row>
    <row r="244" spans="1:10" x14ac:dyDescent="0.25">
      <c r="A244" s="125"/>
      <c r="B244" s="125"/>
      <c r="C244" s="125"/>
      <c r="D244" s="125"/>
      <c r="E244" s="125"/>
      <c r="F244" s="125"/>
      <c r="G244" s="126"/>
      <c r="H244" s="126"/>
      <c r="I244" s="151">
        <f t="shared" si="3"/>
        <v>0</v>
      </c>
      <c r="J244" s="153"/>
    </row>
    <row r="245" spans="1:10" x14ac:dyDescent="0.25">
      <c r="A245" s="125"/>
      <c r="B245" s="125"/>
      <c r="C245" s="125"/>
      <c r="D245" s="125"/>
      <c r="E245" s="125"/>
      <c r="F245" s="125"/>
      <c r="G245" s="126"/>
      <c r="H245" s="126"/>
      <c r="I245" s="151">
        <f t="shared" si="3"/>
        <v>0</v>
      </c>
      <c r="J245" s="153"/>
    </row>
    <row r="246" spans="1:10" x14ac:dyDescent="0.25">
      <c r="A246" s="125"/>
      <c r="B246" s="125"/>
      <c r="C246" s="125"/>
      <c r="D246" s="125"/>
      <c r="E246" s="125"/>
      <c r="F246" s="125"/>
      <c r="G246" s="126"/>
      <c r="H246" s="126"/>
      <c r="I246" s="151">
        <f t="shared" si="3"/>
        <v>0</v>
      </c>
      <c r="J246" s="153"/>
    </row>
    <row r="247" spans="1:10" x14ac:dyDescent="0.25">
      <c r="A247" s="125"/>
      <c r="B247" s="125"/>
      <c r="C247" s="125"/>
      <c r="D247" s="125"/>
      <c r="E247" s="125"/>
      <c r="F247" s="125"/>
      <c r="G247" s="126"/>
      <c r="H247" s="126"/>
      <c r="I247" s="151">
        <f t="shared" si="3"/>
        <v>0</v>
      </c>
      <c r="J247" s="153"/>
    </row>
    <row r="248" spans="1:10" x14ac:dyDescent="0.25">
      <c r="A248" s="125"/>
      <c r="B248" s="125"/>
      <c r="C248" s="125"/>
      <c r="D248" s="125"/>
      <c r="E248" s="125"/>
      <c r="F248" s="125"/>
      <c r="G248" s="126"/>
      <c r="H248" s="126"/>
      <c r="I248" s="151">
        <f t="shared" si="3"/>
        <v>0</v>
      </c>
      <c r="J248" s="153"/>
    </row>
    <row r="249" spans="1:10" x14ac:dyDescent="0.25">
      <c r="A249" s="125"/>
      <c r="B249" s="125"/>
      <c r="C249" s="125"/>
      <c r="D249" s="125"/>
      <c r="E249" s="125"/>
      <c r="F249" s="125"/>
      <c r="G249" s="126"/>
      <c r="H249" s="126"/>
      <c r="I249" s="151">
        <f t="shared" si="3"/>
        <v>0</v>
      </c>
      <c r="J249" s="153"/>
    </row>
    <row r="250" spans="1:10" x14ac:dyDescent="0.25">
      <c r="A250" s="125"/>
      <c r="B250" s="125"/>
      <c r="C250" s="125"/>
      <c r="D250" s="125"/>
      <c r="E250" s="125"/>
      <c r="F250" s="125"/>
      <c r="G250" s="126"/>
      <c r="H250" s="126"/>
      <c r="I250" s="151">
        <f t="shared" si="3"/>
        <v>0</v>
      </c>
      <c r="J250" s="153"/>
    </row>
    <row r="251" spans="1:10" x14ac:dyDescent="0.25">
      <c r="A251" s="125"/>
      <c r="B251" s="125"/>
      <c r="C251" s="125"/>
      <c r="D251" s="125"/>
      <c r="E251" s="125"/>
      <c r="F251" s="125"/>
      <c r="G251" s="126"/>
      <c r="H251" s="126"/>
      <c r="I251" s="151">
        <f t="shared" si="3"/>
        <v>0</v>
      </c>
      <c r="J251" s="153"/>
    </row>
    <row r="252" spans="1:10" x14ac:dyDescent="0.25">
      <c r="A252" s="125"/>
      <c r="B252" s="125"/>
      <c r="C252" s="125"/>
      <c r="D252" s="125"/>
      <c r="E252" s="125"/>
      <c r="F252" s="125"/>
      <c r="G252" s="126"/>
      <c r="H252" s="126"/>
      <c r="I252" s="151">
        <f t="shared" si="3"/>
        <v>0</v>
      </c>
      <c r="J252" s="153"/>
    </row>
    <row r="253" spans="1:10" x14ac:dyDescent="0.25">
      <c r="A253" s="125"/>
      <c r="B253" s="125"/>
      <c r="C253" s="125"/>
      <c r="D253" s="125"/>
      <c r="E253" s="125"/>
      <c r="F253" s="125"/>
      <c r="G253" s="126"/>
      <c r="H253" s="126"/>
      <c r="I253" s="151">
        <f t="shared" si="3"/>
        <v>0</v>
      </c>
      <c r="J253" s="153"/>
    </row>
    <row r="254" spans="1:10" x14ac:dyDescent="0.25">
      <c r="A254" s="125"/>
      <c r="B254" s="125"/>
      <c r="C254" s="125"/>
      <c r="D254" s="125"/>
      <c r="E254" s="125"/>
      <c r="F254" s="125"/>
      <c r="G254" s="126"/>
      <c r="H254" s="126"/>
      <c r="I254" s="151">
        <f t="shared" si="3"/>
        <v>0</v>
      </c>
      <c r="J254" s="153"/>
    </row>
    <row r="255" spans="1:10" x14ac:dyDescent="0.25">
      <c r="A255" s="125"/>
      <c r="B255" s="125"/>
      <c r="C255" s="125"/>
      <c r="D255" s="125"/>
      <c r="E255" s="125"/>
      <c r="F255" s="125"/>
      <c r="G255" s="126"/>
      <c r="H255" s="126"/>
      <c r="I255" s="151">
        <f t="shared" si="3"/>
        <v>0</v>
      </c>
      <c r="J255" s="153"/>
    </row>
    <row r="256" spans="1:10" x14ac:dyDescent="0.25">
      <c r="A256" s="125"/>
      <c r="B256" s="125"/>
      <c r="C256" s="125"/>
      <c r="D256" s="125"/>
      <c r="E256" s="125"/>
      <c r="F256" s="125"/>
      <c r="G256" s="127"/>
      <c r="H256" s="126"/>
      <c r="I256" s="151">
        <f t="shared" si="3"/>
        <v>0</v>
      </c>
      <c r="J256" s="153"/>
    </row>
    <row r="257" spans="1:10" x14ac:dyDescent="0.25">
      <c r="A257" s="125"/>
      <c r="B257" s="125"/>
      <c r="C257" s="125"/>
      <c r="D257" s="125"/>
      <c r="E257" s="125"/>
      <c r="F257" s="125"/>
      <c r="G257" s="126"/>
      <c r="H257" s="126"/>
      <c r="I257" s="151">
        <f t="shared" si="3"/>
        <v>0</v>
      </c>
      <c r="J257" s="153"/>
    </row>
    <row r="258" spans="1:10" x14ac:dyDescent="0.25">
      <c r="A258" s="125"/>
      <c r="B258" s="125"/>
      <c r="C258" s="125"/>
      <c r="D258" s="125"/>
      <c r="E258" s="125"/>
      <c r="F258" s="125"/>
      <c r="G258" s="126"/>
      <c r="H258" s="126"/>
      <c r="I258" s="151">
        <f t="shared" si="3"/>
        <v>0</v>
      </c>
      <c r="J258" s="153"/>
    </row>
    <row r="259" spans="1:10" x14ac:dyDescent="0.25">
      <c r="A259" s="125"/>
      <c r="B259" s="125"/>
      <c r="C259" s="125"/>
      <c r="D259" s="125"/>
      <c r="E259" s="125"/>
      <c r="F259" s="125"/>
      <c r="G259" s="126"/>
      <c r="H259" s="126"/>
      <c r="I259" s="151">
        <f t="shared" ref="I259:I322" si="4">IF(J259="",SUM(G259:H259),0)</f>
        <v>0</v>
      </c>
      <c r="J259" s="153"/>
    </row>
    <row r="260" spans="1:10" x14ac:dyDescent="0.25">
      <c r="A260" s="125"/>
      <c r="B260" s="125"/>
      <c r="C260" s="125"/>
      <c r="D260" s="125"/>
      <c r="E260" s="125"/>
      <c r="F260" s="125"/>
      <c r="G260" s="126"/>
      <c r="H260" s="126"/>
      <c r="I260" s="151">
        <f t="shared" si="4"/>
        <v>0</v>
      </c>
      <c r="J260" s="153"/>
    </row>
    <row r="261" spans="1:10" x14ac:dyDescent="0.25">
      <c r="A261" s="125"/>
      <c r="B261" s="125"/>
      <c r="C261" s="125"/>
      <c r="D261" s="125"/>
      <c r="E261" s="125"/>
      <c r="F261" s="125"/>
      <c r="G261" s="126"/>
      <c r="H261" s="126"/>
      <c r="I261" s="151">
        <f t="shared" si="4"/>
        <v>0</v>
      </c>
      <c r="J261" s="153"/>
    </row>
    <row r="262" spans="1:10" x14ac:dyDescent="0.25">
      <c r="A262" s="125"/>
      <c r="B262" s="125"/>
      <c r="C262" s="125"/>
      <c r="D262" s="125"/>
      <c r="E262" s="125"/>
      <c r="F262" s="125"/>
      <c r="G262" s="126"/>
      <c r="H262" s="126"/>
      <c r="I262" s="151">
        <f t="shared" si="4"/>
        <v>0</v>
      </c>
      <c r="J262" s="153"/>
    </row>
    <row r="263" spans="1:10" x14ac:dyDescent="0.25">
      <c r="A263" s="125"/>
      <c r="B263" s="125"/>
      <c r="C263" s="125"/>
      <c r="D263" s="125"/>
      <c r="E263" s="125"/>
      <c r="F263" s="125"/>
      <c r="G263" s="126"/>
      <c r="H263" s="126"/>
      <c r="I263" s="151">
        <f t="shared" si="4"/>
        <v>0</v>
      </c>
      <c r="J263" s="153"/>
    </row>
    <row r="264" spans="1:10" x14ac:dyDescent="0.25">
      <c r="A264" s="125"/>
      <c r="B264" s="125"/>
      <c r="C264" s="125"/>
      <c r="D264" s="125"/>
      <c r="E264" s="125"/>
      <c r="F264" s="125"/>
      <c r="G264" s="126"/>
      <c r="H264" s="126"/>
      <c r="I264" s="151">
        <f t="shared" si="4"/>
        <v>0</v>
      </c>
      <c r="J264" s="153"/>
    </row>
    <row r="265" spans="1:10" x14ac:dyDescent="0.25">
      <c r="A265" s="125"/>
      <c r="B265" s="125"/>
      <c r="C265" s="125"/>
      <c r="D265" s="125"/>
      <c r="E265" s="125"/>
      <c r="F265" s="125"/>
      <c r="G265" s="126"/>
      <c r="H265" s="126"/>
      <c r="I265" s="151">
        <f t="shared" si="4"/>
        <v>0</v>
      </c>
      <c r="J265" s="153"/>
    </row>
    <row r="266" spans="1:10" x14ac:dyDescent="0.25">
      <c r="A266" s="125"/>
      <c r="B266" s="125"/>
      <c r="C266" s="125"/>
      <c r="D266" s="125"/>
      <c r="E266" s="125"/>
      <c r="F266" s="125"/>
      <c r="G266" s="126"/>
      <c r="H266" s="126"/>
      <c r="I266" s="151">
        <f t="shared" si="4"/>
        <v>0</v>
      </c>
      <c r="J266" s="153"/>
    </row>
    <row r="267" spans="1:10" x14ac:dyDescent="0.25">
      <c r="A267" s="125"/>
      <c r="B267" s="125"/>
      <c r="C267" s="125"/>
      <c r="D267" s="125"/>
      <c r="E267" s="125"/>
      <c r="F267" s="125"/>
      <c r="G267" s="126"/>
      <c r="H267" s="126"/>
      <c r="I267" s="151">
        <f t="shared" si="4"/>
        <v>0</v>
      </c>
      <c r="J267" s="153"/>
    </row>
    <row r="268" spans="1:10" x14ac:dyDescent="0.25">
      <c r="A268" s="125"/>
      <c r="B268" s="125"/>
      <c r="C268" s="125"/>
      <c r="D268" s="125"/>
      <c r="E268" s="125"/>
      <c r="F268" s="125"/>
      <c r="G268" s="126"/>
      <c r="H268" s="126"/>
      <c r="I268" s="151">
        <f t="shared" si="4"/>
        <v>0</v>
      </c>
      <c r="J268" s="153"/>
    </row>
    <row r="269" spans="1:10" x14ac:dyDescent="0.25">
      <c r="A269" s="125"/>
      <c r="B269" s="125"/>
      <c r="C269" s="125"/>
      <c r="D269" s="125"/>
      <c r="E269" s="125"/>
      <c r="F269" s="125"/>
      <c r="G269" s="126"/>
      <c r="H269" s="126"/>
      <c r="I269" s="151">
        <f t="shared" si="4"/>
        <v>0</v>
      </c>
      <c r="J269" s="153"/>
    </row>
    <row r="270" spans="1:10" x14ac:dyDescent="0.25">
      <c r="A270" s="125"/>
      <c r="B270" s="125"/>
      <c r="C270" s="125"/>
      <c r="D270" s="125"/>
      <c r="E270" s="125"/>
      <c r="F270" s="125"/>
      <c r="G270" s="126"/>
      <c r="H270" s="126"/>
      <c r="I270" s="151">
        <f t="shared" si="4"/>
        <v>0</v>
      </c>
      <c r="J270" s="153"/>
    </row>
    <row r="271" spans="1:10" x14ac:dyDescent="0.25">
      <c r="A271" s="125"/>
      <c r="B271" s="125"/>
      <c r="C271" s="125"/>
      <c r="D271" s="125"/>
      <c r="E271" s="125"/>
      <c r="F271" s="125"/>
      <c r="G271" s="126"/>
      <c r="H271" s="126"/>
      <c r="I271" s="151">
        <f t="shared" si="4"/>
        <v>0</v>
      </c>
      <c r="J271" s="153"/>
    </row>
    <row r="272" spans="1:10" x14ac:dyDescent="0.25">
      <c r="A272" s="125"/>
      <c r="B272" s="125"/>
      <c r="C272" s="125"/>
      <c r="D272" s="125"/>
      <c r="E272" s="125"/>
      <c r="F272" s="125"/>
      <c r="G272" s="126"/>
      <c r="H272" s="126"/>
      <c r="I272" s="151">
        <f t="shared" si="4"/>
        <v>0</v>
      </c>
      <c r="J272" s="153"/>
    </row>
    <row r="273" spans="1:10" x14ac:dyDescent="0.25">
      <c r="A273" s="125"/>
      <c r="B273" s="125"/>
      <c r="C273" s="125"/>
      <c r="D273" s="125"/>
      <c r="E273" s="125"/>
      <c r="F273" s="125"/>
      <c r="G273" s="126"/>
      <c r="H273" s="126"/>
      <c r="I273" s="151">
        <f t="shared" si="4"/>
        <v>0</v>
      </c>
      <c r="J273" s="153"/>
    </row>
    <row r="274" spans="1:10" x14ac:dyDescent="0.25">
      <c r="A274" s="125"/>
      <c r="B274" s="125"/>
      <c r="C274" s="125"/>
      <c r="D274" s="125"/>
      <c r="E274" s="125"/>
      <c r="F274" s="125"/>
      <c r="G274" s="126"/>
      <c r="H274" s="126"/>
      <c r="I274" s="151">
        <f t="shared" si="4"/>
        <v>0</v>
      </c>
      <c r="J274" s="153"/>
    </row>
    <row r="275" spans="1:10" x14ac:dyDescent="0.25">
      <c r="A275" s="125"/>
      <c r="B275" s="125"/>
      <c r="C275" s="125"/>
      <c r="D275" s="125"/>
      <c r="E275" s="125"/>
      <c r="F275" s="125"/>
      <c r="G275" s="126"/>
      <c r="H275" s="128"/>
      <c r="I275" s="151">
        <f t="shared" si="4"/>
        <v>0</v>
      </c>
      <c r="J275" s="153"/>
    </row>
    <row r="276" spans="1:10" x14ac:dyDescent="0.25">
      <c r="A276" s="125"/>
      <c r="B276" s="125"/>
      <c r="C276" s="125"/>
      <c r="D276" s="125"/>
      <c r="E276" s="125"/>
      <c r="F276" s="125"/>
      <c r="G276" s="126"/>
      <c r="H276" s="126"/>
      <c r="I276" s="151">
        <f t="shared" si="4"/>
        <v>0</v>
      </c>
      <c r="J276" s="153"/>
    </row>
    <row r="277" spans="1:10" x14ac:dyDescent="0.25">
      <c r="A277" s="125"/>
      <c r="B277" s="125"/>
      <c r="C277" s="125"/>
      <c r="D277" s="125"/>
      <c r="E277" s="125"/>
      <c r="F277" s="125"/>
      <c r="G277" s="126"/>
      <c r="H277" s="126"/>
      <c r="I277" s="151">
        <f t="shared" si="4"/>
        <v>0</v>
      </c>
      <c r="J277" s="153"/>
    </row>
    <row r="278" spans="1:10" x14ac:dyDescent="0.25">
      <c r="A278" s="125"/>
      <c r="B278" s="125"/>
      <c r="C278" s="125"/>
      <c r="D278" s="125"/>
      <c r="E278" s="125"/>
      <c r="F278" s="125"/>
      <c r="G278" s="126"/>
      <c r="H278" s="126"/>
      <c r="I278" s="151">
        <f t="shared" si="4"/>
        <v>0</v>
      </c>
      <c r="J278" s="153"/>
    </row>
    <row r="279" spans="1:10" x14ac:dyDescent="0.25">
      <c r="A279" s="125"/>
      <c r="B279" s="125"/>
      <c r="C279" s="125"/>
      <c r="D279" s="125"/>
      <c r="E279" s="125"/>
      <c r="F279" s="125"/>
      <c r="G279" s="126"/>
      <c r="H279" s="126"/>
      <c r="I279" s="151">
        <f t="shared" si="4"/>
        <v>0</v>
      </c>
      <c r="J279" s="153"/>
    </row>
    <row r="280" spans="1:10" x14ac:dyDescent="0.25">
      <c r="A280" s="125"/>
      <c r="B280" s="125"/>
      <c r="C280" s="125"/>
      <c r="D280" s="125"/>
      <c r="E280" s="125"/>
      <c r="F280" s="125"/>
      <c r="G280" s="126"/>
      <c r="H280" s="126"/>
      <c r="I280" s="151">
        <f t="shared" si="4"/>
        <v>0</v>
      </c>
      <c r="J280" s="153"/>
    </row>
    <row r="281" spans="1:10" x14ac:dyDescent="0.25">
      <c r="A281" s="125"/>
      <c r="B281" s="125"/>
      <c r="C281" s="125"/>
      <c r="D281" s="125"/>
      <c r="E281" s="125"/>
      <c r="F281" s="125"/>
      <c r="G281" s="126"/>
      <c r="H281" s="126"/>
      <c r="I281" s="151">
        <f t="shared" si="4"/>
        <v>0</v>
      </c>
      <c r="J281" s="153"/>
    </row>
    <row r="282" spans="1:10" x14ac:dyDescent="0.25">
      <c r="A282" s="125"/>
      <c r="B282" s="125"/>
      <c r="C282" s="125"/>
      <c r="D282" s="125"/>
      <c r="E282" s="125"/>
      <c r="F282" s="125"/>
      <c r="G282" s="126"/>
      <c r="H282" s="126"/>
      <c r="I282" s="151">
        <f t="shared" si="4"/>
        <v>0</v>
      </c>
      <c r="J282" s="153"/>
    </row>
    <row r="283" spans="1:10" x14ac:dyDescent="0.25">
      <c r="A283" s="125"/>
      <c r="B283" s="125"/>
      <c r="C283" s="125"/>
      <c r="D283" s="125"/>
      <c r="E283" s="125"/>
      <c r="F283" s="125"/>
      <c r="G283" s="126"/>
      <c r="H283" s="126"/>
      <c r="I283" s="151">
        <f t="shared" si="4"/>
        <v>0</v>
      </c>
      <c r="J283" s="153"/>
    </row>
    <row r="284" spans="1:10" x14ac:dyDescent="0.25">
      <c r="A284" s="125"/>
      <c r="B284" s="125"/>
      <c r="C284" s="125"/>
      <c r="D284" s="125"/>
      <c r="E284" s="125"/>
      <c r="F284" s="125"/>
      <c r="G284" s="126"/>
      <c r="H284" s="126"/>
      <c r="I284" s="151">
        <f t="shared" si="4"/>
        <v>0</v>
      </c>
      <c r="J284" s="153"/>
    </row>
    <row r="285" spans="1:10" x14ac:dyDescent="0.25">
      <c r="A285" s="125"/>
      <c r="B285" s="125"/>
      <c r="C285" s="125"/>
      <c r="D285" s="125"/>
      <c r="E285" s="125"/>
      <c r="F285" s="125"/>
      <c r="G285" s="127"/>
      <c r="H285" s="126"/>
      <c r="I285" s="151">
        <f t="shared" si="4"/>
        <v>0</v>
      </c>
      <c r="J285" s="153"/>
    </row>
    <row r="286" spans="1:10" x14ac:dyDescent="0.25">
      <c r="A286" s="125"/>
      <c r="B286" s="125"/>
      <c r="C286" s="125"/>
      <c r="D286" s="125"/>
      <c r="E286" s="125"/>
      <c r="F286" s="125"/>
      <c r="G286" s="127"/>
      <c r="H286" s="126"/>
      <c r="I286" s="151">
        <f t="shared" si="4"/>
        <v>0</v>
      </c>
      <c r="J286" s="153"/>
    </row>
    <row r="287" spans="1:10" x14ac:dyDescent="0.25">
      <c r="A287" s="125"/>
      <c r="B287" s="125"/>
      <c r="C287" s="125"/>
      <c r="D287" s="125"/>
      <c r="E287" s="125"/>
      <c r="F287" s="125"/>
      <c r="G287" s="126"/>
      <c r="H287" s="126"/>
      <c r="I287" s="151">
        <f t="shared" si="4"/>
        <v>0</v>
      </c>
      <c r="J287" s="153"/>
    </row>
    <row r="288" spans="1:10" x14ac:dyDescent="0.25">
      <c r="A288" s="125"/>
      <c r="B288" s="125"/>
      <c r="C288" s="125"/>
      <c r="D288" s="125"/>
      <c r="E288" s="125"/>
      <c r="F288" s="125"/>
      <c r="G288" s="126"/>
      <c r="H288" s="126"/>
      <c r="I288" s="151">
        <f t="shared" si="4"/>
        <v>0</v>
      </c>
      <c r="J288" s="153"/>
    </row>
    <row r="289" spans="1:10" x14ac:dyDescent="0.25">
      <c r="A289" s="125"/>
      <c r="B289" s="125"/>
      <c r="C289" s="125"/>
      <c r="D289" s="125"/>
      <c r="E289" s="125"/>
      <c r="F289" s="125"/>
      <c r="G289" s="126"/>
      <c r="H289" s="126"/>
      <c r="I289" s="151">
        <f t="shared" si="4"/>
        <v>0</v>
      </c>
      <c r="J289" s="153"/>
    </row>
    <row r="290" spans="1:10" x14ac:dyDescent="0.25">
      <c r="A290" s="125"/>
      <c r="B290" s="125"/>
      <c r="C290" s="125"/>
      <c r="D290" s="125"/>
      <c r="E290" s="125"/>
      <c r="F290" s="125"/>
      <c r="G290" s="127"/>
      <c r="H290" s="126"/>
      <c r="I290" s="151">
        <f t="shared" si="4"/>
        <v>0</v>
      </c>
      <c r="J290" s="153"/>
    </row>
    <row r="291" spans="1:10" x14ac:dyDescent="0.25">
      <c r="A291" s="125"/>
      <c r="B291" s="125"/>
      <c r="C291" s="125"/>
      <c r="D291" s="125"/>
      <c r="E291" s="125"/>
      <c r="F291" s="125"/>
      <c r="G291" s="126"/>
      <c r="H291" s="126"/>
      <c r="I291" s="151">
        <f t="shared" si="4"/>
        <v>0</v>
      </c>
      <c r="J291" s="153"/>
    </row>
    <row r="292" spans="1:10" x14ac:dyDescent="0.25">
      <c r="A292" s="125"/>
      <c r="B292" s="125"/>
      <c r="C292" s="125"/>
      <c r="D292" s="125"/>
      <c r="E292" s="125"/>
      <c r="F292" s="125"/>
      <c r="G292" s="126"/>
      <c r="H292" s="126"/>
      <c r="I292" s="151">
        <f t="shared" si="4"/>
        <v>0</v>
      </c>
      <c r="J292" s="153"/>
    </row>
    <row r="293" spans="1:10" x14ac:dyDescent="0.25">
      <c r="A293" s="125"/>
      <c r="B293" s="125"/>
      <c r="C293" s="125"/>
      <c r="D293" s="125"/>
      <c r="E293" s="125"/>
      <c r="F293" s="125"/>
      <c r="G293" s="128"/>
      <c r="H293" s="126"/>
      <c r="I293" s="151">
        <f t="shared" si="4"/>
        <v>0</v>
      </c>
      <c r="J293" s="153"/>
    </row>
    <row r="294" spans="1:10" x14ac:dyDescent="0.25">
      <c r="A294" s="125"/>
      <c r="B294" s="125"/>
      <c r="C294" s="125"/>
      <c r="D294" s="125"/>
      <c r="E294" s="125"/>
      <c r="F294" s="125"/>
      <c r="G294" s="128"/>
      <c r="H294" s="126"/>
      <c r="I294" s="151">
        <f t="shared" si="4"/>
        <v>0</v>
      </c>
      <c r="J294" s="153"/>
    </row>
    <row r="295" spans="1:10" x14ac:dyDescent="0.25">
      <c r="A295" s="125"/>
      <c r="B295" s="125"/>
      <c r="C295" s="125"/>
      <c r="D295" s="125"/>
      <c r="E295" s="125"/>
      <c r="F295" s="125"/>
      <c r="G295" s="126"/>
      <c r="H295" s="126"/>
      <c r="I295" s="151">
        <f t="shared" si="4"/>
        <v>0</v>
      </c>
      <c r="J295" s="153"/>
    </row>
    <row r="296" spans="1:10" x14ac:dyDescent="0.25">
      <c r="A296" s="125"/>
      <c r="B296" s="125"/>
      <c r="C296" s="125"/>
      <c r="D296" s="125"/>
      <c r="E296" s="125"/>
      <c r="F296" s="125"/>
      <c r="G296" s="126"/>
      <c r="H296" s="126"/>
      <c r="I296" s="151">
        <f t="shared" si="4"/>
        <v>0</v>
      </c>
      <c r="J296" s="153"/>
    </row>
    <row r="297" spans="1:10" x14ac:dyDescent="0.25">
      <c r="A297" s="125"/>
      <c r="B297" s="125"/>
      <c r="C297" s="125"/>
      <c r="D297" s="125"/>
      <c r="E297" s="125"/>
      <c r="F297" s="125"/>
      <c r="G297" s="126"/>
      <c r="H297" s="126"/>
      <c r="I297" s="151">
        <f t="shared" si="4"/>
        <v>0</v>
      </c>
      <c r="J297" s="153"/>
    </row>
    <row r="298" spans="1:10" x14ac:dyDescent="0.25">
      <c r="A298" s="125"/>
      <c r="B298" s="125"/>
      <c r="C298" s="125"/>
      <c r="D298" s="125"/>
      <c r="E298" s="125"/>
      <c r="F298" s="125"/>
      <c r="G298" s="126"/>
      <c r="H298" s="126"/>
      <c r="I298" s="151">
        <f t="shared" si="4"/>
        <v>0</v>
      </c>
      <c r="J298" s="153"/>
    </row>
    <row r="299" spans="1:10" x14ac:dyDescent="0.25">
      <c r="A299" s="125"/>
      <c r="B299" s="125"/>
      <c r="C299" s="125"/>
      <c r="D299" s="125"/>
      <c r="E299" s="125"/>
      <c r="F299" s="125"/>
      <c r="G299" s="126"/>
      <c r="H299" s="126"/>
      <c r="I299" s="151">
        <f t="shared" si="4"/>
        <v>0</v>
      </c>
      <c r="J299" s="153"/>
    </row>
    <row r="300" spans="1:10" x14ac:dyDescent="0.25">
      <c r="A300" s="125"/>
      <c r="B300" s="125"/>
      <c r="C300" s="125"/>
      <c r="D300" s="125"/>
      <c r="E300" s="125"/>
      <c r="F300" s="125"/>
      <c r="G300" s="126"/>
      <c r="H300" s="126"/>
      <c r="I300" s="151">
        <f t="shared" si="4"/>
        <v>0</v>
      </c>
      <c r="J300" s="153"/>
    </row>
    <row r="301" spans="1:10" x14ac:dyDescent="0.25">
      <c r="A301" s="125"/>
      <c r="B301" s="125"/>
      <c r="C301" s="125"/>
      <c r="D301" s="125"/>
      <c r="E301" s="125"/>
      <c r="F301" s="125"/>
      <c r="G301" s="126"/>
      <c r="H301" s="126"/>
      <c r="I301" s="151">
        <f t="shared" si="4"/>
        <v>0</v>
      </c>
      <c r="J301" s="153"/>
    </row>
    <row r="302" spans="1:10" x14ac:dyDescent="0.25">
      <c r="A302" s="125"/>
      <c r="B302" s="125"/>
      <c r="C302" s="125"/>
      <c r="D302" s="125"/>
      <c r="E302" s="125"/>
      <c r="F302" s="125"/>
      <c r="G302" s="126"/>
      <c r="H302" s="126"/>
      <c r="I302" s="151">
        <f t="shared" si="4"/>
        <v>0</v>
      </c>
      <c r="J302" s="153"/>
    </row>
    <row r="303" spans="1:10" x14ac:dyDescent="0.25">
      <c r="A303" s="125"/>
      <c r="B303" s="125"/>
      <c r="C303" s="125"/>
      <c r="D303" s="125"/>
      <c r="E303" s="125"/>
      <c r="F303" s="125"/>
      <c r="G303" s="126"/>
      <c r="H303" s="126"/>
      <c r="I303" s="151">
        <f t="shared" si="4"/>
        <v>0</v>
      </c>
      <c r="J303" s="153"/>
    </row>
    <row r="304" spans="1:10" x14ac:dyDescent="0.25">
      <c r="A304" s="125"/>
      <c r="B304" s="125"/>
      <c r="C304" s="125"/>
      <c r="D304" s="125"/>
      <c r="E304" s="125"/>
      <c r="F304" s="125"/>
      <c r="G304" s="126"/>
      <c r="H304" s="126"/>
      <c r="I304" s="151">
        <f t="shared" si="4"/>
        <v>0</v>
      </c>
      <c r="J304" s="153"/>
    </row>
    <row r="305" spans="1:10" x14ac:dyDescent="0.25">
      <c r="A305" s="125"/>
      <c r="B305" s="125"/>
      <c r="C305" s="125"/>
      <c r="D305" s="125"/>
      <c r="E305" s="125"/>
      <c r="F305" s="125"/>
      <c r="G305" s="126"/>
      <c r="H305" s="127"/>
      <c r="I305" s="151">
        <f t="shared" si="4"/>
        <v>0</v>
      </c>
      <c r="J305" s="153"/>
    </row>
    <row r="306" spans="1:10" x14ac:dyDescent="0.25">
      <c r="A306" s="125"/>
      <c r="B306" s="125"/>
      <c r="C306" s="125"/>
      <c r="D306" s="125"/>
      <c r="E306" s="125"/>
      <c r="F306" s="125"/>
      <c r="G306" s="126"/>
      <c r="H306" s="126"/>
      <c r="I306" s="151">
        <f t="shared" si="4"/>
        <v>0</v>
      </c>
      <c r="J306" s="153"/>
    </row>
    <row r="307" spans="1:10" x14ac:dyDescent="0.25">
      <c r="A307" s="125"/>
      <c r="B307" s="125"/>
      <c r="C307" s="125"/>
      <c r="D307" s="125"/>
      <c r="E307" s="125"/>
      <c r="F307" s="125"/>
      <c r="G307" s="126"/>
      <c r="H307" s="126"/>
      <c r="I307" s="151">
        <f t="shared" si="4"/>
        <v>0</v>
      </c>
      <c r="J307" s="153"/>
    </row>
    <row r="308" spans="1:10" x14ac:dyDescent="0.25">
      <c r="A308" s="125"/>
      <c r="B308" s="125"/>
      <c r="C308" s="125"/>
      <c r="D308" s="125"/>
      <c r="E308" s="125"/>
      <c r="F308" s="125"/>
      <c r="G308" s="126"/>
      <c r="H308" s="126"/>
      <c r="I308" s="151">
        <f t="shared" si="4"/>
        <v>0</v>
      </c>
      <c r="J308" s="153"/>
    </row>
    <row r="309" spans="1:10" x14ac:dyDescent="0.25">
      <c r="A309" s="125"/>
      <c r="B309" s="125"/>
      <c r="C309" s="125"/>
      <c r="D309" s="125"/>
      <c r="E309" s="125"/>
      <c r="F309" s="125"/>
      <c r="G309" s="126"/>
      <c r="H309" s="126"/>
      <c r="I309" s="151">
        <f t="shared" si="4"/>
        <v>0</v>
      </c>
      <c r="J309" s="153"/>
    </row>
    <row r="310" spans="1:10" x14ac:dyDescent="0.25">
      <c r="A310" s="125"/>
      <c r="B310" s="125"/>
      <c r="C310" s="125"/>
      <c r="D310" s="125"/>
      <c r="E310" s="125"/>
      <c r="F310" s="125"/>
      <c r="G310" s="126"/>
      <c r="H310" s="126"/>
      <c r="I310" s="151">
        <f t="shared" si="4"/>
        <v>0</v>
      </c>
      <c r="J310" s="153"/>
    </row>
    <row r="311" spans="1:10" x14ac:dyDescent="0.25">
      <c r="A311" s="125"/>
      <c r="B311" s="125"/>
      <c r="C311" s="125"/>
      <c r="D311" s="125"/>
      <c r="E311" s="125"/>
      <c r="F311" s="125"/>
      <c r="G311" s="126"/>
      <c r="H311" s="126"/>
      <c r="I311" s="151">
        <f t="shared" si="4"/>
        <v>0</v>
      </c>
      <c r="J311" s="153"/>
    </row>
    <row r="312" spans="1:10" x14ac:dyDescent="0.25">
      <c r="A312" s="125"/>
      <c r="B312" s="125"/>
      <c r="C312" s="125"/>
      <c r="D312" s="125"/>
      <c r="E312" s="125"/>
      <c r="F312" s="125"/>
      <c r="G312" s="126"/>
      <c r="H312" s="126"/>
      <c r="I312" s="151">
        <f t="shared" si="4"/>
        <v>0</v>
      </c>
      <c r="J312" s="153"/>
    </row>
    <row r="313" spans="1:10" x14ac:dyDescent="0.25">
      <c r="A313" s="125"/>
      <c r="B313" s="125"/>
      <c r="C313" s="125"/>
      <c r="D313" s="125"/>
      <c r="E313" s="125"/>
      <c r="F313" s="125"/>
      <c r="G313" s="126"/>
      <c r="H313" s="126"/>
      <c r="I313" s="151">
        <f t="shared" si="4"/>
        <v>0</v>
      </c>
      <c r="J313" s="153"/>
    </row>
    <row r="314" spans="1:10" x14ac:dyDescent="0.25">
      <c r="A314" s="125"/>
      <c r="B314" s="125"/>
      <c r="C314" s="125"/>
      <c r="D314" s="125"/>
      <c r="E314" s="125"/>
      <c r="F314" s="125"/>
      <c r="G314" s="126"/>
      <c r="H314" s="126"/>
      <c r="I314" s="151">
        <f t="shared" si="4"/>
        <v>0</v>
      </c>
      <c r="J314" s="153"/>
    </row>
    <row r="315" spans="1:10" x14ac:dyDescent="0.25">
      <c r="A315" s="125"/>
      <c r="B315" s="125"/>
      <c r="C315" s="125"/>
      <c r="D315" s="125"/>
      <c r="E315" s="125"/>
      <c r="F315" s="125"/>
      <c r="G315" s="126"/>
      <c r="H315" s="126"/>
      <c r="I315" s="151">
        <f t="shared" si="4"/>
        <v>0</v>
      </c>
      <c r="J315" s="153"/>
    </row>
    <row r="316" spans="1:10" x14ac:dyDescent="0.25">
      <c r="A316" s="125"/>
      <c r="B316" s="125"/>
      <c r="C316" s="125"/>
      <c r="D316" s="125"/>
      <c r="E316" s="125"/>
      <c r="F316" s="125"/>
      <c r="G316" s="126"/>
      <c r="H316" s="126"/>
      <c r="I316" s="151">
        <f t="shared" si="4"/>
        <v>0</v>
      </c>
      <c r="J316" s="153"/>
    </row>
    <row r="317" spans="1:10" x14ac:dyDescent="0.25">
      <c r="A317" s="125"/>
      <c r="B317" s="125"/>
      <c r="C317" s="125"/>
      <c r="D317" s="125"/>
      <c r="E317" s="125"/>
      <c r="F317" s="125"/>
      <c r="G317" s="128"/>
      <c r="H317" s="126"/>
      <c r="I317" s="151">
        <f t="shared" si="4"/>
        <v>0</v>
      </c>
      <c r="J317" s="153"/>
    </row>
    <row r="318" spans="1:10" x14ac:dyDescent="0.25">
      <c r="A318" s="125"/>
      <c r="B318" s="125"/>
      <c r="C318" s="125"/>
      <c r="D318" s="125"/>
      <c r="E318" s="125"/>
      <c r="F318" s="125"/>
      <c r="G318" s="128"/>
      <c r="H318" s="126"/>
      <c r="I318" s="151">
        <f t="shared" si="4"/>
        <v>0</v>
      </c>
      <c r="J318" s="153"/>
    </row>
    <row r="319" spans="1:10" x14ac:dyDescent="0.25">
      <c r="A319" s="125"/>
      <c r="B319" s="125"/>
      <c r="C319" s="125"/>
      <c r="D319" s="125"/>
      <c r="E319" s="125"/>
      <c r="F319" s="125"/>
      <c r="G319" s="128"/>
      <c r="H319" s="126"/>
      <c r="I319" s="151">
        <f t="shared" si="4"/>
        <v>0</v>
      </c>
      <c r="J319" s="153"/>
    </row>
    <row r="320" spans="1:10" x14ac:dyDescent="0.25">
      <c r="A320" s="125"/>
      <c r="B320" s="125"/>
      <c r="C320" s="125"/>
      <c r="D320" s="125"/>
      <c r="E320" s="125"/>
      <c r="F320" s="125"/>
      <c r="G320" s="128"/>
      <c r="H320" s="126"/>
      <c r="I320" s="151">
        <f t="shared" si="4"/>
        <v>0</v>
      </c>
      <c r="J320" s="153"/>
    </row>
    <row r="321" spans="1:10" x14ac:dyDescent="0.25">
      <c r="A321" s="125"/>
      <c r="B321" s="125"/>
      <c r="C321" s="125"/>
      <c r="D321" s="125"/>
      <c r="E321" s="125"/>
      <c r="F321" s="125"/>
      <c r="G321" s="126"/>
      <c r="H321" s="126"/>
      <c r="I321" s="151">
        <f t="shared" si="4"/>
        <v>0</v>
      </c>
      <c r="J321" s="153"/>
    </row>
    <row r="322" spans="1:10" x14ac:dyDescent="0.25">
      <c r="A322" s="125"/>
      <c r="B322" s="125"/>
      <c r="C322" s="125"/>
      <c r="D322" s="125"/>
      <c r="E322" s="125"/>
      <c r="F322" s="125"/>
      <c r="G322" s="126"/>
      <c r="H322" s="126"/>
      <c r="I322" s="151">
        <f t="shared" si="4"/>
        <v>0</v>
      </c>
      <c r="J322" s="153"/>
    </row>
    <row r="323" spans="1:10" x14ac:dyDescent="0.25">
      <c r="A323" s="125"/>
      <c r="B323" s="125"/>
      <c r="C323" s="125"/>
      <c r="D323" s="125"/>
      <c r="E323" s="125"/>
      <c r="F323" s="125"/>
      <c r="G323" s="126"/>
      <c r="H323" s="126"/>
      <c r="I323" s="151">
        <f t="shared" ref="I323:I386" si="5">IF(J323="",SUM(G323:H323),0)</f>
        <v>0</v>
      </c>
      <c r="J323" s="153"/>
    </row>
    <row r="324" spans="1:10" x14ac:dyDescent="0.25">
      <c r="A324" s="125"/>
      <c r="B324" s="125"/>
      <c r="C324" s="125"/>
      <c r="D324" s="125"/>
      <c r="E324" s="125"/>
      <c r="F324" s="125"/>
      <c r="G324" s="126"/>
      <c r="H324" s="126"/>
      <c r="I324" s="151">
        <f t="shared" si="5"/>
        <v>0</v>
      </c>
      <c r="J324" s="153"/>
    </row>
    <row r="325" spans="1:10" x14ac:dyDescent="0.25">
      <c r="A325" s="125"/>
      <c r="B325" s="125"/>
      <c r="C325" s="125"/>
      <c r="D325" s="125"/>
      <c r="E325" s="125"/>
      <c r="F325" s="125"/>
      <c r="G325" s="126"/>
      <c r="H325" s="126"/>
      <c r="I325" s="151">
        <f t="shared" si="5"/>
        <v>0</v>
      </c>
      <c r="J325" s="153"/>
    </row>
    <row r="326" spans="1:10" x14ac:dyDescent="0.25">
      <c r="A326" s="125"/>
      <c r="B326" s="125"/>
      <c r="C326" s="125"/>
      <c r="D326" s="125"/>
      <c r="E326" s="125"/>
      <c r="F326" s="125"/>
      <c r="G326" s="128"/>
      <c r="H326" s="126"/>
      <c r="I326" s="151">
        <f t="shared" si="5"/>
        <v>0</v>
      </c>
      <c r="J326" s="153"/>
    </row>
    <row r="327" spans="1:10" x14ac:dyDescent="0.25">
      <c r="A327" s="125"/>
      <c r="B327" s="125"/>
      <c r="C327" s="125"/>
      <c r="D327" s="125"/>
      <c r="E327" s="125"/>
      <c r="F327" s="125"/>
      <c r="G327" s="128"/>
      <c r="H327" s="126"/>
      <c r="I327" s="151">
        <f t="shared" si="5"/>
        <v>0</v>
      </c>
      <c r="J327" s="153"/>
    </row>
    <row r="328" spans="1:10" x14ac:dyDescent="0.25">
      <c r="A328" s="125"/>
      <c r="B328" s="125"/>
      <c r="C328" s="125"/>
      <c r="D328" s="125"/>
      <c r="E328" s="125"/>
      <c r="F328" s="125"/>
      <c r="G328" s="128"/>
      <c r="H328" s="126"/>
      <c r="I328" s="151">
        <f t="shared" si="5"/>
        <v>0</v>
      </c>
      <c r="J328" s="153"/>
    </row>
    <row r="329" spans="1:10" x14ac:dyDescent="0.25">
      <c r="A329" s="125"/>
      <c r="B329" s="125"/>
      <c r="C329" s="125"/>
      <c r="D329" s="125"/>
      <c r="E329" s="125"/>
      <c r="F329" s="125"/>
      <c r="G329" s="128"/>
      <c r="H329" s="126"/>
      <c r="I329" s="151">
        <f t="shared" si="5"/>
        <v>0</v>
      </c>
      <c r="J329" s="153"/>
    </row>
    <row r="330" spans="1:10" x14ac:dyDescent="0.25">
      <c r="A330" s="125"/>
      <c r="B330" s="125"/>
      <c r="C330" s="125"/>
      <c r="D330" s="125"/>
      <c r="E330" s="125"/>
      <c r="F330" s="125"/>
      <c r="G330" s="128"/>
      <c r="H330" s="126"/>
      <c r="I330" s="151">
        <f t="shared" si="5"/>
        <v>0</v>
      </c>
      <c r="J330" s="153"/>
    </row>
    <row r="331" spans="1:10" x14ac:dyDescent="0.25">
      <c r="A331" s="125"/>
      <c r="B331" s="125"/>
      <c r="C331" s="125"/>
      <c r="D331" s="125"/>
      <c r="E331" s="125"/>
      <c r="F331" s="125"/>
      <c r="G331" s="128"/>
      <c r="H331" s="126"/>
      <c r="I331" s="151">
        <f t="shared" si="5"/>
        <v>0</v>
      </c>
      <c r="J331" s="153"/>
    </row>
    <row r="332" spans="1:10" x14ac:dyDescent="0.25">
      <c r="A332" s="125"/>
      <c r="B332" s="125"/>
      <c r="C332" s="125"/>
      <c r="D332" s="125"/>
      <c r="E332" s="125"/>
      <c r="F332" s="125"/>
      <c r="G332" s="128"/>
      <c r="H332" s="126"/>
      <c r="I332" s="151">
        <f t="shared" si="5"/>
        <v>0</v>
      </c>
      <c r="J332" s="153"/>
    </row>
    <row r="333" spans="1:10" x14ac:dyDescent="0.25">
      <c r="A333" s="125"/>
      <c r="B333" s="125"/>
      <c r="C333" s="125"/>
      <c r="D333" s="125"/>
      <c r="E333" s="125"/>
      <c r="F333" s="125"/>
      <c r="G333" s="128"/>
      <c r="H333" s="126"/>
      <c r="I333" s="151">
        <f t="shared" si="5"/>
        <v>0</v>
      </c>
      <c r="J333" s="153"/>
    </row>
    <row r="334" spans="1:10" x14ac:dyDescent="0.25">
      <c r="A334" s="125"/>
      <c r="B334" s="125"/>
      <c r="C334" s="125"/>
      <c r="D334" s="125"/>
      <c r="E334" s="125"/>
      <c r="F334" s="125"/>
      <c r="G334" s="128"/>
      <c r="H334" s="126"/>
      <c r="I334" s="151">
        <f t="shared" si="5"/>
        <v>0</v>
      </c>
      <c r="J334" s="153"/>
    </row>
    <row r="335" spans="1:10" x14ac:dyDescent="0.25">
      <c r="A335" s="125"/>
      <c r="B335" s="125"/>
      <c r="C335" s="125"/>
      <c r="D335" s="125"/>
      <c r="E335" s="125"/>
      <c r="F335" s="125"/>
      <c r="G335" s="128"/>
      <c r="H335" s="126"/>
      <c r="I335" s="151">
        <f t="shared" si="5"/>
        <v>0</v>
      </c>
      <c r="J335" s="153"/>
    </row>
    <row r="336" spans="1:10" x14ac:dyDescent="0.25">
      <c r="A336" s="125"/>
      <c r="B336" s="125"/>
      <c r="C336" s="125"/>
      <c r="D336" s="125"/>
      <c r="E336" s="125"/>
      <c r="F336" s="125"/>
      <c r="G336" s="128"/>
      <c r="H336" s="126"/>
      <c r="I336" s="151">
        <f t="shared" si="5"/>
        <v>0</v>
      </c>
      <c r="J336" s="153"/>
    </row>
    <row r="337" spans="1:10" x14ac:dyDescent="0.25">
      <c r="A337" s="125"/>
      <c r="B337" s="125"/>
      <c r="C337" s="125"/>
      <c r="D337" s="125"/>
      <c r="E337" s="125"/>
      <c r="F337" s="125"/>
      <c r="G337" s="126"/>
      <c r="H337" s="126"/>
      <c r="I337" s="151">
        <f t="shared" si="5"/>
        <v>0</v>
      </c>
      <c r="J337" s="153"/>
    </row>
    <row r="338" spans="1:10" x14ac:dyDescent="0.25">
      <c r="A338" s="125"/>
      <c r="B338" s="125"/>
      <c r="C338" s="125"/>
      <c r="D338" s="125"/>
      <c r="E338" s="125"/>
      <c r="F338" s="125"/>
      <c r="G338" s="126"/>
      <c r="H338" s="126"/>
      <c r="I338" s="151">
        <f t="shared" si="5"/>
        <v>0</v>
      </c>
      <c r="J338" s="153"/>
    </row>
    <row r="339" spans="1:10" x14ac:dyDescent="0.25">
      <c r="A339" s="125"/>
      <c r="B339" s="125"/>
      <c r="C339" s="125"/>
      <c r="D339" s="125"/>
      <c r="E339" s="125"/>
      <c r="F339" s="125"/>
      <c r="G339" s="126"/>
      <c r="H339" s="126"/>
      <c r="I339" s="151">
        <f t="shared" si="5"/>
        <v>0</v>
      </c>
      <c r="J339" s="153"/>
    </row>
    <row r="340" spans="1:10" x14ac:dyDescent="0.25">
      <c r="A340" s="125"/>
      <c r="B340" s="125"/>
      <c r="C340" s="125"/>
      <c r="D340" s="125"/>
      <c r="E340" s="125"/>
      <c r="F340" s="125"/>
      <c r="G340" s="126"/>
      <c r="H340" s="126"/>
      <c r="I340" s="151">
        <f t="shared" si="5"/>
        <v>0</v>
      </c>
      <c r="J340" s="153"/>
    </row>
    <row r="341" spans="1:10" x14ac:dyDescent="0.25">
      <c r="A341" s="125"/>
      <c r="B341" s="125"/>
      <c r="C341" s="125"/>
      <c r="D341" s="125"/>
      <c r="E341" s="125"/>
      <c r="F341" s="125"/>
      <c r="G341" s="126"/>
      <c r="H341" s="126"/>
      <c r="I341" s="151">
        <f t="shared" si="5"/>
        <v>0</v>
      </c>
      <c r="J341" s="153"/>
    </row>
    <row r="342" spans="1:10" x14ac:dyDescent="0.25">
      <c r="A342" s="125"/>
      <c r="B342" s="125"/>
      <c r="C342" s="125"/>
      <c r="D342" s="125"/>
      <c r="E342" s="125"/>
      <c r="F342" s="125"/>
      <c r="G342" s="126"/>
      <c r="H342" s="126"/>
      <c r="I342" s="151">
        <f t="shared" si="5"/>
        <v>0</v>
      </c>
      <c r="J342" s="153"/>
    </row>
    <row r="343" spans="1:10" x14ac:dyDescent="0.25">
      <c r="A343" s="125"/>
      <c r="B343" s="125"/>
      <c r="C343" s="125"/>
      <c r="D343" s="125"/>
      <c r="E343" s="125"/>
      <c r="F343" s="125"/>
      <c r="G343" s="126"/>
      <c r="H343" s="126"/>
      <c r="I343" s="151">
        <f t="shared" si="5"/>
        <v>0</v>
      </c>
      <c r="J343" s="153"/>
    </row>
    <row r="344" spans="1:10" x14ac:dyDescent="0.25">
      <c r="A344" s="125"/>
      <c r="B344" s="125"/>
      <c r="C344" s="125"/>
      <c r="D344" s="125"/>
      <c r="E344" s="125"/>
      <c r="F344" s="125"/>
      <c r="G344" s="126"/>
      <c r="H344" s="126"/>
      <c r="I344" s="151">
        <f t="shared" si="5"/>
        <v>0</v>
      </c>
      <c r="J344" s="153"/>
    </row>
    <row r="345" spans="1:10" x14ac:dyDescent="0.25">
      <c r="A345" s="125"/>
      <c r="B345" s="125"/>
      <c r="C345" s="125"/>
      <c r="D345" s="125"/>
      <c r="E345" s="125"/>
      <c r="F345" s="125"/>
      <c r="G345" s="126"/>
      <c r="H345" s="126"/>
      <c r="I345" s="151">
        <f t="shared" si="5"/>
        <v>0</v>
      </c>
      <c r="J345" s="153"/>
    </row>
    <row r="346" spans="1:10" x14ac:dyDescent="0.25">
      <c r="A346" s="125"/>
      <c r="B346" s="125"/>
      <c r="C346" s="125"/>
      <c r="D346" s="125"/>
      <c r="E346" s="125"/>
      <c r="F346" s="125"/>
      <c r="G346" s="126"/>
      <c r="H346" s="126"/>
      <c r="I346" s="151">
        <f t="shared" si="5"/>
        <v>0</v>
      </c>
      <c r="J346" s="153"/>
    </row>
    <row r="347" spans="1:10" x14ac:dyDescent="0.25">
      <c r="A347" s="125"/>
      <c r="B347" s="125"/>
      <c r="C347" s="125"/>
      <c r="D347" s="125"/>
      <c r="E347" s="125"/>
      <c r="F347" s="125"/>
      <c r="G347" s="126"/>
      <c r="H347" s="126"/>
      <c r="I347" s="151">
        <f t="shared" si="5"/>
        <v>0</v>
      </c>
      <c r="J347" s="153"/>
    </row>
    <row r="348" spans="1:10" x14ac:dyDescent="0.25">
      <c r="A348" s="125"/>
      <c r="B348" s="125"/>
      <c r="C348" s="125"/>
      <c r="D348" s="125"/>
      <c r="E348" s="125"/>
      <c r="F348" s="125"/>
      <c r="G348" s="126"/>
      <c r="H348" s="126"/>
      <c r="I348" s="151">
        <f t="shared" si="5"/>
        <v>0</v>
      </c>
      <c r="J348" s="153"/>
    </row>
    <row r="349" spans="1:10" x14ac:dyDescent="0.25">
      <c r="A349" s="125"/>
      <c r="B349" s="125"/>
      <c r="C349" s="125"/>
      <c r="D349" s="125"/>
      <c r="E349" s="125"/>
      <c r="F349" s="125"/>
      <c r="G349" s="128"/>
      <c r="H349" s="126"/>
      <c r="I349" s="151">
        <f t="shared" si="5"/>
        <v>0</v>
      </c>
      <c r="J349" s="153"/>
    </row>
    <row r="350" spans="1:10" x14ac:dyDescent="0.25">
      <c r="A350" s="125"/>
      <c r="B350" s="125"/>
      <c r="C350" s="125"/>
      <c r="D350" s="125"/>
      <c r="E350" s="125"/>
      <c r="F350" s="125"/>
      <c r="G350" s="126"/>
      <c r="H350" s="126"/>
      <c r="I350" s="151">
        <f t="shared" si="5"/>
        <v>0</v>
      </c>
      <c r="J350" s="153"/>
    </row>
    <row r="351" spans="1:10" x14ac:dyDescent="0.25">
      <c r="A351" s="125"/>
      <c r="B351" s="125"/>
      <c r="C351" s="125"/>
      <c r="D351" s="125"/>
      <c r="E351" s="125"/>
      <c r="F351" s="125"/>
      <c r="G351" s="126"/>
      <c r="H351" s="126"/>
      <c r="I351" s="151">
        <f t="shared" si="5"/>
        <v>0</v>
      </c>
      <c r="J351" s="153"/>
    </row>
    <row r="352" spans="1:10" x14ac:dyDescent="0.25">
      <c r="A352" s="125"/>
      <c r="B352" s="125"/>
      <c r="C352" s="125"/>
      <c r="D352" s="125"/>
      <c r="E352" s="125"/>
      <c r="F352" s="125"/>
      <c r="G352" s="126"/>
      <c r="H352" s="126"/>
      <c r="I352" s="151">
        <f t="shared" si="5"/>
        <v>0</v>
      </c>
      <c r="J352" s="153"/>
    </row>
    <row r="353" spans="1:10" x14ac:dyDescent="0.25">
      <c r="A353" s="125"/>
      <c r="B353" s="125"/>
      <c r="C353" s="125"/>
      <c r="D353" s="125"/>
      <c r="E353" s="125"/>
      <c r="F353" s="125"/>
      <c r="G353" s="126"/>
      <c r="H353" s="126"/>
      <c r="I353" s="151">
        <f t="shared" si="5"/>
        <v>0</v>
      </c>
      <c r="J353" s="153"/>
    </row>
    <row r="354" spans="1:10" x14ac:dyDescent="0.25">
      <c r="A354" s="125"/>
      <c r="B354" s="125"/>
      <c r="C354" s="125"/>
      <c r="D354" s="125"/>
      <c r="E354" s="125"/>
      <c r="F354" s="125"/>
      <c r="G354" s="128"/>
      <c r="H354" s="126"/>
      <c r="I354" s="151">
        <f t="shared" si="5"/>
        <v>0</v>
      </c>
      <c r="J354" s="153"/>
    </row>
    <row r="355" spans="1:10" x14ac:dyDescent="0.25">
      <c r="A355" s="125"/>
      <c r="B355" s="125"/>
      <c r="C355" s="125"/>
      <c r="D355" s="125"/>
      <c r="E355" s="125"/>
      <c r="F355" s="125"/>
      <c r="G355" s="128"/>
      <c r="H355" s="126"/>
      <c r="I355" s="151">
        <f t="shared" si="5"/>
        <v>0</v>
      </c>
      <c r="J355" s="153"/>
    </row>
    <row r="356" spans="1:10" x14ac:dyDescent="0.25">
      <c r="A356" s="125"/>
      <c r="B356" s="125"/>
      <c r="C356" s="125"/>
      <c r="D356" s="125"/>
      <c r="E356" s="125"/>
      <c r="F356" s="125"/>
      <c r="G356" s="128"/>
      <c r="H356" s="126"/>
      <c r="I356" s="151">
        <f t="shared" si="5"/>
        <v>0</v>
      </c>
      <c r="J356" s="153"/>
    </row>
    <row r="357" spans="1:10" x14ac:dyDescent="0.25">
      <c r="A357" s="125"/>
      <c r="B357" s="125"/>
      <c r="C357" s="125"/>
      <c r="D357" s="125"/>
      <c r="E357" s="125"/>
      <c r="F357" s="125"/>
      <c r="G357" s="128"/>
      <c r="H357" s="126"/>
      <c r="I357" s="151">
        <f t="shared" si="5"/>
        <v>0</v>
      </c>
      <c r="J357" s="153"/>
    </row>
    <row r="358" spans="1:10" x14ac:dyDescent="0.25">
      <c r="A358" s="125"/>
      <c r="B358" s="125"/>
      <c r="C358" s="125"/>
      <c r="D358" s="125"/>
      <c r="E358" s="125"/>
      <c r="F358" s="125"/>
      <c r="G358" s="128"/>
      <c r="H358" s="126"/>
      <c r="I358" s="151">
        <f t="shared" si="5"/>
        <v>0</v>
      </c>
      <c r="J358" s="153"/>
    </row>
    <row r="359" spans="1:10" x14ac:dyDescent="0.25">
      <c r="A359" s="125"/>
      <c r="B359" s="125"/>
      <c r="C359" s="125"/>
      <c r="D359" s="125"/>
      <c r="E359" s="125"/>
      <c r="F359" s="125"/>
      <c r="G359" s="128"/>
      <c r="H359" s="126"/>
      <c r="I359" s="151">
        <f t="shared" si="5"/>
        <v>0</v>
      </c>
      <c r="J359" s="153"/>
    </row>
    <row r="360" spans="1:10" x14ac:dyDescent="0.25">
      <c r="A360" s="125"/>
      <c r="B360" s="125"/>
      <c r="C360" s="125"/>
      <c r="D360" s="125"/>
      <c r="E360" s="125"/>
      <c r="F360" s="125"/>
      <c r="G360" s="128"/>
      <c r="H360" s="126"/>
      <c r="I360" s="151">
        <f t="shared" si="5"/>
        <v>0</v>
      </c>
      <c r="J360" s="153"/>
    </row>
    <row r="361" spans="1:10" x14ac:dyDescent="0.25">
      <c r="A361" s="125"/>
      <c r="B361" s="125"/>
      <c r="C361" s="125"/>
      <c r="D361" s="125"/>
      <c r="E361" s="125"/>
      <c r="F361" s="125"/>
      <c r="G361" s="128"/>
      <c r="H361" s="126"/>
      <c r="I361" s="151">
        <f t="shared" si="5"/>
        <v>0</v>
      </c>
      <c r="J361" s="153"/>
    </row>
    <row r="362" spans="1:10" x14ac:dyDescent="0.25">
      <c r="A362" s="125"/>
      <c r="B362" s="125"/>
      <c r="C362" s="125"/>
      <c r="D362" s="125"/>
      <c r="E362" s="125"/>
      <c r="F362" s="125"/>
      <c r="G362" s="128"/>
      <c r="H362" s="126"/>
      <c r="I362" s="151">
        <f t="shared" si="5"/>
        <v>0</v>
      </c>
      <c r="J362" s="153"/>
    </row>
    <row r="363" spans="1:10" x14ac:dyDescent="0.25">
      <c r="A363" s="125"/>
      <c r="B363" s="125"/>
      <c r="C363" s="125"/>
      <c r="D363" s="125"/>
      <c r="E363" s="125"/>
      <c r="F363" s="125"/>
      <c r="G363" s="126"/>
      <c r="H363" s="126"/>
      <c r="I363" s="151">
        <f t="shared" si="5"/>
        <v>0</v>
      </c>
      <c r="J363" s="153"/>
    </row>
    <row r="364" spans="1:10" x14ac:dyDescent="0.25">
      <c r="A364" s="125"/>
      <c r="B364" s="125"/>
      <c r="C364" s="125"/>
      <c r="D364" s="125"/>
      <c r="E364" s="125"/>
      <c r="F364" s="125"/>
      <c r="G364" s="126"/>
      <c r="H364" s="126"/>
      <c r="I364" s="151">
        <f t="shared" si="5"/>
        <v>0</v>
      </c>
      <c r="J364" s="153"/>
    </row>
    <row r="365" spans="1:10" x14ac:dyDescent="0.25">
      <c r="A365" s="125"/>
      <c r="B365" s="125"/>
      <c r="C365" s="125"/>
      <c r="D365" s="125"/>
      <c r="E365" s="125"/>
      <c r="F365" s="125"/>
      <c r="G365" s="126"/>
      <c r="H365" s="126"/>
      <c r="I365" s="151">
        <f t="shared" si="5"/>
        <v>0</v>
      </c>
      <c r="J365" s="153"/>
    </row>
    <row r="366" spans="1:10" x14ac:dyDescent="0.25">
      <c r="A366" s="125"/>
      <c r="B366" s="125"/>
      <c r="C366" s="125"/>
      <c r="D366" s="125"/>
      <c r="E366" s="125"/>
      <c r="F366" s="125"/>
      <c r="G366" s="126"/>
      <c r="H366" s="126"/>
      <c r="I366" s="151">
        <f t="shared" si="5"/>
        <v>0</v>
      </c>
      <c r="J366" s="153"/>
    </row>
    <row r="367" spans="1:10" x14ac:dyDescent="0.25">
      <c r="A367" s="125"/>
      <c r="B367" s="125"/>
      <c r="C367" s="125"/>
      <c r="D367" s="125"/>
      <c r="E367" s="125"/>
      <c r="F367" s="125"/>
      <c r="G367" s="126"/>
      <c r="H367" s="126"/>
      <c r="I367" s="151">
        <f t="shared" si="5"/>
        <v>0</v>
      </c>
      <c r="J367" s="153"/>
    </row>
    <row r="368" spans="1:10" x14ac:dyDescent="0.25">
      <c r="A368" s="125"/>
      <c r="B368" s="125"/>
      <c r="C368" s="125"/>
      <c r="D368" s="125"/>
      <c r="E368" s="125"/>
      <c r="F368" s="125"/>
      <c r="G368" s="126"/>
      <c r="H368" s="126"/>
      <c r="I368" s="151">
        <f t="shared" si="5"/>
        <v>0</v>
      </c>
      <c r="J368" s="153"/>
    </row>
    <row r="369" spans="1:10" x14ac:dyDescent="0.25">
      <c r="A369" s="125"/>
      <c r="B369" s="125"/>
      <c r="C369" s="125"/>
      <c r="D369" s="125"/>
      <c r="E369" s="125"/>
      <c r="F369" s="125"/>
      <c r="G369" s="126"/>
      <c r="H369" s="126"/>
      <c r="I369" s="151">
        <f t="shared" si="5"/>
        <v>0</v>
      </c>
      <c r="J369" s="153"/>
    </row>
    <row r="370" spans="1:10" x14ac:dyDescent="0.25">
      <c r="A370" s="125"/>
      <c r="B370" s="125"/>
      <c r="C370" s="125"/>
      <c r="D370" s="125"/>
      <c r="E370" s="125"/>
      <c r="F370" s="125"/>
      <c r="G370" s="126"/>
      <c r="H370" s="126"/>
      <c r="I370" s="151">
        <f t="shared" si="5"/>
        <v>0</v>
      </c>
      <c r="J370" s="153"/>
    </row>
    <row r="371" spans="1:10" x14ac:dyDescent="0.25">
      <c r="A371" s="125"/>
      <c r="B371" s="125"/>
      <c r="C371" s="125"/>
      <c r="D371" s="125"/>
      <c r="E371" s="125"/>
      <c r="F371" s="125"/>
      <c r="G371" s="126"/>
      <c r="H371" s="126"/>
      <c r="I371" s="151">
        <f t="shared" si="5"/>
        <v>0</v>
      </c>
      <c r="J371" s="153"/>
    </row>
    <row r="372" spans="1:10" x14ac:dyDescent="0.25">
      <c r="A372" s="125"/>
      <c r="B372" s="125"/>
      <c r="C372" s="125"/>
      <c r="D372" s="125"/>
      <c r="E372" s="125"/>
      <c r="F372" s="125"/>
      <c r="G372" s="126"/>
      <c r="H372" s="126"/>
      <c r="I372" s="151">
        <f t="shared" si="5"/>
        <v>0</v>
      </c>
      <c r="J372" s="153"/>
    </row>
    <row r="373" spans="1:10" x14ac:dyDescent="0.25">
      <c r="A373" s="125"/>
      <c r="B373" s="125"/>
      <c r="C373" s="125"/>
      <c r="D373" s="125"/>
      <c r="E373" s="125"/>
      <c r="F373" s="125"/>
      <c r="G373" s="126"/>
      <c r="H373" s="126"/>
      <c r="I373" s="151">
        <f t="shared" si="5"/>
        <v>0</v>
      </c>
      <c r="J373" s="153"/>
    </row>
    <row r="374" spans="1:10" x14ac:dyDescent="0.25">
      <c r="A374" s="125"/>
      <c r="B374" s="125"/>
      <c r="C374" s="125"/>
      <c r="D374" s="125"/>
      <c r="E374" s="125"/>
      <c r="F374" s="125"/>
      <c r="G374" s="126"/>
      <c r="H374" s="126"/>
      <c r="I374" s="151">
        <f t="shared" si="5"/>
        <v>0</v>
      </c>
      <c r="J374" s="153"/>
    </row>
    <row r="375" spans="1:10" x14ac:dyDescent="0.25">
      <c r="A375" s="125"/>
      <c r="B375" s="125"/>
      <c r="C375" s="125"/>
      <c r="D375" s="125"/>
      <c r="E375" s="125"/>
      <c r="F375" s="125"/>
      <c r="G375" s="126"/>
      <c r="H375" s="126"/>
      <c r="I375" s="151">
        <f t="shared" si="5"/>
        <v>0</v>
      </c>
      <c r="J375" s="153"/>
    </row>
    <row r="376" spans="1:10" x14ac:dyDescent="0.25">
      <c r="A376" s="125"/>
      <c r="B376" s="125"/>
      <c r="C376" s="125"/>
      <c r="D376" s="125"/>
      <c r="E376" s="125"/>
      <c r="F376" s="125"/>
      <c r="G376" s="126"/>
      <c r="H376" s="126"/>
      <c r="I376" s="151">
        <f t="shared" si="5"/>
        <v>0</v>
      </c>
      <c r="J376" s="153"/>
    </row>
    <row r="377" spans="1:10" x14ac:dyDescent="0.25">
      <c r="A377" s="125"/>
      <c r="B377" s="125"/>
      <c r="C377" s="125"/>
      <c r="D377" s="125"/>
      <c r="E377" s="125"/>
      <c r="F377" s="125"/>
      <c r="G377" s="126"/>
      <c r="H377" s="126"/>
      <c r="I377" s="151">
        <f t="shared" si="5"/>
        <v>0</v>
      </c>
      <c r="J377" s="153"/>
    </row>
    <row r="378" spans="1:10" x14ac:dyDescent="0.25">
      <c r="A378" s="125"/>
      <c r="B378" s="125"/>
      <c r="C378" s="125"/>
      <c r="D378" s="125"/>
      <c r="E378" s="125"/>
      <c r="F378" s="125"/>
      <c r="G378" s="126"/>
      <c r="H378" s="126"/>
      <c r="I378" s="151">
        <f t="shared" si="5"/>
        <v>0</v>
      </c>
      <c r="J378" s="153"/>
    </row>
    <row r="379" spans="1:10" x14ac:dyDescent="0.25">
      <c r="A379" s="125"/>
      <c r="B379" s="125"/>
      <c r="C379" s="125"/>
      <c r="D379" s="125"/>
      <c r="E379" s="125"/>
      <c r="F379" s="125"/>
      <c r="G379" s="126"/>
      <c r="H379" s="126"/>
      <c r="I379" s="151">
        <f t="shared" si="5"/>
        <v>0</v>
      </c>
      <c r="J379" s="153"/>
    </row>
    <row r="380" spans="1:10" x14ac:dyDescent="0.25">
      <c r="A380" s="125"/>
      <c r="B380" s="125"/>
      <c r="C380" s="125"/>
      <c r="D380" s="125"/>
      <c r="E380" s="125"/>
      <c r="F380" s="125"/>
      <c r="G380" s="126"/>
      <c r="H380" s="126"/>
      <c r="I380" s="151">
        <f t="shared" si="5"/>
        <v>0</v>
      </c>
      <c r="J380" s="153"/>
    </row>
    <row r="381" spans="1:10" x14ac:dyDescent="0.25">
      <c r="A381" s="125"/>
      <c r="B381" s="125"/>
      <c r="C381" s="125"/>
      <c r="D381" s="125"/>
      <c r="E381" s="125"/>
      <c r="F381" s="125"/>
      <c r="G381" s="126"/>
      <c r="H381" s="126"/>
      <c r="I381" s="151">
        <f t="shared" si="5"/>
        <v>0</v>
      </c>
      <c r="J381" s="153"/>
    </row>
    <row r="382" spans="1:10" x14ac:dyDescent="0.25">
      <c r="A382" s="125"/>
      <c r="B382" s="125"/>
      <c r="C382" s="125"/>
      <c r="D382" s="125"/>
      <c r="E382" s="125"/>
      <c r="F382" s="125"/>
      <c r="G382" s="126"/>
      <c r="H382" s="126"/>
      <c r="I382" s="151">
        <f t="shared" si="5"/>
        <v>0</v>
      </c>
      <c r="J382" s="153"/>
    </row>
    <row r="383" spans="1:10" x14ac:dyDescent="0.25">
      <c r="A383" s="125"/>
      <c r="B383" s="125"/>
      <c r="C383" s="125"/>
      <c r="D383" s="125"/>
      <c r="E383" s="125"/>
      <c r="F383" s="125"/>
      <c r="G383" s="126"/>
      <c r="H383" s="126"/>
      <c r="I383" s="151">
        <f t="shared" si="5"/>
        <v>0</v>
      </c>
      <c r="J383" s="153"/>
    </row>
    <row r="384" spans="1:10" x14ac:dyDescent="0.25">
      <c r="A384" s="125"/>
      <c r="B384" s="125"/>
      <c r="C384" s="125"/>
      <c r="D384" s="125"/>
      <c r="E384" s="125"/>
      <c r="F384" s="125"/>
      <c r="G384" s="126"/>
      <c r="H384" s="126"/>
      <c r="I384" s="151">
        <f t="shared" si="5"/>
        <v>0</v>
      </c>
      <c r="J384" s="153"/>
    </row>
    <row r="385" spans="1:10" x14ac:dyDescent="0.25">
      <c r="A385" s="125"/>
      <c r="B385" s="125"/>
      <c r="C385" s="125"/>
      <c r="D385" s="125"/>
      <c r="E385" s="125"/>
      <c r="F385" s="125"/>
      <c r="G385" s="126"/>
      <c r="H385" s="126"/>
      <c r="I385" s="151">
        <f t="shared" si="5"/>
        <v>0</v>
      </c>
      <c r="J385" s="153"/>
    </row>
    <row r="386" spans="1:10" x14ac:dyDescent="0.25">
      <c r="A386" s="125"/>
      <c r="B386" s="125"/>
      <c r="C386" s="125"/>
      <c r="D386" s="125"/>
      <c r="E386" s="125"/>
      <c r="F386" s="125"/>
      <c r="G386" s="126"/>
      <c r="H386" s="126"/>
      <c r="I386" s="151">
        <f t="shared" si="5"/>
        <v>0</v>
      </c>
      <c r="J386" s="153"/>
    </row>
    <row r="387" spans="1:10" x14ac:dyDescent="0.25">
      <c r="A387" s="125"/>
      <c r="B387" s="125"/>
      <c r="C387" s="125"/>
      <c r="D387" s="125"/>
      <c r="E387" s="125"/>
      <c r="F387" s="125"/>
      <c r="G387" s="126"/>
      <c r="H387" s="126"/>
      <c r="I387" s="151">
        <f t="shared" ref="I387:I450" si="6">IF(J387="",SUM(G387:H387),0)</f>
        <v>0</v>
      </c>
      <c r="J387" s="153"/>
    </row>
    <row r="388" spans="1:10" x14ac:dyDescent="0.25">
      <c r="A388" s="125"/>
      <c r="B388" s="125"/>
      <c r="C388" s="125"/>
      <c r="D388" s="125"/>
      <c r="E388" s="125"/>
      <c r="F388" s="125"/>
      <c r="G388" s="126"/>
      <c r="H388" s="126"/>
      <c r="I388" s="151">
        <f t="shared" si="6"/>
        <v>0</v>
      </c>
      <c r="J388" s="153"/>
    </row>
    <row r="389" spans="1:10" x14ac:dyDescent="0.25">
      <c r="A389" s="125"/>
      <c r="B389" s="125"/>
      <c r="C389" s="125"/>
      <c r="D389" s="125"/>
      <c r="E389" s="125"/>
      <c r="F389" s="125"/>
      <c r="G389" s="126"/>
      <c r="H389" s="126"/>
      <c r="I389" s="151">
        <f t="shared" si="6"/>
        <v>0</v>
      </c>
      <c r="J389" s="153"/>
    </row>
    <row r="390" spans="1:10" x14ac:dyDescent="0.25">
      <c r="A390" s="125"/>
      <c r="B390" s="125"/>
      <c r="C390" s="125"/>
      <c r="D390" s="125"/>
      <c r="E390" s="125"/>
      <c r="F390" s="125"/>
      <c r="G390" s="126"/>
      <c r="H390" s="126"/>
      <c r="I390" s="151">
        <f t="shared" si="6"/>
        <v>0</v>
      </c>
      <c r="J390" s="153"/>
    </row>
    <row r="391" spans="1:10" x14ac:dyDescent="0.25">
      <c r="A391" s="125"/>
      <c r="B391" s="125"/>
      <c r="C391" s="125"/>
      <c r="D391" s="125"/>
      <c r="E391" s="125"/>
      <c r="F391" s="125"/>
      <c r="G391" s="126"/>
      <c r="H391" s="126"/>
      <c r="I391" s="151">
        <f t="shared" si="6"/>
        <v>0</v>
      </c>
      <c r="J391" s="153"/>
    </row>
    <row r="392" spans="1:10" x14ac:dyDescent="0.25">
      <c r="A392" s="125"/>
      <c r="B392" s="125"/>
      <c r="C392" s="125"/>
      <c r="D392" s="125"/>
      <c r="E392" s="125"/>
      <c r="F392" s="125"/>
      <c r="G392" s="126"/>
      <c r="H392" s="126"/>
      <c r="I392" s="151">
        <f t="shared" si="6"/>
        <v>0</v>
      </c>
      <c r="J392" s="153"/>
    </row>
    <row r="393" spans="1:10" x14ac:dyDescent="0.25">
      <c r="A393" s="125"/>
      <c r="B393" s="125"/>
      <c r="C393" s="125"/>
      <c r="D393" s="125"/>
      <c r="E393" s="125"/>
      <c r="F393" s="125"/>
      <c r="G393" s="126"/>
      <c r="H393" s="126"/>
      <c r="I393" s="151">
        <f t="shared" si="6"/>
        <v>0</v>
      </c>
      <c r="J393" s="153"/>
    </row>
    <row r="394" spans="1:10" x14ac:dyDescent="0.25">
      <c r="A394" s="125"/>
      <c r="B394" s="125"/>
      <c r="C394" s="125"/>
      <c r="D394" s="125"/>
      <c r="E394" s="125"/>
      <c r="F394" s="125"/>
      <c r="G394" s="126"/>
      <c r="H394" s="126"/>
      <c r="I394" s="151">
        <f t="shared" si="6"/>
        <v>0</v>
      </c>
      <c r="J394" s="153"/>
    </row>
    <row r="395" spans="1:10" x14ac:dyDescent="0.25">
      <c r="A395" s="125"/>
      <c r="B395" s="125"/>
      <c r="C395" s="125"/>
      <c r="D395" s="125"/>
      <c r="E395" s="125"/>
      <c r="F395" s="125"/>
      <c r="G395" s="126"/>
      <c r="H395" s="126"/>
      <c r="I395" s="151">
        <f t="shared" si="6"/>
        <v>0</v>
      </c>
      <c r="J395" s="153"/>
    </row>
    <row r="396" spans="1:10" x14ac:dyDescent="0.25">
      <c r="A396" s="125"/>
      <c r="B396" s="125"/>
      <c r="C396" s="125"/>
      <c r="D396" s="125"/>
      <c r="E396" s="125"/>
      <c r="F396" s="125"/>
      <c r="G396" s="128"/>
      <c r="H396" s="126"/>
      <c r="I396" s="151">
        <f t="shared" si="6"/>
        <v>0</v>
      </c>
      <c r="J396" s="153"/>
    </row>
    <row r="397" spans="1:10" x14ac:dyDescent="0.25">
      <c r="A397" s="125"/>
      <c r="B397" s="125"/>
      <c r="C397" s="125"/>
      <c r="D397" s="125"/>
      <c r="E397" s="125"/>
      <c r="F397" s="125"/>
      <c r="G397" s="128"/>
      <c r="H397" s="126"/>
      <c r="I397" s="151">
        <f t="shared" si="6"/>
        <v>0</v>
      </c>
      <c r="J397" s="153"/>
    </row>
    <row r="398" spans="1:10" x14ac:dyDescent="0.25">
      <c r="A398" s="125"/>
      <c r="B398" s="125"/>
      <c r="C398" s="125"/>
      <c r="D398" s="125"/>
      <c r="E398" s="125"/>
      <c r="F398" s="125"/>
      <c r="G398" s="128"/>
      <c r="H398" s="126"/>
      <c r="I398" s="151">
        <f t="shared" si="6"/>
        <v>0</v>
      </c>
      <c r="J398" s="153"/>
    </row>
    <row r="399" spans="1:10" x14ac:dyDescent="0.25">
      <c r="A399" s="125"/>
      <c r="B399" s="125"/>
      <c r="C399" s="125"/>
      <c r="D399" s="125"/>
      <c r="E399" s="125"/>
      <c r="F399" s="125"/>
      <c r="G399" s="126"/>
      <c r="H399" s="126"/>
      <c r="I399" s="151">
        <f t="shared" si="6"/>
        <v>0</v>
      </c>
      <c r="J399" s="153"/>
    </row>
    <row r="400" spans="1:10" x14ac:dyDescent="0.25">
      <c r="A400" s="125"/>
      <c r="B400" s="125"/>
      <c r="C400" s="125"/>
      <c r="D400" s="125"/>
      <c r="E400" s="125"/>
      <c r="F400" s="125"/>
      <c r="G400" s="126"/>
      <c r="H400" s="126"/>
      <c r="I400" s="151">
        <f t="shared" si="6"/>
        <v>0</v>
      </c>
      <c r="J400" s="153"/>
    </row>
    <row r="401" spans="1:10" x14ac:dyDescent="0.25">
      <c r="A401" s="125"/>
      <c r="B401" s="125"/>
      <c r="C401" s="125"/>
      <c r="D401" s="125"/>
      <c r="E401" s="125"/>
      <c r="F401" s="125"/>
      <c r="G401" s="126"/>
      <c r="H401" s="126"/>
      <c r="I401" s="151">
        <f t="shared" si="6"/>
        <v>0</v>
      </c>
      <c r="J401" s="153"/>
    </row>
    <row r="402" spans="1:10" x14ac:dyDescent="0.25">
      <c r="A402" s="125"/>
      <c r="B402" s="125"/>
      <c r="C402" s="125"/>
      <c r="D402" s="125"/>
      <c r="E402" s="125"/>
      <c r="F402" s="125"/>
      <c r="G402" s="126"/>
      <c r="H402" s="126"/>
      <c r="I402" s="151">
        <f t="shared" si="6"/>
        <v>0</v>
      </c>
      <c r="J402" s="153"/>
    </row>
    <row r="403" spans="1:10" x14ac:dyDescent="0.25">
      <c r="A403" s="125"/>
      <c r="B403" s="125"/>
      <c r="C403" s="125"/>
      <c r="D403" s="125"/>
      <c r="E403" s="125"/>
      <c r="F403" s="125"/>
      <c r="G403" s="126"/>
      <c r="H403" s="126"/>
      <c r="I403" s="151">
        <f t="shared" si="6"/>
        <v>0</v>
      </c>
      <c r="J403" s="153"/>
    </row>
    <row r="404" spans="1:10" x14ac:dyDescent="0.25">
      <c r="A404" s="125"/>
      <c r="B404" s="125"/>
      <c r="C404" s="125"/>
      <c r="D404" s="125"/>
      <c r="E404" s="125"/>
      <c r="F404" s="125"/>
      <c r="G404" s="126"/>
      <c r="H404" s="126"/>
      <c r="I404" s="151">
        <f t="shared" si="6"/>
        <v>0</v>
      </c>
      <c r="J404" s="153"/>
    </row>
    <row r="405" spans="1:10" x14ac:dyDescent="0.25">
      <c r="A405" s="125"/>
      <c r="B405" s="125"/>
      <c r="C405" s="125"/>
      <c r="D405" s="125"/>
      <c r="E405" s="125"/>
      <c r="F405" s="125"/>
      <c r="G405" s="126"/>
      <c r="H405" s="126"/>
      <c r="I405" s="151">
        <f t="shared" si="6"/>
        <v>0</v>
      </c>
      <c r="J405" s="153"/>
    </row>
    <row r="406" spans="1:10" x14ac:dyDescent="0.25">
      <c r="A406" s="125"/>
      <c r="B406" s="125"/>
      <c r="C406" s="125"/>
      <c r="D406" s="125"/>
      <c r="E406" s="125"/>
      <c r="F406" s="125"/>
      <c r="G406" s="126"/>
      <c r="H406" s="126"/>
      <c r="I406" s="151">
        <f t="shared" si="6"/>
        <v>0</v>
      </c>
      <c r="J406" s="153"/>
    </row>
    <row r="407" spans="1:10" x14ac:dyDescent="0.25">
      <c r="A407" s="125"/>
      <c r="B407" s="125"/>
      <c r="C407" s="125"/>
      <c r="D407" s="125"/>
      <c r="E407" s="125"/>
      <c r="F407" s="125"/>
      <c r="G407" s="126"/>
      <c r="H407" s="126"/>
      <c r="I407" s="151">
        <f t="shared" si="6"/>
        <v>0</v>
      </c>
      <c r="J407" s="153"/>
    </row>
    <row r="408" spans="1:10" x14ac:dyDescent="0.25">
      <c r="A408" s="125"/>
      <c r="B408" s="125"/>
      <c r="C408" s="125"/>
      <c r="D408" s="125"/>
      <c r="E408" s="125"/>
      <c r="F408" s="125"/>
      <c r="G408" s="128"/>
      <c r="H408" s="126"/>
      <c r="I408" s="151">
        <f t="shared" si="6"/>
        <v>0</v>
      </c>
      <c r="J408" s="153"/>
    </row>
    <row r="409" spans="1:10" x14ac:dyDescent="0.25">
      <c r="A409" s="125"/>
      <c r="B409" s="125"/>
      <c r="C409" s="125"/>
      <c r="D409" s="125"/>
      <c r="E409" s="125"/>
      <c r="F409" s="125"/>
      <c r="G409" s="126"/>
      <c r="H409" s="126"/>
      <c r="I409" s="151">
        <f t="shared" si="6"/>
        <v>0</v>
      </c>
      <c r="J409" s="153"/>
    </row>
    <row r="410" spans="1:10" x14ac:dyDescent="0.25">
      <c r="A410" s="125"/>
      <c r="B410" s="125"/>
      <c r="C410" s="125"/>
      <c r="D410" s="125"/>
      <c r="E410" s="125"/>
      <c r="F410" s="125"/>
      <c r="G410" s="126"/>
      <c r="H410" s="126"/>
      <c r="I410" s="151">
        <f t="shared" si="6"/>
        <v>0</v>
      </c>
      <c r="J410" s="153"/>
    </row>
    <row r="411" spans="1:10" x14ac:dyDescent="0.25">
      <c r="A411" s="125"/>
      <c r="B411" s="125"/>
      <c r="C411" s="125"/>
      <c r="D411" s="125"/>
      <c r="E411" s="125"/>
      <c r="F411" s="125"/>
      <c r="G411" s="126"/>
      <c r="H411" s="126"/>
      <c r="I411" s="151">
        <f t="shared" si="6"/>
        <v>0</v>
      </c>
      <c r="J411" s="153"/>
    </row>
    <row r="412" spans="1:10" x14ac:dyDescent="0.25">
      <c r="A412" s="125"/>
      <c r="B412" s="125"/>
      <c r="C412" s="125"/>
      <c r="D412" s="125"/>
      <c r="E412" s="125"/>
      <c r="F412" s="125"/>
      <c r="G412" s="126"/>
      <c r="H412" s="126"/>
      <c r="I412" s="151">
        <f t="shared" si="6"/>
        <v>0</v>
      </c>
      <c r="J412" s="153"/>
    </row>
    <row r="413" spans="1:10" x14ac:dyDescent="0.25">
      <c r="A413" s="125"/>
      <c r="B413" s="125"/>
      <c r="C413" s="125"/>
      <c r="D413" s="125"/>
      <c r="E413" s="125"/>
      <c r="F413" s="125"/>
      <c r="G413" s="126"/>
      <c r="H413" s="126"/>
      <c r="I413" s="151">
        <f t="shared" si="6"/>
        <v>0</v>
      </c>
      <c r="J413" s="153"/>
    </row>
    <row r="414" spans="1:10" x14ac:dyDescent="0.25">
      <c r="A414" s="125"/>
      <c r="B414" s="125"/>
      <c r="C414" s="125"/>
      <c r="D414" s="125"/>
      <c r="E414" s="125"/>
      <c r="F414" s="125"/>
      <c r="G414" s="126"/>
      <c r="H414" s="126"/>
      <c r="I414" s="151">
        <f t="shared" si="6"/>
        <v>0</v>
      </c>
      <c r="J414" s="153"/>
    </row>
    <row r="415" spans="1:10" x14ac:dyDescent="0.25">
      <c r="A415" s="125"/>
      <c r="B415" s="125"/>
      <c r="C415" s="125"/>
      <c r="D415" s="125"/>
      <c r="E415" s="125"/>
      <c r="F415" s="125"/>
      <c r="G415" s="126"/>
      <c r="H415" s="126"/>
      <c r="I415" s="151">
        <f t="shared" si="6"/>
        <v>0</v>
      </c>
      <c r="J415" s="153"/>
    </row>
    <row r="416" spans="1:10" x14ac:dyDescent="0.25">
      <c r="A416" s="125"/>
      <c r="B416" s="125"/>
      <c r="C416" s="125"/>
      <c r="D416" s="125"/>
      <c r="E416" s="125"/>
      <c r="F416" s="125"/>
      <c r="G416" s="126"/>
      <c r="H416" s="126"/>
      <c r="I416" s="151">
        <f t="shared" si="6"/>
        <v>0</v>
      </c>
      <c r="J416" s="153"/>
    </row>
    <row r="417" spans="1:10" x14ac:dyDescent="0.25">
      <c r="A417" s="125"/>
      <c r="B417" s="125"/>
      <c r="C417" s="125"/>
      <c r="D417" s="125"/>
      <c r="E417" s="125"/>
      <c r="F417" s="125"/>
      <c r="G417" s="126"/>
      <c r="H417" s="126"/>
      <c r="I417" s="151">
        <f t="shared" si="6"/>
        <v>0</v>
      </c>
      <c r="J417" s="153"/>
    </row>
    <row r="418" spans="1:10" x14ac:dyDescent="0.25">
      <c r="A418" s="125"/>
      <c r="B418" s="125"/>
      <c r="C418" s="125"/>
      <c r="D418" s="125"/>
      <c r="E418" s="125"/>
      <c r="F418" s="125"/>
      <c r="G418" s="126"/>
      <c r="H418" s="126"/>
      <c r="I418" s="151">
        <f t="shared" si="6"/>
        <v>0</v>
      </c>
      <c r="J418" s="153"/>
    </row>
    <row r="419" spans="1:10" x14ac:dyDescent="0.25">
      <c r="A419" s="125"/>
      <c r="B419" s="125"/>
      <c r="C419" s="125"/>
      <c r="D419" s="125"/>
      <c r="E419" s="125"/>
      <c r="F419" s="125"/>
      <c r="G419" s="126"/>
      <c r="H419" s="126"/>
      <c r="I419" s="151">
        <f t="shared" si="6"/>
        <v>0</v>
      </c>
      <c r="J419" s="153"/>
    </row>
    <row r="420" spans="1:10" x14ac:dyDescent="0.25">
      <c r="A420" s="125"/>
      <c r="B420" s="125"/>
      <c r="C420" s="125"/>
      <c r="D420" s="125"/>
      <c r="E420" s="125"/>
      <c r="F420" s="125"/>
      <c r="G420" s="126"/>
      <c r="H420" s="126"/>
      <c r="I420" s="151">
        <f t="shared" si="6"/>
        <v>0</v>
      </c>
      <c r="J420" s="153"/>
    </row>
    <row r="421" spans="1:10" x14ac:dyDescent="0.25">
      <c r="A421" s="125"/>
      <c r="B421" s="125"/>
      <c r="C421" s="125"/>
      <c r="D421" s="125"/>
      <c r="E421" s="125"/>
      <c r="F421" s="125"/>
      <c r="G421" s="126"/>
      <c r="H421" s="126"/>
      <c r="I421" s="151">
        <f t="shared" si="6"/>
        <v>0</v>
      </c>
      <c r="J421" s="153"/>
    </row>
    <row r="422" spans="1:10" x14ac:dyDescent="0.25">
      <c r="A422" s="125"/>
      <c r="B422" s="125"/>
      <c r="C422" s="125"/>
      <c r="D422" s="125"/>
      <c r="E422" s="125"/>
      <c r="F422" s="125"/>
      <c r="G422" s="126"/>
      <c r="H422" s="126"/>
      <c r="I422" s="151">
        <f t="shared" si="6"/>
        <v>0</v>
      </c>
      <c r="J422" s="153"/>
    </row>
    <row r="423" spans="1:10" x14ac:dyDescent="0.25">
      <c r="A423" s="125"/>
      <c r="B423" s="125"/>
      <c r="C423" s="125"/>
      <c r="D423" s="125"/>
      <c r="E423" s="125"/>
      <c r="F423" s="125"/>
      <c r="G423" s="126"/>
      <c r="H423" s="126"/>
      <c r="I423" s="151">
        <f t="shared" si="6"/>
        <v>0</v>
      </c>
      <c r="J423" s="153"/>
    </row>
    <row r="424" spans="1:10" x14ac:dyDescent="0.25">
      <c r="A424" s="125"/>
      <c r="B424" s="125"/>
      <c r="C424" s="125"/>
      <c r="D424" s="125"/>
      <c r="E424" s="125"/>
      <c r="F424" s="125"/>
      <c r="G424" s="126"/>
      <c r="H424" s="126"/>
      <c r="I424" s="151">
        <f t="shared" si="6"/>
        <v>0</v>
      </c>
      <c r="J424" s="153"/>
    </row>
    <row r="425" spans="1:10" x14ac:dyDescent="0.25">
      <c r="A425" s="125"/>
      <c r="B425" s="125"/>
      <c r="C425" s="125"/>
      <c r="D425" s="125"/>
      <c r="E425" s="125"/>
      <c r="F425" s="125"/>
      <c r="G425" s="126"/>
      <c r="H425" s="126"/>
      <c r="I425" s="151">
        <f t="shared" si="6"/>
        <v>0</v>
      </c>
      <c r="J425" s="153"/>
    </row>
    <row r="426" spans="1:10" x14ac:dyDescent="0.25">
      <c r="A426" s="125"/>
      <c r="B426" s="125"/>
      <c r="C426" s="125"/>
      <c r="D426" s="125"/>
      <c r="E426" s="125"/>
      <c r="F426" s="125"/>
      <c r="G426" s="126"/>
      <c r="H426" s="126"/>
      <c r="I426" s="151">
        <f t="shared" si="6"/>
        <v>0</v>
      </c>
      <c r="J426" s="153"/>
    </row>
    <row r="427" spans="1:10" x14ac:dyDescent="0.25">
      <c r="A427" s="125"/>
      <c r="B427" s="125"/>
      <c r="C427" s="125"/>
      <c r="D427" s="125"/>
      <c r="E427" s="125"/>
      <c r="F427" s="125"/>
      <c r="G427" s="126"/>
      <c r="H427" s="126"/>
      <c r="I427" s="151">
        <f t="shared" si="6"/>
        <v>0</v>
      </c>
      <c r="J427" s="153"/>
    </row>
    <row r="428" spans="1:10" x14ac:dyDescent="0.25">
      <c r="A428" s="125"/>
      <c r="B428" s="125"/>
      <c r="C428" s="125"/>
      <c r="D428" s="125"/>
      <c r="E428" s="125"/>
      <c r="F428" s="125"/>
      <c r="G428" s="126"/>
      <c r="H428" s="126"/>
      <c r="I428" s="151">
        <f t="shared" si="6"/>
        <v>0</v>
      </c>
      <c r="J428" s="153"/>
    </row>
    <row r="429" spans="1:10" x14ac:dyDescent="0.25">
      <c r="A429" s="125"/>
      <c r="B429" s="125"/>
      <c r="C429" s="125"/>
      <c r="D429" s="125"/>
      <c r="E429" s="125"/>
      <c r="F429" s="125"/>
      <c r="G429" s="126"/>
      <c r="H429" s="126"/>
      <c r="I429" s="151">
        <f t="shared" si="6"/>
        <v>0</v>
      </c>
      <c r="J429" s="153"/>
    </row>
    <row r="430" spans="1:10" x14ac:dyDescent="0.25">
      <c r="A430" s="125"/>
      <c r="B430" s="125"/>
      <c r="C430" s="125"/>
      <c r="D430" s="125"/>
      <c r="E430" s="125"/>
      <c r="F430" s="125"/>
      <c r="G430" s="126"/>
      <c r="H430" s="126"/>
      <c r="I430" s="151">
        <f t="shared" si="6"/>
        <v>0</v>
      </c>
      <c r="J430" s="153"/>
    </row>
    <row r="431" spans="1:10" x14ac:dyDescent="0.25">
      <c r="A431" s="125"/>
      <c r="B431" s="125"/>
      <c r="C431" s="125"/>
      <c r="D431" s="125"/>
      <c r="E431" s="125"/>
      <c r="F431" s="125"/>
      <c r="G431" s="126"/>
      <c r="H431" s="126"/>
      <c r="I431" s="151">
        <f t="shared" si="6"/>
        <v>0</v>
      </c>
      <c r="J431" s="153"/>
    </row>
    <row r="432" spans="1:10" x14ac:dyDescent="0.25">
      <c r="A432" s="125"/>
      <c r="B432" s="125"/>
      <c r="C432" s="125"/>
      <c r="D432" s="125"/>
      <c r="E432" s="125"/>
      <c r="F432" s="125"/>
      <c r="G432" s="126"/>
      <c r="H432" s="126"/>
      <c r="I432" s="151">
        <f t="shared" si="6"/>
        <v>0</v>
      </c>
      <c r="J432" s="153"/>
    </row>
    <row r="433" spans="1:10" x14ac:dyDescent="0.25">
      <c r="A433" s="125"/>
      <c r="B433" s="125"/>
      <c r="C433" s="125"/>
      <c r="D433" s="125"/>
      <c r="E433" s="125"/>
      <c r="F433" s="125"/>
      <c r="G433" s="126"/>
      <c r="H433" s="126"/>
      <c r="I433" s="151">
        <f t="shared" si="6"/>
        <v>0</v>
      </c>
      <c r="J433" s="153"/>
    </row>
    <row r="434" spans="1:10" x14ac:dyDescent="0.25">
      <c r="A434" s="125"/>
      <c r="B434" s="125"/>
      <c r="C434" s="125"/>
      <c r="D434" s="125"/>
      <c r="E434" s="125"/>
      <c r="F434" s="125"/>
      <c r="G434" s="126"/>
      <c r="H434" s="126"/>
      <c r="I434" s="151">
        <f t="shared" si="6"/>
        <v>0</v>
      </c>
      <c r="J434" s="153"/>
    </row>
    <row r="435" spans="1:10" x14ac:dyDescent="0.25">
      <c r="A435" s="21"/>
      <c r="B435" s="21"/>
      <c r="C435" s="21"/>
      <c r="D435" s="21"/>
      <c r="E435" s="21"/>
      <c r="F435" s="21"/>
      <c r="G435" s="21"/>
      <c r="H435" s="21"/>
      <c r="I435" s="151">
        <f t="shared" si="6"/>
        <v>0</v>
      </c>
      <c r="J435" s="153"/>
    </row>
    <row r="436" spans="1:10" x14ac:dyDescent="0.25">
      <c r="A436" s="21"/>
      <c r="B436" s="21"/>
      <c r="C436" s="21"/>
      <c r="D436" s="21"/>
      <c r="E436" s="21"/>
      <c r="F436" s="21"/>
      <c r="G436" s="21"/>
      <c r="H436" s="21"/>
      <c r="I436" s="151">
        <f t="shared" si="6"/>
        <v>0</v>
      </c>
      <c r="J436" s="153"/>
    </row>
    <row r="437" spans="1:10" x14ac:dyDescent="0.25">
      <c r="A437" s="21"/>
      <c r="B437" s="21"/>
      <c r="C437" s="21"/>
      <c r="D437" s="21"/>
      <c r="E437" s="21"/>
      <c r="F437" s="21"/>
      <c r="G437" s="21"/>
      <c r="H437" s="21"/>
      <c r="I437" s="151">
        <f t="shared" si="6"/>
        <v>0</v>
      </c>
      <c r="J437" s="153"/>
    </row>
    <row r="438" spans="1:10" x14ac:dyDescent="0.25">
      <c r="A438" s="21"/>
      <c r="B438" s="21"/>
      <c r="C438" s="21"/>
      <c r="D438" s="21"/>
      <c r="E438" s="21"/>
      <c r="F438" s="21"/>
      <c r="G438" s="21"/>
      <c r="H438" s="21"/>
      <c r="I438" s="151">
        <f t="shared" si="6"/>
        <v>0</v>
      </c>
      <c r="J438" s="153"/>
    </row>
    <row r="439" spans="1:10" x14ac:dyDescent="0.25">
      <c r="A439" s="21"/>
      <c r="B439" s="21"/>
      <c r="C439" s="21"/>
      <c r="D439" s="21"/>
      <c r="E439" s="21"/>
      <c r="F439" s="21"/>
      <c r="G439" s="21"/>
      <c r="H439" s="21"/>
      <c r="I439" s="151">
        <f t="shared" si="6"/>
        <v>0</v>
      </c>
      <c r="J439" s="153"/>
    </row>
    <row r="440" spans="1:10" x14ac:dyDescent="0.25">
      <c r="A440" s="21"/>
      <c r="B440" s="21"/>
      <c r="C440" s="21"/>
      <c r="D440" s="21"/>
      <c r="E440" s="21"/>
      <c r="F440" s="21"/>
      <c r="G440" s="21"/>
      <c r="H440" s="21"/>
      <c r="I440" s="151">
        <f t="shared" si="6"/>
        <v>0</v>
      </c>
      <c r="J440" s="153"/>
    </row>
    <row r="441" spans="1:10" x14ac:dyDescent="0.25">
      <c r="A441" s="21"/>
      <c r="B441" s="21"/>
      <c r="C441" s="21"/>
      <c r="D441" s="21"/>
      <c r="E441" s="21"/>
      <c r="F441" s="21"/>
      <c r="G441" s="21"/>
      <c r="H441" s="21"/>
      <c r="I441" s="151">
        <f t="shared" si="6"/>
        <v>0</v>
      </c>
      <c r="J441" s="153"/>
    </row>
    <row r="442" spans="1:10" x14ac:dyDescent="0.25">
      <c r="A442" s="21"/>
      <c r="B442" s="21"/>
      <c r="C442" s="21"/>
      <c r="D442" s="21"/>
      <c r="E442" s="21"/>
      <c r="F442" s="21"/>
      <c r="G442" s="21"/>
      <c r="H442" s="21"/>
      <c r="I442" s="151">
        <f t="shared" si="6"/>
        <v>0</v>
      </c>
      <c r="J442" s="153"/>
    </row>
    <row r="443" spans="1:10" x14ac:dyDescent="0.25">
      <c r="A443" s="21"/>
      <c r="B443" s="21"/>
      <c r="C443" s="21"/>
      <c r="D443" s="21"/>
      <c r="E443" s="21"/>
      <c r="F443" s="21"/>
      <c r="G443" s="21"/>
      <c r="H443" s="21"/>
      <c r="I443" s="151">
        <f t="shared" si="6"/>
        <v>0</v>
      </c>
      <c r="J443" s="153"/>
    </row>
    <row r="444" spans="1:10" x14ac:dyDescent="0.25">
      <c r="A444" s="21"/>
      <c r="B444" s="21"/>
      <c r="C444" s="21"/>
      <c r="D444" s="21"/>
      <c r="E444" s="21"/>
      <c r="F444" s="21"/>
      <c r="G444" s="21"/>
      <c r="H444" s="21"/>
      <c r="I444" s="151">
        <f t="shared" si="6"/>
        <v>0</v>
      </c>
      <c r="J444" s="153"/>
    </row>
    <row r="445" spans="1:10" x14ac:dyDescent="0.25">
      <c r="A445" s="21"/>
      <c r="B445" s="21"/>
      <c r="C445" s="21"/>
      <c r="D445" s="21"/>
      <c r="E445" s="21"/>
      <c r="F445" s="21"/>
      <c r="G445" s="21"/>
      <c r="H445" s="21"/>
      <c r="I445" s="151">
        <f t="shared" si="6"/>
        <v>0</v>
      </c>
      <c r="J445" s="153"/>
    </row>
    <row r="446" spans="1:10" x14ac:dyDescent="0.25">
      <c r="A446" s="21"/>
      <c r="B446" s="21"/>
      <c r="C446" s="21"/>
      <c r="D446" s="21"/>
      <c r="E446" s="21"/>
      <c r="F446" s="21"/>
      <c r="G446" s="21"/>
      <c r="H446" s="21"/>
      <c r="I446" s="151">
        <f t="shared" si="6"/>
        <v>0</v>
      </c>
      <c r="J446" s="153"/>
    </row>
    <row r="447" spans="1:10" x14ac:dyDescent="0.25">
      <c r="A447" s="21"/>
      <c r="B447" s="21"/>
      <c r="C447" s="21"/>
      <c r="D447" s="21"/>
      <c r="E447" s="21"/>
      <c r="F447" s="21"/>
      <c r="G447" s="21"/>
      <c r="H447" s="21"/>
      <c r="I447" s="151">
        <f t="shared" si="6"/>
        <v>0</v>
      </c>
      <c r="J447" s="153"/>
    </row>
    <row r="448" spans="1:10" x14ac:dyDescent="0.25">
      <c r="A448" s="21"/>
      <c r="B448" s="21"/>
      <c r="C448" s="21"/>
      <c r="D448" s="21"/>
      <c r="E448" s="21"/>
      <c r="F448" s="21"/>
      <c r="G448" s="21"/>
      <c r="H448" s="21"/>
      <c r="I448" s="151">
        <f t="shared" si="6"/>
        <v>0</v>
      </c>
      <c r="J448" s="153"/>
    </row>
    <row r="449" spans="1:10" x14ac:dyDescent="0.25">
      <c r="A449" s="21"/>
      <c r="B449" s="21"/>
      <c r="C449" s="21"/>
      <c r="D449" s="21"/>
      <c r="E449" s="21"/>
      <c r="F449" s="21"/>
      <c r="G449" s="21"/>
      <c r="H449" s="21"/>
      <c r="I449" s="151">
        <f t="shared" si="6"/>
        <v>0</v>
      </c>
      <c r="J449" s="153"/>
    </row>
    <row r="450" spans="1:10" x14ac:dyDescent="0.25">
      <c r="A450" s="21"/>
      <c r="B450" s="21"/>
      <c r="C450" s="21"/>
      <c r="D450" s="21"/>
      <c r="E450" s="21"/>
      <c r="F450" s="21"/>
      <c r="G450" s="21"/>
      <c r="H450" s="21"/>
      <c r="I450" s="151">
        <f t="shared" si="6"/>
        <v>0</v>
      </c>
      <c r="J450" s="153"/>
    </row>
    <row r="451" spans="1:10" x14ac:dyDescent="0.25">
      <c r="A451" s="21"/>
      <c r="B451" s="21"/>
      <c r="C451" s="21"/>
      <c r="D451" s="21"/>
      <c r="E451" s="21"/>
      <c r="F451" s="21"/>
      <c r="G451" s="21"/>
      <c r="H451" s="21"/>
      <c r="I451" s="151">
        <f t="shared" ref="I451:I514" si="7">IF(J451="",SUM(G451:H451),0)</f>
        <v>0</v>
      </c>
      <c r="J451" s="153"/>
    </row>
    <row r="452" spans="1:10" x14ac:dyDescent="0.25">
      <c r="A452" s="21"/>
      <c r="B452" s="21"/>
      <c r="C452" s="21"/>
      <c r="D452" s="21"/>
      <c r="E452" s="21"/>
      <c r="F452" s="21"/>
      <c r="G452" s="21"/>
      <c r="H452" s="21"/>
      <c r="I452" s="151">
        <f t="shared" si="7"/>
        <v>0</v>
      </c>
      <c r="J452" s="153"/>
    </row>
    <row r="453" spans="1:10" x14ac:dyDescent="0.25">
      <c r="A453" s="21"/>
      <c r="B453" s="21"/>
      <c r="C453" s="21"/>
      <c r="D453" s="21"/>
      <c r="E453" s="21"/>
      <c r="F453" s="21"/>
      <c r="G453" s="21"/>
      <c r="H453" s="21"/>
      <c r="I453" s="151">
        <f t="shared" si="7"/>
        <v>0</v>
      </c>
      <c r="J453" s="153"/>
    </row>
    <row r="454" spans="1:10" x14ac:dyDescent="0.25">
      <c r="A454" s="21"/>
      <c r="B454" s="21"/>
      <c r="C454" s="21"/>
      <c r="D454" s="21"/>
      <c r="E454" s="21"/>
      <c r="F454" s="21"/>
      <c r="G454" s="21"/>
      <c r="H454" s="21"/>
      <c r="I454" s="151">
        <f t="shared" si="7"/>
        <v>0</v>
      </c>
      <c r="J454" s="153"/>
    </row>
    <row r="455" spans="1:10" x14ac:dyDescent="0.25">
      <c r="A455" s="21"/>
      <c r="B455" s="21"/>
      <c r="C455" s="21"/>
      <c r="D455" s="21"/>
      <c r="E455" s="21"/>
      <c r="F455" s="21"/>
      <c r="G455" s="21"/>
      <c r="H455" s="21"/>
      <c r="I455" s="151">
        <f t="shared" si="7"/>
        <v>0</v>
      </c>
      <c r="J455" s="153"/>
    </row>
    <row r="456" spans="1:10" x14ac:dyDescent="0.25">
      <c r="A456" s="21"/>
      <c r="B456" s="21"/>
      <c r="C456" s="21"/>
      <c r="D456" s="21"/>
      <c r="E456" s="21"/>
      <c r="F456" s="21"/>
      <c r="G456" s="21"/>
      <c r="H456" s="21"/>
      <c r="I456" s="151">
        <f t="shared" si="7"/>
        <v>0</v>
      </c>
      <c r="J456" s="153"/>
    </row>
    <row r="457" spans="1:10" x14ac:dyDescent="0.25">
      <c r="A457" s="21"/>
      <c r="B457" s="21"/>
      <c r="C457" s="21"/>
      <c r="D457" s="21"/>
      <c r="E457" s="21"/>
      <c r="F457" s="21"/>
      <c r="G457" s="21"/>
      <c r="H457" s="21"/>
      <c r="I457" s="151">
        <f t="shared" si="7"/>
        <v>0</v>
      </c>
      <c r="J457" s="153"/>
    </row>
    <row r="458" spans="1:10" x14ac:dyDescent="0.25">
      <c r="A458" s="21"/>
      <c r="B458" s="21"/>
      <c r="C458" s="21"/>
      <c r="D458" s="21"/>
      <c r="E458" s="21"/>
      <c r="F458" s="21"/>
      <c r="G458" s="21"/>
      <c r="H458" s="21"/>
      <c r="I458" s="151">
        <f t="shared" si="7"/>
        <v>0</v>
      </c>
      <c r="J458" s="153"/>
    </row>
    <row r="459" spans="1:10" x14ac:dyDescent="0.25">
      <c r="A459" s="21"/>
      <c r="B459" s="21"/>
      <c r="C459" s="21"/>
      <c r="D459" s="21"/>
      <c r="E459" s="21"/>
      <c r="F459" s="21"/>
      <c r="G459" s="21"/>
      <c r="H459" s="21"/>
      <c r="I459" s="151">
        <f t="shared" si="7"/>
        <v>0</v>
      </c>
      <c r="J459" s="153"/>
    </row>
    <row r="460" spans="1:10" x14ac:dyDescent="0.25">
      <c r="A460" s="21"/>
      <c r="B460" s="21"/>
      <c r="C460" s="21"/>
      <c r="D460" s="21"/>
      <c r="E460" s="21"/>
      <c r="F460" s="21"/>
      <c r="G460" s="21"/>
      <c r="H460" s="21"/>
      <c r="I460" s="151">
        <f t="shared" si="7"/>
        <v>0</v>
      </c>
      <c r="J460" s="153"/>
    </row>
    <row r="461" spans="1:10" x14ac:dyDescent="0.25">
      <c r="A461" s="21"/>
      <c r="B461" s="21"/>
      <c r="C461" s="21"/>
      <c r="D461" s="21"/>
      <c r="E461" s="21"/>
      <c r="F461" s="21"/>
      <c r="G461" s="21"/>
      <c r="H461" s="21"/>
      <c r="I461" s="151">
        <f t="shared" si="7"/>
        <v>0</v>
      </c>
      <c r="J461" s="153"/>
    </row>
    <row r="462" spans="1:10" x14ac:dyDescent="0.25">
      <c r="A462" s="21"/>
      <c r="B462" s="21"/>
      <c r="C462" s="21"/>
      <c r="D462" s="21"/>
      <c r="E462" s="21"/>
      <c r="F462" s="21"/>
      <c r="G462" s="21"/>
      <c r="H462" s="21"/>
      <c r="I462" s="151">
        <f t="shared" si="7"/>
        <v>0</v>
      </c>
      <c r="J462" s="153"/>
    </row>
    <row r="463" spans="1:10" x14ac:dyDescent="0.25">
      <c r="A463" s="21"/>
      <c r="B463" s="21"/>
      <c r="C463" s="21"/>
      <c r="D463" s="21"/>
      <c r="E463" s="21"/>
      <c r="F463" s="21"/>
      <c r="G463" s="21"/>
      <c r="H463" s="21"/>
      <c r="I463" s="151">
        <f t="shared" si="7"/>
        <v>0</v>
      </c>
      <c r="J463" s="153"/>
    </row>
    <row r="464" spans="1:10" x14ac:dyDescent="0.25">
      <c r="A464" s="21"/>
      <c r="B464" s="21"/>
      <c r="C464" s="21"/>
      <c r="D464" s="21"/>
      <c r="E464" s="21"/>
      <c r="F464" s="21"/>
      <c r="G464" s="21"/>
      <c r="H464" s="21"/>
      <c r="I464" s="151">
        <f t="shared" si="7"/>
        <v>0</v>
      </c>
      <c r="J464" s="153"/>
    </row>
    <row r="465" spans="1:10" x14ac:dyDescent="0.25">
      <c r="A465" s="21"/>
      <c r="B465" s="21"/>
      <c r="C465" s="21"/>
      <c r="D465" s="21"/>
      <c r="E465" s="21"/>
      <c r="F465" s="21"/>
      <c r="G465" s="21"/>
      <c r="H465" s="21"/>
      <c r="I465" s="151">
        <f t="shared" si="7"/>
        <v>0</v>
      </c>
      <c r="J465" s="153"/>
    </row>
    <row r="466" spans="1:10" x14ac:dyDescent="0.25">
      <c r="A466" s="21"/>
      <c r="B466" s="21"/>
      <c r="C466" s="21"/>
      <c r="D466" s="21"/>
      <c r="E466" s="21"/>
      <c r="F466" s="21"/>
      <c r="G466" s="21"/>
      <c r="H466" s="21"/>
      <c r="I466" s="151">
        <f t="shared" si="7"/>
        <v>0</v>
      </c>
      <c r="J466" s="153"/>
    </row>
    <row r="467" spans="1:10" x14ac:dyDescent="0.25">
      <c r="A467" s="21"/>
      <c r="B467" s="21"/>
      <c r="C467" s="21"/>
      <c r="D467" s="21"/>
      <c r="E467" s="21"/>
      <c r="F467" s="21"/>
      <c r="G467" s="21"/>
      <c r="H467" s="21"/>
      <c r="I467" s="151">
        <f t="shared" si="7"/>
        <v>0</v>
      </c>
      <c r="J467" s="153"/>
    </row>
    <row r="468" spans="1:10" x14ac:dyDescent="0.25">
      <c r="A468" s="21"/>
      <c r="B468" s="21"/>
      <c r="C468" s="21"/>
      <c r="D468" s="21"/>
      <c r="E468" s="21"/>
      <c r="F468" s="21"/>
      <c r="G468" s="21"/>
      <c r="H468" s="21"/>
      <c r="I468" s="151">
        <f t="shared" si="7"/>
        <v>0</v>
      </c>
      <c r="J468" s="153"/>
    </row>
    <row r="469" spans="1:10" x14ac:dyDescent="0.25">
      <c r="A469" s="21"/>
      <c r="B469" s="21"/>
      <c r="C469" s="21"/>
      <c r="D469" s="21"/>
      <c r="E469" s="21"/>
      <c r="F469" s="21"/>
      <c r="G469" s="21"/>
      <c r="H469" s="21"/>
      <c r="I469" s="151">
        <f t="shared" si="7"/>
        <v>0</v>
      </c>
      <c r="J469" s="153"/>
    </row>
    <row r="470" spans="1:10" x14ac:dyDescent="0.25">
      <c r="A470" s="21"/>
      <c r="B470" s="21"/>
      <c r="C470" s="21"/>
      <c r="D470" s="21"/>
      <c r="E470" s="21"/>
      <c r="F470" s="21"/>
      <c r="G470" s="21"/>
      <c r="H470" s="21"/>
      <c r="I470" s="151">
        <f t="shared" si="7"/>
        <v>0</v>
      </c>
      <c r="J470" s="153"/>
    </row>
    <row r="471" spans="1:10" x14ac:dyDescent="0.25">
      <c r="A471" s="21"/>
      <c r="B471" s="21"/>
      <c r="C471" s="21"/>
      <c r="D471" s="21"/>
      <c r="E471" s="21"/>
      <c r="F471" s="21"/>
      <c r="G471" s="21"/>
      <c r="H471" s="21"/>
      <c r="I471" s="151">
        <f t="shared" si="7"/>
        <v>0</v>
      </c>
      <c r="J471" s="153"/>
    </row>
    <row r="472" spans="1:10" x14ac:dyDescent="0.25">
      <c r="A472" s="21"/>
      <c r="B472" s="21"/>
      <c r="C472" s="21"/>
      <c r="D472" s="21"/>
      <c r="E472" s="21"/>
      <c r="F472" s="21"/>
      <c r="G472" s="21"/>
      <c r="H472" s="21"/>
      <c r="I472" s="151">
        <f t="shared" si="7"/>
        <v>0</v>
      </c>
      <c r="J472" s="153"/>
    </row>
    <row r="473" spans="1:10" x14ac:dyDescent="0.25">
      <c r="A473" s="21"/>
      <c r="B473" s="21"/>
      <c r="C473" s="21"/>
      <c r="D473" s="21"/>
      <c r="E473" s="21"/>
      <c r="F473" s="21"/>
      <c r="G473" s="21"/>
      <c r="H473" s="21"/>
      <c r="I473" s="151">
        <f t="shared" si="7"/>
        <v>0</v>
      </c>
      <c r="J473" s="153"/>
    </row>
    <row r="474" spans="1:10" x14ac:dyDescent="0.25">
      <c r="A474" s="21"/>
      <c r="B474" s="21"/>
      <c r="C474" s="21"/>
      <c r="D474" s="21"/>
      <c r="E474" s="21"/>
      <c r="F474" s="21"/>
      <c r="G474" s="21"/>
      <c r="H474" s="21"/>
      <c r="I474" s="151">
        <f t="shared" si="7"/>
        <v>0</v>
      </c>
      <c r="J474" s="153"/>
    </row>
    <row r="475" spans="1:10" x14ac:dyDescent="0.25">
      <c r="A475" s="21"/>
      <c r="B475" s="21"/>
      <c r="C475" s="21"/>
      <c r="D475" s="21"/>
      <c r="E475" s="21"/>
      <c r="F475" s="21"/>
      <c r="G475" s="21"/>
      <c r="H475" s="21"/>
      <c r="I475" s="151">
        <f t="shared" si="7"/>
        <v>0</v>
      </c>
      <c r="J475" s="153"/>
    </row>
    <row r="476" spans="1:10" x14ac:dyDescent="0.25">
      <c r="A476" s="21"/>
      <c r="B476" s="21"/>
      <c r="C476" s="21"/>
      <c r="D476" s="21"/>
      <c r="E476" s="21"/>
      <c r="F476" s="21"/>
      <c r="G476" s="21"/>
      <c r="H476" s="21"/>
      <c r="I476" s="151">
        <f t="shared" si="7"/>
        <v>0</v>
      </c>
      <c r="J476" s="153"/>
    </row>
    <row r="477" spans="1:10" x14ac:dyDescent="0.25">
      <c r="A477" s="21"/>
      <c r="B477" s="21"/>
      <c r="C477" s="21"/>
      <c r="D477" s="21"/>
      <c r="E477" s="21"/>
      <c r="F477" s="21"/>
      <c r="G477" s="21"/>
      <c r="H477" s="21"/>
      <c r="I477" s="151">
        <f t="shared" si="7"/>
        <v>0</v>
      </c>
      <c r="J477" s="153"/>
    </row>
    <row r="478" spans="1:10" x14ac:dyDescent="0.25">
      <c r="A478" s="21"/>
      <c r="B478" s="21"/>
      <c r="C478" s="21"/>
      <c r="D478" s="21"/>
      <c r="E478" s="21"/>
      <c r="F478" s="21"/>
      <c r="G478" s="21"/>
      <c r="H478" s="21"/>
      <c r="I478" s="151">
        <f t="shared" si="7"/>
        <v>0</v>
      </c>
      <c r="J478" s="153"/>
    </row>
    <row r="479" spans="1:10" x14ac:dyDescent="0.25">
      <c r="A479" s="21"/>
      <c r="B479" s="21"/>
      <c r="C479" s="21"/>
      <c r="D479" s="21"/>
      <c r="E479" s="21"/>
      <c r="F479" s="21"/>
      <c r="G479" s="21"/>
      <c r="H479" s="21"/>
      <c r="I479" s="151">
        <f t="shared" si="7"/>
        <v>0</v>
      </c>
      <c r="J479" s="153"/>
    </row>
    <row r="480" spans="1:10" x14ac:dyDescent="0.25">
      <c r="A480" s="21"/>
      <c r="B480" s="21"/>
      <c r="C480" s="21"/>
      <c r="D480" s="21"/>
      <c r="E480" s="21"/>
      <c r="F480" s="21"/>
      <c r="G480" s="21"/>
      <c r="H480" s="21"/>
      <c r="I480" s="151">
        <f t="shared" si="7"/>
        <v>0</v>
      </c>
      <c r="J480" s="153"/>
    </row>
    <row r="481" spans="1:10" x14ac:dyDescent="0.25">
      <c r="A481" s="21"/>
      <c r="B481" s="21"/>
      <c r="C481" s="21"/>
      <c r="D481" s="21"/>
      <c r="E481" s="21"/>
      <c r="F481" s="21"/>
      <c r="G481" s="21"/>
      <c r="H481" s="21"/>
      <c r="I481" s="151">
        <f t="shared" si="7"/>
        <v>0</v>
      </c>
      <c r="J481" s="153"/>
    </row>
    <row r="482" spans="1:10" x14ac:dyDescent="0.25">
      <c r="A482" s="21"/>
      <c r="B482" s="21"/>
      <c r="C482" s="21"/>
      <c r="D482" s="21"/>
      <c r="E482" s="21"/>
      <c r="F482" s="21"/>
      <c r="G482" s="21"/>
      <c r="H482" s="21"/>
      <c r="I482" s="151">
        <f t="shared" si="7"/>
        <v>0</v>
      </c>
      <c r="J482" s="153"/>
    </row>
    <row r="483" spans="1:10" x14ac:dyDescent="0.25">
      <c r="A483" s="21"/>
      <c r="B483" s="21"/>
      <c r="C483" s="21"/>
      <c r="D483" s="21"/>
      <c r="E483" s="21"/>
      <c r="F483" s="21"/>
      <c r="G483" s="21"/>
      <c r="H483" s="21"/>
      <c r="I483" s="151">
        <f t="shared" si="7"/>
        <v>0</v>
      </c>
      <c r="J483" s="153"/>
    </row>
    <row r="484" spans="1:10" x14ac:dyDescent="0.25">
      <c r="A484" s="21"/>
      <c r="B484" s="21"/>
      <c r="C484" s="21"/>
      <c r="D484" s="21"/>
      <c r="E484" s="21"/>
      <c r="F484" s="21"/>
      <c r="G484" s="21"/>
      <c r="H484" s="21"/>
      <c r="I484" s="151">
        <f t="shared" si="7"/>
        <v>0</v>
      </c>
      <c r="J484" s="153"/>
    </row>
    <row r="485" spans="1:10" x14ac:dyDescent="0.25">
      <c r="A485" s="21"/>
      <c r="B485" s="21"/>
      <c r="C485" s="21"/>
      <c r="D485" s="21"/>
      <c r="E485" s="21"/>
      <c r="F485" s="21"/>
      <c r="G485" s="21"/>
      <c r="H485" s="21"/>
      <c r="I485" s="151">
        <f t="shared" si="7"/>
        <v>0</v>
      </c>
      <c r="J485" s="153"/>
    </row>
    <row r="486" spans="1:10" x14ac:dyDescent="0.25">
      <c r="A486" s="21"/>
      <c r="B486" s="21"/>
      <c r="C486" s="21"/>
      <c r="D486" s="21"/>
      <c r="E486" s="21"/>
      <c r="F486" s="21"/>
      <c r="G486" s="21"/>
      <c r="H486" s="21"/>
      <c r="I486" s="151">
        <f t="shared" si="7"/>
        <v>0</v>
      </c>
      <c r="J486" s="153"/>
    </row>
    <row r="487" spans="1:10" x14ac:dyDescent="0.25">
      <c r="A487" s="21"/>
      <c r="B487" s="21"/>
      <c r="C487" s="21"/>
      <c r="D487" s="21"/>
      <c r="E487" s="21"/>
      <c r="F487" s="21"/>
      <c r="G487" s="21"/>
      <c r="H487" s="21"/>
      <c r="I487" s="151">
        <f t="shared" si="7"/>
        <v>0</v>
      </c>
      <c r="J487" s="153"/>
    </row>
    <row r="488" spans="1:10" x14ac:dyDescent="0.25">
      <c r="A488" s="21"/>
      <c r="B488" s="21"/>
      <c r="C488" s="21"/>
      <c r="D488" s="21"/>
      <c r="E488" s="21"/>
      <c r="F488" s="21"/>
      <c r="G488" s="21"/>
      <c r="H488" s="21"/>
      <c r="I488" s="151">
        <f t="shared" si="7"/>
        <v>0</v>
      </c>
      <c r="J488" s="153"/>
    </row>
    <row r="489" spans="1:10" x14ac:dyDescent="0.25">
      <c r="A489" s="21"/>
      <c r="B489" s="21"/>
      <c r="C489" s="21"/>
      <c r="D489" s="21"/>
      <c r="E489" s="21"/>
      <c r="F489" s="21"/>
      <c r="G489" s="21"/>
      <c r="H489" s="21"/>
      <c r="I489" s="151">
        <f t="shared" si="7"/>
        <v>0</v>
      </c>
      <c r="J489" s="153"/>
    </row>
    <row r="490" spans="1:10" x14ac:dyDescent="0.25">
      <c r="A490" s="21"/>
      <c r="B490" s="21"/>
      <c r="C490" s="21"/>
      <c r="D490" s="21"/>
      <c r="E490" s="21"/>
      <c r="F490" s="21"/>
      <c r="G490" s="21"/>
      <c r="H490" s="21"/>
      <c r="I490" s="151">
        <f t="shared" si="7"/>
        <v>0</v>
      </c>
      <c r="J490" s="153"/>
    </row>
    <row r="491" spans="1:10" x14ac:dyDescent="0.25">
      <c r="A491" s="21"/>
      <c r="B491" s="21"/>
      <c r="C491" s="21"/>
      <c r="D491" s="21"/>
      <c r="E491" s="21"/>
      <c r="F491" s="21"/>
      <c r="G491" s="21"/>
      <c r="H491" s="21"/>
      <c r="I491" s="151">
        <f t="shared" si="7"/>
        <v>0</v>
      </c>
      <c r="J491" s="153"/>
    </row>
    <row r="492" spans="1:10" x14ac:dyDescent="0.25">
      <c r="A492" s="21"/>
      <c r="B492" s="21"/>
      <c r="C492" s="21"/>
      <c r="D492" s="21"/>
      <c r="E492" s="21"/>
      <c r="F492" s="21"/>
      <c r="G492" s="21"/>
      <c r="H492" s="21"/>
      <c r="I492" s="151">
        <f t="shared" si="7"/>
        <v>0</v>
      </c>
      <c r="J492" s="153"/>
    </row>
    <row r="493" spans="1:10" x14ac:dyDescent="0.25">
      <c r="A493" s="21"/>
      <c r="B493" s="21"/>
      <c r="C493" s="21"/>
      <c r="D493" s="21"/>
      <c r="E493" s="21"/>
      <c r="F493" s="21"/>
      <c r="G493" s="21"/>
      <c r="H493" s="21"/>
      <c r="I493" s="151">
        <f t="shared" si="7"/>
        <v>0</v>
      </c>
      <c r="J493" s="153"/>
    </row>
    <row r="494" spans="1:10" x14ac:dyDescent="0.25">
      <c r="A494" s="21"/>
      <c r="B494" s="21"/>
      <c r="C494" s="21"/>
      <c r="D494" s="21"/>
      <c r="E494" s="21"/>
      <c r="F494" s="21"/>
      <c r="G494" s="21"/>
      <c r="H494" s="21"/>
      <c r="I494" s="151">
        <f t="shared" si="7"/>
        <v>0</v>
      </c>
      <c r="J494" s="153"/>
    </row>
    <row r="495" spans="1:10" x14ac:dyDescent="0.25">
      <c r="A495" s="21"/>
      <c r="B495" s="21"/>
      <c r="C495" s="21"/>
      <c r="D495" s="21"/>
      <c r="E495" s="21"/>
      <c r="F495" s="21"/>
      <c r="G495" s="21"/>
      <c r="H495" s="21"/>
      <c r="I495" s="151">
        <f t="shared" si="7"/>
        <v>0</v>
      </c>
      <c r="J495" s="153"/>
    </row>
    <row r="496" spans="1:10" x14ac:dyDescent="0.25">
      <c r="A496" s="21"/>
      <c r="B496" s="21"/>
      <c r="C496" s="21"/>
      <c r="D496" s="21"/>
      <c r="E496" s="21"/>
      <c r="F496" s="21"/>
      <c r="G496" s="21"/>
      <c r="H496" s="21"/>
      <c r="I496" s="151">
        <f t="shared" si="7"/>
        <v>0</v>
      </c>
      <c r="J496" s="153"/>
    </row>
    <row r="497" spans="1:10" x14ac:dyDescent="0.25">
      <c r="A497" s="21"/>
      <c r="B497" s="21"/>
      <c r="C497" s="21"/>
      <c r="D497" s="21"/>
      <c r="E497" s="21"/>
      <c r="F497" s="21"/>
      <c r="G497" s="21"/>
      <c r="H497" s="21"/>
      <c r="I497" s="151">
        <f t="shared" si="7"/>
        <v>0</v>
      </c>
      <c r="J497" s="153"/>
    </row>
    <row r="498" spans="1:10" x14ac:dyDescent="0.25">
      <c r="A498" s="21"/>
      <c r="B498" s="21"/>
      <c r="C498" s="21"/>
      <c r="D498" s="21"/>
      <c r="E498" s="21"/>
      <c r="F498" s="21"/>
      <c r="G498" s="21"/>
      <c r="H498" s="21"/>
      <c r="I498" s="151">
        <f t="shared" si="7"/>
        <v>0</v>
      </c>
      <c r="J498" s="153"/>
    </row>
    <row r="499" spans="1:10" x14ac:dyDescent="0.25">
      <c r="A499" s="21"/>
      <c r="B499" s="21"/>
      <c r="C499" s="21"/>
      <c r="D499" s="21"/>
      <c r="E499" s="21"/>
      <c r="F499" s="21"/>
      <c r="G499" s="21"/>
      <c r="H499" s="21"/>
      <c r="I499" s="151">
        <f t="shared" si="7"/>
        <v>0</v>
      </c>
      <c r="J499" s="153"/>
    </row>
    <row r="500" spans="1:10" x14ac:dyDescent="0.25">
      <c r="A500" s="21"/>
      <c r="B500" s="21"/>
      <c r="C500" s="21"/>
      <c r="D500" s="21"/>
      <c r="E500" s="21"/>
      <c r="F500" s="21"/>
      <c r="G500" s="21"/>
      <c r="H500" s="21"/>
      <c r="I500" s="151">
        <f t="shared" si="7"/>
        <v>0</v>
      </c>
      <c r="J500" s="153"/>
    </row>
    <row r="501" spans="1:10" x14ac:dyDescent="0.25">
      <c r="A501" s="21"/>
      <c r="B501" s="21"/>
      <c r="C501" s="21"/>
      <c r="D501" s="21"/>
      <c r="E501" s="21"/>
      <c r="F501" s="21"/>
      <c r="G501" s="21"/>
      <c r="H501" s="21"/>
      <c r="I501" s="151">
        <f t="shared" si="7"/>
        <v>0</v>
      </c>
      <c r="J501" s="153"/>
    </row>
    <row r="502" spans="1:10" x14ac:dyDescent="0.25">
      <c r="A502" s="21"/>
      <c r="B502" s="21"/>
      <c r="C502" s="21"/>
      <c r="D502" s="21"/>
      <c r="E502" s="21"/>
      <c r="F502" s="21"/>
      <c r="G502" s="21"/>
      <c r="H502" s="21"/>
      <c r="I502" s="151">
        <f t="shared" si="7"/>
        <v>0</v>
      </c>
      <c r="J502" s="153"/>
    </row>
    <row r="503" spans="1:10" x14ac:dyDescent="0.25">
      <c r="A503" s="21"/>
      <c r="B503" s="21"/>
      <c r="C503" s="21"/>
      <c r="D503" s="21"/>
      <c r="E503" s="21"/>
      <c r="F503" s="21"/>
      <c r="G503" s="21"/>
      <c r="H503" s="21"/>
      <c r="I503" s="151">
        <f t="shared" si="7"/>
        <v>0</v>
      </c>
      <c r="J503" s="153"/>
    </row>
    <row r="504" spans="1:10" x14ac:dyDescent="0.25">
      <c r="A504" s="21"/>
      <c r="B504" s="21"/>
      <c r="C504" s="21"/>
      <c r="D504" s="21"/>
      <c r="E504" s="21"/>
      <c r="F504" s="21"/>
      <c r="G504" s="21"/>
      <c r="H504" s="21"/>
      <c r="I504" s="151">
        <f t="shared" si="7"/>
        <v>0</v>
      </c>
      <c r="J504" s="153"/>
    </row>
    <row r="505" spans="1:10" x14ac:dyDescent="0.25">
      <c r="A505" s="21"/>
      <c r="B505" s="21"/>
      <c r="C505" s="21"/>
      <c r="D505" s="21"/>
      <c r="E505" s="21"/>
      <c r="F505" s="21"/>
      <c r="G505" s="21"/>
      <c r="H505" s="21"/>
      <c r="I505" s="151">
        <f t="shared" si="7"/>
        <v>0</v>
      </c>
      <c r="J505" s="153"/>
    </row>
    <row r="506" spans="1:10" x14ac:dyDescent="0.25">
      <c r="A506" s="21"/>
      <c r="B506" s="21"/>
      <c r="C506" s="21"/>
      <c r="D506" s="21"/>
      <c r="E506" s="21"/>
      <c r="F506" s="21"/>
      <c r="G506" s="21"/>
      <c r="H506" s="21"/>
      <c r="I506" s="151">
        <f t="shared" si="7"/>
        <v>0</v>
      </c>
      <c r="J506" s="153"/>
    </row>
    <row r="507" spans="1:10" x14ac:dyDescent="0.25">
      <c r="A507" s="21"/>
      <c r="B507" s="21"/>
      <c r="C507" s="21"/>
      <c r="D507" s="21"/>
      <c r="E507" s="21"/>
      <c r="F507" s="21"/>
      <c r="G507" s="21"/>
      <c r="H507" s="21"/>
      <c r="I507" s="151">
        <f t="shared" si="7"/>
        <v>0</v>
      </c>
      <c r="J507" s="153"/>
    </row>
    <row r="508" spans="1:10" x14ac:dyDescent="0.25">
      <c r="A508" s="21"/>
      <c r="B508" s="21"/>
      <c r="C508" s="21"/>
      <c r="D508" s="21"/>
      <c r="E508" s="21"/>
      <c r="F508" s="21"/>
      <c r="G508" s="21"/>
      <c r="H508" s="21"/>
      <c r="I508" s="151">
        <f t="shared" si="7"/>
        <v>0</v>
      </c>
      <c r="J508" s="153"/>
    </row>
    <row r="509" spans="1:10" x14ac:dyDescent="0.25">
      <c r="A509" s="21"/>
      <c r="B509" s="21"/>
      <c r="C509" s="21"/>
      <c r="D509" s="21"/>
      <c r="E509" s="21"/>
      <c r="F509" s="21"/>
      <c r="G509" s="21"/>
      <c r="H509" s="21"/>
      <c r="I509" s="151">
        <f t="shared" si="7"/>
        <v>0</v>
      </c>
      <c r="J509" s="153"/>
    </row>
    <row r="510" spans="1:10" x14ac:dyDescent="0.25">
      <c r="A510" s="21"/>
      <c r="B510" s="21"/>
      <c r="C510" s="21"/>
      <c r="D510" s="21"/>
      <c r="E510" s="21"/>
      <c r="F510" s="21"/>
      <c r="G510" s="21"/>
      <c r="H510" s="21"/>
      <c r="I510" s="151">
        <f t="shared" si="7"/>
        <v>0</v>
      </c>
      <c r="J510" s="153"/>
    </row>
    <row r="511" spans="1:10" x14ac:dyDescent="0.25">
      <c r="A511" s="21"/>
      <c r="B511" s="21"/>
      <c r="C511" s="21"/>
      <c r="D511" s="21"/>
      <c r="E511" s="21"/>
      <c r="F511" s="21"/>
      <c r="G511" s="21"/>
      <c r="H511" s="21"/>
      <c r="I511" s="151">
        <f t="shared" si="7"/>
        <v>0</v>
      </c>
      <c r="J511" s="153"/>
    </row>
    <row r="512" spans="1:10" x14ac:dyDescent="0.25">
      <c r="A512" s="21"/>
      <c r="B512" s="21"/>
      <c r="C512" s="21"/>
      <c r="D512" s="21"/>
      <c r="E512" s="21"/>
      <c r="F512" s="21"/>
      <c r="G512" s="21"/>
      <c r="H512" s="21"/>
      <c r="I512" s="151">
        <f t="shared" si="7"/>
        <v>0</v>
      </c>
      <c r="J512" s="153"/>
    </row>
    <row r="513" spans="1:10" x14ac:dyDescent="0.25">
      <c r="A513" s="21"/>
      <c r="B513" s="21"/>
      <c r="C513" s="21"/>
      <c r="D513" s="21"/>
      <c r="E513" s="21"/>
      <c r="F513" s="21"/>
      <c r="G513" s="21"/>
      <c r="H513" s="21"/>
      <c r="I513" s="151">
        <f t="shared" si="7"/>
        <v>0</v>
      </c>
      <c r="J513" s="153"/>
    </row>
    <row r="514" spans="1:10" x14ac:dyDescent="0.25">
      <c r="A514" s="21"/>
      <c r="B514" s="21"/>
      <c r="C514" s="21"/>
      <c r="D514" s="21"/>
      <c r="E514" s="21"/>
      <c r="F514" s="21"/>
      <c r="G514" s="21"/>
      <c r="H514" s="21"/>
      <c r="I514" s="151">
        <f t="shared" si="7"/>
        <v>0</v>
      </c>
      <c r="J514" s="153"/>
    </row>
    <row r="515" spans="1:10" x14ac:dyDescent="0.25">
      <c r="A515" s="21"/>
      <c r="B515" s="21"/>
      <c r="C515" s="21"/>
      <c r="D515" s="21"/>
      <c r="E515" s="21"/>
      <c r="F515" s="21"/>
      <c r="G515" s="21"/>
      <c r="H515" s="21"/>
      <c r="I515" s="151">
        <f t="shared" ref="I515:I578" si="8">IF(J515="",SUM(G515:H515),0)</f>
        <v>0</v>
      </c>
      <c r="J515" s="153"/>
    </row>
    <row r="516" spans="1:10" x14ac:dyDescent="0.25">
      <c r="A516" s="21"/>
      <c r="B516" s="21"/>
      <c r="C516" s="21"/>
      <c r="D516" s="21"/>
      <c r="E516" s="21"/>
      <c r="F516" s="21"/>
      <c r="G516" s="21"/>
      <c r="H516" s="21"/>
      <c r="I516" s="151">
        <f t="shared" si="8"/>
        <v>0</v>
      </c>
      <c r="J516" s="153"/>
    </row>
    <row r="517" spans="1:10" x14ac:dyDescent="0.25">
      <c r="A517" s="21"/>
      <c r="B517" s="21"/>
      <c r="C517" s="21"/>
      <c r="D517" s="21"/>
      <c r="E517" s="21"/>
      <c r="F517" s="21"/>
      <c r="G517" s="21"/>
      <c r="H517" s="21"/>
      <c r="I517" s="151">
        <f t="shared" si="8"/>
        <v>0</v>
      </c>
      <c r="J517" s="153"/>
    </row>
    <row r="518" spans="1:10" x14ac:dyDescent="0.25">
      <c r="A518" s="21"/>
      <c r="B518" s="21"/>
      <c r="C518" s="21"/>
      <c r="D518" s="21"/>
      <c r="E518" s="21"/>
      <c r="F518" s="21"/>
      <c r="G518" s="21"/>
      <c r="H518" s="21"/>
      <c r="I518" s="151">
        <f t="shared" si="8"/>
        <v>0</v>
      </c>
      <c r="J518" s="153"/>
    </row>
    <row r="519" spans="1:10" x14ac:dyDescent="0.25">
      <c r="A519" s="21"/>
      <c r="B519" s="21"/>
      <c r="C519" s="21"/>
      <c r="D519" s="21"/>
      <c r="E519" s="21"/>
      <c r="F519" s="21"/>
      <c r="G519" s="21"/>
      <c r="H519" s="21"/>
      <c r="I519" s="151">
        <f t="shared" si="8"/>
        <v>0</v>
      </c>
      <c r="J519" s="153"/>
    </row>
    <row r="520" spans="1:10" x14ac:dyDescent="0.25">
      <c r="A520" s="21"/>
      <c r="B520" s="21"/>
      <c r="C520" s="21"/>
      <c r="D520" s="21"/>
      <c r="E520" s="21"/>
      <c r="F520" s="21"/>
      <c r="G520" s="21"/>
      <c r="H520" s="21"/>
      <c r="I520" s="151">
        <f t="shared" si="8"/>
        <v>0</v>
      </c>
      <c r="J520" s="153"/>
    </row>
    <row r="521" spans="1:10" x14ac:dyDescent="0.25">
      <c r="A521" s="21"/>
      <c r="B521" s="21"/>
      <c r="C521" s="21"/>
      <c r="D521" s="21"/>
      <c r="E521" s="21"/>
      <c r="F521" s="21"/>
      <c r="G521" s="21"/>
      <c r="H521" s="21"/>
      <c r="I521" s="151">
        <f t="shared" si="8"/>
        <v>0</v>
      </c>
      <c r="J521" s="153"/>
    </row>
    <row r="522" spans="1:10" x14ac:dyDescent="0.25">
      <c r="A522" s="21"/>
      <c r="B522" s="21"/>
      <c r="C522" s="21"/>
      <c r="D522" s="21"/>
      <c r="E522" s="21"/>
      <c r="F522" s="21"/>
      <c r="G522" s="21"/>
      <c r="H522" s="21"/>
      <c r="I522" s="151">
        <f t="shared" si="8"/>
        <v>0</v>
      </c>
      <c r="J522" s="153"/>
    </row>
    <row r="523" spans="1:10" x14ac:dyDescent="0.25">
      <c r="A523" s="21"/>
      <c r="B523" s="21"/>
      <c r="C523" s="21"/>
      <c r="D523" s="21"/>
      <c r="E523" s="21"/>
      <c r="F523" s="21"/>
      <c r="G523" s="21"/>
      <c r="H523" s="21"/>
      <c r="I523" s="151">
        <f t="shared" si="8"/>
        <v>0</v>
      </c>
      <c r="J523" s="153"/>
    </row>
    <row r="524" spans="1:10" x14ac:dyDescent="0.25">
      <c r="A524" s="21"/>
      <c r="B524" s="21"/>
      <c r="C524" s="21"/>
      <c r="D524" s="21"/>
      <c r="E524" s="21"/>
      <c r="F524" s="21"/>
      <c r="G524" s="21"/>
      <c r="H524" s="21"/>
      <c r="I524" s="151">
        <f t="shared" si="8"/>
        <v>0</v>
      </c>
      <c r="J524" s="153"/>
    </row>
    <row r="525" spans="1:10" x14ac:dyDescent="0.25">
      <c r="A525" s="21"/>
      <c r="B525" s="21"/>
      <c r="C525" s="21"/>
      <c r="D525" s="21"/>
      <c r="E525" s="21"/>
      <c r="F525" s="21"/>
      <c r="G525" s="21"/>
      <c r="H525" s="21"/>
      <c r="I525" s="151">
        <f t="shared" si="8"/>
        <v>0</v>
      </c>
      <c r="J525" s="153"/>
    </row>
    <row r="526" spans="1:10" x14ac:dyDescent="0.25">
      <c r="A526" s="21"/>
      <c r="B526" s="21"/>
      <c r="C526" s="21"/>
      <c r="D526" s="21"/>
      <c r="E526" s="21"/>
      <c r="F526" s="21"/>
      <c r="G526" s="21"/>
      <c r="H526" s="21"/>
      <c r="I526" s="151">
        <f t="shared" si="8"/>
        <v>0</v>
      </c>
      <c r="J526" s="153"/>
    </row>
    <row r="527" spans="1:10" x14ac:dyDescent="0.25">
      <c r="A527" s="21"/>
      <c r="B527" s="21"/>
      <c r="C527" s="21"/>
      <c r="D527" s="21"/>
      <c r="E527" s="21"/>
      <c r="F527" s="21"/>
      <c r="G527" s="21"/>
      <c r="H527" s="21"/>
      <c r="I527" s="151">
        <f t="shared" si="8"/>
        <v>0</v>
      </c>
      <c r="J527" s="153"/>
    </row>
    <row r="528" spans="1:10" x14ac:dyDescent="0.25">
      <c r="A528" s="21"/>
      <c r="B528" s="21"/>
      <c r="C528" s="21"/>
      <c r="D528" s="21"/>
      <c r="E528" s="21"/>
      <c r="F528" s="21"/>
      <c r="G528" s="21"/>
      <c r="H528" s="21"/>
      <c r="I528" s="151">
        <f t="shared" si="8"/>
        <v>0</v>
      </c>
      <c r="J528" s="153"/>
    </row>
    <row r="529" spans="1:10" x14ac:dyDescent="0.25">
      <c r="A529" s="21"/>
      <c r="B529" s="21"/>
      <c r="C529" s="21"/>
      <c r="D529" s="21"/>
      <c r="E529" s="21"/>
      <c r="F529" s="21"/>
      <c r="G529" s="21"/>
      <c r="H529" s="21"/>
      <c r="I529" s="151">
        <f t="shared" si="8"/>
        <v>0</v>
      </c>
      <c r="J529" s="153"/>
    </row>
    <row r="530" spans="1:10" x14ac:dyDescent="0.25">
      <c r="A530" s="21"/>
      <c r="B530" s="21"/>
      <c r="C530" s="21"/>
      <c r="D530" s="21"/>
      <c r="E530" s="21"/>
      <c r="F530" s="21"/>
      <c r="G530" s="21"/>
      <c r="H530" s="21"/>
      <c r="I530" s="151">
        <f t="shared" si="8"/>
        <v>0</v>
      </c>
      <c r="J530" s="153"/>
    </row>
    <row r="531" spans="1:10" x14ac:dyDescent="0.25">
      <c r="A531" s="21"/>
      <c r="B531" s="21"/>
      <c r="C531" s="21"/>
      <c r="D531" s="21"/>
      <c r="E531" s="21"/>
      <c r="F531" s="21"/>
      <c r="G531" s="21"/>
      <c r="H531" s="21"/>
      <c r="I531" s="151">
        <f t="shared" si="8"/>
        <v>0</v>
      </c>
      <c r="J531" s="153"/>
    </row>
    <row r="532" spans="1:10" x14ac:dyDescent="0.25">
      <c r="A532" s="21"/>
      <c r="B532" s="21"/>
      <c r="C532" s="21"/>
      <c r="D532" s="21"/>
      <c r="E532" s="21"/>
      <c r="F532" s="21"/>
      <c r="G532" s="21"/>
      <c r="H532" s="21"/>
      <c r="I532" s="151">
        <f t="shared" si="8"/>
        <v>0</v>
      </c>
      <c r="J532" s="153"/>
    </row>
    <row r="533" spans="1:10" x14ac:dyDescent="0.25">
      <c r="A533" s="21"/>
      <c r="B533" s="21"/>
      <c r="C533" s="21"/>
      <c r="D533" s="21"/>
      <c r="E533" s="21"/>
      <c r="F533" s="21"/>
      <c r="G533" s="21"/>
      <c r="H533" s="21"/>
      <c r="I533" s="151">
        <f t="shared" si="8"/>
        <v>0</v>
      </c>
      <c r="J533" s="153"/>
    </row>
    <row r="534" spans="1:10" x14ac:dyDescent="0.25">
      <c r="A534" s="21"/>
      <c r="B534" s="21"/>
      <c r="C534" s="21"/>
      <c r="D534" s="21"/>
      <c r="E534" s="21"/>
      <c r="F534" s="21"/>
      <c r="G534" s="21"/>
      <c r="H534" s="21"/>
      <c r="I534" s="151">
        <f t="shared" si="8"/>
        <v>0</v>
      </c>
      <c r="J534" s="153"/>
    </row>
    <row r="535" spans="1:10" x14ac:dyDescent="0.25">
      <c r="A535" s="21"/>
      <c r="B535" s="21"/>
      <c r="C535" s="21"/>
      <c r="D535" s="21"/>
      <c r="E535" s="21"/>
      <c r="F535" s="21"/>
      <c r="G535" s="21"/>
      <c r="H535" s="21"/>
      <c r="I535" s="151">
        <f t="shared" si="8"/>
        <v>0</v>
      </c>
      <c r="J535" s="153"/>
    </row>
    <row r="536" spans="1:10" x14ac:dyDescent="0.25">
      <c r="A536" s="21"/>
      <c r="B536" s="21"/>
      <c r="C536" s="21"/>
      <c r="D536" s="21"/>
      <c r="E536" s="21"/>
      <c r="F536" s="21"/>
      <c r="G536" s="21"/>
      <c r="H536" s="21"/>
      <c r="I536" s="151">
        <f t="shared" si="8"/>
        <v>0</v>
      </c>
      <c r="J536" s="153"/>
    </row>
    <row r="537" spans="1:10" x14ac:dyDescent="0.25">
      <c r="A537" s="21"/>
      <c r="B537" s="21"/>
      <c r="C537" s="21"/>
      <c r="D537" s="21"/>
      <c r="E537" s="21"/>
      <c r="F537" s="21"/>
      <c r="G537" s="21"/>
      <c r="H537" s="21"/>
      <c r="I537" s="151">
        <f t="shared" si="8"/>
        <v>0</v>
      </c>
      <c r="J537" s="153"/>
    </row>
    <row r="538" spans="1:10" x14ac:dyDescent="0.25">
      <c r="A538" s="21"/>
      <c r="B538" s="21"/>
      <c r="C538" s="21"/>
      <c r="D538" s="21"/>
      <c r="E538" s="21"/>
      <c r="F538" s="21"/>
      <c r="G538" s="21"/>
      <c r="H538" s="21"/>
      <c r="I538" s="151">
        <f t="shared" si="8"/>
        <v>0</v>
      </c>
      <c r="J538" s="153"/>
    </row>
    <row r="539" spans="1:10" x14ac:dyDescent="0.25">
      <c r="A539" s="21"/>
      <c r="B539" s="21"/>
      <c r="C539" s="21"/>
      <c r="D539" s="21"/>
      <c r="E539" s="21"/>
      <c r="F539" s="21"/>
      <c r="G539" s="21"/>
      <c r="H539" s="21"/>
      <c r="I539" s="151">
        <f t="shared" si="8"/>
        <v>0</v>
      </c>
      <c r="J539" s="153"/>
    </row>
    <row r="540" spans="1:10" x14ac:dyDescent="0.25">
      <c r="A540" s="21"/>
      <c r="B540" s="21"/>
      <c r="C540" s="21"/>
      <c r="D540" s="21"/>
      <c r="E540" s="21"/>
      <c r="F540" s="21"/>
      <c r="G540" s="21"/>
      <c r="H540" s="21"/>
      <c r="I540" s="151">
        <f t="shared" si="8"/>
        <v>0</v>
      </c>
      <c r="J540" s="153"/>
    </row>
    <row r="541" spans="1:10" x14ac:dyDescent="0.25">
      <c r="A541" s="21"/>
      <c r="B541" s="21"/>
      <c r="C541" s="21"/>
      <c r="D541" s="21"/>
      <c r="E541" s="21"/>
      <c r="F541" s="21"/>
      <c r="G541" s="21"/>
      <c r="H541" s="21"/>
      <c r="I541" s="151">
        <f t="shared" si="8"/>
        <v>0</v>
      </c>
      <c r="J541" s="153"/>
    </row>
    <row r="542" spans="1:10" x14ac:dyDescent="0.25">
      <c r="A542" s="21"/>
      <c r="B542" s="21"/>
      <c r="C542" s="21"/>
      <c r="D542" s="21"/>
      <c r="E542" s="21"/>
      <c r="F542" s="21"/>
      <c r="G542" s="21"/>
      <c r="H542" s="21"/>
      <c r="I542" s="151">
        <f t="shared" si="8"/>
        <v>0</v>
      </c>
      <c r="J542" s="153"/>
    </row>
    <row r="543" spans="1:10" x14ac:dyDescent="0.25">
      <c r="A543" s="21"/>
      <c r="B543" s="21"/>
      <c r="C543" s="21"/>
      <c r="D543" s="21"/>
      <c r="E543" s="21"/>
      <c r="F543" s="21"/>
      <c r="G543" s="21"/>
      <c r="H543" s="21"/>
      <c r="I543" s="151">
        <f t="shared" si="8"/>
        <v>0</v>
      </c>
      <c r="J543" s="153"/>
    </row>
    <row r="544" spans="1:10" x14ac:dyDescent="0.25">
      <c r="A544" s="21"/>
      <c r="B544" s="21"/>
      <c r="C544" s="21"/>
      <c r="D544" s="21"/>
      <c r="E544" s="21"/>
      <c r="F544" s="21"/>
      <c r="G544" s="21"/>
      <c r="H544" s="21"/>
      <c r="I544" s="151">
        <f t="shared" si="8"/>
        <v>0</v>
      </c>
      <c r="J544" s="153"/>
    </row>
    <row r="545" spans="1:10" x14ac:dyDescent="0.25">
      <c r="A545" s="21"/>
      <c r="B545" s="21"/>
      <c r="C545" s="21"/>
      <c r="D545" s="21"/>
      <c r="E545" s="21"/>
      <c r="F545" s="21"/>
      <c r="G545" s="21"/>
      <c r="H545" s="21"/>
      <c r="I545" s="151">
        <f t="shared" si="8"/>
        <v>0</v>
      </c>
      <c r="J545" s="153"/>
    </row>
    <row r="546" spans="1:10" x14ac:dyDescent="0.25">
      <c r="A546" s="21"/>
      <c r="B546" s="21"/>
      <c r="C546" s="21"/>
      <c r="D546" s="21"/>
      <c r="E546" s="21"/>
      <c r="F546" s="21"/>
      <c r="G546" s="21"/>
      <c r="H546" s="21"/>
      <c r="I546" s="151">
        <f t="shared" si="8"/>
        <v>0</v>
      </c>
      <c r="J546" s="153"/>
    </row>
    <row r="547" spans="1:10" x14ac:dyDescent="0.25">
      <c r="A547" s="21"/>
      <c r="B547" s="21"/>
      <c r="C547" s="21"/>
      <c r="D547" s="21"/>
      <c r="E547" s="21"/>
      <c r="F547" s="21"/>
      <c r="G547" s="21"/>
      <c r="H547" s="21"/>
      <c r="I547" s="151">
        <f t="shared" si="8"/>
        <v>0</v>
      </c>
      <c r="J547" s="153"/>
    </row>
    <row r="548" spans="1:10" x14ac:dyDescent="0.25">
      <c r="A548" s="21"/>
      <c r="B548" s="21"/>
      <c r="C548" s="21"/>
      <c r="D548" s="21"/>
      <c r="E548" s="21"/>
      <c r="F548" s="21"/>
      <c r="G548" s="21"/>
      <c r="H548" s="21"/>
      <c r="I548" s="151">
        <f t="shared" si="8"/>
        <v>0</v>
      </c>
      <c r="J548" s="153"/>
    </row>
    <row r="549" spans="1:10" x14ac:dyDescent="0.25">
      <c r="A549" s="21"/>
      <c r="B549" s="21"/>
      <c r="C549" s="21"/>
      <c r="D549" s="21"/>
      <c r="E549" s="21"/>
      <c r="F549" s="21"/>
      <c r="G549" s="21"/>
      <c r="H549" s="21"/>
      <c r="I549" s="151">
        <f t="shared" si="8"/>
        <v>0</v>
      </c>
      <c r="J549" s="153"/>
    </row>
    <row r="550" spans="1:10" x14ac:dyDescent="0.25">
      <c r="A550" s="21"/>
      <c r="B550" s="21"/>
      <c r="C550" s="21"/>
      <c r="D550" s="21"/>
      <c r="E550" s="21"/>
      <c r="F550" s="21"/>
      <c r="G550" s="21"/>
      <c r="H550" s="21"/>
      <c r="I550" s="151">
        <f t="shared" si="8"/>
        <v>0</v>
      </c>
      <c r="J550" s="153"/>
    </row>
    <row r="551" spans="1:10" x14ac:dyDescent="0.25">
      <c r="A551" s="21"/>
      <c r="B551" s="21"/>
      <c r="C551" s="21"/>
      <c r="D551" s="21"/>
      <c r="E551" s="21"/>
      <c r="F551" s="21"/>
      <c r="G551" s="21"/>
      <c r="H551" s="21"/>
      <c r="I551" s="151">
        <f t="shared" si="8"/>
        <v>0</v>
      </c>
      <c r="J551" s="153"/>
    </row>
    <row r="552" spans="1:10" x14ac:dyDescent="0.25">
      <c r="A552" s="21"/>
      <c r="B552" s="21"/>
      <c r="C552" s="21"/>
      <c r="D552" s="21"/>
      <c r="E552" s="21"/>
      <c r="F552" s="21"/>
      <c r="G552" s="21"/>
      <c r="H552" s="21"/>
      <c r="I552" s="151">
        <f t="shared" si="8"/>
        <v>0</v>
      </c>
      <c r="J552" s="153"/>
    </row>
    <row r="553" spans="1:10" x14ac:dyDescent="0.25">
      <c r="A553" s="21"/>
      <c r="B553" s="21"/>
      <c r="C553" s="21"/>
      <c r="D553" s="21"/>
      <c r="E553" s="21"/>
      <c r="F553" s="21"/>
      <c r="G553" s="21"/>
      <c r="H553" s="21"/>
      <c r="I553" s="151">
        <f t="shared" si="8"/>
        <v>0</v>
      </c>
      <c r="J553" s="153"/>
    </row>
    <row r="554" spans="1:10" x14ac:dyDescent="0.25">
      <c r="A554" s="21"/>
      <c r="B554" s="21"/>
      <c r="C554" s="21"/>
      <c r="D554" s="21"/>
      <c r="E554" s="21"/>
      <c r="F554" s="21"/>
      <c r="G554" s="21"/>
      <c r="H554" s="21"/>
      <c r="I554" s="151">
        <f t="shared" si="8"/>
        <v>0</v>
      </c>
      <c r="J554" s="153"/>
    </row>
    <row r="555" spans="1:10" x14ac:dyDescent="0.25">
      <c r="A555" s="21"/>
      <c r="B555" s="21"/>
      <c r="C555" s="21"/>
      <c r="D555" s="21"/>
      <c r="E555" s="21"/>
      <c r="F555" s="21"/>
      <c r="G555" s="21"/>
      <c r="H555" s="21"/>
      <c r="I555" s="151">
        <f t="shared" si="8"/>
        <v>0</v>
      </c>
      <c r="J555" s="153"/>
    </row>
    <row r="556" spans="1:10" x14ac:dyDescent="0.25">
      <c r="A556" s="21"/>
      <c r="B556" s="21"/>
      <c r="C556" s="21"/>
      <c r="D556" s="21"/>
      <c r="E556" s="21"/>
      <c r="F556" s="21"/>
      <c r="G556" s="21"/>
      <c r="H556" s="21"/>
      <c r="I556" s="151">
        <f t="shared" si="8"/>
        <v>0</v>
      </c>
      <c r="J556" s="153"/>
    </row>
    <row r="557" spans="1:10" x14ac:dyDescent="0.25">
      <c r="A557" s="21"/>
      <c r="B557" s="21"/>
      <c r="C557" s="21"/>
      <c r="D557" s="21"/>
      <c r="E557" s="21"/>
      <c r="F557" s="21"/>
      <c r="G557" s="21"/>
      <c r="H557" s="21"/>
      <c r="I557" s="151">
        <f t="shared" si="8"/>
        <v>0</v>
      </c>
      <c r="J557" s="153"/>
    </row>
    <row r="558" spans="1:10" x14ac:dyDescent="0.25">
      <c r="A558" s="21"/>
      <c r="B558" s="21"/>
      <c r="C558" s="21"/>
      <c r="D558" s="21"/>
      <c r="E558" s="21"/>
      <c r="F558" s="21"/>
      <c r="G558" s="21"/>
      <c r="H558" s="21"/>
      <c r="I558" s="151">
        <f t="shared" si="8"/>
        <v>0</v>
      </c>
      <c r="J558" s="153"/>
    </row>
    <row r="559" spans="1:10" x14ac:dyDescent="0.25">
      <c r="A559" s="21"/>
      <c r="B559" s="21"/>
      <c r="C559" s="21"/>
      <c r="D559" s="21"/>
      <c r="E559" s="21"/>
      <c r="F559" s="21"/>
      <c r="G559" s="21"/>
      <c r="H559" s="21"/>
      <c r="I559" s="151">
        <f t="shared" si="8"/>
        <v>0</v>
      </c>
      <c r="J559" s="153"/>
    </row>
    <row r="560" spans="1:10" x14ac:dyDescent="0.25">
      <c r="A560" s="21"/>
      <c r="B560" s="21"/>
      <c r="C560" s="21"/>
      <c r="D560" s="21"/>
      <c r="E560" s="21"/>
      <c r="F560" s="21"/>
      <c r="G560" s="21"/>
      <c r="H560" s="21"/>
      <c r="I560" s="151">
        <f t="shared" si="8"/>
        <v>0</v>
      </c>
      <c r="J560" s="153"/>
    </row>
    <row r="561" spans="1:10" x14ac:dyDescent="0.25">
      <c r="A561" s="21"/>
      <c r="B561" s="21"/>
      <c r="C561" s="21"/>
      <c r="D561" s="21"/>
      <c r="E561" s="21"/>
      <c r="F561" s="21"/>
      <c r="G561" s="21"/>
      <c r="H561" s="21"/>
      <c r="I561" s="151">
        <f t="shared" si="8"/>
        <v>0</v>
      </c>
      <c r="J561" s="153"/>
    </row>
    <row r="562" spans="1:10" x14ac:dyDescent="0.25">
      <c r="A562" s="21"/>
      <c r="B562" s="21"/>
      <c r="C562" s="21"/>
      <c r="D562" s="21"/>
      <c r="E562" s="21"/>
      <c r="F562" s="21"/>
      <c r="G562" s="21"/>
      <c r="H562" s="21"/>
      <c r="I562" s="151">
        <f t="shared" si="8"/>
        <v>0</v>
      </c>
      <c r="J562" s="153"/>
    </row>
    <row r="563" spans="1:10" x14ac:dyDescent="0.25">
      <c r="A563" s="21"/>
      <c r="B563" s="21"/>
      <c r="C563" s="21"/>
      <c r="D563" s="21"/>
      <c r="E563" s="21"/>
      <c r="F563" s="21"/>
      <c r="G563" s="21"/>
      <c r="H563" s="21"/>
      <c r="I563" s="151">
        <f t="shared" si="8"/>
        <v>0</v>
      </c>
      <c r="J563" s="153"/>
    </row>
    <row r="564" spans="1:10" x14ac:dyDescent="0.25">
      <c r="A564" s="21"/>
      <c r="B564" s="21"/>
      <c r="C564" s="21"/>
      <c r="D564" s="21"/>
      <c r="E564" s="21"/>
      <c r="F564" s="21"/>
      <c r="G564" s="21"/>
      <c r="H564" s="21"/>
      <c r="I564" s="151">
        <f t="shared" si="8"/>
        <v>0</v>
      </c>
      <c r="J564" s="153"/>
    </row>
    <row r="565" spans="1:10" x14ac:dyDescent="0.25">
      <c r="A565" s="21"/>
      <c r="B565" s="21"/>
      <c r="C565" s="21"/>
      <c r="D565" s="21"/>
      <c r="E565" s="21"/>
      <c r="F565" s="21"/>
      <c r="G565" s="21"/>
      <c r="H565" s="21"/>
      <c r="I565" s="151">
        <f t="shared" si="8"/>
        <v>0</v>
      </c>
      <c r="J565" s="153"/>
    </row>
    <row r="566" spans="1:10" x14ac:dyDescent="0.25">
      <c r="A566" s="21"/>
      <c r="B566" s="21"/>
      <c r="C566" s="21"/>
      <c r="D566" s="21"/>
      <c r="E566" s="21"/>
      <c r="F566" s="21"/>
      <c r="G566" s="21"/>
      <c r="H566" s="21"/>
      <c r="I566" s="151">
        <f t="shared" si="8"/>
        <v>0</v>
      </c>
      <c r="J566" s="153"/>
    </row>
    <row r="567" spans="1:10" x14ac:dyDescent="0.25">
      <c r="A567" s="21"/>
      <c r="B567" s="21"/>
      <c r="C567" s="21"/>
      <c r="D567" s="21"/>
      <c r="E567" s="21"/>
      <c r="F567" s="21"/>
      <c r="G567" s="21"/>
      <c r="H567" s="21"/>
      <c r="I567" s="151">
        <f t="shared" si="8"/>
        <v>0</v>
      </c>
      <c r="J567" s="153"/>
    </row>
    <row r="568" spans="1:10" x14ac:dyDescent="0.25">
      <c r="A568" s="21"/>
      <c r="B568" s="21"/>
      <c r="C568" s="21"/>
      <c r="D568" s="21"/>
      <c r="E568" s="21"/>
      <c r="F568" s="21"/>
      <c r="G568" s="21"/>
      <c r="H568" s="21"/>
      <c r="I568" s="151">
        <f t="shared" si="8"/>
        <v>0</v>
      </c>
      <c r="J568" s="153"/>
    </row>
    <row r="569" spans="1:10" x14ac:dyDescent="0.25">
      <c r="A569" s="21"/>
      <c r="B569" s="21"/>
      <c r="C569" s="21"/>
      <c r="D569" s="21"/>
      <c r="E569" s="21"/>
      <c r="F569" s="21"/>
      <c r="G569" s="21"/>
      <c r="H569" s="21"/>
      <c r="I569" s="151">
        <f t="shared" si="8"/>
        <v>0</v>
      </c>
      <c r="J569" s="153"/>
    </row>
    <row r="570" spans="1:10" x14ac:dyDescent="0.25">
      <c r="A570" s="21"/>
      <c r="B570" s="21"/>
      <c r="C570" s="21"/>
      <c r="D570" s="21"/>
      <c r="E570" s="21"/>
      <c r="F570" s="21"/>
      <c r="G570" s="21"/>
      <c r="H570" s="21"/>
      <c r="I570" s="151">
        <f t="shared" si="8"/>
        <v>0</v>
      </c>
      <c r="J570" s="153"/>
    </row>
    <row r="571" spans="1:10" x14ac:dyDescent="0.25">
      <c r="A571" s="21"/>
      <c r="B571" s="21"/>
      <c r="C571" s="21"/>
      <c r="D571" s="21"/>
      <c r="E571" s="21"/>
      <c r="F571" s="21"/>
      <c r="G571" s="21"/>
      <c r="H571" s="21"/>
      <c r="I571" s="151">
        <f t="shared" si="8"/>
        <v>0</v>
      </c>
      <c r="J571" s="153"/>
    </row>
    <row r="572" spans="1:10" x14ac:dyDescent="0.25">
      <c r="A572" s="21"/>
      <c r="B572" s="21"/>
      <c r="C572" s="21"/>
      <c r="D572" s="21"/>
      <c r="E572" s="21"/>
      <c r="F572" s="21"/>
      <c r="G572" s="21"/>
      <c r="H572" s="21"/>
      <c r="I572" s="151">
        <f t="shared" si="8"/>
        <v>0</v>
      </c>
      <c r="J572" s="153"/>
    </row>
    <row r="573" spans="1:10" x14ac:dyDescent="0.25">
      <c r="A573" s="21"/>
      <c r="B573" s="21"/>
      <c r="C573" s="21"/>
      <c r="D573" s="21"/>
      <c r="E573" s="21"/>
      <c r="F573" s="21"/>
      <c r="G573" s="21"/>
      <c r="H573" s="21"/>
      <c r="I573" s="151">
        <f t="shared" si="8"/>
        <v>0</v>
      </c>
      <c r="J573" s="153"/>
    </row>
    <row r="574" spans="1:10" x14ac:dyDescent="0.25">
      <c r="A574" s="21"/>
      <c r="B574" s="21"/>
      <c r="C574" s="21"/>
      <c r="D574" s="21"/>
      <c r="E574" s="21"/>
      <c r="F574" s="21"/>
      <c r="G574" s="21"/>
      <c r="H574" s="21"/>
      <c r="I574" s="151">
        <f t="shared" si="8"/>
        <v>0</v>
      </c>
      <c r="J574" s="153"/>
    </row>
    <row r="575" spans="1:10" x14ac:dyDescent="0.25">
      <c r="A575" s="21"/>
      <c r="B575" s="21"/>
      <c r="C575" s="21"/>
      <c r="D575" s="21"/>
      <c r="E575" s="21"/>
      <c r="F575" s="21"/>
      <c r="G575" s="21"/>
      <c r="H575" s="21"/>
      <c r="I575" s="151">
        <f t="shared" si="8"/>
        <v>0</v>
      </c>
      <c r="J575" s="153"/>
    </row>
    <row r="576" spans="1:10" x14ac:dyDescent="0.25">
      <c r="A576" s="21"/>
      <c r="B576" s="21"/>
      <c r="C576" s="21"/>
      <c r="D576" s="21"/>
      <c r="E576" s="21"/>
      <c r="F576" s="21"/>
      <c r="G576" s="21"/>
      <c r="H576" s="21"/>
      <c r="I576" s="151">
        <f t="shared" si="8"/>
        <v>0</v>
      </c>
      <c r="J576" s="153"/>
    </row>
    <row r="577" spans="1:10" x14ac:dyDescent="0.25">
      <c r="A577" s="21"/>
      <c r="B577" s="21"/>
      <c r="C577" s="21"/>
      <c r="D577" s="21"/>
      <c r="E577" s="21"/>
      <c r="F577" s="21"/>
      <c r="G577" s="21"/>
      <c r="H577" s="21"/>
      <c r="I577" s="151">
        <f t="shared" si="8"/>
        <v>0</v>
      </c>
      <c r="J577" s="153"/>
    </row>
    <row r="578" spans="1:10" x14ac:dyDescent="0.25">
      <c r="A578" s="21"/>
      <c r="B578" s="21"/>
      <c r="C578" s="21"/>
      <c r="D578" s="21"/>
      <c r="E578" s="21"/>
      <c r="F578" s="21"/>
      <c r="G578" s="21"/>
      <c r="H578" s="21"/>
      <c r="I578" s="151">
        <f t="shared" si="8"/>
        <v>0</v>
      </c>
      <c r="J578" s="153"/>
    </row>
    <row r="579" spans="1:10" x14ac:dyDescent="0.25">
      <c r="A579" s="21"/>
      <c r="B579" s="21"/>
      <c r="C579" s="21"/>
      <c r="D579" s="21"/>
      <c r="E579" s="21"/>
      <c r="F579" s="21"/>
      <c r="G579" s="21"/>
      <c r="H579" s="21"/>
      <c r="I579" s="151">
        <f t="shared" ref="I579:I642" si="9">IF(J579="",SUM(G579:H579),0)</f>
        <v>0</v>
      </c>
      <c r="J579" s="153"/>
    </row>
    <row r="580" spans="1:10" x14ac:dyDescent="0.25">
      <c r="A580" s="21"/>
      <c r="B580" s="21"/>
      <c r="C580" s="21"/>
      <c r="D580" s="21"/>
      <c r="E580" s="21"/>
      <c r="F580" s="21"/>
      <c r="G580" s="21"/>
      <c r="H580" s="21"/>
      <c r="I580" s="151">
        <f t="shared" si="9"/>
        <v>0</v>
      </c>
      <c r="J580" s="153"/>
    </row>
    <row r="581" spans="1:10" x14ac:dyDescent="0.25">
      <c r="A581" s="21"/>
      <c r="B581" s="21"/>
      <c r="C581" s="21"/>
      <c r="D581" s="21"/>
      <c r="E581" s="21"/>
      <c r="F581" s="21"/>
      <c r="G581" s="21"/>
      <c r="H581" s="21"/>
      <c r="I581" s="151">
        <f t="shared" si="9"/>
        <v>0</v>
      </c>
      <c r="J581" s="153"/>
    </row>
    <row r="582" spans="1:10" x14ac:dyDescent="0.25">
      <c r="A582" s="21"/>
      <c r="B582" s="21"/>
      <c r="C582" s="21"/>
      <c r="D582" s="21"/>
      <c r="E582" s="21"/>
      <c r="F582" s="21"/>
      <c r="G582" s="21"/>
      <c r="H582" s="21"/>
      <c r="I582" s="151">
        <f t="shared" si="9"/>
        <v>0</v>
      </c>
      <c r="J582" s="153"/>
    </row>
    <row r="583" spans="1:10" x14ac:dyDescent="0.25">
      <c r="A583" s="21"/>
      <c r="B583" s="21"/>
      <c r="C583" s="21"/>
      <c r="D583" s="21"/>
      <c r="E583" s="21"/>
      <c r="F583" s="21"/>
      <c r="G583" s="21"/>
      <c r="H583" s="21"/>
      <c r="I583" s="151">
        <f t="shared" si="9"/>
        <v>0</v>
      </c>
      <c r="J583" s="153"/>
    </row>
    <row r="584" spans="1:10" x14ac:dyDescent="0.25">
      <c r="A584" s="21"/>
      <c r="B584" s="21"/>
      <c r="C584" s="21"/>
      <c r="D584" s="21"/>
      <c r="E584" s="21"/>
      <c r="F584" s="21"/>
      <c r="G584" s="21"/>
      <c r="H584" s="21"/>
      <c r="I584" s="151">
        <f t="shared" si="9"/>
        <v>0</v>
      </c>
      <c r="J584" s="153"/>
    </row>
    <row r="585" spans="1:10" x14ac:dyDescent="0.25">
      <c r="A585" s="21"/>
      <c r="B585" s="21"/>
      <c r="C585" s="21"/>
      <c r="D585" s="21"/>
      <c r="E585" s="21"/>
      <c r="F585" s="21"/>
      <c r="G585" s="21"/>
      <c r="H585" s="21"/>
      <c r="I585" s="151">
        <f t="shared" si="9"/>
        <v>0</v>
      </c>
      <c r="J585" s="153"/>
    </row>
    <row r="586" spans="1:10" x14ac:dyDescent="0.25">
      <c r="A586" s="21"/>
      <c r="B586" s="21"/>
      <c r="C586" s="21"/>
      <c r="D586" s="21"/>
      <c r="E586" s="21"/>
      <c r="F586" s="21"/>
      <c r="G586" s="21"/>
      <c r="H586" s="21"/>
      <c r="I586" s="151">
        <f t="shared" si="9"/>
        <v>0</v>
      </c>
      <c r="J586" s="153"/>
    </row>
    <row r="587" spans="1:10" x14ac:dyDescent="0.25">
      <c r="A587" s="21"/>
      <c r="B587" s="21"/>
      <c r="C587" s="21"/>
      <c r="D587" s="21"/>
      <c r="E587" s="21"/>
      <c r="F587" s="21"/>
      <c r="G587" s="21"/>
      <c r="H587" s="21"/>
      <c r="I587" s="151">
        <f t="shared" si="9"/>
        <v>0</v>
      </c>
      <c r="J587" s="153"/>
    </row>
    <row r="588" spans="1:10" x14ac:dyDescent="0.25">
      <c r="A588" s="21"/>
      <c r="B588" s="21"/>
      <c r="C588" s="21"/>
      <c r="D588" s="21"/>
      <c r="E588" s="21"/>
      <c r="F588" s="21"/>
      <c r="G588" s="21"/>
      <c r="H588" s="21"/>
      <c r="I588" s="151">
        <f t="shared" si="9"/>
        <v>0</v>
      </c>
      <c r="J588" s="153"/>
    </row>
    <row r="589" spans="1:10" x14ac:dyDescent="0.25">
      <c r="A589" s="21"/>
      <c r="B589" s="21"/>
      <c r="C589" s="21"/>
      <c r="D589" s="21"/>
      <c r="E589" s="21"/>
      <c r="F589" s="21"/>
      <c r="G589" s="21"/>
      <c r="H589" s="21"/>
      <c r="I589" s="151">
        <f t="shared" si="9"/>
        <v>0</v>
      </c>
      <c r="J589" s="153"/>
    </row>
    <row r="590" spans="1:10" x14ac:dyDescent="0.25">
      <c r="A590" s="21"/>
      <c r="B590" s="21"/>
      <c r="C590" s="21"/>
      <c r="D590" s="21"/>
      <c r="E590" s="21"/>
      <c r="F590" s="21"/>
      <c r="G590" s="21"/>
      <c r="H590" s="21"/>
      <c r="I590" s="151">
        <f t="shared" si="9"/>
        <v>0</v>
      </c>
      <c r="J590" s="153"/>
    </row>
    <row r="591" spans="1:10" x14ac:dyDescent="0.25">
      <c r="A591" s="21"/>
      <c r="B591" s="21"/>
      <c r="C591" s="21"/>
      <c r="D591" s="21"/>
      <c r="E591" s="21"/>
      <c r="F591" s="21"/>
      <c r="G591" s="21"/>
      <c r="H591" s="21"/>
      <c r="I591" s="151">
        <f t="shared" si="9"/>
        <v>0</v>
      </c>
      <c r="J591" s="153"/>
    </row>
    <row r="592" spans="1:10" x14ac:dyDescent="0.25">
      <c r="A592" s="21"/>
      <c r="B592" s="21"/>
      <c r="C592" s="21"/>
      <c r="D592" s="21"/>
      <c r="E592" s="21"/>
      <c r="F592" s="21"/>
      <c r="G592" s="21"/>
      <c r="H592" s="21"/>
      <c r="I592" s="151">
        <f t="shared" si="9"/>
        <v>0</v>
      </c>
      <c r="J592" s="153"/>
    </row>
    <row r="593" spans="1:10" x14ac:dyDescent="0.25">
      <c r="A593" s="21"/>
      <c r="B593" s="21"/>
      <c r="C593" s="21"/>
      <c r="D593" s="21"/>
      <c r="E593" s="21"/>
      <c r="F593" s="21"/>
      <c r="G593" s="21"/>
      <c r="H593" s="21"/>
      <c r="I593" s="151">
        <f t="shared" si="9"/>
        <v>0</v>
      </c>
      <c r="J593" s="153"/>
    </row>
    <row r="594" spans="1:10" x14ac:dyDescent="0.25">
      <c r="A594" s="21"/>
      <c r="B594" s="21"/>
      <c r="C594" s="21"/>
      <c r="D594" s="21"/>
      <c r="E594" s="21"/>
      <c r="F594" s="21"/>
      <c r="G594" s="21"/>
      <c r="H594" s="21"/>
      <c r="I594" s="151">
        <f t="shared" si="9"/>
        <v>0</v>
      </c>
      <c r="J594" s="153"/>
    </row>
    <row r="595" spans="1:10" x14ac:dyDescent="0.25">
      <c r="A595" s="21"/>
      <c r="B595" s="21"/>
      <c r="C595" s="21"/>
      <c r="D595" s="21"/>
      <c r="E595" s="21"/>
      <c r="F595" s="21"/>
      <c r="G595" s="21"/>
      <c r="H595" s="21"/>
      <c r="I595" s="151">
        <f t="shared" si="9"/>
        <v>0</v>
      </c>
      <c r="J595" s="153"/>
    </row>
    <row r="596" spans="1:10" x14ac:dyDescent="0.25">
      <c r="A596" s="21"/>
      <c r="B596" s="21"/>
      <c r="C596" s="21"/>
      <c r="D596" s="21"/>
      <c r="E596" s="21"/>
      <c r="F596" s="21"/>
      <c r="G596" s="21"/>
      <c r="H596" s="21"/>
      <c r="I596" s="151">
        <f t="shared" si="9"/>
        <v>0</v>
      </c>
      <c r="J596" s="153"/>
    </row>
    <row r="597" spans="1:10" x14ac:dyDescent="0.25">
      <c r="A597" s="21"/>
      <c r="B597" s="21"/>
      <c r="C597" s="21"/>
      <c r="D597" s="21"/>
      <c r="E597" s="21"/>
      <c r="F597" s="21"/>
      <c r="G597" s="21"/>
      <c r="H597" s="21"/>
      <c r="I597" s="151">
        <f t="shared" si="9"/>
        <v>0</v>
      </c>
      <c r="J597" s="153"/>
    </row>
    <row r="598" spans="1:10" x14ac:dyDescent="0.25">
      <c r="A598" s="21"/>
      <c r="B598" s="21"/>
      <c r="C598" s="21"/>
      <c r="D598" s="21"/>
      <c r="E598" s="21"/>
      <c r="F598" s="21"/>
      <c r="G598" s="21"/>
      <c r="H598" s="21"/>
      <c r="I598" s="151">
        <f t="shared" si="9"/>
        <v>0</v>
      </c>
      <c r="J598" s="153"/>
    </row>
    <row r="599" spans="1:10" x14ac:dyDescent="0.25">
      <c r="A599" s="21"/>
      <c r="B599" s="21"/>
      <c r="C599" s="21"/>
      <c r="D599" s="21"/>
      <c r="E599" s="21"/>
      <c r="F599" s="21"/>
      <c r="G599" s="21"/>
      <c r="H599" s="21"/>
      <c r="I599" s="151">
        <f t="shared" si="9"/>
        <v>0</v>
      </c>
      <c r="J599" s="153"/>
    </row>
    <row r="600" spans="1:10" x14ac:dyDescent="0.25">
      <c r="A600" s="21"/>
      <c r="B600" s="21"/>
      <c r="C600" s="21"/>
      <c r="D600" s="21"/>
      <c r="E600" s="21"/>
      <c r="F600" s="21"/>
      <c r="G600" s="21"/>
      <c r="H600" s="21"/>
      <c r="I600" s="151">
        <f t="shared" si="9"/>
        <v>0</v>
      </c>
      <c r="J600" s="153"/>
    </row>
    <row r="601" spans="1:10" x14ac:dyDescent="0.25">
      <c r="A601" s="21"/>
      <c r="B601" s="21"/>
      <c r="C601" s="21"/>
      <c r="D601" s="21"/>
      <c r="E601" s="21"/>
      <c r="F601" s="21"/>
      <c r="G601" s="21"/>
      <c r="H601" s="21"/>
      <c r="I601" s="151">
        <f t="shared" si="9"/>
        <v>0</v>
      </c>
      <c r="J601" s="153"/>
    </row>
    <row r="602" spans="1:10" x14ac:dyDescent="0.25">
      <c r="A602" s="21"/>
      <c r="B602" s="21"/>
      <c r="C602" s="21"/>
      <c r="D602" s="21"/>
      <c r="E602" s="21"/>
      <c r="F602" s="21"/>
      <c r="G602" s="21"/>
      <c r="H602" s="21"/>
      <c r="I602" s="151">
        <f t="shared" si="9"/>
        <v>0</v>
      </c>
      <c r="J602" s="153"/>
    </row>
    <row r="603" spans="1:10" x14ac:dyDescent="0.25">
      <c r="A603" s="21"/>
      <c r="B603" s="21"/>
      <c r="C603" s="21"/>
      <c r="D603" s="21"/>
      <c r="E603" s="21"/>
      <c r="F603" s="21"/>
      <c r="G603" s="21"/>
      <c r="H603" s="21"/>
      <c r="I603" s="151">
        <f t="shared" si="9"/>
        <v>0</v>
      </c>
      <c r="J603" s="153"/>
    </row>
    <row r="604" spans="1:10" x14ac:dyDescent="0.25">
      <c r="A604" s="21"/>
      <c r="B604" s="21"/>
      <c r="C604" s="21"/>
      <c r="D604" s="21"/>
      <c r="E604" s="21"/>
      <c r="F604" s="21"/>
      <c r="G604" s="21"/>
      <c r="H604" s="21"/>
      <c r="I604" s="151">
        <f t="shared" si="9"/>
        <v>0</v>
      </c>
      <c r="J604" s="153"/>
    </row>
    <row r="605" spans="1:10" x14ac:dyDescent="0.25">
      <c r="A605" s="21"/>
      <c r="B605" s="21"/>
      <c r="C605" s="21"/>
      <c r="D605" s="21"/>
      <c r="E605" s="21"/>
      <c r="F605" s="21"/>
      <c r="G605" s="21"/>
      <c r="H605" s="21"/>
      <c r="I605" s="151">
        <f t="shared" si="9"/>
        <v>0</v>
      </c>
      <c r="J605" s="153"/>
    </row>
    <row r="606" spans="1:10" x14ac:dyDescent="0.25">
      <c r="A606" s="21"/>
      <c r="B606" s="21"/>
      <c r="C606" s="21"/>
      <c r="D606" s="21"/>
      <c r="E606" s="21"/>
      <c r="F606" s="21"/>
      <c r="G606" s="21"/>
      <c r="H606" s="21"/>
      <c r="I606" s="151">
        <f t="shared" si="9"/>
        <v>0</v>
      </c>
      <c r="J606" s="153"/>
    </row>
    <row r="607" spans="1:10" x14ac:dyDescent="0.25">
      <c r="A607" s="21"/>
      <c r="B607" s="21"/>
      <c r="C607" s="21"/>
      <c r="D607" s="21"/>
      <c r="E607" s="21"/>
      <c r="F607" s="21"/>
      <c r="G607" s="21"/>
      <c r="H607" s="21"/>
      <c r="I607" s="151">
        <f t="shared" si="9"/>
        <v>0</v>
      </c>
      <c r="J607" s="153"/>
    </row>
    <row r="608" spans="1:10" x14ac:dyDescent="0.25">
      <c r="A608" s="21"/>
      <c r="B608" s="21"/>
      <c r="C608" s="21"/>
      <c r="D608" s="21"/>
      <c r="E608" s="21"/>
      <c r="F608" s="21"/>
      <c r="G608" s="21"/>
      <c r="H608" s="21"/>
      <c r="I608" s="151">
        <f t="shared" si="9"/>
        <v>0</v>
      </c>
      <c r="J608" s="153"/>
    </row>
    <row r="609" spans="1:10" x14ac:dyDescent="0.25">
      <c r="A609" s="21"/>
      <c r="B609" s="21"/>
      <c r="C609" s="21"/>
      <c r="D609" s="21"/>
      <c r="E609" s="21"/>
      <c r="F609" s="21"/>
      <c r="G609" s="21"/>
      <c r="H609" s="21"/>
      <c r="I609" s="151">
        <f t="shared" si="9"/>
        <v>0</v>
      </c>
      <c r="J609" s="153"/>
    </row>
    <row r="610" spans="1:10" x14ac:dyDescent="0.25">
      <c r="A610" s="21"/>
      <c r="B610" s="21"/>
      <c r="C610" s="21"/>
      <c r="D610" s="21"/>
      <c r="E610" s="21"/>
      <c r="F610" s="21"/>
      <c r="G610" s="21"/>
      <c r="H610" s="21"/>
      <c r="I610" s="151">
        <f t="shared" si="9"/>
        <v>0</v>
      </c>
      <c r="J610" s="153"/>
    </row>
    <row r="611" spans="1:10" x14ac:dyDescent="0.25">
      <c r="A611" s="21"/>
      <c r="B611" s="21"/>
      <c r="C611" s="21"/>
      <c r="D611" s="21"/>
      <c r="E611" s="21"/>
      <c r="F611" s="21"/>
      <c r="G611" s="21"/>
      <c r="H611" s="21"/>
      <c r="I611" s="151">
        <f t="shared" si="9"/>
        <v>0</v>
      </c>
      <c r="J611" s="153"/>
    </row>
    <row r="612" spans="1:10" x14ac:dyDescent="0.25">
      <c r="A612" s="21"/>
      <c r="B612" s="21"/>
      <c r="C612" s="21"/>
      <c r="D612" s="21"/>
      <c r="E612" s="21"/>
      <c r="F612" s="21"/>
      <c r="G612" s="21"/>
      <c r="H612" s="21"/>
      <c r="I612" s="151">
        <f t="shared" si="9"/>
        <v>0</v>
      </c>
      <c r="J612" s="153"/>
    </row>
    <row r="613" spans="1:10" x14ac:dyDescent="0.25">
      <c r="A613" s="21"/>
      <c r="B613" s="21"/>
      <c r="C613" s="21"/>
      <c r="D613" s="21"/>
      <c r="E613" s="21"/>
      <c r="F613" s="21"/>
      <c r="G613" s="21"/>
      <c r="H613" s="21"/>
      <c r="I613" s="151">
        <f t="shared" si="9"/>
        <v>0</v>
      </c>
      <c r="J613" s="153"/>
    </row>
    <row r="614" spans="1:10" x14ac:dyDescent="0.25">
      <c r="A614" s="21"/>
      <c r="B614" s="21"/>
      <c r="C614" s="21"/>
      <c r="D614" s="21"/>
      <c r="E614" s="21"/>
      <c r="F614" s="21"/>
      <c r="G614" s="21"/>
      <c r="H614" s="21"/>
      <c r="I614" s="151">
        <f t="shared" si="9"/>
        <v>0</v>
      </c>
      <c r="J614" s="153"/>
    </row>
    <row r="615" spans="1:10" x14ac:dyDescent="0.25">
      <c r="A615" s="21"/>
      <c r="B615" s="21"/>
      <c r="C615" s="21"/>
      <c r="D615" s="21"/>
      <c r="E615" s="21"/>
      <c r="F615" s="21"/>
      <c r="G615" s="21"/>
      <c r="H615" s="21"/>
      <c r="I615" s="151">
        <f t="shared" si="9"/>
        <v>0</v>
      </c>
      <c r="J615" s="153"/>
    </row>
    <row r="616" spans="1:10" x14ac:dyDescent="0.25">
      <c r="A616" s="21"/>
      <c r="B616" s="21"/>
      <c r="C616" s="21"/>
      <c r="D616" s="21"/>
      <c r="E616" s="21"/>
      <c r="F616" s="21"/>
      <c r="G616" s="21"/>
      <c r="H616" s="21"/>
      <c r="I616" s="151">
        <f t="shared" si="9"/>
        <v>0</v>
      </c>
      <c r="J616" s="153"/>
    </row>
    <row r="617" spans="1:10" x14ac:dyDescent="0.25">
      <c r="A617" s="21"/>
      <c r="B617" s="21"/>
      <c r="C617" s="21"/>
      <c r="D617" s="21"/>
      <c r="E617" s="21"/>
      <c r="F617" s="21"/>
      <c r="G617" s="21"/>
      <c r="H617" s="21"/>
      <c r="I617" s="151">
        <f t="shared" si="9"/>
        <v>0</v>
      </c>
      <c r="J617" s="153"/>
    </row>
    <row r="618" spans="1:10" x14ac:dyDescent="0.25">
      <c r="A618" s="21"/>
      <c r="B618" s="21"/>
      <c r="C618" s="21"/>
      <c r="D618" s="21"/>
      <c r="E618" s="21"/>
      <c r="F618" s="21"/>
      <c r="G618" s="21"/>
      <c r="H618" s="21"/>
      <c r="I618" s="151">
        <f t="shared" si="9"/>
        <v>0</v>
      </c>
      <c r="J618" s="153"/>
    </row>
    <row r="619" spans="1:10" x14ac:dyDescent="0.25">
      <c r="A619" s="21"/>
      <c r="B619" s="21"/>
      <c r="C619" s="21"/>
      <c r="D619" s="21"/>
      <c r="E619" s="21"/>
      <c r="F619" s="21"/>
      <c r="G619" s="21"/>
      <c r="H619" s="21"/>
      <c r="I619" s="151">
        <f t="shared" si="9"/>
        <v>0</v>
      </c>
      <c r="J619" s="153"/>
    </row>
    <row r="620" spans="1:10" x14ac:dyDescent="0.25">
      <c r="A620" s="21"/>
      <c r="B620" s="21"/>
      <c r="C620" s="21"/>
      <c r="D620" s="21"/>
      <c r="E620" s="21"/>
      <c r="F620" s="21"/>
      <c r="G620" s="21"/>
      <c r="H620" s="21"/>
      <c r="I620" s="151">
        <f t="shared" si="9"/>
        <v>0</v>
      </c>
      <c r="J620" s="153"/>
    </row>
    <row r="621" spans="1:10" x14ac:dyDescent="0.25">
      <c r="A621" s="21"/>
      <c r="B621" s="21"/>
      <c r="C621" s="21"/>
      <c r="D621" s="21"/>
      <c r="E621" s="21"/>
      <c r="F621" s="21"/>
      <c r="G621" s="21"/>
      <c r="H621" s="21"/>
      <c r="I621" s="151">
        <f t="shared" si="9"/>
        <v>0</v>
      </c>
      <c r="J621" s="153"/>
    </row>
    <row r="622" spans="1:10" x14ac:dyDescent="0.25">
      <c r="A622" s="21"/>
      <c r="B622" s="21"/>
      <c r="C622" s="21"/>
      <c r="D622" s="21"/>
      <c r="E622" s="21"/>
      <c r="F622" s="21"/>
      <c r="G622" s="21"/>
      <c r="H622" s="21"/>
      <c r="I622" s="151">
        <f t="shared" si="9"/>
        <v>0</v>
      </c>
      <c r="J622" s="153"/>
    </row>
    <row r="623" spans="1:10" x14ac:dyDescent="0.25">
      <c r="A623" s="21"/>
      <c r="B623" s="21"/>
      <c r="C623" s="21"/>
      <c r="D623" s="21"/>
      <c r="E623" s="21"/>
      <c r="F623" s="21"/>
      <c r="G623" s="21"/>
      <c r="H623" s="21"/>
      <c r="I623" s="151">
        <f t="shared" si="9"/>
        <v>0</v>
      </c>
      <c r="J623" s="153"/>
    </row>
    <row r="624" spans="1:10" x14ac:dyDescent="0.25">
      <c r="A624" s="21"/>
      <c r="B624" s="21"/>
      <c r="C624" s="21"/>
      <c r="D624" s="21"/>
      <c r="E624" s="21"/>
      <c r="F624" s="21"/>
      <c r="G624" s="21"/>
      <c r="H624" s="21"/>
      <c r="I624" s="151">
        <f t="shared" si="9"/>
        <v>0</v>
      </c>
      <c r="J624" s="153"/>
    </row>
    <row r="625" spans="1:10" x14ac:dyDescent="0.25">
      <c r="A625" s="21"/>
      <c r="B625" s="21"/>
      <c r="C625" s="21"/>
      <c r="D625" s="21"/>
      <c r="E625" s="21"/>
      <c r="F625" s="21"/>
      <c r="G625" s="21"/>
      <c r="H625" s="21"/>
      <c r="I625" s="151">
        <f t="shared" si="9"/>
        <v>0</v>
      </c>
      <c r="J625" s="153"/>
    </row>
    <row r="626" spans="1:10" x14ac:dyDescent="0.25">
      <c r="A626" s="21"/>
      <c r="B626" s="21"/>
      <c r="C626" s="21"/>
      <c r="D626" s="21"/>
      <c r="E626" s="21"/>
      <c r="F626" s="21"/>
      <c r="G626" s="21"/>
      <c r="H626" s="21"/>
      <c r="I626" s="151">
        <f t="shared" si="9"/>
        <v>0</v>
      </c>
      <c r="J626" s="153"/>
    </row>
    <row r="627" spans="1:10" x14ac:dyDescent="0.25">
      <c r="A627" s="21"/>
      <c r="B627" s="21"/>
      <c r="C627" s="21"/>
      <c r="D627" s="21"/>
      <c r="E627" s="21"/>
      <c r="F627" s="21"/>
      <c r="G627" s="21"/>
      <c r="H627" s="21"/>
      <c r="I627" s="151">
        <f t="shared" si="9"/>
        <v>0</v>
      </c>
      <c r="J627" s="153"/>
    </row>
    <row r="628" spans="1:10" x14ac:dyDescent="0.25">
      <c r="A628" s="21"/>
      <c r="B628" s="21"/>
      <c r="C628" s="21"/>
      <c r="D628" s="21"/>
      <c r="E628" s="21"/>
      <c r="F628" s="21"/>
      <c r="G628" s="21"/>
      <c r="H628" s="21"/>
      <c r="I628" s="151">
        <f t="shared" si="9"/>
        <v>0</v>
      </c>
      <c r="J628" s="153"/>
    </row>
    <row r="629" spans="1:10" x14ac:dyDescent="0.25">
      <c r="A629" s="21"/>
      <c r="B629" s="21"/>
      <c r="C629" s="21"/>
      <c r="D629" s="21"/>
      <c r="E629" s="21"/>
      <c r="F629" s="21"/>
      <c r="G629" s="21"/>
      <c r="H629" s="21"/>
      <c r="I629" s="151">
        <f t="shared" si="9"/>
        <v>0</v>
      </c>
      <c r="J629" s="153"/>
    </row>
    <row r="630" spans="1:10" x14ac:dyDescent="0.25">
      <c r="A630" s="21"/>
      <c r="B630" s="21"/>
      <c r="C630" s="21"/>
      <c r="D630" s="21"/>
      <c r="E630" s="21"/>
      <c r="F630" s="21"/>
      <c r="G630" s="21"/>
      <c r="H630" s="21"/>
      <c r="I630" s="151">
        <f t="shared" si="9"/>
        <v>0</v>
      </c>
      <c r="J630" s="153"/>
    </row>
    <row r="631" spans="1:10" x14ac:dyDescent="0.25">
      <c r="A631" s="21"/>
      <c r="B631" s="21"/>
      <c r="C631" s="21"/>
      <c r="D631" s="21"/>
      <c r="E631" s="21"/>
      <c r="F631" s="21"/>
      <c r="G631" s="21"/>
      <c r="H631" s="21"/>
      <c r="I631" s="151">
        <f t="shared" si="9"/>
        <v>0</v>
      </c>
      <c r="J631" s="153"/>
    </row>
    <row r="632" spans="1:10" x14ac:dyDescent="0.25">
      <c r="A632" s="21"/>
      <c r="B632" s="21"/>
      <c r="C632" s="21"/>
      <c r="D632" s="21"/>
      <c r="E632" s="21"/>
      <c r="F632" s="21"/>
      <c r="G632" s="21"/>
      <c r="H632" s="21"/>
      <c r="I632" s="151">
        <f t="shared" si="9"/>
        <v>0</v>
      </c>
      <c r="J632" s="153"/>
    </row>
    <row r="633" spans="1:10" x14ac:dyDescent="0.25">
      <c r="A633" s="21"/>
      <c r="B633" s="21"/>
      <c r="C633" s="21"/>
      <c r="D633" s="21"/>
      <c r="E633" s="21"/>
      <c r="F633" s="21"/>
      <c r="G633" s="21"/>
      <c r="H633" s="21"/>
      <c r="I633" s="151">
        <f t="shared" si="9"/>
        <v>0</v>
      </c>
      <c r="J633" s="153"/>
    </row>
    <row r="634" spans="1:10" x14ac:dyDescent="0.25">
      <c r="A634" s="21"/>
      <c r="B634" s="21"/>
      <c r="C634" s="21"/>
      <c r="D634" s="21"/>
      <c r="E634" s="21"/>
      <c r="F634" s="21"/>
      <c r="G634" s="21"/>
      <c r="H634" s="21"/>
      <c r="I634" s="151">
        <f t="shared" si="9"/>
        <v>0</v>
      </c>
      <c r="J634" s="153"/>
    </row>
    <row r="635" spans="1:10" x14ac:dyDescent="0.25">
      <c r="A635" s="21"/>
      <c r="B635" s="21"/>
      <c r="C635" s="21"/>
      <c r="D635" s="21"/>
      <c r="E635" s="21"/>
      <c r="F635" s="21"/>
      <c r="G635" s="21"/>
      <c r="H635" s="21"/>
      <c r="I635" s="151">
        <f t="shared" si="9"/>
        <v>0</v>
      </c>
      <c r="J635" s="153"/>
    </row>
    <row r="636" spans="1:10" x14ac:dyDescent="0.25">
      <c r="A636" s="21"/>
      <c r="B636" s="21"/>
      <c r="C636" s="21"/>
      <c r="D636" s="21"/>
      <c r="E636" s="21"/>
      <c r="F636" s="21"/>
      <c r="G636" s="21"/>
      <c r="H636" s="21"/>
      <c r="I636" s="151">
        <f t="shared" si="9"/>
        <v>0</v>
      </c>
      <c r="J636" s="153"/>
    </row>
    <row r="637" spans="1:10" x14ac:dyDescent="0.25">
      <c r="A637" s="21"/>
      <c r="B637" s="21"/>
      <c r="C637" s="21"/>
      <c r="D637" s="21"/>
      <c r="E637" s="21"/>
      <c r="F637" s="21"/>
      <c r="G637" s="21"/>
      <c r="H637" s="21"/>
      <c r="I637" s="151">
        <f t="shared" si="9"/>
        <v>0</v>
      </c>
      <c r="J637" s="153"/>
    </row>
    <row r="638" spans="1:10" x14ac:dyDescent="0.25">
      <c r="A638" s="21"/>
      <c r="B638" s="21"/>
      <c r="C638" s="21"/>
      <c r="D638" s="21"/>
      <c r="E638" s="21"/>
      <c r="F638" s="21"/>
      <c r="G638" s="21"/>
      <c r="H638" s="21"/>
      <c r="I638" s="151">
        <f t="shared" si="9"/>
        <v>0</v>
      </c>
      <c r="J638" s="153"/>
    </row>
    <row r="639" spans="1:10" x14ac:dyDescent="0.25">
      <c r="A639" s="21"/>
      <c r="B639" s="21"/>
      <c r="C639" s="21"/>
      <c r="D639" s="21"/>
      <c r="E639" s="21"/>
      <c r="F639" s="21"/>
      <c r="G639" s="21"/>
      <c r="H639" s="21"/>
      <c r="I639" s="151">
        <f t="shared" si="9"/>
        <v>0</v>
      </c>
      <c r="J639" s="153"/>
    </row>
    <row r="640" spans="1:10" x14ac:dyDescent="0.25">
      <c r="A640" s="21"/>
      <c r="B640" s="21"/>
      <c r="C640" s="21"/>
      <c r="D640" s="21"/>
      <c r="E640" s="21"/>
      <c r="F640" s="21"/>
      <c r="G640" s="21"/>
      <c r="H640" s="21"/>
      <c r="I640" s="151">
        <f t="shared" si="9"/>
        <v>0</v>
      </c>
      <c r="J640" s="153"/>
    </row>
    <row r="641" spans="1:10" x14ac:dyDescent="0.25">
      <c r="A641" s="21"/>
      <c r="B641" s="21"/>
      <c r="C641" s="21"/>
      <c r="D641" s="21"/>
      <c r="E641" s="21"/>
      <c r="F641" s="21"/>
      <c r="G641" s="21"/>
      <c r="H641" s="21"/>
      <c r="I641" s="151">
        <f t="shared" si="9"/>
        <v>0</v>
      </c>
      <c r="J641" s="153"/>
    </row>
    <row r="642" spans="1:10" x14ac:dyDescent="0.25">
      <c r="A642" s="21"/>
      <c r="B642" s="21"/>
      <c r="C642" s="21"/>
      <c r="D642" s="21"/>
      <c r="E642" s="21"/>
      <c r="F642" s="21"/>
      <c r="G642" s="21"/>
      <c r="H642" s="21"/>
      <c r="I642" s="151">
        <f t="shared" si="9"/>
        <v>0</v>
      </c>
      <c r="J642" s="153"/>
    </row>
    <row r="643" spans="1:10" x14ac:dyDescent="0.25">
      <c r="A643" s="21"/>
      <c r="B643" s="21"/>
      <c r="C643" s="21"/>
      <c r="D643" s="21"/>
      <c r="E643" s="21"/>
      <c r="F643" s="21"/>
      <c r="G643" s="21"/>
      <c r="H643" s="21"/>
      <c r="I643" s="151">
        <f t="shared" ref="I643:I706" si="10">IF(J643="",SUM(G643:H643),0)</f>
        <v>0</v>
      </c>
      <c r="J643" s="153"/>
    </row>
    <row r="644" spans="1:10" x14ac:dyDescent="0.25">
      <c r="A644" s="21"/>
      <c r="B644" s="21"/>
      <c r="C644" s="21"/>
      <c r="D644" s="21"/>
      <c r="E644" s="21"/>
      <c r="F644" s="21"/>
      <c r="G644" s="21"/>
      <c r="H644" s="21"/>
      <c r="I644" s="151">
        <f t="shared" si="10"/>
        <v>0</v>
      </c>
      <c r="J644" s="153"/>
    </row>
    <row r="645" spans="1:10" x14ac:dyDescent="0.25">
      <c r="A645" s="21"/>
      <c r="B645" s="21"/>
      <c r="C645" s="21"/>
      <c r="D645" s="21"/>
      <c r="E645" s="21"/>
      <c r="F645" s="21"/>
      <c r="G645" s="21"/>
      <c r="H645" s="21"/>
      <c r="I645" s="151">
        <f t="shared" si="10"/>
        <v>0</v>
      </c>
      <c r="J645" s="153"/>
    </row>
    <row r="646" spans="1:10" x14ac:dyDescent="0.25">
      <c r="A646" s="21"/>
      <c r="B646" s="21"/>
      <c r="C646" s="21"/>
      <c r="D646" s="21"/>
      <c r="E646" s="21"/>
      <c r="F646" s="21"/>
      <c r="G646" s="21"/>
      <c r="H646" s="21"/>
      <c r="I646" s="151">
        <f t="shared" si="10"/>
        <v>0</v>
      </c>
      <c r="J646" s="153"/>
    </row>
    <row r="647" spans="1:10" x14ac:dyDescent="0.25">
      <c r="A647" s="21"/>
      <c r="B647" s="21"/>
      <c r="C647" s="21"/>
      <c r="D647" s="21"/>
      <c r="E647" s="21"/>
      <c r="F647" s="21"/>
      <c r="G647" s="21"/>
      <c r="H647" s="21"/>
      <c r="I647" s="151">
        <f t="shared" si="10"/>
        <v>0</v>
      </c>
      <c r="J647" s="153"/>
    </row>
    <row r="648" spans="1:10" x14ac:dyDescent="0.25">
      <c r="A648" s="21"/>
      <c r="B648" s="21"/>
      <c r="C648" s="21"/>
      <c r="D648" s="21"/>
      <c r="E648" s="21"/>
      <c r="F648" s="21"/>
      <c r="G648" s="21"/>
      <c r="H648" s="21"/>
      <c r="I648" s="151">
        <f t="shared" si="10"/>
        <v>0</v>
      </c>
      <c r="J648" s="153"/>
    </row>
    <row r="649" spans="1:10" x14ac:dyDescent="0.25">
      <c r="A649" s="21"/>
      <c r="B649" s="21"/>
      <c r="C649" s="21"/>
      <c r="D649" s="21"/>
      <c r="E649" s="21"/>
      <c r="F649" s="21"/>
      <c r="G649" s="21"/>
      <c r="H649" s="21"/>
      <c r="I649" s="151">
        <f t="shared" si="10"/>
        <v>0</v>
      </c>
      <c r="J649" s="153"/>
    </row>
    <row r="650" spans="1:10" x14ac:dyDescent="0.25">
      <c r="A650" s="21"/>
      <c r="B650" s="21"/>
      <c r="C650" s="21"/>
      <c r="D650" s="21"/>
      <c r="E650" s="21"/>
      <c r="F650" s="21"/>
      <c r="G650" s="21"/>
      <c r="H650" s="21"/>
      <c r="I650" s="151">
        <f t="shared" si="10"/>
        <v>0</v>
      </c>
      <c r="J650" s="153"/>
    </row>
    <row r="651" spans="1:10" x14ac:dyDescent="0.25">
      <c r="A651" s="21"/>
      <c r="B651" s="21"/>
      <c r="C651" s="21"/>
      <c r="D651" s="21"/>
      <c r="E651" s="21"/>
      <c r="F651" s="21"/>
      <c r="G651" s="21"/>
      <c r="H651" s="21"/>
      <c r="I651" s="151">
        <f t="shared" si="10"/>
        <v>0</v>
      </c>
      <c r="J651" s="153"/>
    </row>
    <row r="652" spans="1:10" x14ac:dyDescent="0.25">
      <c r="A652" s="21"/>
      <c r="B652" s="21"/>
      <c r="C652" s="21"/>
      <c r="D652" s="21"/>
      <c r="E652" s="21"/>
      <c r="F652" s="21"/>
      <c r="G652" s="21"/>
      <c r="H652" s="21"/>
      <c r="I652" s="151">
        <f t="shared" si="10"/>
        <v>0</v>
      </c>
      <c r="J652" s="153"/>
    </row>
    <row r="653" spans="1:10" x14ac:dyDescent="0.25">
      <c r="A653" s="21"/>
      <c r="B653" s="21"/>
      <c r="C653" s="21"/>
      <c r="D653" s="21"/>
      <c r="E653" s="21"/>
      <c r="F653" s="21"/>
      <c r="G653" s="21"/>
      <c r="H653" s="21"/>
      <c r="I653" s="151">
        <f t="shared" si="10"/>
        <v>0</v>
      </c>
      <c r="J653" s="153"/>
    </row>
    <row r="654" spans="1:10" x14ac:dyDescent="0.25">
      <c r="A654" s="21"/>
      <c r="B654" s="21"/>
      <c r="C654" s="21"/>
      <c r="D654" s="21"/>
      <c r="E654" s="21"/>
      <c r="F654" s="21"/>
      <c r="G654" s="21"/>
      <c r="H654" s="21"/>
      <c r="I654" s="151">
        <f t="shared" si="10"/>
        <v>0</v>
      </c>
      <c r="J654" s="153"/>
    </row>
    <row r="655" spans="1:10" x14ac:dyDescent="0.25">
      <c r="A655" s="21"/>
      <c r="B655" s="21"/>
      <c r="C655" s="21"/>
      <c r="D655" s="21"/>
      <c r="E655" s="21"/>
      <c r="F655" s="21"/>
      <c r="G655" s="21"/>
      <c r="H655" s="21"/>
      <c r="I655" s="151">
        <f t="shared" si="10"/>
        <v>0</v>
      </c>
      <c r="J655" s="153"/>
    </row>
    <row r="656" spans="1:10" x14ac:dyDescent="0.25">
      <c r="A656" s="21"/>
      <c r="B656" s="21"/>
      <c r="C656" s="21"/>
      <c r="D656" s="21"/>
      <c r="E656" s="21"/>
      <c r="F656" s="21"/>
      <c r="G656" s="21"/>
      <c r="H656" s="21"/>
      <c r="I656" s="151">
        <f t="shared" si="10"/>
        <v>0</v>
      </c>
      <c r="J656" s="153"/>
    </row>
    <row r="657" spans="1:10" x14ac:dyDescent="0.25">
      <c r="A657" s="21"/>
      <c r="B657" s="21"/>
      <c r="C657" s="21"/>
      <c r="D657" s="21"/>
      <c r="E657" s="21"/>
      <c r="F657" s="21"/>
      <c r="G657" s="21"/>
      <c r="H657" s="21"/>
      <c r="I657" s="151">
        <f t="shared" si="10"/>
        <v>0</v>
      </c>
      <c r="J657" s="153"/>
    </row>
    <row r="658" spans="1:10" x14ac:dyDescent="0.25">
      <c r="A658" s="21"/>
      <c r="B658" s="21"/>
      <c r="C658" s="21"/>
      <c r="D658" s="21"/>
      <c r="E658" s="21"/>
      <c r="F658" s="21"/>
      <c r="G658" s="21"/>
      <c r="H658" s="21"/>
      <c r="I658" s="151">
        <f t="shared" si="10"/>
        <v>0</v>
      </c>
      <c r="J658" s="153"/>
    </row>
    <row r="659" spans="1:10" x14ac:dyDescent="0.25">
      <c r="A659" s="21"/>
      <c r="B659" s="21"/>
      <c r="C659" s="21"/>
      <c r="D659" s="21"/>
      <c r="E659" s="21"/>
      <c r="F659" s="21"/>
      <c r="G659" s="21"/>
      <c r="H659" s="21"/>
      <c r="I659" s="151">
        <f t="shared" si="10"/>
        <v>0</v>
      </c>
      <c r="J659" s="153"/>
    </row>
    <row r="660" spans="1:10" x14ac:dyDescent="0.25">
      <c r="A660" s="21"/>
      <c r="B660" s="21"/>
      <c r="C660" s="21"/>
      <c r="D660" s="21"/>
      <c r="E660" s="21"/>
      <c r="F660" s="21"/>
      <c r="G660" s="21"/>
      <c r="H660" s="21"/>
      <c r="I660" s="151">
        <f t="shared" si="10"/>
        <v>0</v>
      </c>
      <c r="J660" s="153"/>
    </row>
    <row r="661" spans="1:10" x14ac:dyDescent="0.25">
      <c r="A661" s="21"/>
      <c r="B661" s="21"/>
      <c r="C661" s="21"/>
      <c r="D661" s="21"/>
      <c r="E661" s="21"/>
      <c r="F661" s="21"/>
      <c r="G661" s="21"/>
      <c r="H661" s="21"/>
      <c r="I661" s="151">
        <f t="shared" si="10"/>
        <v>0</v>
      </c>
      <c r="J661" s="153"/>
    </row>
    <row r="662" spans="1:10" x14ac:dyDescent="0.25">
      <c r="A662" s="21"/>
      <c r="B662" s="21"/>
      <c r="C662" s="21"/>
      <c r="D662" s="21"/>
      <c r="E662" s="21"/>
      <c r="F662" s="21"/>
      <c r="G662" s="21"/>
      <c r="H662" s="21"/>
      <c r="I662" s="151">
        <f t="shared" si="10"/>
        <v>0</v>
      </c>
      <c r="J662" s="153"/>
    </row>
    <row r="663" spans="1:10" x14ac:dyDescent="0.25">
      <c r="A663" s="21"/>
      <c r="B663" s="21"/>
      <c r="C663" s="21"/>
      <c r="D663" s="21"/>
      <c r="E663" s="21"/>
      <c r="F663" s="21"/>
      <c r="G663" s="21"/>
      <c r="H663" s="21"/>
      <c r="I663" s="151">
        <f t="shared" si="10"/>
        <v>0</v>
      </c>
      <c r="J663" s="153"/>
    </row>
    <row r="664" spans="1:10" x14ac:dyDescent="0.25">
      <c r="A664" s="21"/>
      <c r="B664" s="21"/>
      <c r="C664" s="21"/>
      <c r="D664" s="21"/>
      <c r="E664" s="21"/>
      <c r="F664" s="21"/>
      <c r="G664" s="21"/>
      <c r="H664" s="21"/>
      <c r="I664" s="151">
        <f t="shared" si="10"/>
        <v>0</v>
      </c>
      <c r="J664" s="153"/>
    </row>
    <row r="665" spans="1:10" x14ac:dyDescent="0.25">
      <c r="A665" s="21"/>
      <c r="B665" s="21"/>
      <c r="C665" s="21"/>
      <c r="D665" s="21"/>
      <c r="E665" s="21"/>
      <c r="F665" s="21"/>
      <c r="G665" s="21"/>
      <c r="H665" s="21"/>
      <c r="I665" s="151">
        <f t="shared" si="10"/>
        <v>0</v>
      </c>
      <c r="J665" s="153"/>
    </row>
    <row r="666" spans="1:10" x14ac:dyDescent="0.25">
      <c r="A666" s="21"/>
      <c r="B666" s="21"/>
      <c r="C666" s="21"/>
      <c r="D666" s="21"/>
      <c r="E666" s="21"/>
      <c r="F666" s="21"/>
      <c r="G666" s="21"/>
      <c r="H666" s="21"/>
      <c r="I666" s="151">
        <f t="shared" si="10"/>
        <v>0</v>
      </c>
      <c r="J666" s="153"/>
    </row>
    <row r="667" spans="1:10" x14ac:dyDescent="0.25">
      <c r="A667" s="21"/>
      <c r="B667" s="21"/>
      <c r="C667" s="21"/>
      <c r="D667" s="21"/>
      <c r="E667" s="21"/>
      <c r="F667" s="21"/>
      <c r="G667" s="21"/>
      <c r="H667" s="21"/>
      <c r="I667" s="151">
        <f t="shared" si="10"/>
        <v>0</v>
      </c>
      <c r="J667" s="153"/>
    </row>
    <row r="668" spans="1:10" x14ac:dyDescent="0.25">
      <c r="A668" s="21"/>
      <c r="B668" s="21"/>
      <c r="C668" s="21"/>
      <c r="D668" s="21"/>
      <c r="E668" s="21"/>
      <c r="F668" s="21"/>
      <c r="G668" s="21"/>
      <c r="H668" s="21"/>
      <c r="I668" s="151">
        <f t="shared" si="10"/>
        <v>0</v>
      </c>
      <c r="J668" s="153"/>
    </row>
    <row r="669" spans="1:10" x14ac:dyDescent="0.25">
      <c r="A669" s="21"/>
      <c r="B669" s="21"/>
      <c r="C669" s="21"/>
      <c r="D669" s="21"/>
      <c r="E669" s="21"/>
      <c r="F669" s="21"/>
      <c r="G669" s="21"/>
      <c r="H669" s="21"/>
      <c r="I669" s="151">
        <f t="shared" si="10"/>
        <v>0</v>
      </c>
      <c r="J669" s="153"/>
    </row>
    <row r="670" spans="1:10" x14ac:dyDescent="0.25">
      <c r="A670" s="21"/>
      <c r="B670" s="21"/>
      <c r="C670" s="21"/>
      <c r="D670" s="21"/>
      <c r="E670" s="21"/>
      <c r="F670" s="21"/>
      <c r="G670" s="21"/>
      <c r="H670" s="21"/>
      <c r="I670" s="151">
        <f t="shared" si="10"/>
        <v>0</v>
      </c>
      <c r="J670" s="153"/>
    </row>
    <row r="671" spans="1:10" x14ac:dyDescent="0.25">
      <c r="A671" s="21"/>
      <c r="B671" s="21"/>
      <c r="C671" s="21"/>
      <c r="D671" s="21"/>
      <c r="E671" s="21"/>
      <c r="F671" s="21"/>
      <c r="G671" s="21"/>
      <c r="H671" s="21"/>
      <c r="I671" s="151">
        <f t="shared" si="10"/>
        <v>0</v>
      </c>
      <c r="J671" s="153"/>
    </row>
    <row r="672" spans="1:10" x14ac:dyDescent="0.25">
      <c r="A672" s="21"/>
      <c r="B672" s="21"/>
      <c r="C672" s="21"/>
      <c r="D672" s="21"/>
      <c r="E672" s="21"/>
      <c r="F672" s="21"/>
      <c r="G672" s="21"/>
      <c r="H672" s="21"/>
      <c r="I672" s="151">
        <f t="shared" si="10"/>
        <v>0</v>
      </c>
      <c r="J672" s="153"/>
    </row>
    <row r="673" spans="1:10" x14ac:dyDescent="0.25">
      <c r="A673" s="21"/>
      <c r="B673" s="21"/>
      <c r="C673" s="21"/>
      <c r="D673" s="21"/>
      <c r="E673" s="21"/>
      <c r="F673" s="21"/>
      <c r="G673" s="21"/>
      <c r="H673" s="21"/>
      <c r="I673" s="151">
        <f t="shared" si="10"/>
        <v>0</v>
      </c>
      <c r="J673" s="153"/>
    </row>
    <row r="674" spans="1:10" x14ac:dyDescent="0.25">
      <c r="A674" s="21"/>
      <c r="B674" s="21"/>
      <c r="C674" s="21"/>
      <c r="D674" s="21"/>
      <c r="E674" s="21"/>
      <c r="F674" s="21"/>
      <c r="G674" s="21"/>
      <c r="H674" s="21"/>
      <c r="I674" s="151">
        <f t="shared" si="10"/>
        <v>0</v>
      </c>
      <c r="J674" s="153"/>
    </row>
    <row r="675" spans="1:10" x14ac:dyDescent="0.25">
      <c r="A675" s="21"/>
      <c r="B675" s="21"/>
      <c r="C675" s="21"/>
      <c r="D675" s="21"/>
      <c r="E675" s="21"/>
      <c r="F675" s="21"/>
      <c r="G675" s="21"/>
      <c r="H675" s="21"/>
      <c r="I675" s="151">
        <f t="shared" si="10"/>
        <v>0</v>
      </c>
      <c r="J675" s="153"/>
    </row>
    <row r="676" spans="1:10" x14ac:dyDescent="0.25">
      <c r="A676" s="21"/>
      <c r="B676" s="21"/>
      <c r="C676" s="21"/>
      <c r="D676" s="21"/>
      <c r="E676" s="21"/>
      <c r="F676" s="21"/>
      <c r="G676" s="21"/>
      <c r="H676" s="21"/>
      <c r="I676" s="151">
        <f t="shared" si="10"/>
        <v>0</v>
      </c>
      <c r="J676" s="153"/>
    </row>
    <row r="677" spans="1:10" x14ac:dyDescent="0.25">
      <c r="A677" s="21"/>
      <c r="B677" s="21"/>
      <c r="C677" s="21"/>
      <c r="D677" s="21"/>
      <c r="E677" s="21"/>
      <c r="F677" s="21"/>
      <c r="G677" s="21"/>
      <c r="H677" s="21"/>
      <c r="I677" s="151">
        <f t="shared" si="10"/>
        <v>0</v>
      </c>
      <c r="J677" s="153"/>
    </row>
    <row r="678" spans="1:10" x14ac:dyDescent="0.25">
      <c r="A678" s="21"/>
      <c r="B678" s="21"/>
      <c r="C678" s="21"/>
      <c r="D678" s="21"/>
      <c r="E678" s="21"/>
      <c r="F678" s="21"/>
      <c r="G678" s="21"/>
      <c r="H678" s="21"/>
      <c r="I678" s="151">
        <f t="shared" si="10"/>
        <v>0</v>
      </c>
      <c r="J678" s="153"/>
    </row>
    <row r="679" spans="1:10" x14ac:dyDescent="0.25">
      <c r="A679" s="21"/>
      <c r="B679" s="21"/>
      <c r="C679" s="21"/>
      <c r="D679" s="21"/>
      <c r="E679" s="21"/>
      <c r="F679" s="21"/>
      <c r="G679" s="21"/>
      <c r="H679" s="21"/>
      <c r="I679" s="151">
        <f t="shared" si="10"/>
        <v>0</v>
      </c>
      <c r="J679" s="153"/>
    </row>
    <row r="680" spans="1:10" x14ac:dyDescent="0.25">
      <c r="A680" s="21"/>
      <c r="B680" s="21"/>
      <c r="C680" s="21"/>
      <c r="D680" s="21"/>
      <c r="E680" s="21"/>
      <c r="F680" s="21"/>
      <c r="G680" s="21"/>
      <c r="H680" s="21"/>
      <c r="I680" s="151">
        <f t="shared" si="10"/>
        <v>0</v>
      </c>
      <c r="J680" s="153"/>
    </row>
    <row r="681" spans="1:10" x14ac:dyDescent="0.25">
      <c r="A681" s="21"/>
      <c r="B681" s="21"/>
      <c r="C681" s="21"/>
      <c r="D681" s="21"/>
      <c r="E681" s="21"/>
      <c r="F681" s="21"/>
      <c r="G681" s="21"/>
      <c r="H681" s="21"/>
      <c r="I681" s="151">
        <f t="shared" si="10"/>
        <v>0</v>
      </c>
      <c r="J681" s="153"/>
    </row>
    <row r="682" spans="1:10" x14ac:dyDescent="0.25">
      <c r="A682" s="21"/>
      <c r="B682" s="21"/>
      <c r="C682" s="21"/>
      <c r="D682" s="21"/>
      <c r="E682" s="21"/>
      <c r="F682" s="21"/>
      <c r="G682" s="21"/>
      <c r="H682" s="21"/>
      <c r="I682" s="151">
        <f t="shared" si="10"/>
        <v>0</v>
      </c>
      <c r="J682" s="153"/>
    </row>
    <row r="683" spans="1:10" x14ac:dyDescent="0.25">
      <c r="A683" s="21"/>
      <c r="B683" s="21"/>
      <c r="C683" s="21"/>
      <c r="D683" s="21"/>
      <c r="E683" s="21"/>
      <c r="F683" s="21"/>
      <c r="G683" s="21"/>
      <c r="H683" s="21"/>
      <c r="I683" s="151">
        <f t="shared" si="10"/>
        <v>0</v>
      </c>
      <c r="J683" s="153"/>
    </row>
    <row r="684" spans="1:10" x14ac:dyDescent="0.25">
      <c r="A684" s="21"/>
      <c r="B684" s="21"/>
      <c r="C684" s="21"/>
      <c r="D684" s="21"/>
      <c r="E684" s="21"/>
      <c r="F684" s="21"/>
      <c r="G684" s="21"/>
      <c r="H684" s="21"/>
      <c r="I684" s="151">
        <f t="shared" si="10"/>
        <v>0</v>
      </c>
      <c r="J684" s="153"/>
    </row>
    <row r="685" spans="1:10" x14ac:dyDescent="0.25">
      <c r="A685" s="21"/>
      <c r="B685" s="21"/>
      <c r="C685" s="21"/>
      <c r="D685" s="21"/>
      <c r="E685" s="21"/>
      <c r="F685" s="21"/>
      <c r="G685" s="21"/>
      <c r="H685" s="21"/>
      <c r="I685" s="151">
        <f t="shared" si="10"/>
        <v>0</v>
      </c>
      <c r="J685" s="153"/>
    </row>
    <row r="686" spans="1:10" x14ac:dyDescent="0.25">
      <c r="A686" s="21"/>
      <c r="B686" s="21"/>
      <c r="C686" s="21"/>
      <c r="D686" s="21"/>
      <c r="E686" s="21"/>
      <c r="F686" s="21"/>
      <c r="G686" s="21"/>
      <c r="H686" s="21"/>
      <c r="I686" s="151">
        <f t="shared" si="10"/>
        <v>0</v>
      </c>
      <c r="J686" s="153"/>
    </row>
    <row r="687" spans="1:10" x14ac:dyDescent="0.25">
      <c r="A687" s="21"/>
      <c r="B687" s="21"/>
      <c r="C687" s="21"/>
      <c r="D687" s="21"/>
      <c r="E687" s="21"/>
      <c r="F687" s="21"/>
      <c r="G687" s="21"/>
      <c r="H687" s="21"/>
      <c r="I687" s="151">
        <f t="shared" si="10"/>
        <v>0</v>
      </c>
      <c r="J687" s="153"/>
    </row>
    <row r="688" spans="1:10" x14ac:dyDescent="0.25">
      <c r="A688" s="21"/>
      <c r="B688" s="21"/>
      <c r="C688" s="21"/>
      <c r="D688" s="21"/>
      <c r="E688" s="21"/>
      <c r="F688" s="21"/>
      <c r="G688" s="21"/>
      <c r="H688" s="21"/>
      <c r="I688" s="151">
        <f t="shared" si="10"/>
        <v>0</v>
      </c>
      <c r="J688" s="153"/>
    </row>
    <row r="689" spans="1:10" x14ac:dyDescent="0.25">
      <c r="A689" s="21"/>
      <c r="B689" s="21"/>
      <c r="C689" s="21"/>
      <c r="D689" s="21"/>
      <c r="E689" s="21"/>
      <c r="F689" s="21"/>
      <c r="G689" s="21"/>
      <c r="H689" s="21"/>
      <c r="I689" s="151">
        <f t="shared" si="10"/>
        <v>0</v>
      </c>
      <c r="J689" s="153"/>
    </row>
    <row r="690" spans="1:10" x14ac:dyDescent="0.25">
      <c r="A690" s="21"/>
      <c r="B690" s="21"/>
      <c r="C690" s="21"/>
      <c r="D690" s="21"/>
      <c r="E690" s="21"/>
      <c r="F690" s="21"/>
      <c r="G690" s="21"/>
      <c r="H690" s="21"/>
      <c r="I690" s="151">
        <f t="shared" si="10"/>
        <v>0</v>
      </c>
      <c r="J690" s="153"/>
    </row>
    <row r="691" spans="1:10" x14ac:dyDescent="0.25">
      <c r="A691" s="21"/>
      <c r="B691" s="21"/>
      <c r="C691" s="21"/>
      <c r="D691" s="21"/>
      <c r="E691" s="21"/>
      <c r="F691" s="21"/>
      <c r="G691" s="21"/>
      <c r="H691" s="21"/>
      <c r="I691" s="151">
        <f t="shared" si="10"/>
        <v>0</v>
      </c>
      <c r="J691" s="153"/>
    </row>
    <row r="692" spans="1:10" x14ac:dyDescent="0.25">
      <c r="A692" s="21"/>
      <c r="B692" s="21"/>
      <c r="C692" s="21"/>
      <c r="D692" s="21"/>
      <c r="E692" s="21"/>
      <c r="F692" s="21"/>
      <c r="G692" s="21"/>
      <c r="H692" s="21"/>
      <c r="I692" s="151">
        <f t="shared" si="10"/>
        <v>0</v>
      </c>
      <c r="J692" s="153"/>
    </row>
    <row r="693" spans="1:10" x14ac:dyDescent="0.25">
      <c r="A693" s="21"/>
      <c r="B693" s="21"/>
      <c r="C693" s="21"/>
      <c r="D693" s="21"/>
      <c r="E693" s="21"/>
      <c r="F693" s="21"/>
      <c r="G693" s="21"/>
      <c r="H693" s="21"/>
      <c r="I693" s="151">
        <f t="shared" si="10"/>
        <v>0</v>
      </c>
      <c r="J693" s="153"/>
    </row>
    <row r="694" spans="1:10" x14ac:dyDescent="0.25">
      <c r="A694" s="21"/>
      <c r="B694" s="21"/>
      <c r="C694" s="21"/>
      <c r="D694" s="21"/>
      <c r="E694" s="21"/>
      <c r="F694" s="21"/>
      <c r="G694" s="21"/>
      <c r="H694" s="21"/>
      <c r="I694" s="151">
        <f t="shared" si="10"/>
        <v>0</v>
      </c>
      <c r="J694" s="153"/>
    </row>
    <row r="695" spans="1:10" x14ac:dyDescent="0.25">
      <c r="A695" s="21"/>
      <c r="B695" s="21"/>
      <c r="C695" s="21"/>
      <c r="D695" s="21"/>
      <c r="E695" s="21"/>
      <c r="F695" s="21"/>
      <c r="G695" s="21"/>
      <c r="H695" s="21"/>
      <c r="I695" s="151">
        <f t="shared" si="10"/>
        <v>0</v>
      </c>
      <c r="J695" s="153"/>
    </row>
    <row r="696" spans="1:10" x14ac:dyDescent="0.25">
      <c r="A696" s="21"/>
      <c r="B696" s="21"/>
      <c r="C696" s="21"/>
      <c r="D696" s="21"/>
      <c r="E696" s="21"/>
      <c r="F696" s="21"/>
      <c r="G696" s="21"/>
      <c r="H696" s="21"/>
      <c r="I696" s="151">
        <f t="shared" si="10"/>
        <v>0</v>
      </c>
      <c r="J696" s="153"/>
    </row>
    <row r="697" spans="1:10" x14ac:dyDescent="0.25">
      <c r="A697" s="21"/>
      <c r="B697" s="21"/>
      <c r="C697" s="21"/>
      <c r="D697" s="21"/>
      <c r="E697" s="21"/>
      <c r="F697" s="21"/>
      <c r="G697" s="21"/>
      <c r="H697" s="21"/>
      <c r="I697" s="151">
        <f t="shared" si="10"/>
        <v>0</v>
      </c>
      <c r="J697" s="153"/>
    </row>
    <row r="698" spans="1:10" x14ac:dyDescent="0.25">
      <c r="A698" s="21"/>
      <c r="B698" s="21"/>
      <c r="C698" s="21"/>
      <c r="D698" s="21"/>
      <c r="E698" s="21"/>
      <c r="F698" s="21"/>
      <c r="G698" s="21"/>
      <c r="H698" s="21"/>
      <c r="I698" s="151">
        <f t="shared" si="10"/>
        <v>0</v>
      </c>
      <c r="J698" s="153"/>
    </row>
    <row r="699" spans="1:10" x14ac:dyDescent="0.25">
      <c r="A699" s="21"/>
      <c r="B699" s="21"/>
      <c r="C699" s="21"/>
      <c r="D699" s="21"/>
      <c r="E699" s="21"/>
      <c r="F699" s="21"/>
      <c r="G699" s="21"/>
      <c r="H699" s="21"/>
      <c r="I699" s="151">
        <f t="shared" si="10"/>
        <v>0</v>
      </c>
      <c r="J699" s="153"/>
    </row>
    <row r="700" spans="1:10" x14ac:dyDescent="0.25">
      <c r="A700" s="21"/>
      <c r="B700" s="21"/>
      <c r="C700" s="21"/>
      <c r="D700" s="21"/>
      <c r="E700" s="21"/>
      <c r="F700" s="21"/>
      <c r="G700" s="21"/>
      <c r="H700" s="21"/>
      <c r="I700" s="151">
        <f t="shared" si="10"/>
        <v>0</v>
      </c>
      <c r="J700" s="153"/>
    </row>
    <row r="701" spans="1:10" x14ac:dyDescent="0.25">
      <c r="A701" s="21"/>
      <c r="B701" s="21"/>
      <c r="C701" s="21"/>
      <c r="D701" s="21"/>
      <c r="E701" s="21"/>
      <c r="F701" s="21"/>
      <c r="G701" s="21"/>
      <c r="H701" s="21"/>
      <c r="I701" s="151">
        <f t="shared" si="10"/>
        <v>0</v>
      </c>
      <c r="J701" s="153"/>
    </row>
    <row r="702" spans="1:10" x14ac:dyDescent="0.25">
      <c r="A702" s="21"/>
      <c r="B702" s="21"/>
      <c r="C702" s="21"/>
      <c r="D702" s="21"/>
      <c r="E702" s="21"/>
      <c r="F702" s="21"/>
      <c r="G702" s="21"/>
      <c r="H702" s="21"/>
      <c r="I702" s="151">
        <f t="shared" si="10"/>
        <v>0</v>
      </c>
      <c r="J702" s="153"/>
    </row>
    <row r="703" spans="1:10" x14ac:dyDescent="0.25">
      <c r="A703" s="21"/>
      <c r="B703" s="21"/>
      <c r="C703" s="21"/>
      <c r="D703" s="21"/>
      <c r="E703" s="21"/>
      <c r="F703" s="21"/>
      <c r="G703" s="21"/>
      <c r="H703" s="21"/>
      <c r="I703" s="151">
        <f t="shared" si="10"/>
        <v>0</v>
      </c>
      <c r="J703" s="153"/>
    </row>
    <row r="704" spans="1:10" x14ac:dyDescent="0.25">
      <c r="A704" s="21"/>
      <c r="B704" s="21"/>
      <c r="C704" s="21"/>
      <c r="D704" s="21"/>
      <c r="E704" s="21"/>
      <c r="F704" s="21"/>
      <c r="G704" s="21"/>
      <c r="H704" s="21"/>
      <c r="I704" s="151">
        <f t="shared" si="10"/>
        <v>0</v>
      </c>
      <c r="J704" s="153"/>
    </row>
    <row r="705" spans="1:10" x14ac:dyDescent="0.25">
      <c r="A705" s="21"/>
      <c r="B705" s="21"/>
      <c r="C705" s="21"/>
      <c r="D705" s="21"/>
      <c r="E705" s="21"/>
      <c r="F705" s="21"/>
      <c r="G705" s="21"/>
      <c r="H705" s="21"/>
      <c r="I705" s="151">
        <f t="shared" si="10"/>
        <v>0</v>
      </c>
      <c r="J705" s="153"/>
    </row>
    <row r="706" spans="1:10" x14ac:dyDescent="0.25">
      <c r="A706" s="21"/>
      <c r="B706" s="21"/>
      <c r="C706" s="21"/>
      <c r="D706" s="21"/>
      <c r="E706" s="21"/>
      <c r="F706" s="21"/>
      <c r="G706" s="21"/>
      <c r="H706" s="21"/>
      <c r="I706" s="151">
        <f t="shared" si="10"/>
        <v>0</v>
      </c>
      <c r="J706" s="153"/>
    </row>
    <row r="707" spans="1:10" x14ac:dyDescent="0.25">
      <c r="A707" s="21"/>
      <c r="B707" s="21"/>
      <c r="C707" s="21"/>
      <c r="D707" s="21"/>
      <c r="E707" s="21"/>
      <c r="F707" s="21"/>
      <c r="G707" s="21"/>
      <c r="H707" s="21"/>
      <c r="I707" s="151">
        <f t="shared" ref="I707:I770" si="11">IF(J707="",SUM(G707:H707),0)</f>
        <v>0</v>
      </c>
      <c r="J707" s="153"/>
    </row>
    <row r="708" spans="1:10" x14ac:dyDescent="0.25">
      <c r="A708" s="21"/>
      <c r="B708" s="21"/>
      <c r="C708" s="21"/>
      <c r="D708" s="21"/>
      <c r="E708" s="21"/>
      <c r="F708" s="21"/>
      <c r="G708" s="21"/>
      <c r="H708" s="21"/>
      <c r="I708" s="151">
        <f t="shared" si="11"/>
        <v>0</v>
      </c>
      <c r="J708" s="153"/>
    </row>
    <row r="709" spans="1:10" x14ac:dyDescent="0.25">
      <c r="A709" s="21"/>
      <c r="B709" s="21"/>
      <c r="C709" s="21"/>
      <c r="D709" s="21"/>
      <c r="E709" s="21"/>
      <c r="F709" s="21"/>
      <c r="G709" s="21"/>
      <c r="H709" s="21"/>
      <c r="I709" s="151">
        <f t="shared" si="11"/>
        <v>0</v>
      </c>
      <c r="J709" s="153"/>
    </row>
    <row r="710" spans="1:10" x14ac:dyDescent="0.25">
      <c r="A710" s="21"/>
      <c r="B710" s="21"/>
      <c r="C710" s="21"/>
      <c r="D710" s="21"/>
      <c r="E710" s="21"/>
      <c r="F710" s="21"/>
      <c r="G710" s="21"/>
      <c r="H710" s="21"/>
      <c r="I710" s="151">
        <f t="shared" si="11"/>
        <v>0</v>
      </c>
      <c r="J710" s="153"/>
    </row>
    <row r="711" spans="1:10" x14ac:dyDescent="0.25">
      <c r="A711" s="21"/>
      <c r="B711" s="21"/>
      <c r="C711" s="21"/>
      <c r="D711" s="21"/>
      <c r="E711" s="21"/>
      <c r="F711" s="21"/>
      <c r="G711" s="21"/>
      <c r="H711" s="21"/>
      <c r="I711" s="151">
        <f t="shared" si="11"/>
        <v>0</v>
      </c>
      <c r="J711" s="153"/>
    </row>
    <row r="712" spans="1:10" x14ac:dyDescent="0.25">
      <c r="A712" s="21"/>
      <c r="B712" s="21"/>
      <c r="C712" s="21"/>
      <c r="D712" s="21"/>
      <c r="E712" s="21"/>
      <c r="F712" s="21"/>
      <c r="G712" s="21"/>
      <c r="H712" s="21"/>
      <c r="I712" s="151">
        <f t="shared" si="11"/>
        <v>0</v>
      </c>
      <c r="J712" s="153"/>
    </row>
    <row r="713" spans="1:10" x14ac:dyDescent="0.25">
      <c r="A713" s="21"/>
      <c r="B713" s="21"/>
      <c r="C713" s="21"/>
      <c r="D713" s="21"/>
      <c r="E713" s="21"/>
      <c r="F713" s="21"/>
      <c r="G713" s="21"/>
      <c r="H713" s="21"/>
      <c r="I713" s="151">
        <f t="shared" si="11"/>
        <v>0</v>
      </c>
      <c r="J713" s="153"/>
    </row>
    <row r="714" spans="1:10" x14ac:dyDescent="0.25">
      <c r="A714" s="21"/>
      <c r="B714" s="21"/>
      <c r="C714" s="21"/>
      <c r="D714" s="21"/>
      <c r="E714" s="21"/>
      <c r="F714" s="21"/>
      <c r="G714" s="21"/>
      <c r="H714" s="21"/>
      <c r="I714" s="151">
        <f t="shared" si="11"/>
        <v>0</v>
      </c>
      <c r="J714" s="153"/>
    </row>
    <row r="715" spans="1:10" x14ac:dyDescent="0.25">
      <c r="A715" s="21"/>
      <c r="B715" s="21"/>
      <c r="C715" s="21"/>
      <c r="D715" s="21"/>
      <c r="E715" s="21"/>
      <c r="F715" s="21"/>
      <c r="G715" s="21"/>
      <c r="H715" s="21"/>
      <c r="I715" s="151">
        <f t="shared" si="11"/>
        <v>0</v>
      </c>
      <c r="J715" s="153"/>
    </row>
    <row r="716" spans="1:10" x14ac:dyDescent="0.25">
      <c r="A716" s="21"/>
      <c r="B716" s="21"/>
      <c r="C716" s="21"/>
      <c r="D716" s="21"/>
      <c r="E716" s="21"/>
      <c r="F716" s="21"/>
      <c r="G716" s="21"/>
      <c r="H716" s="21"/>
      <c r="I716" s="151">
        <f t="shared" si="11"/>
        <v>0</v>
      </c>
      <c r="J716" s="153"/>
    </row>
    <row r="717" spans="1:10" x14ac:dyDescent="0.25">
      <c r="A717" s="21"/>
      <c r="B717" s="21"/>
      <c r="C717" s="21"/>
      <c r="D717" s="21"/>
      <c r="E717" s="21"/>
      <c r="F717" s="21"/>
      <c r="G717" s="21"/>
      <c r="H717" s="21"/>
      <c r="I717" s="151">
        <f t="shared" si="11"/>
        <v>0</v>
      </c>
      <c r="J717" s="153"/>
    </row>
    <row r="718" spans="1:10" x14ac:dyDescent="0.25">
      <c r="A718" s="21"/>
      <c r="B718" s="21"/>
      <c r="C718" s="21"/>
      <c r="D718" s="21"/>
      <c r="E718" s="21"/>
      <c r="F718" s="21"/>
      <c r="G718" s="21"/>
      <c r="H718" s="21"/>
      <c r="I718" s="151">
        <f t="shared" si="11"/>
        <v>0</v>
      </c>
      <c r="J718" s="153"/>
    </row>
    <row r="719" spans="1:10" x14ac:dyDescent="0.25">
      <c r="A719" s="21"/>
      <c r="B719" s="21"/>
      <c r="C719" s="21"/>
      <c r="D719" s="21"/>
      <c r="E719" s="21"/>
      <c r="F719" s="21"/>
      <c r="G719" s="21"/>
      <c r="H719" s="21"/>
      <c r="I719" s="151">
        <f t="shared" si="11"/>
        <v>0</v>
      </c>
      <c r="J719" s="153"/>
    </row>
    <row r="720" spans="1:10" x14ac:dyDescent="0.25">
      <c r="A720" s="21"/>
      <c r="B720" s="21"/>
      <c r="C720" s="21"/>
      <c r="D720" s="21"/>
      <c r="E720" s="21"/>
      <c r="F720" s="21"/>
      <c r="G720" s="21"/>
      <c r="H720" s="21"/>
      <c r="I720" s="151">
        <f t="shared" si="11"/>
        <v>0</v>
      </c>
      <c r="J720" s="153"/>
    </row>
    <row r="721" spans="1:10" x14ac:dyDescent="0.25">
      <c r="A721" s="21"/>
      <c r="B721" s="21"/>
      <c r="C721" s="21"/>
      <c r="D721" s="21"/>
      <c r="E721" s="21"/>
      <c r="F721" s="21"/>
      <c r="G721" s="21"/>
      <c r="H721" s="21"/>
      <c r="I721" s="151">
        <f t="shared" si="11"/>
        <v>0</v>
      </c>
      <c r="J721" s="153"/>
    </row>
    <row r="722" spans="1:10" x14ac:dyDescent="0.25">
      <c r="A722" s="21"/>
      <c r="B722" s="21"/>
      <c r="C722" s="21"/>
      <c r="D722" s="21"/>
      <c r="E722" s="21"/>
      <c r="F722" s="21"/>
      <c r="G722" s="21"/>
      <c r="H722" s="21"/>
      <c r="I722" s="151">
        <f t="shared" si="11"/>
        <v>0</v>
      </c>
      <c r="J722" s="153"/>
    </row>
    <row r="723" spans="1:10" x14ac:dyDescent="0.25">
      <c r="A723" s="21"/>
      <c r="B723" s="21"/>
      <c r="C723" s="21"/>
      <c r="D723" s="21"/>
      <c r="E723" s="21"/>
      <c r="F723" s="21"/>
      <c r="G723" s="21"/>
      <c r="H723" s="21"/>
      <c r="I723" s="151">
        <f t="shared" si="11"/>
        <v>0</v>
      </c>
      <c r="J723" s="153"/>
    </row>
    <row r="724" spans="1:10" x14ac:dyDescent="0.25">
      <c r="A724" s="21"/>
      <c r="B724" s="21"/>
      <c r="C724" s="21"/>
      <c r="D724" s="21"/>
      <c r="E724" s="21"/>
      <c r="F724" s="21"/>
      <c r="G724" s="21"/>
      <c r="H724" s="21"/>
      <c r="I724" s="151">
        <f t="shared" si="11"/>
        <v>0</v>
      </c>
      <c r="J724" s="153"/>
    </row>
    <row r="725" spans="1:10" x14ac:dyDescent="0.25">
      <c r="A725" s="21"/>
      <c r="B725" s="21"/>
      <c r="C725" s="21"/>
      <c r="D725" s="21"/>
      <c r="E725" s="21"/>
      <c r="F725" s="21"/>
      <c r="G725" s="21"/>
      <c r="H725" s="21"/>
      <c r="I725" s="151">
        <f t="shared" si="11"/>
        <v>0</v>
      </c>
      <c r="J725" s="153"/>
    </row>
    <row r="726" spans="1:10" x14ac:dyDescent="0.25">
      <c r="A726" s="21"/>
      <c r="B726" s="21"/>
      <c r="C726" s="21"/>
      <c r="D726" s="21"/>
      <c r="E726" s="21"/>
      <c r="F726" s="21"/>
      <c r="G726" s="21"/>
      <c r="H726" s="21"/>
      <c r="I726" s="151">
        <f t="shared" si="11"/>
        <v>0</v>
      </c>
      <c r="J726" s="153"/>
    </row>
    <row r="727" spans="1:10" x14ac:dyDescent="0.25">
      <c r="A727" s="21"/>
      <c r="B727" s="21"/>
      <c r="C727" s="21"/>
      <c r="D727" s="21"/>
      <c r="E727" s="21"/>
      <c r="F727" s="21"/>
      <c r="G727" s="21"/>
      <c r="H727" s="21"/>
      <c r="I727" s="151">
        <f t="shared" si="11"/>
        <v>0</v>
      </c>
      <c r="J727" s="153"/>
    </row>
    <row r="728" spans="1:10" x14ac:dyDescent="0.25">
      <c r="A728" s="21"/>
      <c r="B728" s="21"/>
      <c r="C728" s="21"/>
      <c r="D728" s="21"/>
      <c r="E728" s="21"/>
      <c r="F728" s="21"/>
      <c r="G728" s="21"/>
      <c r="H728" s="21"/>
      <c r="I728" s="151">
        <f t="shared" si="11"/>
        <v>0</v>
      </c>
      <c r="J728" s="153"/>
    </row>
    <row r="729" spans="1:10" x14ac:dyDescent="0.25">
      <c r="A729" s="21"/>
      <c r="B729" s="21"/>
      <c r="C729" s="21"/>
      <c r="D729" s="21"/>
      <c r="E729" s="21"/>
      <c r="F729" s="21"/>
      <c r="G729" s="21"/>
      <c r="H729" s="21"/>
      <c r="I729" s="151">
        <f t="shared" si="11"/>
        <v>0</v>
      </c>
      <c r="J729" s="153"/>
    </row>
    <row r="730" spans="1:10" x14ac:dyDescent="0.25">
      <c r="A730" s="21"/>
      <c r="B730" s="21"/>
      <c r="C730" s="21"/>
      <c r="D730" s="21"/>
      <c r="E730" s="21"/>
      <c r="F730" s="21"/>
      <c r="G730" s="21"/>
      <c r="H730" s="21"/>
      <c r="I730" s="151">
        <f t="shared" si="11"/>
        <v>0</v>
      </c>
      <c r="J730" s="153"/>
    </row>
    <row r="731" spans="1:10" x14ac:dyDescent="0.25">
      <c r="A731" s="21"/>
      <c r="B731" s="21"/>
      <c r="C731" s="21"/>
      <c r="D731" s="21"/>
      <c r="E731" s="21"/>
      <c r="F731" s="21"/>
      <c r="G731" s="21"/>
      <c r="H731" s="21"/>
      <c r="I731" s="151">
        <f t="shared" si="11"/>
        <v>0</v>
      </c>
      <c r="J731" s="153"/>
    </row>
    <row r="732" spans="1:10" x14ac:dyDescent="0.25">
      <c r="A732" s="21"/>
      <c r="B732" s="21"/>
      <c r="C732" s="21"/>
      <c r="D732" s="21"/>
      <c r="E732" s="21"/>
      <c r="F732" s="21"/>
      <c r="G732" s="21"/>
      <c r="H732" s="21"/>
      <c r="I732" s="151">
        <f t="shared" si="11"/>
        <v>0</v>
      </c>
      <c r="J732" s="153"/>
    </row>
    <row r="733" spans="1:10" x14ac:dyDescent="0.25">
      <c r="A733" s="21"/>
      <c r="B733" s="21"/>
      <c r="C733" s="21"/>
      <c r="D733" s="21"/>
      <c r="E733" s="21"/>
      <c r="F733" s="21"/>
      <c r="G733" s="21"/>
      <c r="H733" s="21"/>
      <c r="I733" s="151">
        <f t="shared" si="11"/>
        <v>0</v>
      </c>
      <c r="J733" s="153"/>
    </row>
    <row r="734" spans="1:10" x14ac:dyDescent="0.25">
      <c r="A734" s="21"/>
      <c r="B734" s="21"/>
      <c r="C734" s="21"/>
      <c r="D734" s="21"/>
      <c r="E734" s="21"/>
      <c r="F734" s="21"/>
      <c r="G734" s="21"/>
      <c r="H734" s="21"/>
      <c r="I734" s="151">
        <f t="shared" si="11"/>
        <v>0</v>
      </c>
      <c r="J734" s="153"/>
    </row>
    <row r="735" spans="1:10" x14ac:dyDescent="0.25">
      <c r="A735" s="21"/>
      <c r="B735" s="21"/>
      <c r="C735" s="21"/>
      <c r="D735" s="21"/>
      <c r="E735" s="21"/>
      <c r="F735" s="21"/>
      <c r="G735" s="21"/>
      <c r="H735" s="21"/>
      <c r="I735" s="151">
        <f t="shared" si="11"/>
        <v>0</v>
      </c>
      <c r="J735" s="153"/>
    </row>
    <row r="736" spans="1:10" x14ac:dyDescent="0.25">
      <c r="A736" s="21"/>
      <c r="B736" s="21"/>
      <c r="C736" s="21"/>
      <c r="D736" s="21"/>
      <c r="E736" s="21"/>
      <c r="F736" s="21"/>
      <c r="G736" s="21"/>
      <c r="H736" s="21"/>
      <c r="I736" s="151">
        <f t="shared" si="11"/>
        <v>0</v>
      </c>
      <c r="J736" s="153"/>
    </row>
    <row r="737" spans="1:10" x14ac:dyDescent="0.25">
      <c r="A737" s="21"/>
      <c r="B737" s="21"/>
      <c r="C737" s="21"/>
      <c r="D737" s="21"/>
      <c r="E737" s="21"/>
      <c r="F737" s="21"/>
      <c r="G737" s="21"/>
      <c r="H737" s="21"/>
      <c r="I737" s="151">
        <f t="shared" si="11"/>
        <v>0</v>
      </c>
      <c r="J737" s="153"/>
    </row>
    <row r="738" spans="1:10" x14ac:dyDescent="0.25">
      <c r="A738" s="21"/>
      <c r="B738" s="21"/>
      <c r="C738" s="21"/>
      <c r="D738" s="21"/>
      <c r="E738" s="21"/>
      <c r="F738" s="21"/>
      <c r="G738" s="21"/>
      <c r="H738" s="21"/>
      <c r="I738" s="151">
        <f t="shared" si="11"/>
        <v>0</v>
      </c>
      <c r="J738" s="153"/>
    </row>
    <row r="739" spans="1:10" x14ac:dyDescent="0.25">
      <c r="A739" s="21"/>
      <c r="B739" s="21"/>
      <c r="C739" s="21"/>
      <c r="D739" s="21"/>
      <c r="E739" s="21"/>
      <c r="F739" s="21"/>
      <c r="G739" s="21"/>
      <c r="H739" s="21"/>
      <c r="I739" s="151">
        <f t="shared" si="11"/>
        <v>0</v>
      </c>
      <c r="J739" s="153"/>
    </row>
    <row r="740" spans="1:10" x14ac:dyDescent="0.25">
      <c r="A740" s="21"/>
      <c r="B740" s="21"/>
      <c r="C740" s="21"/>
      <c r="D740" s="21"/>
      <c r="E740" s="21"/>
      <c r="F740" s="21"/>
      <c r="G740" s="21"/>
      <c r="H740" s="21"/>
      <c r="I740" s="151">
        <f t="shared" si="11"/>
        <v>0</v>
      </c>
      <c r="J740" s="153"/>
    </row>
    <row r="741" spans="1:10" x14ac:dyDescent="0.25">
      <c r="A741" s="21"/>
      <c r="B741" s="21"/>
      <c r="C741" s="21"/>
      <c r="D741" s="21"/>
      <c r="E741" s="21"/>
      <c r="F741" s="21"/>
      <c r="G741" s="21"/>
      <c r="H741" s="21"/>
      <c r="I741" s="151">
        <f t="shared" si="11"/>
        <v>0</v>
      </c>
      <c r="J741" s="153"/>
    </row>
    <row r="742" spans="1:10" x14ac:dyDescent="0.25">
      <c r="A742" s="21"/>
      <c r="B742" s="21"/>
      <c r="C742" s="21"/>
      <c r="D742" s="21"/>
      <c r="E742" s="21"/>
      <c r="F742" s="21"/>
      <c r="G742" s="21"/>
      <c r="H742" s="21"/>
      <c r="I742" s="151">
        <f t="shared" si="11"/>
        <v>0</v>
      </c>
      <c r="J742" s="153"/>
    </row>
    <row r="743" spans="1:10" x14ac:dyDescent="0.25">
      <c r="A743" s="21"/>
      <c r="B743" s="21"/>
      <c r="C743" s="21"/>
      <c r="D743" s="21"/>
      <c r="E743" s="21"/>
      <c r="F743" s="21"/>
      <c r="G743" s="21"/>
      <c r="H743" s="21"/>
      <c r="I743" s="151">
        <f t="shared" si="11"/>
        <v>0</v>
      </c>
      <c r="J743" s="153"/>
    </row>
    <row r="744" spans="1:10" x14ac:dyDescent="0.25">
      <c r="A744" s="21"/>
      <c r="B744" s="21"/>
      <c r="C744" s="21"/>
      <c r="D744" s="21"/>
      <c r="E744" s="21"/>
      <c r="F744" s="21"/>
      <c r="G744" s="21"/>
      <c r="H744" s="21"/>
      <c r="I744" s="151">
        <f t="shared" si="11"/>
        <v>0</v>
      </c>
      <c r="J744" s="153"/>
    </row>
    <row r="745" spans="1:10" x14ac:dyDescent="0.25">
      <c r="A745" s="21"/>
      <c r="B745" s="21"/>
      <c r="C745" s="21"/>
      <c r="D745" s="21"/>
      <c r="E745" s="21"/>
      <c r="F745" s="21"/>
      <c r="G745" s="21"/>
      <c r="H745" s="21"/>
      <c r="I745" s="151">
        <f t="shared" si="11"/>
        <v>0</v>
      </c>
      <c r="J745" s="153"/>
    </row>
    <row r="746" spans="1:10" x14ac:dyDescent="0.25">
      <c r="A746" s="21"/>
      <c r="B746" s="21"/>
      <c r="C746" s="21"/>
      <c r="D746" s="21"/>
      <c r="E746" s="21"/>
      <c r="F746" s="21"/>
      <c r="G746" s="21"/>
      <c r="H746" s="21"/>
      <c r="I746" s="151">
        <f t="shared" si="11"/>
        <v>0</v>
      </c>
      <c r="J746" s="153"/>
    </row>
    <row r="747" spans="1:10" x14ac:dyDescent="0.25">
      <c r="A747" s="21"/>
      <c r="B747" s="21"/>
      <c r="C747" s="21"/>
      <c r="D747" s="21"/>
      <c r="E747" s="21"/>
      <c r="F747" s="21"/>
      <c r="G747" s="21"/>
      <c r="H747" s="21"/>
      <c r="I747" s="151">
        <f t="shared" si="11"/>
        <v>0</v>
      </c>
      <c r="J747" s="153"/>
    </row>
    <row r="748" spans="1:10" x14ac:dyDescent="0.25">
      <c r="A748" s="21"/>
      <c r="B748" s="21"/>
      <c r="C748" s="21"/>
      <c r="D748" s="21"/>
      <c r="E748" s="21"/>
      <c r="F748" s="21"/>
      <c r="G748" s="21"/>
      <c r="H748" s="21"/>
      <c r="I748" s="151">
        <f t="shared" si="11"/>
        <v>0</v>
      </c>
      <c r="J748" s="153"/>
    </row>
    <row r="749" spans="1:10" x14ac:dyDescent="0.25">
      <c r="A749" s="21"/>
      <c r="B749" s="21"/>
      <c r="C749" s="21"/>
      <c r="D749" s="21"/>
      <c r="E749" s="21"/>
      <c r="F749" s="21"/>
      <c r="G749" s="21"/>
      <c r="H749" s="21"/>
      <c r="I749" s="151">
        <f t="shared" si="11"/>
        <v>0</v>
      </c>
      <c r="J749" s="153"/>
    </row>
    <row r="750" spans="1:10" x14ac:dyDescent="0.25">
      <c r="A750" s="21"/>
      <c r="B750" s="21"/>
      <c r="C750" s="21"/>
      <c r="D750" s="21"/>
      <c r="E750" s="21"/>
      <c r="F750" s="21"/>
      <c r="G750" s="21"/>
      <c r="H750" s="21"/>
      <c r="I750" s="151">
        <f t="shared" si="11"/>
        <v>0</v>
      </c>
      <c r="J750" s="153"/>
    </row>
    <row r="751" spans="1:10" x14ac:dyDescent="0.25">
      <c r="A751" s="21"/>
      <c r="B751" s="21"/>
      <c r="C751" s="21"/>
      <c r="D751" s="21"/>
      <c r="E751" s="21"/>
      <c r="F751" s="21"/>
      <c r="G751" s="21"/>
      <c r="H751" s="21"/>
      <c r="I751" s="151">
        <f t="shared" si="11"/>
        <v>0</v>
      </c>
      <c r="J751" s="153"/>
    </row>
    <row r="752" spans="1:10" x14ac:dyDescent="0.25">
      <c r="A752" s="21"/>
      <c r="B752" s="21"/>
      <c r="C752" s="21"/>
      <c r="D752" s="21"/>
      <c r="E752" s="21"/>
      <c r="F752" s="21"/>
      <c r="G752" s="21"/>
      <c r="H752" s="21"/>
      <c r="I752" s="151">
        <f t="shared" si="11"/>
        <v>0</v>
      </c>
      <c r="J752" s="153"/>
    </row>
    <row r="753" spans="1:10" x14ac:dyDescent="0.25">
      <c r="A753" s="21"/>
      <c r="B753" s="21"/>
      <c r="C753" s="21"/>
      <c r="D753" s="21"/>
      <c r="E753" s="21"/>
      <c r="F753" s="21"/>
      <c r="G753" s="21"/>
      <c r="H753" s="21"/>
      <c r="I753" s="151">
        <f t="shared" si="11"/>
        <v>0</v>
      </c>
      <c r="J753" s="153"/>
    </row>
    <row r="754" spans="1:10" x14ac:dyDescent="0.25">
      <c r="A754" s="21"/>
      <c r="B754" s="21"/>
      <c r="C754" s="21"/>
      <c r="D754" s="21"/>
      <c r="E754" s="21"/>
      <c r="F754" s="21"/>
      <c r="G754" s="21"/>
      <c r="H754" s="21"/>
      <c r="I754" s="151">
        <f t="shared" si="11"/>
        <v>0</v>
      </c>
      <c r="J754" s="153"/>
    </row>
    <row r="755" spans="1:10" x14ac:dyDescent="0.25">
      <c r="A755" s="21"/>
      <c r="B755" s="21"/>
      <c r="C755" s="21"/>
      <c r="D755" s="21"/>
      <c r="E755" s="21"/>
      <c r="F755" s="21"/>
      <c r="G755" s="21"/>
      <c r="H755" s="21"/>
      <c r="I755" s="151">
        <f t="shared" si="11"/>
        <v>0</v>
      </c>
      <c r="J755" s="153"/>
    </row>
    <row r="756" spans="1:10" x14ac:dyDescent="0.25">
      <c r="A756" s="21"/>
      <c r="B756" s="21"/>
      <c r="C756" s="21"/>
      <c r="D756" s="21"/>
      <c r="E756" s="21"/>
      <c r="F756" s="21"/>
      <c r="G756" s="21"/>
      <c r="H756" s="21"/>
      <c r="I756" s="151">
        <f t="shared" si="11"/>
        <v>0</v>
      </c>
      <c r="J756" s="153"/>
    </row>
    <row r="757" spans="1:10" x14ac:dyDescent="0.25">
      <c r="A757" s="21"/>
      <c r="B757" s="21"/>
      <c r="C757" s="21"/>
      <c r="D757" s="21"/>
      <c r="E757" s="21"/>
      <c r="F757" s="21"/>
      <c r="G757" s="21"/>
      <c r="H757" s="21"/>
      <c r="I757" s="151">
        <f t="shared" si="11"/>
        <v>0</v>
      </c>
      <c r="J757" s="153"/>
    </row>
    <row r="758" spans="1:10" x14ac:dyDescent="0.25">
      <c r="A758" s="21"/>
      <c r="B758" s="21"/>
      <c r="C758" s="21"/>
      <c r="D758" s="21"/>
      <c r="E758" s="21"/>
      <c r="F758" s="21"/>
      <c r="G758" s="21"/>
      <c r="H758" s="21"/>
      <c r="I758" s="151">
        <f t="shared" si="11"/>
        <v>0</v>
      </c>
      <c r="J758" s="153"/>
    </row>
    <row r="759" spans="1:10" x14ac:dyDescent="0.25">
      <c r="A759" s="21"/>
      <c r="B759" s="21"/>
      <c r="C759" s="21"/>
      <c r="D759" s="21"/>
      <c r="E759" s="21"/>
      <c r="F759" s="21"/>
      <c r="G759" s="21"/>
      <c r="H759" s="21"/>
      <c r="I759" s="151">
        <f t="shared" si="11"/>
        <v>0</v>
      </c>
      <c r="J759" s="153"/>
    </row>
    <row r="760" spans="1:10" x14ac:dyDescent="0.25">
      <c r="A760" s="21"/>
      <c r="B760" s="21"/>
      <c r="C760" s="21"/>
      <c r="D760" s="21"/>
      <c r="E760" s="21"/>
      <c r="F760" s="21"/>
      <c r="G760" s="21"/>
      <c r="H760" s="21"/>
      <c r="I760" s="151">
        <f t="shared" si="11"/>
        <v>0</v>
      </c>
      <c r="J760" s="153"/>
    </row>
    <row r="761" spans="1:10" x14ac:dyDescent="0.25">
      <c r="A761" s="21"/>
      <c r="B761" s="21"/>
      <c r="C761" s="21"/>
      <c r="D761" s="21"/>
      <c r="E761" s="21"/>
      <c r="F761" s="21"/>
      <c r="G761" s="21"/>
      <c r="H761" s="21"/>
      <c r="I761" s="151">
        <f t="shared" si="11"/>
        <v>0</v>
      </c>
      <c r="J761" s="153"/>
    </row>
    <row r="762" spans="1:10" x14ac:dyDescent="0.25">
      <c r="A762" s="21"/>
      <c r="B762" s="21"/>
      <c r="C762" s="21"/>
      <c r="D762" s="21"/>
      <c r="E762" s="21"/>
      <c r="F762" s="21"/>
      <c r="G762" s="21"/>
      <c r="H762" s="21"/>
      <c r="I762" s="151">
        <f t="shared" si="11"/>
        <v>0</v>
      </c>
      <c r="J762" s="153"/>
    </row>
    <row r="763" spans="1:10" x14ac:dyDescent="0.25">
      <c r="A763" s="21"/>
      <c r="B763" s="21"/>
      <c r="C763" s="21"/>
      <c r="D763" s="21"/>
      <c r="E763" s="21"/>
      <c r="F763" s="21"/>
      <c r="G763" s="21"/>
      <c r="H763" s="21"/>
      <c r="I763" s="151">
        <f t="shared" si="11"/>
        <v>0</v>
      </c>
      <c r="J763" s="153"/>
    </row>
    <row r="764" spans="1:10" x14ac:dyDescent="0.25">
      <c r="A764" s="21"/>
      <c r="B764" s="21"/>
      <c r="C764" s="21"/>
      <c r="D764" s="21"/>
      <c r="E764" s="21"/>
      <c r="F764" s="21"/>
      <c r="G764" s="21"/>
      <c r="H764" s="21"/>
      <c r="I764" s="151">
        <f t="shared" si="11"/>
        <v>0</v>
      </c>
      <c r="J764" s="153"/>
    </row>
    <row r="765" spans="1:10" x14ac:dyDescent="0.25">
      <c r="A765" s="21"/>
      <c r="B765" s="21"/>
      <c r="C765" s="21"/>
      <c r="D765" s="21"/>
      <c r="E765" s="21"/>
      <c r="F765" s="21"/>
      <c r="G765" s="21"/>
      <c r="H765" s="21"/>
      <c r="I765" s="151">
        <f t="shared" si="11"/>
        <v>0</v>
      </c>
      <c r="J765" s="153"/>
    </row>
    <row r="766" spans="1:10" x14ac:dyDescent="0.25">
      <c r="A766" s="21"/>
      <c r="B766" s="21"/>
      <c r="C766" s="21"/>
      <c r="D766" s="21"/>
      <c r="E766" s="21"/>
      <c r="F766" s="21"/>
      <c r="G766" s="21"/>
      <c r="H766" s="21"/>
      <c r="I766" s="151">
        <f t="shared" si="11"/>
        <v>0</v>
      </c>
      <c r="J766" s="153"/>
    </row>
    <row r="767" spans="1:10" x14ac:dyDescent="0.25">
      <c r="A767" s="21"/>
      <c r="B767" s="21"/>
      <c r="C767" s="21"/>
      <c r="D767" s="21"/>
      <c r="E767" s="21"/>
      <c r="F767" s="21"/>
      <c r="G767" s="21"/>
      <c r="H767" s="21"/>
      <c r="I767" s="151">
        <f t="shared" si="11"/>
        <v>0</v>
      </c>
      <c r="J767" s="153"/>
    </row>
    <row r="768" spans="1:10" x14ac:dyDescent="0.25">
      <c r="A768" s="21"/>
      <c r="B768" s="21"/>
      <c r="C768" s="21"/>
      <c r="D768" s="21"/>
      <c r="E768" s="21"/>
      <c r="F768" s="21"/>
      <c r="G768" s="21"/>
      <c r="H768" s="21"/>
      <c r="I768" s="151">
        <f t="shared" si="11"/>
        <v>0</v>
      </c>
      <c r="J768" s="153"/>
    </row>
    <row r="769" spans="1:10" x14ac:dyDescent="0.25">
      <c r="A769" s="21"/>
      <c r="B769" s="21"/>
      <c r="C769" s="21"/>
      <c r="D769" s="21"/>
      <c r="E769" s="21"/>
      <c r="F769" s="21"/>
      <c r="G769" s="21"/>
      <c r="H769" s="21"/>
      <c r="I769" s="151">
        <f t="shared" si="11"/>
        <v>0</v>
      </c>
      <c r="J769" s="153"/>
    </row>
    <row r="770" spans="1:10" x14ac:dyDescent="0.25">
      <c r="A770" s="21"/>
      <c r="B770" s="21"/>
      <c r="C770" s="21"/>
      <c r="D770" s="21"/>
      <c r="E770" s="21"/>
      <c r="F770" s="21"/>
      <c r="G770" s="21"/>
      <c r="H770" s="21"/>
      <c r="I770" s="151">
        <f t="shared" si="11"/>
        <v>0</v>
      </c>
      <c r="J770" s="153"/>
    </row>
    <row r="771" spans="1:10" x14ac:dyDescent="0.25">
      <c r="A771" s="21"/>
      <c r="B771" s="21"/>
      <c r="C771" s="21"/>
      <c r="D771" s="21"/>
      <c r="E771" s="21"/>
      <c r="F771" s="21"/>
      <c r="G771" s="21"/>
      <c r="H771" s="21"/>
      <c r="I771" s="151">
        <f t="shared" ref="I771:I834" si="12">IF(J771="",SUM(G771:H771),0)</f>
        <v>0</v>
      </c>
      <c r="J771" s="153"/>
    </row>
    <row r="772" spans="1:10" x14ac:dyDescent="0.25">
      <c r="A772" s="21"/>
      <c r="B772" s="21"/>
      <c r="C772" s="21"/>
      <c r="D772" s="21"/>
      <c r="E772" s="21"/>
      <c r="F772" s="21"/>
      <c r="G772" s="21"/>
      <c r="H772" s="21"/>
      <c r="I772" s="151">
        <f t="shared" si="12"/>
        <v>0</v>
      </c>
      <c r="J772" s="153"/>
    </row>
    <row r="773" spans="1:10" x14ac:dyDescent="0.25">
      <c r="A773" s="21"/>
      <c r="B773" s="21"/>
      <c r="C773" s="21"/>
      <c r="D773" s="21"/>
      <c r="E773" s="21"/>
      <c r="F773" s="21"/>
      <c r="G773" s="21"/>
      <c r="H773" s="21"/>
      <c r="I773" s="151">
        <f t="shared" si="12"/>
        <v>0</v>
      </c>
      <c r="J773" s="153"/>
    </row>
    <row r="774" spans="1:10" x14ac:dyDescent="0.25">
      <c r="A774" s="21"/>
      <c r="B774" s="21"/>
      <c r="C774" s="21"/>
      <c r="D774" s="21"/>
      <c r="E774" s="21"/>
      <c r="F774" s="21"/>
      <c r="G774" s="21"/>
      <c r="H774" s="21"/>
      <c r="I774" s="151">
        <f t="shared" si="12"/>
        <v>0</v>
      </c>
      <c r="J774" s="153"/>
    </row>
    <row r="775" spans="1:10" x14ac:dyDescent="0.25">
      <c r="A775" s="21"/>
      <c r="B775" s="21"/>
      <c r="C775" s="21"/>
      <c r="D775" s="21"/>
      <c r="E775" s="21"/>
      <c r="F775" s="21"/>
      <c r="G775" s="21"/>
      <c r="H775" s="21"/>
      <c r="I775" s="151">
        <f t="shared" si="12"/>
        <v>0</v>
      </c>
      <c r="J775" s="153"/>
    </row>
    <row r="776" spans="1:10" x14ac:dyDescent="0.25">
      <c r="A776" s="21"/>
      <c r="B776" s="21"/>
      <c r="C776" s="21"/>
      <c r="D776" s="21"/>
      <c r="E776" s="21"/>
      <c r="F776" s="21"/>
      <c r="G776" s="21"/>
      <c r="H776" s="21"/>
      <c r="I776" s="151">
        <f t="shared" si="12"/>
        <v>0</v>
      </c>
      <c r="J776" s="153"/>
    </row>
    <row r="777" spans="1:10" x14ac:dyDescent="0.25">
      <c r="A777" s="21"/>
      <c r="B777" s="21"/>
      <c r="C777" s="21"/>
      <c r="D777" s="21"/>
      <c r="E777" s="21"/>
      <c r="F777" s="21"/>
      <c r="G777" s="21"/>
      <c r="H777" s="21"/>
      <c r="I777" s="151">
        <f t="shared" si="12"/>
        <v>0</v>
      </c>
      <c r="J777" s="153"/>
    </row>
    <row r="778" spans="1:10" x14ac:dyDescent="0.25">
      <c r="A778" s="21"/>
      <c r="B778" s="21"/>
      <c r="C778" s="21"/>
      <c r="D778" s="21"/>
      <c r="E778" s="21"/>
      <c r="F778" s="21"/>
      <c r="G778" s="21"/>
      <c r="H778" s="21"/>
      <c r="I778" s="151">
        <f t="shared" si="12"/>
        <v>0</v>
      </c>
      <c r="J778" s="153"/>
    </row>
    <row r="779" spans="1:10" x14ac:dyDescent="0.25">
      <c r="A779" s="21"/>
      <c r="B779" s="21"/>
      <c r="C779" s="21"/>
      <c r="D779" s="21"/>
      <c r="E779" s="21"/>
      <c r="F779" s="21"/>
      <c r="G779" s="21"/>
      <c r="H779" s="21"/>
      <c r="I779" s="151">
        <f t="shared" si="12"/>
        <v>0</v>
      </c>
      <c r="J779" s="153"/>
    </row>
    <row r="780" spans="1:10" x14ac:dyDescent="0.25">
      <c r="A780" s="21"/>
      <c r="B780" s="21"/>
      <c r="C780" s="21"/>
      <c r="D780" s="21"/>
      <c r="E780" s="21"/>
      <c r="F780" s="21"/>
      <c r="G780" s="21"/>
      <c r="H780" s="21"/>
      <c r="I780" s="151">
        <f t="shared" si="12"/>
        <v>0</v>
      </c>
      <c r="J780" s="153"/>
    </row>
    <row r="781" spans="1:10" x14ac:dyDescent="0.25">
      <c r="A781" s="21"/>
      <c r="B781" s="21"/>
      <c r="C781" s="21"/>
      <c r="D781" s="21"/>
      <c r="E781" s="21"/>
      <c r="F781" s="21"/>
      <c r="G781" s="21"/>
      <c r="H781" s="21"/>
      <c r="I781" s="151">
        <f t="shared" si="12"/>
        <v>0</v>
      </c>
      <c r="J781" s="153"/>
    </row>
    <row r="782" spans="1:10" x14ac:dyDescent="0.25">
      <c r="A782" s="21"/>
      <c r="B782" s="21"/>
      <c r="C782" s="21"/>
      <c r="D782" s="21"/>
      <c r="E782" s="21"/>
      <c r="F782" s="21"/>
      <c r="G782" s="21"/>
      <c r="H782" s="21"/>
      <c r="I782" s="151">
        <f t="shared" si="12"/>
        <v>0</v>
      </c>
      <c r="J782" s="153"/>
    </row>
    <row r="783" spans="1:10" x14ac:dyDescent="0.25">
      <c r="A783" s="21"/>
      <c r="B783" s="21"/>
      <c r="C783" s="21"/>
      <c r="D783" s="21"/>
      <c r="E783" s="21"/>
      <c r="F783" s="21"/>
      <c r="G783" s="21"/>
      <c r="H783" s="21"/>
      <c r="I783" s="151">
        <f t="shared" si="12"/>
        <v>0</v>
      </c>
      <c r="J783" s="153"/>
    </row>
    <row r="784" spans="1:10" x14ac:dyDescent="0.25">
      <c r="A784" s="21"/>
      <c r="B784" s="21"/>
      <c r="C784" s="21"/>
      <c r="D784" s="21"/>
      <c r="E784" s="21"/>
      <c r="F784" s="21"/>
      <c r="G784" s="21"/>
      <c r="H784" s="21"/>
      <c r="I784" s="151">
        <f t="shared" si="12"/>
        <v>0</v>
      </c>
      <c r="J784" s="153"/>
    </row>
    <row r="785" spans="1:10" x14ac:dyDescent="0.25">
      <c r="A785" s="21"/>
      <c r="B785" s="21"/>
      <c r="C785" s="21"/>
      <c r="D785" s="21"/>
      <c r="E785" s="21"/>
      <c r="F785" s="21"/>
      <c r="G785" s="21"/>
      <c r="H785" s="21"/>
      <c r="I785" s="151">
        <f t="shared" si="12"/>
        <v>0</v>
      </c>
      <c r="J785" s="153"/>
    </row>
    <row r="786" spans="1:10" x14ac:dyDescent="0.25">
      <c r="A786" s="21"/>
      <c r="B786" s="21"/>
      <c r="C786" s="21"/>
      <c r="D786" s="21"/>
      <c r="E786" s="21"/>
      <c r="F786" s="21"/>
      <c r="G786" s="21"/>
      <c r="H786" s="21"/>
      <c r="I786" s="151">
        <f t="shared" si="12"/>
        <v>0</v>
      </c>
      <c r="J786" s="153"/>
    </row>
    <row r="787" spans="1:10" x14ac:dyDescent="0.25">
      <c r="A787" s="21"/>
      <c r="B787" s="21"/>
      <c r="C787" s="21"/>
      <c r="D787" s="21"/>
      <c r="E787" s="21"/>
      <c r="F787" s="21"/>
      <c r="G787" s="21"/>
      <c r="H787" s="21"/>
      <c r="I787" s="151">
        <f t="shared" si="12"/>
        <v>0</v>
      </c>
      <c r="J787" s="153"/>
    </row>
    <row r="788" spans="1:10" x14ac:dyDescent="0.25">
      <c r="A788" s="21"/>
      <c r="B788" s="21"/>
      <c r="C788" s="21"/>
      <c r="D788" s="21"/>
      <c r="E788" s="21"/>
      <c r="F788" s="21"/>
      <c r="G788" s="21"/>
      <c r="H788" s="21"/>
      <c r="I788" s="151">
        <f t="shared" si="12"/>
        <v>0</v>
      </c>
      <c r="J788" s="153"/>
    </row>
    <row r="789" spans="1:10" x14ac:dyDescent="0.25">
      <c r="A789" s="21"/>
      <c r="B789" s="21"/>
      <c r="C789" s="21"/>
      <c r="D789" s="21"/>
      <c r="E789" s="21"/>
      <c r="F789" s="21"/>
      <c r="G789" s="21"/>
      <c r="H789" s="21"/>
      <c r="I789" s="151">
        <f t="shared" si="12"/>
        <v>0</v>
      </c>
      <c r="J789" s="153"/>
    </row>
    <row r="790" spans="1:10" x14ac:dyDescent="0.25">
      <c r="A790" s="21"/>
      <c r="B790" s="21"/>
      <c r="C790" s="21"/>
      <c r="D790" s="21"/>
      <c r="E790" s="21"/>
      <c r="F790" s="21"/>
      <c r="G790" s="21"/>
      <c r="H790" s="21"/>
      <c r="I790" s="151">
        <f t="shared" si="12"/>
        <v>0</v>
      </c>
      <c r="J790" s="153"/>
    </row>
    <row r="791" spans="1:10" x14ac:dyDescent="0.25">
      <c r="A791" s="21"/>
      <c r="B791" s="21"/>
      <c r="C791" s="21"/>
      <c r="D791" s="21"/>
      <c r="E791" s="21"/>
      <c r="F791" s="21"/>
      <c r="G791" s="21"/>
      <c r="H791" s="21"/>
      <c r="I791" s="151">
        <f t="shared" si="12"/>
        <v>0</v>
      </c>
      <c r="J791" s="153"/>
    </row>
    <row r="792" spans="1:10" x14ac:dyDescent="0.25">
      <c r="A792" s="21"/>
      <c r="B792" s="21"/>
      <c r="C792" s="21"/>
      <c r="D792" s="21"/>
      <c r="E792" s="21"/>
      <c r="F792" s="21"/>
      <c r="G792" s="21"/>
      <c r="H792" s="21"/>
      <c r="I792" s="151">
        <f t="shared" si="12"/>
        <v>0</v>
      </c>
      <c r="J792" s="153"/>
    </row>
    <row r="793" spans="1:10" x14ac:dyDescent="0.25">
      <c r="A793" s="21"/>
      <c r="B793" s="21"/>
      <c r="C793" s="21"/>
      <c r="D793" s="21"/>
      <c r="E793" s="21"/>
      <c r="F793" s="21"/>
      <c r="G793" s="21"/>
      <c r="H793" s="21"/>
      <c r="I793" s="151">
        <f t="shared" si="12"/>
        <v>0</v>
      </c>
      <c r="J793" s="153"/>
    </row>
    <row r="794" spans="1:10" x14ac:dyDescent="0.25">
      <c r="A794" s="21"/>
      <c r="B794" s="21"/>
      <c r="C794" s="21"/>
      <c r="D794" s="21"/>
      <c r="E794" s="21"/>
      <c r="F794" s="21"/>
      <c r="G794" s="21"/>
      <c r="H794" s="21"/>
      <c r="I794" s="151">
        <f t="shared" si="12"/>
        <v>0</v>
      </c>
      <c r="J794" s="153"/>
    </row>
    <row r="795" spans="1:10" x14ac:dyDescent="0.25">
      <c r="A795" s="21"/>
      <c r="B795" s="21"/>
      <c r="C795" s="21"/>
      <c r="D795" s="21"/>
      <c r="E795" s="21"/>
      <c r="F795" s="21"/>
      <c r="G795" s="21"/>
      <c r="H795" s="21"/>
      <c r="I795" s="151">
        <f t="shared" si="12"/>
        <v>0</v>
      </c>
      <c r="J795" s="153"/>
    </row>
    <row r="796" spans="1:10" x14ac:dyDescent="0.25">
      <c r="A796" s="21"/>
      <c r="B796" s="21"/>
      <c r="C796" s="21"/>
      <c r="D796" s="21"/>
      <c r="E796" s="21"/>
      <c r="F796" s="21"/>
      <c r="G796" s="21"/>
      <c r="H796" s="21"/>
      <c r="I796" s="151">
        <f t="shared" si="12"/>
        <v>0</v>
      </c>
      <c r="J796" s="153"/>
    </row>
    <row r="797" spans="1:10" x14ac:dyDescent="0.25">
      <c r="A797" s="21"/>
      <c r="B797" s="21"/>
      <c r="C797" s="21"/>
      <c r="D797" s="21"/>
      <c r="E797" s="21"/>
      <c r="F797" s="21"/>
      <c r="G797" s="21"/>
      <c r="H797" s="21"/>
      <c r="I797" s="151">
        <f t="shared" si="12"/>
        <v>0</v>
      </c>
      <c r="J797" s="153"/>
    </row>
    <row r="798" spans="1:10" x14ac:dyDescent="0.25">
      <c r="A798" s="21"/>
      <c r="B798" s="21"/>
      <c r="C798" s="21"/>
      <c r="D798" s="21"/>
      <c r="E798" s="21"/>
      <c r="F798" s="21"/>
      <c r="G798" s="21"/>
      <c r="H798" s="21"/>
      <c r="I798" s="151">
        <f t="shared" si="12"/>
        <v>0</v>
      </c>
      <c r="J798" s="153"/>
    </row>
    <row r="799" spans="1:10" x14ac:dyDescent="0.25">
      <c r="A799" s="21"/>
      <c r="B799" s="21"/>
      <c r="C799" s="21"/>
      <c r="D799" s="21"/>
      <c r="E799" s="21"/>
      <c r="F799" s="21"/>
      <c r="G799" s="21"/>
      <c r="H799" s="21"/>
      <c r="I799" s="151">
        <f t="shared" si="12"/>
        <v>0</v>
      </c>
      <c r="J799" s="153"/>
    </row>
    <row r="800" spans="1:10" x14ac:dyDescent="0.25">
      <c r="A800" s="21"/>
      <c r="B800" s="21"/>
      <c r="C800" s="21"/>
      <c r="D800" s="21"/>
      <c r="E800" s="21"/>
      <c r="F800" s="21"/>
      <c r="G800" s="21"/>
      <c r="H800" s="21"/>
      <c r="I800" s="151">
        <f t="shared" si="12"/>
        <v>0</v>
      </c>
      <c r="J800" s="153"/>
    </row>
    <row r="801" spans="1:10" x14ac:dyDescent="0.25">
      <c r="A801" s="21"/>
      <c r="B801" s="21"/>
      <c r="C801" s="21"/>
      <c r="D801" s="21"/>
      <c r="E801" s="21"/>
      <c r="F801" s="21"/>
      <c r="G801" s="21"/>
      <c r="H801" s="21"/>
      <c r="I801" s="151">
        <f t="shared" si="12"/>
        <v>0</v>
      </c>
      <c r="J801" s="153"/>
    </row>
    <row r="802" spans="1:10" x14ac:dyDescent="0.25">
      <c r="A802" s="21"/>
      <c r="B802" s="21"/>
      <c r="C802" s="21"/>
      <c r="D802" s="21"/>
      <c r="E802" s="21"/>
      <c r="F802" s="21"/>
      <c r="G802" s="21"/>
      <c r="H802" s="21"/>
      <c r="I802" s="151">
        <f t="shared" si="12"/>
        <v>0</v>
      </c>
      <c r="J802" s="153"/>
    </row>
    <row r="803" spans="1:10" x14ac:dyDescent="0.25">
      <c r="A803" s="21"/>
      <c r="B803" s="21"/>
      <c r="C803" s="21"/>
      <c r="D803" s="21"/>
      <c r="E803" s="21"/>
      <c r="F803" s="21"/>
      <c r="G803" s="21"/>
      <c r="H803" s="21"/>
      <c r="I803" s="151">
        <f t="shared" si="12"/>
        <v>0</v>
      </c>
      <c r="J803" s="153"/>
    </row>
    <row r="804" spans="1:10" x14ac:dyDescent="0.25">
      <c r="A804" s="21"/>
      <c r="B804" s="21"/>
      <c r="C804" s="21"/>
      <c r="D804" s="21"/>
      <c r="E804" s="21"/>
      <c r="F804" s="21"/>
      <c r="G804" s="21"/>
      <c r="H804" s="21"/>
      <c r="I804" s="151">
        <f t="shared" si="12"/>
        <v>0</v>
      </c>
      <c r="J804" s="153"/>
    </row>
    <row r="805" spans="1:10" x14ac:dyDescent="0.25">
      <c r="A805" s="21"/>
      <c r="B805" s="21"/>
      <c r="C805" s="21"/>
      <c r="D805" s="21"/>
      <c r="E805" s="21"/>
      <c r="F805" s="21"/>
      <c r="G805" s="21"/>
      <c r="H805" s="21"/>
      <c r="I805" s="151">
        <f t="shared" si="12"/>
        <v>0</v>
      </c>
      <c r="J805" s="153"/>
    </row>
    <row r="806" spans="1:10" x14ac:dyDescent="0.25">
      <c r="A806" s="21"/>
      <c r="B806" s="21"/>
      <c r="C806" s="21"/>
      <c r="D806" s="21"/>
      <c r="E806" s="21"/>
      <c r="F806" s="21"/>
      <c r="G806" s="21"/>
      <c r="H806" s="21"/>
      <c r="I806" s="151">
        <f t="shared" si="12"/>
        <v>0</v>
      </c>
      <c r="J806" s="153"/>
    </row>
    <row r="807" spans="1:10" x14ac:dyDescent="0.25">
      <c r="A807" s="21"/>
      <c r="B807" s="21"/>
      <c r="C807" s="21"/>
      <c r="D807" s="21"/>
      <c r="E807" s="21"/>
      <c r="F807" s="21"/>
      <c r="G807" s="21"/>
      <c r="H807" s="21"/>
      <c r="I807" s="151">
        <f t="shared" si="12"/>
        <v>0</v>
      </c>
      <c r="J807" s="153"/>
    </row>
    <row r="808" spans="1:10" x14ac:dyDescent="0.25">
      <c r="A808" s="21"/>
      <c r="B808" s="21"/>
      <c r="C808" s="21"/>
      <c r="D808" s="21"/>
      <c r="E808" s="21"/>
      <c r="F808" s="21"/>
      <c r="G808" s="21"/>
      <c r="H808" s="21"/>
      <c r="I808" s="151">
        <f t="shared" si="12"/>
        <v>0</v>
      </c>
      <c r="J808" s="153"/>
    </row>
    <row r="809" spans="1:10" x14ac:dyDescent="0.25">
      <c r="A809" s="21"/>
      <c r="B809" s="21"/>
      <c r="C809" s="21"/>
      <c r="D809" s="21"/>
      <c r="E809" s="21"/>
      <c r="F809" s="21"/>
      <c r="G809" s="21"/>
      <c r="H809" s="21"/>
      <c r="I809" s="151">
        <f t="shared" si="12"/>
        <v>0</v>
      </c>
      <c r="J809" s="153"/>
    </row>
    <row r="810" spans="1:10" x14ac:dyDescent="0.25">
      <c r="A810" s="21"/>
      <c r="B810" s="21"/>
      <c r="C810" s="21"/>
      <c r="D810" s="21"/>
      <c r="E810" s="21"/>
      <c r="F810" s="21"/>
      <c r="G810" s="21"/>
      <c r="H810" s="21"/>
      <c r="I810" s="151">
        <f t="shared" si="12"/>
        <v>0</v>
      </c>
      <c r="J810" s="153"/>
    </row>
    <row r="811" spans="1:10" x14ac:dyDescent="0.25">
      <c r="A811" s="21"/>
      <c r="B811" s="21"/>
      <c r="C811" s="21"/>
      <c r="D811" s="21"/>
      <c r="E811" s="21"/>
      <c r="F811" s="21"/>
      <c r="G811" s="21"/>
      <c r="H811" s="21"/>
      <c r="I811" s="151">
        <f t="shared" si="12"/>
        <v>0</v>
      </c>
      <c r="J811" s="153"/>
    </row>
    <row r="812" spans="1:10" x14ac:dyDescent="0.25">
      <c r="A812" s="21"/>
      <c r="B812" s="21"/>
      <c r="C812" s="21"/>
      <c r="D812" s="21"/>
      <c r="E812" s="21"/>
      <c r="F812" s="21"/>
      <c r="G812" s="21"/>
      <c r="H812" s="21"/>
      <c r="I812" s="151">
        <f t="shared" si="12"/>
        <v>0</v>
      </c>
      <c r="J812" s="153"/>
    </row>
    <row r="813" spans="1:10" x14ac:dyDescent="0.25">
      <c r="A813" s="21"/>
      <c r="B813" s="21"/>
      <c r="C813" s="21"/>
      <c r="D813" s="21"/>
      <c r="E813" s="21"/>
      <c r="F813" s="21"/>
      <c r="G813" s="21"/>
      <c r="H813" s="21"/>
      <c r="I813" s="151">
        <f t="shared" si="12"/>
        <v>0</v>
      </c>
      <c r="J813" s="153"/>
    </row>
    <row r="814" spans="1:10" x14ac:dyDescent="0.25">
      <c r="A814" s="21"/>
      <c r="B814" s="21"/>
      <c r="C814" s="21"/>
      <c r="D814" s="21"/>
      <c r="E814" s="21"/>
      <c r="F814" s="21"/>
      <c r="G814" s="21"/>
      <c r="H814" s="21"/>
      <c r="I814" s="151">
        <f t="shared" si="12"/>
        <v>0</v>
      </c>
      <c r="J814" s="153"/>
    </row>
    <row r="815" spans="1:10" x14ac:dyDescent="0.25">
      <c r="A815" s="21"/>
      <c r="B815" s="21"/>
      <c r="C815" s="21"/>
      <c r="D815" s="21"/>
      <c r="E815" s="21"/>
      <c r="F815" s="21"/>
      <c r="G815" s="21"/>
      <c r="H815" s="21"/>
      <c r="I815" s="151">
        <f t="shared" si="12"/>
        <v>0</v>
      </c>
      <c r="J815" s="153"/>
    </row>
    <row r="816" spans="1:10" x14ac:dyDescent="0.25">
      <c r="A816" s="21"/>
      <c r="B816" s="21"/>
      <c r="C816" s="21"/>
      <c r="D816" s="21"/>
      <c r="E816" s="21"/>
      <c r="F816" s="21"/>
      <c r="G816" s="21"/>
      <c r="H816" s="21"/>
      <c r="I816" s="151">
        <f t="shared" si="12"/>
        <v>0</v>
      </c>
      <c r="J816" s="153"/>
    </row>
    <row r="817" spans="1:10" x14ac:dyDescent="0.25">
      <c r="A817" s="21"/>
      <c r="B817" s="21"/>
      <c r="C817" s="21"/>
      <c r="D817" s="21"/>
      <c r="E817" s="21"/>
      <c r="F817" s="21"/>
      <c r="G817" s="21"/>
      <c r="H817" s="21"/>
      <c r="I817" s="151">
        <f t="shared" si="12"/>
        <v>0</v>
      </c>
      <c r="J817" s="153"/>
    </row>
    <row r="818" spans="1:10" x14ac:dyDescent="0.25">
      <c r="A818" s="21"/>
      <c r="B818" s="21"/>
      <c r="C818" s="21"/>
      <c r="D818" s="21"/>
      <c r="E818" s="21"/>
      <c r="F818" s="21"/>
      <c r="G818" s="21"/>
      <c r="H818" s="21"/>
      <c r="I818" s="151">
        <f t="shared" si="12"/>
        <v>0</v>
      </c>
      <c r="J818" s="153"/>
    </row>
    <row r="819" spans="1:10" x14ac:dyDescent="0.25">
      <c r="A819" s="21"/>
      <c r="B819" s="21"/>
      <c r="C819" s="21"/>
      <c r="D819" s="21"/>
      <c r="E819" s="21"/>
      <c r="F819" s="21"/>
      <c r="G819" s="21"/>
      <c r="H819" s="21"/>
      <c r="I819" s="151">
        <f t="shared" si="12"/>
        <v>0</v>
      </c>
      <c r="J819" s="153"/>
    </row>
    <row r="820" spans="1:10" x14ac:dyDescent="0.25">
      <c r="A820" s="21"/>
      <c r="B820" s="21"/>
      <c r="C820" s="21"/>
      <c r="D820" s="21"/>
      <c r="E820" s="21"/>
      <c r="F820" s="21"/>
      <c r="G820" s="21"/>
      <c r="H820" s="21"/>
      <c r="I820" s="151">
        <f t="shared" si="12"/>
        <v>0</v>
      </c>
      <c r="J820" s="153"/>
    </row>
    <row r="821" spans="1:10" x14ac:dyDescent="0.25">
      <c r="A821" s="21"/>
      <c r="B821" s="21"/>
      <c r="C821" s="21"/>
      <c r="D821" s="21"/>
      <c r="E821" s="21"/>
      <c r="F821" s="21"/>
      <c r="G821" s="21"/>
      <c r="H821" s="21"/>
      <c r="I821" s="151">
        <f t="shared" si="12"/>
        <v>0</v>
      </c>
      <c r="J821" s="153"/>
    </row>
    <row r="822" spans="1:10" x14ac:dyDescent="0.25">
      <c r="A822" s="21"/>
      <c r="B822" s="21"/>
      <c r="C822" s="21"/>
      <c r="D822" s="21"/>
      <c r="E822" s="21"/>
      <c r="F822" s="21"/>
      <c r="G822" s="21"/>
      <c r="H822" s="21"/>
      <c r="I822" s="151">
        <f t="shared" si="12"/>
        <v>0</v>
      </c>
      <c r="J822" s="153"/>
    </row>
    <row r="823" spans="1:10" x14ac:dyDescent="0.25">
      <c r="A823" s="21"/>
      <c r="B823" s="21"/>
      <c r="C823" s="21"/>
      <c r="D823" s="21"/>
      <c r="E823" s="21"/>
      <c r="F823" s="21"/>
      <c r="G823" s="21"/>
      <c r="H823" s="21"/>
      <c r="I823" s="151">
        <f t="shared" si="12"/>
        <v>0</v>
      </c>
      <c r="J823" s="153"/>
    </row>
    <row r="824" spans="1:10" x14ac:dyDescent="0.25">
      <c r="A824" s="21"/>
      <c r="B824" s="21"/>
      <c r="C824" s="21"/>
      <c r="D824" s="21"/>
      <c r="E824" s="21"/>
      <c r="F824" s="21"/>
      <c r="G824" s="21"/>
      <c r="H824" s="21"/>
      <c r="I824" s="151">
        <f t="shared" si="12"/>
        <v>0</v>
      </c>
      <c r="J824" s="153"/>
    </row>
    <row r="825" spans="1:10" x14ac:dyDescent="0.25">
      <c r="A825" s="21"/>
      <c r="B825" s="21"/>
      <c r="C825" s="21"/>
      <c r="D825" s="21"/>
      <c r="E825" s="21"/>
      <c r="F825" s="21"/>
      <c r="G825" s="21"/>
      <c r="H825" s="21"/>
      <c r="I825" s="151">
        <f t="shared" si="12"/>
        <v>0</v>
      </c>
      <c r="J825" s="153"/>
    </row>
    <row r="826" spans="1:10" x14ac:dyDescent="0.25">
      <c r="A826" s="21"/>
      <c r="B826" s="21"/>
      <c r="C826" s="21"/>
      <c r="D826" s="21"/>
      <c r="E826" s="21"/>
      <c r="F826" s="21"/>
      <c r="G826" s="21"/>
      <c r="H826" s="21"/>
      <c r="I826" s="151">
        <f t="shared" si="12"/>
        <v>0</v>
      </c>
      <c r="J826" s="153"/>
    </row>
    <row r="827" spans="1:10" x14ac:dyDescent="0.25">
      <c r="A827" s="21"/>
      <c r="B827" s="21"/>
      <c r="C827" s="21"/>
      <c r="D827" s="21"/>
      <c r="E827" s="21"/>
      <c r="F827" s="21"/>
      <c r="G827" s="21"/>
      <c r="H827" s="21"/>
      <c r="I827" s="151">
        <f t="shared" si="12"/>
        <v>0</v>
      </c>
      <c r="J827" s="153"/>
    </row>
    <row r="828" spans="1:10" x14ac:dyDescent="0.25">
      <c r="A828" s="21"/>
      <c r="B828" s="21"/>
      <c r="C828" s="21"/>
      <c r="D828" s="21"/>
      <c r="E828" s="21"/>
      <c r="F828" s="21"/>
      <c r="G828" s="21"/>
      <c r="H828" s="21"/>
      <c r="I828" s="151">
        <f t="shared" si="12"/>
        <v>0</v>
      </c>
      <c r="J828" s="153"/>
    </row>
    <row r="829" spans="1:10" x14ac:dyDescent="0.25">
      <c r="A829" s="21"/>
      <c r="B829" s="21"/>
      <c r="C829" s="21"/>
      <c r="D829" s="21"/>
      <c r="E829" s="21"/>
      <c r="F829" s="21"/>
      <c r="G829" s="21"/>
      <c r="H829" s="21"/>
      <c r="I829" s="151">
        <f t="shared" si="12"/>
        <v>0</v>
      </c>
      <c r="J829" s="153"/>
    </row>
    <row r="830" spans="1:10" x14ac:dyDescent="0.25">
      <c r="A830" s="21"/>
      <c r="B830" s="21"/>
      <c r="C830" s="21"/>
      <c r="D830" s="21"/>
      <c r="E830" s="21"/>
      <c r="F830" s="21"/>
      <c r="G830" s="21"/>
      <c r="H830" s="21"/>
      <c r="I830" s="151">
        <f t="shared" si="12"/>
        <v>0</v>
      </c>
      <c r="J830" s="153"/>
    </row>
    <row r="831" spans="1:10" x14ac:dyDescent="0.25">
      <c r="A831" s="21"/>
      <c r="B831" s="21"/>
      <c r="C831" s="21"/>
      <c r="D831" s="21"/>
      <c r="E831" s="21"/>
      <c r="F831" s="21"/>
      <c r="G831" s="21"/>
      <c r="H831" s="21"/>
      <c r="I831" s="151">
        <f t="shared" si="12"/>
        <v>0</v>
      </c>
      <c r="J831" s="153"/>
    </row>
    <row r="832" spans="1:10" x14ac:dyDescent="0.25">
      <c r="A832" s="21"/>
      <c r="B832" s="21"/>
      <c r="C832" s="21"/>
      <c r="D832" s="21"/>
      <c r="E832" s="21"/>
      <c r="F832" s="21"/>
      <c r="G832" s="21"/>
      <c r="H832" s="21"/>
      <c r="I832" s="151">
        <f t="shared" si="12"/>
        <v>0</v>
      </c>
      <c r="J832" s="153"/>
    </row>
    <row r="833" spans="1:10" x14ac:dyDescent="0.25">
      <c r="A833" s="21"/>
      <c r="B833" s="21"/>
      <c r="C833" s="21"/>
      <c r="D833" s="21"/>
      <c r="E833" s="21"/>
      <c r="F833" s="21"/>
      <c r="G833" s="21"/>
      <c r="H833" s="21"/>
      <c r="I833" s="151">
        <f t="shared" si="12"/>
        <v>0</v>
      </c>
      <c r="J833" s="153"/>
    </row>
    <row r="834" spans="1:10" x14ac:dyDescent="0.25">
      <c r="A834" s="21"/>
      <c r="B834" s="21"/>
      <c r="C834" s="21"/>
      <c r="D834" s="21"/>
      <c r="E834" s="21"/>
      <c r="F834" s="21"/>
      <c r="G834" s="21"/>
      <c r="H834" s="21"/>
      <c r="I834" s="151">
        <f t="shared" si="12"/>
        <v>0</v>
      </c>
      <c r="J834" s="153"/>
    </row>
    <row r="835" spans="1:10" x14ac:dyDescent="0.25">
      <c r="A835" s="21"/>
      <c r="B835" s="21"/>
      <c r="C835" s="21"/>
      <c r="D835" s="21"/>
      <c r="E835" s="21"/>
      <c r="F835" s="21"/>
      <c r="G835" s="21"/>
      <c r="H835" s="21"/>
      <c r="I835" s="151">
        <f t="shared" ref="I835:I898" si="13">IF(J835="",SUM(G835:H835),0)</f>
        <v>0</v>
      </c>
      <c r="J835" s="153"/>
    </row>
    <row r="836" spans="1:10" x14ac:dyDescent="0.25">
      <c r="A836" s="21"/>
      <c r="B836" s="21"/>
      <c r="C836" s="21"/>
      <c r="D836" s="21"/>
      <c r="E836" s="21"/>
      <c r="F836" s="21"/>
      <c r="G836" s="21"/>
      <c r="H836" s="21"/>
      <c r="I836" s="151">
        <f t="shared" si="13"/>
        <v>0</v>
      </c>
      <c r="J836" s="153"/>
    </row>
    <row r="837" spans="1:10" x14ac:dyDescent="0.25">
      <c r="A837" s="21"/>
      <c r="B837" s="21"/>
      <c r="C837" s="21"/>
      <c r="D837" s="21"/>
      <c r="E837" s="21"/>
      <c r="F837" s="21"/>
      <c r="G837" s="21"/>
      <c r="H837" s="21"/>
      <c r="I837" s="151">
        <f t="shared" si="13"/>
        <v>0</v>
      </c>
      <c r="J837" s="153"/>
    </row>
    <row r="838" spans="1:10" x14ac:dyDescent="0.25">
      <c r="A838" s="21"/>
      <c r="B838" s="21"/>
      <c r="C838" s="21"/>
      <c r="D838" s="21"/>
      <c r="E838" s="21"/>
      <c r="F838" s="21"/>
      <c r="G838" s="21"/>
      <c r="H838" s="21"/>
      <c r="I838" s="151">
        <f t="shared" si="13"/>
        <v>0</v>
      </c>
      <c r="J838" s="153"/>
    </row>
    <row r="839" spans="1:10" x14ac:dyDescent="0.25">
      <c r="A839" s="21"/>
      <c r="B839" s="21"/>
      <c r="C839" s="21"/>
      <c r="D839" s="21"/>
      <c r="E839" s="21"/>
      <c r="F839" s="21"/>
      <c r="G839" s="21"/>
      <c r="H839" s="21"/>
      <c r="I839" s="151">
        <f t="shared" si="13"/>
        <v>0</v>
      </c>
      <c r="J839" s="153"/>
    </row>
    <row r="840" spans="1:10" x14ac:dyDescent="0.25">
      <c r="A840" s="21"/>
      <c r="B840" s="21"/>
      <c r="C840" s="21"/>
      <c r="D840" s="21"/>
      <c r="E840" s="21"/>
      <c r="F840" s="21"/>
      <c r="G840" s="21"/>
      <c r="H840" s="21"/>
      <c r="I840" s="151">
        <f t="shared" si="13"/>
        <v>0</v>
      </c>
      <c r="J840" s="153"/>
    </row>
    <row r="841" spans="1:10" x14ac:dyDescent="0.25">
      <c r="A841" s="21"/>
      <c r="B841" s="21"/>
      <c r="C841" s="21"/>
      <c r="D841" s="21"/>
      <c r="E841" s="21"/>
      <c r="F841" s="21"/>
      <c r="G841" s="21"/>
      <c r="H841" s="21"/>
      <c r="I841" s="151">
        <f t="shared" si="13"/>
        <v>0</v>
      </c>
      <c r="J841" s="153"/>
    </row>
    <row r="842" spans="1:10" x14ac:dyDescent="0.25">
      <c r="A842" s="21"/>
      <c r="B842" s="21"/>
      <c r="C842" s="21"/>
      <c r="D842" s="21"/>
      <c r="E842" s="21"/>
      <c r="F842" s="21"/>
      <c r="G842" s="21"/>
      <c r="H842" s="21"/>
      <c r="I842" s="151">
        <f t="shared" si="13"/>
        <v>0</v>
      </c>
      <c r="J842" s="153"/>
    </row>
    <row r="843" spans="1:10" x14ac:dyDescent="0.25">
      <c r="A843" s="21"/>
      <c r="B843" s="21"/>
      <c r="C843" s="21"/>
      <c r="D843" s="21"/>
      <c r="E843" s="21"/>
      <c r="F843" s="21"/>
      <c r="G843" s="21"/>
      <c r="H843" s="21"/>
      <c r="I843" s="151">
        <f t="shared" si="13"/>
        <v>0</v>
      </c>
      <c r="J843" s="153"/>
    </row>
    <row r="844" spans="1:10" x14ac:dyDescent="0.25">
      <c r="A844" s="21"/>
      <c r="B844" s="21"/>
      <c r="C844" s="21"/>
      <c r="D844" s="21"/>
      <c r="E844" s="21"/>
      <c r="F844" s="21"/>
      <c r="G844" s="21"/>
      <c r="H844" s="21"/>
      <c r="I844" s="151">
        <f t="shared" si="13"/>
        <v>0</v>
      </c>
      <c r="J844" s="153"/>
    </row>
    <row r="845" spans="1:10" x14ac:dyDescent="0.25">
      <c r="A845" s="21"/>
      <c r="B845" s="21"/>
      <c r="C845" s="21"/>
      <c r="D845" s="21"/>
      <c r="E845" s="21"/>
      <c r="F845" s="21"/>
      <c r="G845" s="21"/>
      <c r="H845" s="21"/>
      <c r="I845" s="151">
        <f t="shared" si="13"/>
        <v>0</v>
      </c>
      <c r="J845" s="153"/>
    </row>
    <row r="846" spans="1:10" x14ac:dyDescent="0.25">
      <c r="A846" s="21"/>
      <c r="B846" s="21"/>
      <c r="C846" s="21"/>
      <c r="D846" s="21"/>
      <c r="E846" s="21"/>
      <c r="F846" s="21"/>
      <c r="G846" s="21"/>
      <c r="H846" s="21"/>
      <c r="I846" s="151">
        <f t="shared" si="13"/>
        <v>0</v>
      </c>
      <c r="J846" s="153"/>
    </row>
    <row r="847" spans="1:10" x14ac:dyDescent="0.25">
      <c r="A847" s="21"/>
      <c r="B847" s="21"/>
      <c r="C847" s="21"/>
      <c r="D847" s="21"/>
      <c r="E847" s="21"/>
      <c r="F847" s="21"/>
      <c r="G847" s="21"/>
      <c r="H847" s="21"/>
      <c r="I847" s="151">
        <f t="shared" si="13"/>
        <v>0</v>
      </c>
      <c r="J847" s="153"/>
    </row>
    <row r="848" spans="1:10" x14ac:dyDescent="0.25">
      <c r="A848" s="21"/>
      <c r="B848" s="21"/>
      <c r="C848" s="21"/>
      <c r="D848" s="21"/>
      <c r="E848" s="21"/>
      <c r="F848" s="21"/>
      <c r="G848" s="21"/>
      <c r="H848" s="21"/>
      <c r="I848" s="151">
        <f t="shared" si="13"/>
        <v>0</v>
      </c>
      <c r="J848" s="153"/>
    </row>
    <row r="849" spans="1:10" x14ac:dyDescent="0.25">
      <c r="A849" s="21"/>
      <c r="B849" s="21"/>
      <c r="C849" s="21"/>
      <c r="D849" s="21"/>
      <c r="E849" s="21"/>
      <c r="F849" s="21"/>
      <c r="G849" s="21"/>
      <c r="H849" s="21"/>
      <c r="I849" s="151">
        <f t="shared" si="13"/>
        <v>0</v>
      </c>
      <c r="J849" s="153"/>
    </row>
    <row r="850" spans="1:10" x14ac:dyDescent="0.25">
      <c r="A850" s="21"/>
      <c r="B850" s="21"/>
      <c r="C850" s="21"/>
      <c r="D850" s="21"/>
      <c r="E850" s="21"/>
      <c r="F850" s="21"/>
      <c r="G850" s="21"/>
      <c r="H850" s="21"/>
      <c r="I850" s="151">
        <f t="shared" si="13"/>
        <v>0</v>
      </c>
      <c r="J850" s="153"/>
    </row>
    <row r="851" spans="1:10" x14ac:dyDescent="0.25">
      <c r="A851" s="21"/>
      <c r="B851" s="21"/>
      <c r="C851" s="21"/>
      <c r="D851" s="21"/>
      <c r="E851" s="21"/>
      <c r="F851" s="21"/>
      <c r="G851" s="21"/>
      <c r="H851" s="21"/>
      <c r="I851" s="151">
        <f t="shared" si="13"/>
        <v>0</v>
      </c>
      <c r="J851" s="153"/>
    </row>
    <row r="852" spans="1:10" x14ac:dyDescent="0.25">
      <c r="A852" s="21"/>
      <c r="B852" s="21"/>
      <c r="C852" s="21"/>
      <c r="D852" s="21"/>
      <c r="E852" s="21"/>
      <c r="F852" s="21"/>
      <c r="G852" s="21"/>
      <c r="H852" s="21"/>
      <c r="I852" s="151">
        <f t="shared" si="13"/>
        <v>0</v>
      </c>
      <c r="J852" s="153"/>
    </row>
    <row r="853" spans="1:10" x14ac:dyDescent="0.25">
      <c r="A853" s="21"/>
      <c r="B853" s="21"/>
      <c r="C853" s="21"/>
      <c r="D853" s="21"/>
      <c r="E853" s="21"/>
      <c r="F853" s="21"/>
      <c r="G853" s="21"/>
      <c r="H853" s="21"/>
      <c r="I853" s="151">
        <f t="shared" si="13"/>
        <v>0</v>
      </c>
      <c r="J853" s="153"/>
    </row>
    <row r="854" spans="1:10" x14ac:dyDescent="0.25">
      <c r="A854" s="21"/>
      <c r="B854" s="21"/>
      <c r="C854" s="21"/>
      <c r="D854" s="21"/>
      <c r="E854" s="21"/>
      <c r="F854" s="21"/>
      <c r="G854" s="21"/>
      <c r="H854" s="21"/>
      <c r="I854" s="151">
        <f t="shared" si="13"/>
        <v>0</v>
      </c>
      <c r="J854" s="153"/>
    </row>
    <row r="855" spans="1:10" x14ac:dyDescent="0.25">
      <c r="A855" s="21"/>
      <c r="B855" s="21"/>
      <c r="C855" s="21"/>
      <c r="D855" s="21"/>
      <c r="E855" s="21"/>
      <c r="F855" s="21"/>
      <c r="G855" s="21"/>
      <c r="H855" s="21"/>
      <c r="I855" s="151">
        <f t="shared" si="13"/>
        <v>0</v>
      </c>
      <c r="J855" s="153"/>
    </row>
    <row r="856" spans="1:10" x14ac:dyDescent="0.25">
      <c r="A856" s="21"/>
      <c r="B856" s="21"/>
      <c r="C856" s="21"/>
      <c r="D856" s="21"/>
      <c r="E856" s="21"/>
      <c r="F856" s="21"/>
      <c r="G856" s="21"/>
      <c r="H856" s="21"/>
      <c r="I856" s="151">
        <f t="shared" si="13"/>
        <v>0</v>
      </c>
      <c r="J856" s="153"/>
    </row>
    <row r="857" spans="1:10" x14ac:dyDescent="0.25">
      <c r="A857" s="21"/>
      <c r="B857" s="21"/>
      <c r="C857" s="21"/>
      <c r="D857" s="21"/>
      <c r="E857" s="21"/>
      <c r="F857" s="21"/>
      <c r="G857" s="21"/>
      <c r="H857" s="21"/>
      <c r="I857" s="151">
        <f t="shared" si="13"/>
        <v>0</v>
      </c>
      <c r="J857" s="153"/>
    </row>
    <row r="858" spans="1:10" x14ac:dyDescent="0.25">
      <c r="A858" s="21"/>
      <c r="B858" s="21"/>
      <c r="C858" s="21"/>
      <c r="D858" s="21"/>
      <c r="E858" s="21"/>
      <c r="F858" s="21"/>
      <c r="G858" s="21"/>
      <c r="H858" s="21"/>
      <c r="I858" s="151">
        <f t="shared" si="13"/>
        <v>0</v>
      </c>
      <c r="J858" s="153"/>
    </row>
    <row r="859" spans="1:10" x14ac:dyDescent="0.25">
      <c r="A859" s="21"/>
      <c r="B859" s="21"/>
      <c r="C859" s="21"/>
      <c r="D859" s="21"/>
      <c r="E859" s="21"/>
      <c r="F859" s="21"/>
      <c r="G859" s="21"/>
      <c r="H859" s="21"/>
      <c r="I859" s="151">
        <f t="shared" si="13"/>
        <v>0</v>
      </c>
      <c r="J859" s="153"/>
    </row>
    <row r="860" spans="1:10" x14ac:dyDescent="0.25">
      <c r="A860" s="21"/>
      <c r="B860" s="21"/>
      <c r="C860" s="21"/>
      <c r="D860" s="21"/>
      <c r="E860" s="21"/>
      <c r="F860" s="21"/>
      <c r="G860" s="21"/>
      <c r="H860" s="21"/>
      <c r="I860" s="151">
        <f t="shared" si="13"/>
        <v>0</v>
      </c>
      <c r="J860" s="153"/>
    </row>
    <row r="861" spans="1:10" x14ac:dyDescent="0.25">
      <c r="A861" s="21"/>
      <c r="B861" s="21"/>
      <c r="C861" s="21"/>
      <c r="D861" s="21"/>
      <c r="E861" s="21"/>
      <c r="F861" s="21"/>
      <c r="G861" s="21"/>
      <c r="H861" s="21"/>
      <c r="I861" s="151">
        <f t="shared" si="13"/>
        <v>0</v>
      </c>
      <c r="J861" s="153"/>
    </row>
    <row r="862" spans="1:10" x14ac:dyDescent="0.25">
      <c r="A862" s="21"/>
      <c r="B862" s="21"/>
      <c r="C862" s="21"/>
      <c r="D862" s="21"/>
      <c r="E862" s="21"/>
      <c r="F862" s="21"/>
      <c r="G862" s="21"/>
      <c r="H862" s="21"/>
      <c r="I862" s="151">
        <f t="shared" si="13"/>
        <v>0</v>
      </c>
      <c r="J862" s="153"/>
    </row>
    <row r="863" spans="1:10" x14ac:dyDescent="0.25">
      <c r="A863" s="21"/>
      <c r="B863" s="21"/>
      <c r="C863" s="21"/>
      <c r="D863" s="21"/>
      <c r="E863" s="21"/>
      <c r="F863" s="21"/>
      <c r="G863" s="21"/>
      <c r="H863" s="21"/>
      <c r="I863" s="151">
        <f t="shared" si="13"/>
        <v>0</v>
      </c>
      <c r="J863" s="153"/>
    </row>
    <row r="864" spans="1:10" x14ac:dyDescent="0.25">
      <c r="A864" s="21"/>
      <c r="B864" s="21"/>
      <c r="C864" s="21"/>
      <c r="D864" s="21"/>
      <c r="E864" s="21"/>
      <c r="F864" s="21"/>
      <c r="G864" s="21"/>
      <c r="H864" s="21"/>
      <c r="I864" s="151">
        <f t="shared" si="13"/>
        <v>0</v>
      </c>
      <c r="J864" s="153"/>
    </row>
    <row r="865" spans="1:10" x14ac:dyDescent="0.25">
      <c r="A865" s="21"/>
      <c r="B865" s="21"/>
      <c r="C865" s="21"/>
      <c r="D865" s="21"/>
      <c r="E865" s="21"/>
      <c r="F865" s="21"/>
      <c r="G865" s="21"/>
      <c r="H865" s="21"/>
      <c r="I865" s="151">
        <f t="shared" si="13"/>
        <v>0</v>
      </c>
      <c r="J865" s="153"/>
    </row>
    <row r="866" spans="1:10" x14ac:dyDescent="0.25">
      <c r="A866" s="21"/>
      <c r="B866" s="21"/>
      <c r="C866" s="21"/>
      <c r="D866" s="21"/>
      <c r="E866" s="21"/>
      <c r="F866" s="21"/>
      <c r="G866" s="21"/>
      <c r="H866" s="21"/>
      <c r="I866" s="151">
        <f t="shared" si="13"/>
        <v>0</v>
      </c>
      <c r="J866" s="153"/>
    </row>
    <row r="867" spans="1:10" x14ac:dyDescent="0.25">
      <c r="A867" s="21"/>
      <c r="B867" s="21"/>
      <c r="C867" s="21"/>
      <c r="D867" s="21"/>
      <c r="E867" s="21"/>
      <c r="F867" s="21"/>
      <c r="G867" s="21"/>
      <c r="H867" s="21"/>
      <c r="I867" s="151">
        <f t="shared" si="13"/>
        <v>0</v>
      </c>
      <c r="J867" s="153"/>
    </row>
    <row r="868" spans="1:10" x14ac:dyDescent="0.25">
      <c r="A868" s="21"/>
      <c r="B868" s="21"/>
      <c r="C868" s="21"/>
      <c r="D868" s="21"/>
      <c r="E868" s="21"/>
      <c r="F868" s="21"/>
      <c r="G868" s="21"/>
      <c r="H868" s="21"/>
      <c r="I868" s="151">
        <f t="shared" si="13"/>
        <v>0</v>
      </c>
      <c r="J868" s="153"/>
    </row>
    <row r="869" spans="1:10" x14ac:dyDescent="0.25">
      <c r="A869" s="21"/>
      <c r="B869" s="21"/>
      <c r="C869" s="21"/>
      <c r="D869" s="21"/>
      <c r="E869" s="21"/>
      <c r="F869" s="21"/>
      <c r="G869" s="21"/>
      <c r="H869" s="21"/>
      <c r="I869" s="151">
        <f t="shared" si="13"/>
        <v>0</v>
      </c>
      <c r="J869" s="153"/>
    </row>
    <row r="870" spans="1:10" x14ac:dyDescent="0.25">
      <c r="A870" s="21"/>
      <c r="B870" s="21"/>
      <c r="C870" s="21"/>
      <c r="D870" s="21"/>
      <c r="E870" s="21"/>
      <c r="F870" s="21"/>
      <c r="G870" s="21"/>
      <c r="H870" s="21"/>
      <c r="I870" s="151">
        <f t="shared" si="13"/>
        <v>0</v>
      </c>
      <c r="J870" s="153"/>
    </row>
    <row r="871" spans="1:10" x14ac:dyDescent="0.25">
      <c r="A871" s="21"/>
      <c r="B871" s="21"/>
      <c r="C871" s="21"/>
      <c r="D871" s="21"/>
      <c r="E871" s="21"/>
      <c r="F871" s="21"/>
      <c r="G871" s="21"/>
      <c r="H871" s="21"/>
      <c r="I871" s="151">
        <f t="shared" si="13"/>
        <v>0</v>
      </c>
      <c r="J871" s="153"/>
    </row>
    <row r="872" spans="1:10" x14ac:dyDescent="0.25">
      <c r="A872" s="21"/>
      <c r="B872" s="21"/>
      <c r="C872" s="21"/>
      <c r="D872" s="21"/>
      <c r="E872" s="21"/>
      <c r="F872" s="21"/>
      <c r="G872" s="21"/>
      <c r="H872" s="21"/>
      <c r="I872" s="151">
        <f t="shared" si="13"/>
        <v>0</v>
      </c>
      <c r="J872" s="153"/>
    </row>
    <row r="873" spans="1:10" x14ac:dyDescent="0.25">
      <c r="A873" s="21"/>
      <c r="B873" s="21"/>
      <c r="C873" s="21"/>
      <c r="D873" s="21"/>
      <c r="E873" s="21"/>
      <c r="F873" s="21"/>
      <c r="G873" s="21"/>
      <c r="H873" s="21"/>
      <c r="I873" s="151">
        <f t="shared" si="13"/>
        <v>0</v>
      </c>
      <c r="J873" s="153"/>
    </row>
    <row r="874" spans="1:10" x14ac:dyDescent="0.25">
      <c r="A874" s="21"/>
      <c r="B874" s="21"/>
      <c r="C874" s="21"/>
      <c r="D874" s="21"/>
      <c r="E874" s="21"/>
      <c r="F874" s="21"/>
      <c r="G874" s="21"/>
      <c r="H874" s="21"/>
      <c r="I874" s="151">
        <f t="shared" si="13"/>
        <v>0</v>
      </c>
      <c r="J874" s="153"/>
    </row>
    <row r="875" spans="1:10" x14ac:dyDescent="0.25">
      <c r="A875" s="21"/>
      <c r="B875" s="21"/>
      <c r="C875" s="21"/>
      <c r="D875" s="21"/>
      <c r="E875" s="21"/>
      <c r="F875" s="21"/>
      <c r="G875" s="21"/>
      <c r="H875" s="21"/>
      <c r="I875" s="151">
        <f t="shared" si="13"/>
        <v>0</v>
      </c>
      <c r="J875" s="153"/>
    </row>
    <row r="876" spans="1:10" x14ac:dyDescent="0.25">
      <c r="A876" s="21"/>
      <c r="B876" s="21"/>
      <c r="C876" s="21"/>
      <c r="D876" s="21"/>
      <c r="E876" s="21"/>
      <c r="F876" s="21"/>
      <c r="G876" s="21"/>
      <c r="H876" s="21"/>
      <c r="I876" s="151">
        <f t="shared" si="13"/>
        <v>0</v>
      </c>
      <c r="J876" s="153"/>
    </row>
    <row r="877" spans="1:10" x14ac:dyDescent="0.25">
      <c r="A877" s="21"/>
      <c r="B877" s="21"/>
      <c r="C877" s="21"/>
      <c r="D877" s="21"/>
      <c r="E877" s="21"/>
      <c r="F877" s="21"/>
      <c r="G877" s="21"/>
      <c r="H877" s="21"/>
      <c r="I877" s="151">
        <f t="shared" si="13"/>
        <v>0</v>
      </c>
      <c r="J877" s="153"/>
    </row>
    <row r="878" spans="1:10" x14ac:dyDescent="0.25">
      <c r="A878" s="21"/>
      <c r="B878" s="21"/>
      <c r="C878" s="21"/>
      <c r="D878" s="21"/>
      <c r="E878" s="21"/>
      <c r="F878" s="21"/>
      <c r="G878" s="21"/>
      <c r="H878" s="21"/>
      <c r="I878" s="151">
        <f t="shared" si="13"/>
        <v>0</v>
      </c>
      <c r="J878" s="153"/>
    </row>
    <row r="879" spans="1:10" x14ac:dyDescent="0.25">
      <c r="A879" s="21"/>
      <c r="B879" s="21"/>
      <c r="C879" s="21"/>
      <c r="D879" s="21"/>
      <c r="E879" s="21"/>
      <c r="F879" s="21"/>
      <c r="G879" s="21"/>
      <c r="H879" s="21"/>
      <c r="I879" s="151">
        <f t="shared" si="13"/>
        <v>0</v>
      </c>
      <c r="J879" s="153"/>
    </row>
    <row r="880" spans="1:10" x14ac:dyDescent="0.25">
      <c r="A880" s="21"/>
      <c r="B880" s="21"/>
      <c r="C880" s="21"/>
      <c r="D880" s="21"/>
      <c r="E880" s="21"/>
      <c r="F880" s="21"/>
      <c r="G880" s="21"/>
      <c r="H880" s="21"/>
      <c r="I880" s="151">
        <f t="shared" si="13"/>
        <v>0</v>
      </c>
      <c r="J880" s="153"/>
    </row>
    <row r="881" spans="1:10" x14ac:dyDescent="0.25">
      <c r="A881" s="21"/>
      <c r="B881" s="21"/>
      <c r="C881" s="21"/>
      <c r="D881" s="21"/>
      <c r="E881" s="21"/>
      <c r="F881" s="21"/>
      <c r="G881" s="21"/>
      <c r="H881" s="21"/>
      <c r="I881" s="151">
        <f t="shared" si="13"/>
        <v>0</v>
      </c>
      <c r="J881" s="153"/>
    </row>
    <row r="882" spans="1:10" x14ac:dyDescent="0.25">
      <c r="A882" s="21"/>
      <c r="B882" s="21"/>
      <c r="C882" s="21"/>
      <c r="D882" s="21"/>
      <c r="E882" s="21"/>
      <c r="F882" s="21"/>
      <c r="G882" s="21"/>
      <c r="H882" s="21"/>
      <c r="I882" s="151">
        <f t="shared" si="13"/>
        <v>0</v>
      </c>
      <c r="J882" s="153"/>
    </row>
    <row r="883" spans="1:10" x14ac:dyDescent="0.25">
      <c r="A883" s="21"/>
      <c r="B883" s="21"/>
      <c r="C883" s="21"/>
      <c r="D883" s="21"/>
      <c r="E883" s="21"/>
      <c r="F883" s="21"/>
      <c r="G883" s="21"/>
      <c r="H883" s="21"/>
      <c r="I883" s="151">
        <f t="shared" si="13"/>
        <v>0</v>
      </c>
      <c r="J883" s="153"/>
    </row>
    <row r="884" spans="1:10" x14ac:dyDescent="0.25">
      <c r="A884" s="21"/>
      <c r="B884" s="21"/>
      <c r="C884" s="21"/>
      <c r="D884" s="21"/>
      <c r="E884" s="21"/>
      <c r="F884" s="21"/>
      <c r="G884" s="21"/>
      <c r="H884" s="21"/>
      <c r="I884" s="151">
        <f t="shared" si="13"/>
        <v>0</v>
      </c>
      <c r="J884" s="153"/>
    </row>
    <row r="885" spans="1:10" x14ac:dyDescent="0.25">
      <c r="A885" s="21"/>
      <c r="B885" s="21"/>
      <c r="C885" s="21"/>
      <c r="D885" s="21"/>
      <c r="E885" s="21"/>
      <c r="F885" s="21"/>
      <c r="G885" s="21"/>
      <c r="H885" s="21"/>
      <c r="I885" s="151">
        <f t="shared" si="13"/>
        <v>0</v>
      </c>
      <c r="J885" s="153"/>
    </row>
    <row r="886" spans="1:10" x14ac:dyDescent="0.25">
      <c r="A886" s="21"/>
      <c r="B886" s="21"/>
      <c r="C886" s="21"/>
      <c r="D886" s="21"/>
      <c r="E886" s="21"/>
      <c r="F886" s="21"/>
      <c r="G886" s="21"/>
      <c r="H886" s="21"/>
      <c r="I886" s="151">
        <f t="shared" si="13"/>
        <v>0</v>
      </c>
      <c r="J886" s="153"/>
    </row>
    <row r="887" spans="1:10" x14ac:dyDescent="0.25">
      <c r="A887" s="21"/>
      <c r="B887" s="21"/>
      <c r="C887" s="21"/>
      <c r="D887" s="21"/>
      <c r="E887" s="21"/>
      <c r="F887" s="21"/>
      <c r="G887" s="21"/>
      <c r="H887" s="21"/>
      <c r="I887" s="151">
        <f t="shared" si="13"/>
        <v>0</v>
      </c>
      <c r="J887" s="153"/>
    </row>
    <row r="888" spans="1:10" x14ac:dyDescent="0.25">
      <c r="A888" s="21"/>
      <c r="B888" s="21"/>
      <c r="C888" s="21"/>
      <c r="D888" s="21"/>
      <c r="E888" s="21"/>
      <c r="F888" s="21"/>
      <c r="G888" s="21"/>
      <c r="H888" s="21"/>
      <c r="I888" s="151">
        <f t="shared" si="13"/>
        <v>0</v>
      </c>
      <c r="J888" s="153"/>
    </row>
    <row r="889" spans="1:10" x14ac:dyDescent="0.25">
      <c r="A889" s="21"/>
      <c r="B889" s="21"/>
      <c r="C889" s="21"/>
      <c r="D889" s="21"/>
      <c r="E889" s="21"/>
      <c r="F889" s="21"/>
      <c r="G889" s="21"/>
      <c r="H889" s="21"/>
      <c r="I889" s="151">
        <f t="shared" si="13"/>
        <v>0</v>
      </c>
      <c r="J889" s="153"/>
    </row>
    <row r="890" spans="1:10" x14ac:dyDescent="0.25">
      <c r="A890" s="21"/>
      <c r="B890" s="21"/>
      <c r="C890" s="21"/>
      <c r="D890" s="21"/>
      <c r="E890" s="21"/>
      <c r="F890" s="21"/>
      <c r="G890" s="21"/>
      <c r="H890" s="21"/>
      <c r="I890" s="151">
        <f t="shared" si="13"/>
        <v>0</v>
      </c>
      <c r="J890" s="153"/>
    </row>
    <row r="891" spans="1:10" x14ac:dyDescent="0.25">
      <c r="A891" s="21"/>
      <c r="B891" s="21"/>
      <c r="C891" s="21"/>
      <c r="D891" s="21"/>
      <c r="E891" s="21"/>
      <c r="F891" s="21"/>
      <c r="G891" s="21"/>
      <c r="H891" s="21"/>
      <c r="I891" s="151">
        <f t="shared" si="13"/>
        <v>0</v>
      </c>
      <c r="J891" s="153"/>
    </row>
    <row r="892" spans="1:10" x14ac:dyDescent="0.25">
      <c r="A892" s="21"/>
      <c r="B892" s="21"/>
      <c r="C892" s="21"/>
      <c r="D892" s="21"/>
      <c r="E892" s="21"/>
      <c r="F892" s="21"/>
      <c r="G892" s="21"/>
      <c r="H892" s="21"/>
      <c r="I892" s="151">
        <f t="shared" si="13"/>
        <v>0</v>
      </c>
      <c r="J892" s="153"/>
    </row>
    <row r="893" spans="1:10" x14ac:dyDescent="0.25">
      <c r="A893" s="21"/>
      <c r="B893" s="21"/>
      <c r="C893" s="21"/>
      <c r="D893" s="21"/>
      <c r="E893" s="21"/>
      <c r="F893" s="21"/>
      <c r="G893" s="21"/>
      <c r="H893" s="21"/>
      <c r="I893" s="151">
        <f t="shared" si="13"/>
        <v>0</v>
      </c>
      <c r="J893" s="153"/>
    </row>
    <row r="894" spans="1:10" x14ac:dyDescent="0.25">
      <c r="A894" s="21"/>
      <c r="B894" s="21"/>
      <c r="C894" s="21"/>
      <c r="D894" s="21"/>
      <c r="E894" s="21"/>
      <c r="F894" s="21"/>
      <c r="G894" s="21"/>
      <c r="H894" s="21"/>
      <c r="I894" s="151">
        <f t="shared" si="13"/>
        <v>0</v>
      </c>
      <c r="J894" s="153"/>
    </row>
    <row r="895" spans="1:10" x14ac:dyDescent="0.25">
      <c r="A895" s="21"/>
      <c r="B895" s="21"/>
      <c r="C895" s="21"/>
      <c r="D895" s="21"/>
      <c r="E895" s="21"/>
      <c r="F895" s="21"/>
      <c r="G895" s="21"/>
      <c r="H895" s="21"/>
      <c r="I895" s="151">
        <f t="shared" si="13"/>
        <v>0</v>
      </c>
      <c r="J895" s="153"/>
    </row>
    <row r="896" spans="1:10" x14ac:dyDescent="0.25">
      <c r="A896" s="21"/>
      <c r="B896" s="21"/>
      <c r="C896" s="21"/>
      <c r="D896" s="21"/>
      <c r="E896" s="21"/>
      <c r="F896" s="21"/>
      <c r="G896" s="21"/>
      <c r="H896" s="21"/>
      <c r="I896" s="151">
        <f t="shared" si="13"/>
        <v>0</v>
      </c>
      <c r="J896" s="153"/>
    </row>
    <row r="897" spans="1:10" x14ac:dyDescent="0.25">
      <c r="A897" s="21"/>
      <c r="B897" s="21"/>
      <c r="C897" s="21"/>
      <c r="D897" s="21"/>
      <c r="E897" s="21"/>
      <c r="F897" s="21"/>
      <c r="G897" s="21"/>
      <c r="H897" s="21"/>
      <c r="I897" s="151">
        <f t="shared" si="13"/>
        <v>0</v>
      </c>
      <c r="J897" s="153"/>
    </row>
    <row r="898" spans="1:10" x14ac:dyDescent="0.25">
      <c r="A898" s="21"/>
      <c r="B898" s="21"/>
      <c r="C898" s="21"/>
      <c r="D898" s="21"/>
      <c r="E898" s="21"/>
      <c r="F898" s="21"/>
      <c r="G898" s="21"/>
      <c r="H898" s="21"/>
      <c r="I898" s="151">
        <f t="shared" si="13"/>
        <v>0</v>
      </c>
      <c r="J898" s="153"/>
    </row>
    <row r="899" spans="1:10" x14ac:dyDescent="0.25">
      <c r="A899" s="21"/>
      <c r="B899" s="21"/>
      <c r="C899" s="21"/>
      <c r="D899" s="21"/>
      <c r="E899" s="21"/>
      <c r="F899" s="21"/>
      <c r="G899" s="21"/>
      <c r="H899" s="21"/>
      <c r="I899" s="151">
        <f t="shared" ref="I899:I962" si="14">IF(J899="",SUM(G899:H899),0)</f>
        <v>0</v>
      </c>
      <c r="J899" s="153"/>
    </row>
    <row r="900" spans="1:10" x14ac:dyDescent="0.25">
      <c r="A900" s="21"/>
      <c r="B900" s="21"/>
      <c r="C900" s="21"/>
      <c r="D900" s="21"/>
      <c r="E900" s="21"/>
      <c r="F900" s="21"/>
      <c r="G900" s="21"/>
      <c r="H900" s="21"/>
      <c r="I900" s="151">
        <f t="shared" si="14"/>
        <v>0</v>
      </c>
      <c r="J900" s="153"/>
    </row>
    <row r="901" spans="1:10" x14ac:dyDescent="0.25">
      <c r="A901" s="21"/>
      <c r="B901" s="21"/>
      <c r="C901" s="21"/>
      <c r="D901" s="21"/>
      <c r="E901" s="21"/>
      <c r="F901" s="21"/>
      <c r="G901" s="21"/>
      <c r="H901" s="21"/>
      <c r="I901" s="151">
        <f t="shared" si="14"/>
        <v>0</v>
      </c>
      <c r="J901" s="153"/>
    </row>
    <row r="902" spans="1:10" x14ac:dyDescent="0.25">
      <c r="A902" s="21"/>
      <c r="B902" s="21"/>
      <c r="C902" s="21"/>
      <c r="D902" s="21"/>
      <c r="E902" s="21"/>
      <c r="F902" s="21"/>
      <c r="G902" s="21"/>
      <c r="H902" s="21"/>
      <c r="I902" s="151">
        <f t="shared" si="14"/>
        <v>0</v>
      </c>
      <c r="J902" s="153"/>
    </row>
    <row r="903" spans="1:10" x14ac:dyDescent="0.25">
      <c r="A903" s="21"/>
      <c r="B903" s="21"/>
      <c r="C903" s="21"/>
      <c r="D903" s="21"/>
      <c r="E903" s="21"/>
      <c r="F903" s="21"/>
      <c r="G903" s="21"/>
      <c r="H903" s="21"/>
      <c r="I903" s="151">
        <f t="shared" si="14"/>
        <v>0</v>
      </c>
      <c r="J903" s="153"/>
    </row>
    <row r="904" spans="1:10" x14ac:dyDescent="0.25">
      <c r="A904" s="21"/>
      <c r="B904" s="21"/>
      <c r="C904" s="21"/>
      <c r="D904" s="21"/>
      <c r="E904" s="21"/>
      <c r="F904" s="21"/>
      <c r="G904" s="21"/>
      <c r="H904" s="21"/>
      <c r="I904" s="151">
        <f t="shared" si="14"/>
        <v>0</v>
      </c>
      <c r="J904" s="153"/>
    </row>
    <row r="905" spans="1:10" x14ac:dyDescent="0.25">
      <c r="A905" s="21"/>
      <c r="B905" s="21"/>
      <c r="C905" s="21"/>
      <c r="D905" s="21"/>
      <c r="E905" s="21"/>
      <c r="F905" s="21"/>
      <c r="G905" s="21"/>
      <c r="H905" s="21"/>
      <c r="I905" s="151">
        <f t="shared" si="14"/>
        <v>0</v>
      </c>
      <c r="J905" s="153"/>
    </row>
    <row r="906" spans="1:10" x14ac:dyDescent="0.25">
      <c r="A906" s="21"/>
      <c r="B906" s="21"/>
      <c r="C906" s="21"/>
      <c r="D906" s="21"/>
      <c r="E906" s="21"/>
      <c r="F906" s="21"/>
      <c r="G906" s="21"/>
      <c r="H906" s="21"/>
      <c r="I906" s="151">
        <f t="shared" si="14"/>
        <v>0</v>
      </c>
      <c r="J906" s="153"/>
    </row>
    <row r="907" spans="1:10" x14ac:dyDescent="0.25">
      <c r="A907" s="21"/>
      <c r="B907" s="21"/>
      <c r="C907" s="21"/>
      <c r="D907" s="21"/>
      <c r="E907" s="21"/>
      <c r="F907" s="21"/>
      <c r="G907" s="21"/>
      <c r="H907" s="21"/>
      <c r="I907" s="151">
        <f t="shared" si="14"/>
        <v>0</v>
      </c>
      <c r="J907" s="153"/>
    </row>
    <row r="908" spans="1:10" x14ac:dyDescent="0.25">
      <c r="A908" s="21"/>
      <c r="B908" s="21"/>
      <c r="C908" s="21"/>
      <c r="D908" s="21"/>
      <c r="E908" s="21"/>
      <c r="F908" s="21"/>
      <c r="G908" s="21"/>
      <c r="H908" s="21"/>
      <c r="I908" s="151">
        <f t="shared" si="14"/>
        <v>0</v>
      </c>
      <c r="J908" s="153"/>
    </row>
    <row r="909" spans="1:10" x14ac:dyDescent="0.25">
      <c r="A909" s="21"/>
      <c r="B909" s="21"/>
      <c r="C909" s="21"/>
      <c r="D909" s="21"/>
      <c r="E909" s="21"/>
      <c r="F909" s="21"/>
      <c r="G909" s="21"/>
      <c r="H909" s="21"/>
      <c r="I909" s="151">
        <f t="shared" si="14"/>
        <v>0</v>
      </c>
      <c r="J909" s="153"/>
    </row>
    <row r="910" spans="1:10" x14ac:dyDescent="0.25">
      <c r="A910" s="21"/>
      <c r="B910" s="21"/>
      <c r="C910" s="21"/>
      <c r="D910" s="21"/>
      <c r="E910" s="21"/>
      <c r="F910" s="21"/>
      <c r="G910" s="21"/>
      <c r="H910" s="21"/>
      <c r="I910" s="151">
        <f t="shared" si="14"/>
        <v>0</v>
      </c>
      <c r="J910" s="153"/>
    </row>
    <row r="911" spans="1:10" x14ac:dyDescent="0.25">
      <c r="A911" s="21"/>
      <c r="B911" s="21"/>
      <c r="C911" s="21"/>
      <c r="D911" s="21"/>
      <c r="E911" s="21"/>
      <c r="F911" s="21"/>
      <c r="G911" s="21"/>
      <c r="H911" s="21"/>
      <c r="I911" s="151">
        <f t="shared" si="14"/>
        <v>0</v>
      </c>
      <c r="J911" s="153"/>
    </row>
    <row r="912" spans="1:10" x14ac:dyDescent="0.25">
      <c r="A912" s="21"/>
      <c r="B912" s="21"/>
      <c r="C912" s="21"/>
      <c r="D912" s="21"/>
      <c r="E912" s="21"/>
      <c r="F912" s="21"/>
      <c r="G912" s="21"/>
      <c r="H912" s="21"/>
      <c r="I912" s="151">
        <f t="shared" si="14"/>
        <v>0</v>
      </c>
      <c r="J912" s="153"/>
    </row>
    <row r="913" spans="1:10" x14ac:dyDescent="0.25">
      <c r="A913" s="21"/>
      <c r="B913" s="21"/>
      <c r="C913" s="21"/>
      <c r="D913" s="21"/>
      <c r="E913" s="21"/>
      <c r="F913" s="21"/>
      <c r="G913" s="21"/>
      <c r="H913" s="21"/>
      <c r="I913" s="151">
        <f t="shared" si="14"/>
        <v>0</v>
      </c>
      <c r="J913" s="153"/>
    </row>
    <row r="914" spans="1:10" x14ac:dyDescent="0.25">
      <c r="A914" s="21"/>
      <c r="B914" s="21"/>
      <c r="C914" s="21"/>
      <c r="D914" s="21"/>
      <c r="E914" s="21"/>
      <c r="F914" s="21"/>
      <c r="G914" s="21"/>
      <c r="H914" s="21"/>
      <c r="I914" s="151">
        <f t="shared" si="14"/>
        <v>0</v>
      </c>
      <c r="J914" s="153"/>
    </row>
    <row r="915" spans="1:10" x14ac:dyDescent="0.25">
      <c r="A915" s="21"/>
      <c r="B915" s="21"/>
      <c r="C915" s="21"/>
      <c r="D915" s="21"/>
      <c r="E915" s="21"/>
      <c r="F915" s="21"/>
      <c r="G915" s="21"/>
      <c r="H915" s="21"/>
      <c r="I915" s="151">
        <f t="shared" si="14"/>
        <v>0</v>
      </c>
      <c r="J915" s="153"/>
    </row>
    <row r="916" spans="1:10" x14ac:dyDescent="0.25">
      <c r="A916" s="21"/>
      <c r="B916" s="21"/>
      <c r="C916" s="21"/>
      <c r="D916" s="21"/>
      <c r="E916" s="21"/>
      <c r="F916" s="21"/>
      <c r="G916" s="21"/>
      <c r="H916" s="21"/>
      <c r="I916" s="151">
        <f t="shared" si="14"/>
        <v>0</v>
      </c>
      <c r="J916" s="153"/>
    </row>
    <row r="917" spans="1:10" x14ac:dyDescent="0.25">
      <c r="A917" s="21"/>
      <c r="B917" s="21"/>
      <c r="C917" s="21"/>
      <c r="D917" s="21"/>
      <c r="E917" s="21"/>
      <c r="F917" s="21"/>
      <c r="G917" s="21"/>
      <c r="H917" s="21"/>
      <c r="I917" s="151">
        <f t="shared" si="14"/>
        <v>0</v>
      </c>
      <c r="J917" s="153"/>
    </row>
    <row r="918" spans="1:10" x14ac:dyDescent="0.25">
      <c r="A918" s="21"/>
      <c r="B918" s="21"/>
      <c r="C918" s="21"/>
      <c r="D918" s="21"/>
      <c r="E918" s="21"/>
      <c r="F918" s="21"/>
      <c r="G918" s="21"/>
      <c r="H918" s="21"/>
      <c r="I918" s="151">
        <f t="shared" si="14"/>
        <v>0</v>
      </c>
      <c r="J918" s="153"/>
    </row>
    <row r="919" spans="1:10" x14ac:dyDescent="0.25">
      <c r="A919" s="21"/>
      <c r="B919" s="21"/>
      <c r="C919" s="21"/>
      <c r="D919" s="21"/>
      <c r="E919" s="21"/>
      <c r="F919" s="21"/>
      <c r="G919" s="21"/>
      <c r="H919" s="21"/>
      <c r="I919" s="151">
        <f t="shared" si="14"/>
        <v>0</v>
      </c>
      <c r="J919" s="153"/>
    </row>
    <row r="920" spans="1:10" x14ac:dyDescent="0.25">
      <c r="A920" s="21"/>
      <c r="B920" s="21"/>
      <c r="C920" s="21"/>
      <c r="D920" s="21"/>
      <c r="E920" s="21"/>
      <c r="F920" s="21"/>
      <c r="G920" s="21"/>
      <c r="H920" s="21"/>
      <c r="I920" s="151">
        <f t="shared" si="14"/>
        <v>0</v>
      </c>
      <c r="J920" s="153"/>
    </row>
    <row r="921" spans="1:10" x14ac:dyDescent="0.25">
      <c r="A921" s="21"/>
      <c r="B921" s="21"/>
      <c r="C921" s="21"/>
      <c r="D921" s="21"/>
      <c r="E921" s="21"/>
      <c r="F921" s="21"/>
      <c r="G921" s="21"/>
      <c r="H921" s="21"/>
      <c r="I921" s="151">
        <f t="shared" si="14"/>
        <v>0</v>
      </c>
      <c r="J921" s="153"/>
    </row>
    <row r="922" spans="1:10" x14ac:dyDescent="0.25">
      <c r="A922" s="21"/>
      <c r="B922" s="21"/>
      <c r="C922" s="21"/>
      <c r="D922" s="21"/>
      <c r="E922" s="21"/>
      <c r="F922" s="21"/>
      <c r="G922" s="21"/>
      <c r="H922" s="21"/>
      <c r="I922" s="151">
        <f t="shared" si="14"/>
        <v>0</v>
      </c>
      <c r="J922" s="153"/>
    </row>
    <row r="923" spans="1:10" x14ac:dyDescent="0.25">
      <c r="A923" s="21"/>
      <c r="B923" s="21"/>
      <c r="C923" s="21"/>
      <c r="D923" s="21"/>
      <c r="E923" s="21"/>
      <c r="F923" s="21"/>
      <c r="G923" s="21"/>
      <c r="H923" s="21"/>
      <c r="I923" s="151">
        <f t="shared" si="14"/>
        <v>0</v>
      </c>
      <c r="J923" s="153"/>
    </row>
    <row r="924" spans="1:10" x14ac:dyDescent="0.25">
      <c r="A924" s="21"/>
      <c r="B924" s="21"/>
      <c r="C924" s="21"/>
      <c r="D924" s="21"/>
      <c r="E924" s="21"/>
      <c r="F924" s="21"/>
      <c r="G924" s="21"/>
      <c r="H924" s="21"/>
      <c r="I924" s="151">
        <f t="shared" si="14"/>
        <v>0</v>
      </c>
      <c r="J924" s="153"/>
    </row>
    <row r="925" spans="1:10" x14ac:dyDescent="0.25">
      <c r="A925" s="21"/>
      <c r="B925" s="21"/>
      <c r="C925" s="21"/>
      <c r="D925" s="21"/>
      <c r="E925" s="21"/>
      <c r="F925" s="21"/>
      <c r="G925" s="21"/>
      <c r="H925" s="21"/>
      <c r="I925" s="151">
        <f t="shared" si="14"/>
        <v>0</v>
      </c>
      <c r="J925" s="153"/>
    </row>
    <row r="926" spans="1:10" x14ac:dyDescent="0.25">
      <c r="A926" s="21"/>
      <c r="B926" s="21"/>
      <c r="C926" s="21"/>
      <c r="D926" s="21"/>
      <c r="E926" s="21"/>
      <c r="F926" s="21"/>
      <c r="G926" s="21"/>
      <c r="H926" s="21"/>
      <c r="I926" s="151">
        <f t="shared" si="14"/>
        <v>0</v>
      </c>
      <c r="J926" s="153"/>
    </row>
    <row r="927" spans="1:10" x14ac:dyDescent="0.25">
      <c r="A927" s="21"/>
      <c r="B927" s="21"/>
      <c r="C927" s="21"/>
      <c r="D927" s="21"/>
      <c r="E927" s="21"/>
      <c r="F927" s="21"/>
      <c r="G927" s="21"/>
      <c r="H927" s="21"/>
      <c r="I927" s="151">
        <f t="shared" si="14"/>
        <v>0</v>
      </c>
      <c r="J927" s="153"/>
    </row>
    <row r="928" spans="1:10" x14ac:dyDescent="0.25">
      <c r="A928" s="21"/>
      <c r="B928" s="21"/>
      <c r="C928" s="21"/>
      <c r="D928" s="21"/>
      <c r="E928" s="21"/>
      <c r="F928" s="21"/>
      <c r="G928" s="21"/>
      <c r="H928" s="21"/>
      <c r="I928" s="151">
        <f t="shared" si="14"/>
        <v>0</v>
      </c>
      <c r="J928" s="153"/>
    </row>
    <row r="929" spans="1:10" x14ac:dyDescent="0.25">
      <c r="A929" s="21"/>
      <c r="B929" s="21"/>
      <c r="C929" s="21"/>
      <c r="D929" s="21"/>
      <c r="E929" s="21"/>
      <c r="F929" s="21"/>
      <c r="G929" s="21"/>
      <c r="H929" s="21"/>
      <c r="I929" s="151">
        <f t="shared" si="14"/>
        <v>0</v>
      </c>
      <c r="J929" s="153"/>
    </row>
    <row r="930" spans="1:10" x14ac:dyDescent="0.25">
      <c r="A930" s="21"/>
      <c r="B930" s="21"/>
      <c r="C930" s="21"/>
      <c r="D930" s="21"/>
      <c r="E930" s="21"/>
      <c r="F930" s="21"/>
      <c r="G930" s="21"/>
      <c r="H930" s="21"/>
      <c r="I930" s="151">
        <f t="shared" si="14"/>
        <v>0</v>
      </c>
      <c r="J930" s="153"/>
    </row>
    <row r="931" spans="1:10" x14ac:dyDescent="0.25">
      <c r="A931" s="21"/>
      <c r="B931" s="21"/>
      <c r="C931" s="21"/>
      <c r="D931" s="21"/>
      <c r="E931" s="21"/>
      <c r="F931" s="21"/>
      <c r="G931" s="21"/>
      <c r="H931" s="21"/>
      <c r="I931" s="151">
        <f t="shared" si="14"/>
        <v>0</v>
      </c>
      <c r="J931" s="153"/>
    </row>
    <row r="932" spans="1:10" x14ac:dyDescent="0.25">
      <c r="A932" s="21"/>
      <c r="B932" s="21"/>
      <c r="C932" s="21"/>
      <c r="D932" s="21"/>
      <c r="E932" s="21"/>
      <c r="F932" s="21"/>
      <c r="G932" s="21"/>
      <c r="H932" s="21"/>
      <c r="I932" s="151">
        <f t="shared" si="14"/>
        <v>0</v>
      </c>
      <c r="J932" s="153"/>
    </row>
    <row r="933" spans="1:10" x14ac:dyDescent="0.25">
      <c r="A933" s="21"/>
      <c r="B933" s="21"/>
      <c r="C933" s="21"/>
      <c r="D933" s="21"/>
      <c r="E933" s="21"/>
      <c r="F933" s="21"/>
      <c r="G933" s="21"/>
      <c r="H933" s="21"/>
      <c r="I933" s="151">
        <f t="shared" si="14"/>
        <v>0</v>
      </c>
      <c r="J933" s="153"/>
    </row>
    <row r="934" spans="1:10" x14ac:dyDescent="0.25">
      <c r="A934" s="21"/>
      <c r="B934" s="21"/>
      <c r="C934" s="21"/>
      <c r="D934" s="21"/>
      <c r="E934" s="21"/>
      <c r="F934" s="21"/>
      <c r="G934" s="21"/>
      <c r="H934" s="21"/>
      <c r="I934" s="151">
        <f t="shared" si="14"/>
        <v>0</v>
      </c>
      <c r="J934" s="153"/>
    </row>
    <row r="935" spans="1:10" x14ac:dyDescent="0.25">
      <c r="A935" s="21"/>
      <c r="B935" s="21"/>
      <c r="C935" s="21"/>
      <c r="D935" s="21"/>
      <c r="E935" s="21"/>
      <c r="F935" s="21"/>
      <c r="G935" s="21"/>
      <c r="H935" s="21"/>
      <c r="I935" s="151">
        <f t="shared" si="14"/>
        <v>0</v>
      </c>
      <c r="J935" s="153"/>
    </row>
    <row r="936" spans="1:10" x14ac:dyDescent="0.25">
      <c r="A936" s="21"/>
      <c r="B936" s="21"/>
      <c r="C936" s="21"/>
      <c r="D936" s="21"/>
      <c r="E936" s="21"/>
      <c r="F936" s="21"/>
      <c r="G936" s="21"/>
      <c r="H936" s="21"/>
      <c r="I936" s="151">
        <f t="shared" si="14"/>
        <v>0</v>
      </c>
      <c r="J936" s="153"/>
    </row>
    <row r="937" spans="1:10" x14ac:dyDescent="0.25">
      <c r="A937" s="21"/>
      <c r="B937" s="21"/>
      <c r="C937" s="21"/>
      <c r="D937" s="21"/>
      <c r="E937" s="21"/>
      <c r="F937" s="21"/>
      <c r="G937" s="21"/>
      <c r="H937" s="21"/>
      <c r="I937" s="151">
        <f t="shared" si="14"/>
        <v>0</v>
      </c>
      <c r="J937" s="153"/>
    </row>
    <row r="938" spans="1:10" x14ac:dyDescent="0.25">
      <c r="A938" s="21"/>
      <c r="B938" s="21"/>
      <c r="C938" s="21"/>
      <c r="D938" s="21"/>
      <c r="E938" s="21"/>
      <c r="F938" s="21"/>
      <c r="G938" s="21"/>
      <c r="H938" s="21"/>
      <c r="I938" s="151">
        <f t="shared" si="14"/>
        <v>0</v>
      </c>
      <c r="J938" s="153"/>
    </row>
    <row r="939" spans="1:10" x14ac:dyDescent="0.25">
      <c r="A939" s="21"/>
      <c r="B939" s="21"/>
      <c r="C939" s="21"/>
      <c r="D939" s="21"/>
      <c r="E939" s="21"/>
      <c r="F939" s="21"/>
      <c r="G939" s="21"/>
      <c r="H939" s="21"/>
      <c r="I939" s="151">
        <f t="shared" si="14"/>
        <v>0</v>
      </c>
      <c r="J939" s="153"/>
    </row>
    <row r="940" spans="1:10" x14ac:dyDescent="0.25">
      <c r="A940" s="21"/>
      <c r="B940" s="21"/>
      <c r="C940" s="21"/>
      <c r="D940" s="21"/>
      <c r="E940" s="21"/>
      <c r="F940" s="21"/>
      <c r="G940" s="21"/>
      <c r="H940" s="21"/>
      <c r="I940" s="151">
        <f t="shared" si="14"/>
        <v>0</v>
      </c>
      <c r="J940" s="153"/>
    </row>
    <row r="941" spans="1:10" x14ac:dyDescent="0.25">
      <c r="A941" s="21"/>
      <c r="B941" s="21"/>
      <c r="C941" s="21"/>
      <c r="D941" s="21"/>
      <c r="E941" s="21"/>
      <c r="F941" s="21"/>
      <c r="G941" s="21"/>
      <c r="H941" s="21"/>
      <c r="I941" s="151">
        <f t="shared" si="14"/>
        <v>0</v>
      </c>
      <c r="J941" s="153"/>
    </row>
    <row r="942" spans="1:10" x14ac:dyDescent="0.25">
      <c r="A942" s="21"/>
      <c r="B942" s="21"/>
      <c r="C942" s="21"/>
      <c r="D942" s="21"/>
      <c r="E942" s="21"/>
      <c r="F942" s="21"/>
      <c r="G942" s="21"/>
      <c r="H942" s="21"/>
      <c r="I942" s="151">
        <f t="shared" si="14"/>
        <v>0</v>
      </c>
      <c r="J942" s="153"/>
    </row>
    <row r="943" spans="1:10" x14ac:dyDescent="0.25">
      <c r="A943" s="21"/>
      <c r="B943" s="21"/>
      <c r="C943" s="21"/>
      <c r="D943" s="21"/>
      <c r="E943" s="21"/>
      <c r="F943" s="21"/>
      <c r="G943" s="21"/>
      <c r="H943" s="21"/>
      <c r="I943" s="151">
        <f t="shared" si="14"/>
        <v>0</v>
      </c>
      <c r="J943" s="153"/>
    </row>
    <row r="944" spans="1:10" x14ac:dyDescent="0.25">
      <c r="A944" s="21"/>
      <c r="B944" s="21"/>
      <c r="C944" s="21"/>
      <c r="D944" s="21"/>
      <c r="E944" s="21"/>
      <c r="F944" s="21"/>
      <c r="G944" s="21"/>
      <c r="H944" s="21"/>
      <c r="I944" s="151">
        <f t="shared" si="14"/>
        <v>0</v>
      </c>
      <c r="J944" s="153"/>
    </row>
    <row r="945" spans="1:10" x14ac:dyDescent="0.25">
      <c r="A945" s="21"/>
      <c r="B945" s="21"/>
      <c r="C945" s="21"/>
      <c r="D945" s="21"/>
      <c r="E945" s="21"/>
      <c r="F945" s="21"/>
      <c r="G945" s="21"/>
      <c r="H945" s="21"/>
      <c r="I945" s="151">
        <f t="shared" si="14"/>
        <v>0</v>
      </c>
      <c r="J945" s="153"/>
    </row>
    <row r="946" spans="1:10" x14ac:dyDescent="0.25">
      <c r="A946" s="21"/>
      <c r="B946" s="21"/>
      <c r="C946" s="21"/>
      <c r="D946" s="21"/>
      <c r="E946" s="21"/>
      <c r="F946" s="21"/>
      <c r="G946" s="21"/>
      <c r="H946" s="21"/>
      <c r="I946" s="151">
        <f t="shared" si="14"/>
        <v>0</v>
      </c>
      <c r="J946" s="153"/>
    </row>
    <row r="947" spans="1:10" x14ac:dyDescent="0.25">
      <c r="A947" s="21"/>
      <c r="B947" s="21"/>
      <c r="C947" s="21"/>
      <c r="D947" s="21"/>
      <c r="E947" s="21"/>
      <c r="F947" s="21"/>
      <c r="G947" s="21"/>
      <c r="H947" s="21"/>
      <c r="I947" s="151">
        <f t="shared" si="14"/>
        <v>0</v>
      </c>
      <c r="J947" s="153"/>
    </row>
    <row r="948" spans="1:10" x14ac:dyDescent="0.25">
      <c r="A948" s="21"/>
      <c r="B948" s="21"/>
      <c r="C948" s="21"/>
      <c r="D948" s="21"/>
      <c r="E948" s="21"/>
      <c r="F948" s="21"/>
      <c r="G948" s="21"/>
      <c r="H948" s="21"/>
      <c r="I948" s="151">
        <f t="shared" si="14"/>
        <v>0</v>
      </c>
      <c r="J948" s="153"/>
    </row>
    <row r="949" spans="1:10" x14ac:dyDescent="0.25">
      <c r="A949" s="21"/>
      <c r="B949" s="21"/>
      <c r="C949" s="21"/>
      <c r="D949" s="21"/>
      <c r="E949" s="21"/>
      <c r="F949" s="21"/>
      <c r="G949" s="21"/>
      <c r="H949" s="21"/>
      <c r="I949" s="151">
        <f t="shared" si="14"/>
        <v>0</v>
      </c>
      <c r="J949" s="153"/>
    </row>
    <row r="950" spans="1:10" x14ac:dyDescent="0.25">
      <c r="A950" s="21"/>
      <c r="B950" s="21"/>
      <c r="C950" s="21"/>
      <c r="D950" s="21"/>
      <c r="E950" s="21"/>
      <c r="F950" s="21"/>
      <c r="G950" s="21"/>
      <c r="H950" s="21"/>
      <c r="I950" s="151">
        <f t="shared" si="14"/>
        <v>0</v>
      </c>
      <c r="J950" s="153"/>
    </row>
    <row r="951" spans="1:10" x14ac:dyDescent="0.25">
      <c r="A951" s="21"/>
      <c r="B951" s="21"/>
      <c r="C951" s="21"/>
      <c r="D951" s="21"/>
      <c r="E951" s="21"/>
      <c r="F951" s="21"/>
      <c r="G951" s="21"/>
      <c r="H951" s="21"/>
      <c r="I951" s="151">
        <f t="shared" si="14"/>
        <v>0</v>
      </c>
      <c r="J951" s="153"/>
    </row>
    <row r="952" spans="1:10" x14ac:dyDescent="0.25">
      <c r="A952" s="21"/>
      <c r="B952" s="21"/>
      <c r="C952" s="21"/>
      <c r="D952" s="21"/>
      <c r="E952" s="21"/>
      <c r="F952" s="21"/>
      <c r="G952" s="21"/>
      <c r="H952" s="21"/>
      <c r="I952" s="151">
        <f t="shared" si="14"/>
        <v>0</v>
      </c>
      <c r="J952" s="153"/>
    </row>
    <row r="953" spans="1:10" x14ac:dyDescent="0.25">
      <c r="A953" s="21"/>
      <c r="B953" s="21"/>
      <c r="C953" s="21"/>
      <c r="D953" s="21"/>
      <c r="E953" s="21"/>
      <c r="F953" s="21"/>
      <c r="G953" s="21"/>
      <c r="H953" s="21"/>
      <c r="I953" s="151">
        <f t="shared" si="14"/>
        <v>0</v>
      </c>
      <c r="J953" s="153"/>
    </row>
    <row r="954" spans="1:10" x14ac:dyDescent="0.25">
      <c r="A954" s="21"/>
      <c r="B954" s="21"/>
      <c r="C954" s="21"/>
      <c r="D954" s="21"/>
      <c r="E954" s="21"/>
      <c r="F954" s="21"/>
      <c r="G954" s="21"/>
      <c r="H954" s="21"/>
      <c r="I954" s="151">
        <f t="shared" si="14"/>
        <v>0</v>
      </c>
      <c r="J954" s="153"/>
    </row>
    <row r="955" spans="1:10" x14ac:dyDescent="0.25">
      <c r="A955" s="21"/>
      <c r="B955" s="21"/>
      <c r="C955" s="21"/>
      <c r="D955" s="21"/>
      <c r="E955" s="21"/>
      <c r="F955" s="21"/>
      <c r="G955" s="21"/>
      <c r="H955" s="21"/>
      <c r="I955" s="151">
        <f t="shared" si="14"/>
        <v>0</v>
      </c>
      <c r="J955" s="153"/>
    </row>
    <row r="956" spans="1:10" x14ac:dyDescent="0.25">
      <c r="A956" s="21"/>
      <c r="B956" s="21"/>
      <c r="C956" s="21"/>
      <c r="D956" s="21"/>
      <c r="E956" s="21"/>
      <c r="F956" s="21"/>
      <c r="G956" s="21"/>
      <c r="H956" s="21"/>
      <c r="I956" s="151">
        <f t="shared" si="14"/>
        <v>0</v>
      </c>
      <c r="J956" s="153"/>
    </row>
    <row r="957" spans="1:10" x14ac:dyDescent="0.25">
      <c r="A957" s="21"/>
      <c r="B957" s="21"/>
      <c r="C957" s="21"/>
      <c r="D957" s="21"/>
      <c r="E957" s="21"/>
      <c r="F957" s="21"/>
      <c r="G957" s="21"/>
      <c r="H957" s="21"/>
      <c r="I957" s="151">
        <f t="shared" si="14"/>
        <v>0</v>
      </c>
      <c r="J957" s="153"/>
    </row>
    <row r="958" spans="1:10" x14ac:dyDescent="0.25">
      <c r="A958" s="21"/>
      <c r="B958" s="21"/>
      <c r="C958" s="21"/>
      <c r="D958" s="21"/>
      <c r="E958" s="21"/>
      <c r="F958" s="21"/>
      <c r="G958" s="21"/>
      <c r="H958" s="21"/>
      <c r="I958" s="151">
        <f t="shared" si="14"/>
        <v>0</v>
      </c>
      <c r="J958" s="153"/>
    </row>
    <row r="959" spans="1:10" x14ac:dyDescent="0.25">
      <c r="A959" s="21"/>
      <c r="B959" s="21"/>
      <c r="C959" s="21"/>
      <c r="D959" s="21"/>
      <c r="E959" s="21"/>
      <c r="F959" s="21"/>
      <c r="G959" s="21"/>
      <c r="H959" s="21"/>
      <c r="I959" s="151">
        <f t="shared" si="14"/>
        <v>0</v>
      </c>
      <c r="J959" s="153"/>
    </row>
    <row r="960" spans="1:10" x14ac:dyDescent="0.25">
      <c r="A960" s="21"/>
      <c r="B960" s="21"/>
      <c r="C960" s="21"/>
      <c r="D960" s="21"/>
      <c r="E960" s="21"/>
      <c r="F960" s="21"/>
      <c r="G960" s="21"/>
      <c r="H960" s="21"/>
      <c r="I960" s="151">
        <f t="shared" si="14"/>
        <v>0</v>
      </c>
      <c r="J960" s="153"/>
    </row>
    <row r="961" spans="1:10" x14ac:dyDescent="0.25">
      <c r="A961" s="21"/>
      <c r="B961" s="21"/>
      <c r="C961" s="21"/>
      <c r="D961" s="21"/>
      <c r="E961" s="21"/>
      <c r="F961" s="21"/>
      <c r="G961" s="21"/>
      <c r="H961" s="21"/>
      <c r="I961" s="151">
        <f t="shared" si="14"/>
        <v>0</v>
      </c>
      <c r="J961" s="153"/>
    </row>
    <row r="962" spans="1:10" x14ac:dyDescent="0.25">
      <c r="A962" s="21"/>
      <c r="B962" s="21"/>
      <c r="C962" s="21"/>
      <c r="D962" s="21"/>
      <c r="E962" s="21"/>
      <c r="F962" s="21"/>
      <c r="G962" s="21"/>
      <c r="H962" s="21"/>
      <c r="I962" s="151">
        <f t="shared" si="14"/>
        <v>0</v>
      </c>
      <c r="J962" s="153"/>
    </row>
    <row r="963" spans="1:10" x14ac:dyDescent="0.25">
      <c r="A963" s="21"/>
      <c r="B963" s="21"/>
      <c r="C963" s="21"/>
      <c r="D963" s="21"/>
      <c r="E963" s="21"/>
      <c r="F963" s="21"/>
      <c r="G963" s="21"/>
      <c r="H963" s="21"/>
      <c r="I963" s="151">
        <f t="shared" ref="I963:I1026" si="15">IF(J963="",SUM(G963:H963),0)</f>
        <v>0</v>
      </c>
      <c r="J963" s="153"/>
    </row>
    <row r="964" spans="1:10" x14ac:dyDescent="0.25">
      <c r="A964" s="21"/>
      <c r="B964" s="21"/>
      <c r="C964" s="21"/>
      <c r="D964" s="21"/>
      <c r="E964" s="21"/>
      <c r="F964" s="21"/>
      <c r="G964" s="21"/>
      <c r="H964" s="21"/>
      <c r="I964" s="151">
        <f t="shared" si="15"/>
        <v>0</v>
      </c>
      <c r="J964" s="153"/>
    </row>
    <row r="965" spans="1:10" x14ac:dyDescent="0.25">
      <c r="A965" s="21"/>
      <c r="B965" s="21"/>
      <c r="C965" s="21"/>
      <c r="D965" s="21"/>
      <c r="E965" s="21"/>
      <c r="F965" s="21"/>
      <c r="G965" s="21"/>
      <c r="H965" s="21"/>
      <c r="I965" s="151">
        <f t="shared" si="15"/>
        <v>0</v>
      </c>
      <c r="J965" s="153"/>
    </row>
    <row r="966" spans="1:10" x14ac:dyDescent="0.25">
      <c r="A966" s="21"/>
      <c r="B966" s="21"/>
      <c r="C966" s="21"/>
      <c r="D966" s="21"/>
      <c r="E966" s="21"/>
      <c r="F966" s="21"/>
      <c r="G966" s="21"/>
      <c r="H966" s="21"/>
      <c r="I966" s="151">
        <f t="shared" si="15"/>
        <v>0</v>
      </c>
      <c r="J966" s="153"/>
    </row>
    <row r="967" spans="1:10" x14ac:dyDescent="0.25">
      <c r="A967" s="21"/>
      <c r="B967" s="21"/>
      <c r="C967" s="21"/>
      <c r="D967" s="21"/>
      <c r="E967" s="21"/>
      <c r="F967" s="21"/>
      <c r="G967" s="21"/>
      <c r="H967" s="21"/>
      <c r="I967" s="151">
        <f t="shared" si="15"/>
        <v>0</v>
      </c>
      <c r="J967" s="153"/>
    </row>
    <row r="968" spans="1:10" x14ac:dyDescent="0.25">
      <c r="A968" s="21"/>
      <c r="B968" s="21"/>
      <c r="C968" s="21"/>
      <c r="D968" s="21"/>
      <c r="E968" s="21"/>
      <c r="F968" s="21"/>
      <c r="G968" s="21"/>
      <c r="H968" s="21"/>
      <c r="I968" s="151">
        <f t="shared" si="15"/>
        <v>0</v>
      </c>
      <c r="J968" s="153"/>
    </row>
    <row r="969" spans="1:10" x14ac:dyDescent="0.25">
      <c r="A969" s="21"/>
      <c r="B969" s="21"/>
      <c r="C969" s="21"/>
      <c r="D969" s="21"/>
      <c r="E969" s="21"/>
      <c r="F969" s="21"/>
      <c r="G969" s="21"/>
      <c r="H969" s="21"/>
      <c r="I969" s="151">
        <f t="shared" si="15"/>
        <v>0</v>
      </c>
      <c r="J969" s="153"/>
    </row>
    <row r="970" spans="1:10" x14ac:dyDescent="0.25">
      <c r="A970" s="21"/>
      <c r="B970" s="21"/>
      <c r="C970" s="21"/>
      <c r="D970" s="21"/>
      <c r="E970" s="21"/>
      <c r="F970" s="21"/>
      <c r="G970" s="21"/>
      <c r="H970" s="21"/>
      <c r="I970" s="151">
        <f t="shared" si="15"/>
        <v>0</v>
      </c>
      <c r="J970" s="153"/>
    </row>
    <row r="971" spans="1:10" x14ac:dyDescent="0.25">
      <c r="A971" s="21"/>
      <c r="B971" s="21"/>
      <c r="C971" s="21"/>
      <c r="D971" s="21"/>
      <c r="E971" s="21"/>
      <c r="F971" s="21"/>
      <c r="G971" s="21"/>
      <c r="H971" s="21"/>
      <c r="I971" s="151">
        <f t="shared" si="15"/>
        <v>0</v>
      </c>
      <c r="J971" s="153"/>
    </row>
    <row r="972" spans="1:10" x14ac:dyDescent="0.25">
      <c r="A972" s="21"/>
      <c r="B972" s="21"/>
      <c r="C972" s="21"/>
      <c r="D972" s="21"/>
      <c r="E972" s="21"/>
      <c r="F972" s="21"/>
      <c r="G972" s="21"/>
      <c r="H972" s="21"/>
      <c r="I972" s="151">
        <f t="shared" si="15"/>
        <v>0</v>
      </c>
      <c r="J972" s="153"/>
    </row>
    <row r="973" spans="1:10" x14ac:dyDescent="0.25">
      <c r="A973" s="21"/>
      <c r="B973" s="21"/>
      <c r="C973" s="21"/>
      <c r="D973" s="21"/>
      <c r="E973" s="21"/>
      <c r="F973" s="21"/>
      <c r="G973" s="21"/>
      <c r="H973" s="21"/>
      <c r="I973" s="151">
        <f t="shared" si="15"/>
        <v>0</v>
      </c>
      <c r="J973" s="153"/>
    </row>
    <row r="974" spans="1:10" x14ac:dyDescent="0.25">
      <c r="A974" s="21"/>
      <c r="B974" s="21"/>
      <c r="C974" s="21"/>
      <c r="D974" s="21"/>
      <c r="E974" s="21"/>
      <c r="F974" s="21"/>
      <c r="G974" s="21"/>
      <c r="H974" s="21"/>
      <c r="I974" s="151">
        <f t="shared" si="15"/>
        <v>0</v>
      </c>
      <c r="J974" s="153"/>
    </row>
    <row r="975" spans="1:10" x14ac:dyDescent="0.25">
      <c r="A975" s="21"/>
      <c r="B975" s="21"/>
      <c r="C975" s="21"/>
      <c r="D975" s="21"/>
      <c r="E975" s="21"/>
      <c r="F975" s="21"/>
      <c r="G975" s="21"/>
      <c r="H975" s="21"/>
      <c r="I975" s="151">
        <f t="shared" si="15"/>
        <v>0</v>
      </c>
      <c r="J975" s="153"/>
    </row>
    <row r="976" spans="1:10" x14ac:dyDescent="0.25">
      <c r="A976" s="21"/>
      <c r="B976" s="21"/>
      <c r="C976" s="21"/>
      <c r="D976" s="21"/>
      <c r="E976" s="21"/>
      <c r="F976" s="21"/>
      <c r="G976" s="21"/>
      <c r="H976" s="21"/>
      <c r="I976" s="151">
        <f t="shared" si="15"/>
        <v>0</v>
      </c>
      <c r="J976" s="153"/>
    </row>
    <row r="977" spans="1:10" x14ac:dyDescent="0.25">
      <c r="A977" s="21"/>
      <c r="B977" s="21"/>
      <c r="C977" s="21"/>
      <c r="D977" s="21"/>
      <c r="E977" s="21"/>
      <c r="F977" s="21"/>
      <c r="G977" s="21"/>
      <c r="H977" s="21"/>
      <c r="I977" s="151">
        <f t="shared" si="15"/>
        <v>0</v>
      </c>
      <c r="J977" s="153"/>
    </row>
    <row r="978" spans="1:10" x14ac:dyDescent="0.25">
      <c r="A978" s="21"/>
      <c r="B978" s="21"/>
      <c r="C978" s="21"/>
      <c r="D978" s="21"/>
      <c r="E978" s="21"/>
      <c r="F978" s="21"/>
      <c r="G978" s="21"/>
      <c r="H978" s="21"/>
      <c r="I978" s="151">
        <f t="shared" si="15"/>
        <v>0</v>
      </c>
      <c r="J978" s="153"/>
    </row>
    <row r="979" spans="1:10" x14ac:dyDescent="0.25">
      <c r="A979" s="21"/>
      <c r="B979" s="21"/>
      <c r="C979" s="21"/>
      <c r="D979" s="21"/>
      <c r="E979" s="21"/>
      <c r="F979" s="21"/>
      <c r="G979" s="21"/>
      <c r="H979" s="21"/>
      <c r="I979" s="151">
        <f t="shared" si="15"/>
        <v>0</v>
      </c>
      <c r="J979" s="153"/>
    </row>
    <row r="980" spans="1:10" x14ac:dyDescent="0.25">
      <c r="A980" s="21"/>
      <c r="B980" s="21"/>
      <c r="C980" s="21"/>
      <c r="D980" s="21"/>
      <c r="E980" s="21"/>
      <c r="F980" s="21"/>
      <c r="G980" s="21"/>
      <c r="H980" s="21"/>
      <c r="I980" s="151">
        <f t="shared" si="15"/>
        <v>0</v>
      </c>
      <c r="J980" s="153"/>
    </row>
    <row r="981" spans="1:10" x14ac:dyDescent="0.25">
      <c r="A981" s="21"/>
      <c r="B981" s="21"/>
      <c r="C981" s="21"/>
      <c r="D981" s="21"/>
      <c r="E981" s="21"/>
      <c r="F981" s="21"/>
      <c r="G981" s="21"/>
      <c r="H981" s="21"/>
      <c r="I981" s="151">
        <f t="shared" si="15"/>
        <v>0</v>
      </c>
      <c r="J981" s="153"/>
    </row>
    <row r="982" spans="1:10" x14ac:dyDescent="0.25">
      <c r="A982" s="21"/>
      <c r="B982" s="21"/>
      <c r="C982" s="21"/>
      <c r="D982" s="21"/>
      <c r="E982" s="21"/>
      <c r="F982" s="21"/>
      <c r="G982" s="21"/>
      <c r="H982" s="21"/>
      <c r="I982" s="151">
        <f t="shared" si="15"/>
        <v>0</v>
      </c>
      <c r="J982" s="153"/>
    </row>
    <row r="983" spans="1:10" x14ac:dyDescent="0.25">
      <c r="A983" s="21"/>
      <c r="B983" s="21"/>
      <c r="C983" s="21"/>
      <c r="D983" s="21"/>
      <c r="E983" s="21"/>
      <c r="F983" s="21"/>
      <c r="G983" s="21"/>
      <c r="H983" s="21"/>
      <c r="I983" s="151">
        <f t="shared" si="15"/>
        <v>0</v>
      </c>
      <c r="J983" s="153"/>
    </row>
    <row r="984" spans="1:10" x14ac:dyDescent="0.25">
      <c r="A984" s="21"/>
      <c r="B984" s="21"/>
      <c r="C984" s="21"/>
      <c r="D984" s="21"/>
      <c r="E984" s="21"/>
      <c r="F984" s="21"/>
      <c r="G984" s="21"/>
      <c r="H984" s="21"/>
      <c r="I984" s="151">
        <f t="shared" si="15"/>
        <v>0</v>
      </c>
      <c r="J984" s="153"/>
    </row>
    <row r="985" spans="1:10" x14ac:dyDescent="0.25">
      <c r="A985" s="21"/>
      <c r="B985" s="21"/>
      <c r="C985" s="21"/>
      <c r="D985" s="21"/>
      <c r="E985" s="21"/>
      <c r="F985" s="21"/>
      <c r="G985" s="21"/>
      <c r="H985" s="21"/>
      <c r="I985" s="151">
        <f t="shared" si="15"/>
        <v>0</v>
      </c>
      <c r="J985" s="153"/>
    </row>
    <row r="986" spans="1:10" x14ac:dyDescent="0.25">
      <c r="A986" s="21"/>
      <c r="B986" s="21"/>
      <c r="C986" s="21"/>
      <c r="D986" s="21"/>
      <c r="E986" s="21"/>
      <c r="F986" s="21"/>
      <c r="G986" s="21"/>
      <c r="H986" s="21"/>
      <c r="I986" s="151">
        <f t="shared" si="15"/>
        <v>0</v>
      </c>
      <c r="J986" s="153"/>
    </row>
    <row r="987" spans="1:10" x14ac:dyDescent="0.25">
      <c r="A987" s="21"/>
      <c r="B987" s="21"/>
      <c r="C987" s="21"/>
      <c r="D987" s="21"/>
      <c r="E987" s="21"/>
      <c r="F987" s="21"/>
      <c r="G987" s="21"/>
      <c r="H987" s="21"/>
      <c r="I987" s="151">
        <f t="shared" si="15"/>
        <v>0</v>
      </c>
      <c r="J987" s="153"/>
    </row>
    <row r="988" spans="1:10" x14ac:dyDescent="0.25">
      <c r="A988" s="21"/>
      <c r="B988" s="21"/>
      <c r="C988" s="21"/>
      <c r="D988" s="21"/>
      <c r="E988" s="21"/>
      <c r="F988" s="21"/>
      <c r="G988" s="21"/>
      <c r="H988" s="21"/>
      <c r="I988" s="151">
        <f t="shared" si="15"/>
        <v>0</v>
      </c>
      <c r="J988" s="153"/>
    </row>
    <row r="989" spans="1:10" x14ac:dyDescent="0.25">
      <c r="A989" s="21"/>
      <c r="B989" s="21"/>
      <c r="C989" s="21"/>
      <c r="D989" s="21"/>
      <c r="E989" s="21"/>
      <c r="F989" s="21"/>
      <c r="G989" s="21"/>
      <c r="H989" s="21"/>
      <c r="I989" s="151">
        <f t="shared" si="15"/>
        <v>0</v>
      </c>
      <c r="J989" s="153"/>
    </row>
    <row r="990" spans="1:10" x14ac:dyDescent="0.25">
      <c r="A990" s="21"/>
      <c r="B990" s="21"/>
      <c r="C990" s="21"/>
      <c r="D990" s="21"/>
      <c r="E990" s="21"/>
      <c r="F990" s="21"/>
      <c r="G990" s="21"/>
      <c r="H990" s="21"/>
      <c r="I990" s="151">
        <f t="shared" si="15"/>
        <v>0</v>
      </c>
      <c r="J990" s="153"/>
    </row>
    <row r="991" spans="1:10" x14ac:dyDescent="0.25">
      <c r="A991" s="21"/>
      <c r="B991" s="21"/>
      <c r="C991" s="21"/>
      <c r="D991" s="21"/>
      <c r="E991" s="21"/>
      <c r="F991" s="21"/>
      <c r="G991" s="21"/>
      <c r="H991" s="21"/>
      <c r="I991" s="151">
        <f t="shared" si="15"/>
        <v>0</v>
      </c>
      <c r="J991" s="153"/>
    </row>
    <row r="992" spans="1:10" x14ac:dyDescent="0.25">
      <c r="A992" s="21"/>
      <c r="B992" s="21"/>
      <c r="C992" s="21"/>
      <c r="D992" s="21"/>
      <c r="E992" s="21"/>
      <c r="F992" s="21"/>
      <c r="G992" s="21"/>
      <c r="H992" s="21"/>
      <c r="I992" s="151">
        <f t="shared" si="15"/>
        <v>0</v>
      </c>
      <c r="J992" s="153"/>
    </row>
    <row r="993" spans="1:10" x14ac:dyDescent="0.25">
      <c r="A993" s="21"/>
      <c r="B993" s="21"/>
      <c r="C993" s="21"/>
      <c r="D993" s="21"/>
      <c r="E993" s="21"/>
      <c r="F993" s="21"/>
      <c r="G993" s="21"/>
      <c r="H993" s="21"/>
      <c r="I993" s="151">
        <f t="shared" si="15"/>
        <v>0</v>
      </c>
      <c r="J993" s="153"/>
    </row>
    <row r="994" spans="1:10" x14ac:dyDescent="0.25">
      <c r="A994" s="21"/>
      <c r="B994" s="21"/>
      <c r="C994" s="21"/>
      <c r="D994" s="21"/>
      <c r="E994" s="21"/>
      <c r="F994" s="21"/>
      <c r="G994" s="21"/>
      <c r="H994" s="21"/>
      <c r="I994" s="151">
        <f t="shared" si="15"/>
        <v>0</v>
      </c>
      <c r="J994" s="153"/>
    </row>
    <row r="995" spans="1:10" x14ac:dyDescent="0.25">
      <c r="A995" s="21"/>
      <c r="B995" s="21"/>
      <c r="C995" s="21"/>
      <c r="D995" s="21"/>
      <c r="E995" s="21"/>
      <c r="F995" s="21"/>
      <c r="G995" s="21"/>
      <c r="H995" s="21"/>
      <c r="I995" s="151">
        <f t="shared" si="15"/>
        <v>0</v>
      </c>
      <c r="J995" s="153"/>
    </row>
    <row r="996" spans="1:10" x14ac:dyDescent="0.25">
      <c r="A996" s="21"/>
      <c r="B996" s="21"/>
      <c r="C996" s="21"/>
      <c r="D996" s="21"/>
      <c r="E996" s="21"/>
      <c r="F996" s="21"/>
      <c r="G996" s="21"/>
      <c r="H996" s="21"/>
      <c r="I996" s="151">
        <f t="shared" si="15"/>
        <v>0</v>
      </c>
      <c r="J996" s="153"/>
    </row>
    <row r="997" spans="1:10" x14ac:dyDescent="0.25">
      <c r="A997" s="21"/>
      <c r="B997" s="21"/>
      <c r="C997" s="21"/>
      <c r="D997" s="21"/>
      <c r="E997" s="21"/>
      <c r="F997" s="21"/>
      <c r="G997" s="21"/>
      <c r="H997" s="21"/>
      <c r="I997" s="151">
        <f t="shared" si="15"/>
        <v>0</v>
      </c>
      <c r="J997" s="153"/>
    </row>
    <row r="998" spans="1:10" x14ac:dyDescent="0.25">
      <c r="A998" s="21"/>
      <c r="B998" s="21"/>
      <c r="C998" s="21"/>
      <c r="D998" s="21"/>
      <c r="E998" s="21"/>
      <c r="F998" s="21"/>
      <c r="G998" s="21"/>
      <c r="H998" s="21"/>
      <c r="I998" s="151">
        <f t="shared" si="15"/>
        <v>0</v>
      </c>
      <c r="J998" s="153"/>
    </row>
    <row r="999" spans="1:10" x14ac:dyDescent="0.25">
      <c r="A999" s="21"/>
      <c r="B999" s="21"/>
      <c r="C999" s="21"/>
      <c r="D999" s="21"/>
      <c r="E999" s="21"/>
      <c r="F999" s="21"/>
      <c r="G999" s="21"/>
      <c r="H999" s="21"/>
      <c r="I999" s="151">
        <f t="shared" si="15"/>
        <v>0</v>
      </c>
      <c r="J999" s="153"/>
    </row>
    <row r="1000" spans="1:10" x14ac:dyDescent="0.25">
      <c r="A1000" s="21"/>
      <c r="B1000" s="21"/>
      <c r="C1000" s="21"/>
      <c r="D1000" s="21"/>
      <c r="E1000" s="21"/>
      <c r="F1000" s="21"/>
      <c r="G1000" s="21"/>
      <c r="H1000" s="21"/>
      <c r="I1000" s="151">
        <f t="shared" si="15"/>
        <v>0</v>
      </c>
      <c r="J1000" s="153"/>
    </row>
    <row r="1001" spans="1:10" x14ac:dyDescent="0.25">
      <c r="A1001" s="21"/>
      <c r="B1001" s="21"/>
      <c r="C1001" s="21"/>
      <c r="D1001" s="21"/>
      <c r="E1001" s="21"/>
      <c r="F1001" s="21"/>
      <c r="G1001" s="21"/>
      <c r="H1001" s="21"/>
      <c r="I1001" s="151">
        <f t="shared" si="15"/>
        <v>0</v>
      </c>
      <c r="J1001" s="153"/>
    </row>
    <row r="1002" spans="1:10" x14ac:dyDescent="0.25">
      <c r="A1002" s="21"/>
      <c r="B1002" s="21"/>
      <c r="C1002" s="21"/>
      <c r="D1002" s="21"/>
      <c r="E1002" s="21"/>
      <c r="F1002" s="21"/>
      <c r="G1002" s="21"/>
      <c r="H1002" s="21"/>
      <c r="I1002" s="151">
        <f t="shared" si="15"/>
        <v>0</v>
      </c>
      <c r="J1002" s="153"/>
    </row>
    <row r="1003" spans="1:10" x14ac:dyDescent="0.25">
      <c r="A1003" s="21"/>
      <c r="B1003" s="21"/>
      <c r="C1003" s="21"/>
      <c r="D1003" s="21"/>
      <c r="E1003" s="21"/>
      <c r="F1003" s="21"/>
      <c r="G1003" s="21"/>
      <c r="H1003" s="21"/>
      <c r="I1003" s="151">
        <f t="shared" si="15"/>
        <v>0</v>
      </c>
      <c r="J1003" s="153"/>
    </row>
    <row r="1004" spans="1:10" x14ac:dyDescent="0.25">
      <c r="A1004" s="21"/>
      <c r="B1004" s="21"/>
      <c r="C1004" s="21"/>
      <c r="D1004" s="21"/>
      <c r="E1004" s="21"/>
      <c r="F1004" s="21"/>
      <c r="G1004" s="21"/>
      <c r="H1004" s="21"/>
      <c r="I1004" s="151">
        <f t="shared" si="15"/>
        <v>0</v>
      </c>
      <c r="J1004" s="153"/>
    </row>
    <row r="1005" spans="1:10" x14ac:dyDescent="0.25">
      <c r="A1005" s="21"/>
      <c r="B1005" s="21"/>
      <c r="C1005" s="21"/>
      <c r="D1005" s="21"/>
      <c r="E1005" s="21"/>
      <c r="F1005" s="21"/>
      <c r="G1005" s="21"/>
      <c r="H1005" s="21"/>
      <c r="I1005" s="151">
        <f t="shared" si="15"/>
        <v>0</v>
      </c>
      <c r="J1005" s="153"/>
    </row>
    <row r="1006" spans="1:10" x14ac:dyDescent="0.25">
      <c r="A1006" s="21"/>
      <c r="B1006" s="21"/>
      <c r="C1006" s="21"/>
      <c r="D1006" s="21"/>
      <c r="E1006" s="21"/>
      <c r="F1006" s="21"/>
      <c r="G1006" s="21"/>
      <c r="H1006" s="21"/>
      <c r="I1006" s="151">
        <f t="shared" si="15"/>
        <v>0</v>
      </c>
      <c r="J1006" s="153"/>
    </row>
    <row r="1007" spans="1:10" x14ac:dyDescent="0.25">
      <c r="A1007" s="21"/>
      <c r="B1007" s="21"/>
      <c r="C1007" s="21"/>
      <c r="D1007" s="21"/>
      <c r="E1007" s="21"/>
      <c r="F1007" s="21"/>
      <c r="G1007" s="21"/>
      <c r="H1007" s="21"/>
      <c r="I1007" s="151">
        <f t="shared" si="15"/>
        <v>0</v>
      </c>
      <c r="J1007" s="153"/>
    </row>
    <row r="1008" spans="1:10" x14ac:dyDescent="0.25">
      <c r="A1008" s="21"/>
      <c r="B1008" s="21"/>
      <c r="C1008" s="21"/>
      <c r="D1008" s="21"/>
      <c r="E1008" s="21"/>
      <c r="F1008" s="21"/>
      <c r="G1008" s="21"/>
      <c r="H1008" s="21"/>
      <c r="I1008" s="151">
        <f t="shared" si="15"/>
        <v>0</v>
      </c>
      <c r="J1008" s="153"/>
    </row>
    <row r="1009" spans="1:10" x14ac:dyDescent="0.25">
      <c r="A1009" s="21"/>
      <c r="B1009" s="21"/>
      <c r="C1009" s="21"/>
      <c r="D1009" s="21"/>
      <c r="E1009" s="21"/>
      <c r="F1009" s="21"/>
      <c r="G1009" s="21"/>
      <c r="H1009" s="21"/>
      <c r="I1009" s="151">
        <f t="shared" si="15"/>
        <v>0</v>
      </c>
      <c r="J1009" s="153"/>
    </row>
    <row r="1010" spans="1:10" x14ac:dyDescent="0.25">
      <c r="A1010" s="21"/>
      <c r="B1010" s="21"/>
      <c r="C1010" s="21"/>
      <c r="D1010" s="21"/>
      <c r="E1010" s="21"/>
      <c r="F1010" s="21"/>
      <c r="G1010" s="21"/>
      <c r="H1010" s="21"/>
      <c r="I1010" s="151">
        <f t="shared" si="15"/>
        <v>0</v>
      </c>
      <c r="J1010" s="153"/>
    </row>
    <row r="1011" spans="1:10" x14ac:dyDescent="0.25">
      <c r="A1011" s="21"/>
      <c r="B1011" s="21"/>
      <c r="C1011" s="21"/>
      <c r="D1011" s="21"/>
      <c r="E1011" s="21"/>
      <c r="F1011" s="21"/>
      <c r="G1011" s="21"/>
      <c r="H1011" s="21"/>
      <c r="I1011" s="151">
        <f t="shared" si="15"/>
        <v>0</v>
      </c>
      <c r="J1011" s="153"/>
    </row>
    <row r="1012" spans="1:10" x14ac:dyDescent="0.25">
      <c r="A1012" s="21"/>
      <c r="B1012" s="21"/>
      <c r="C1012" s="21"/>
      <c r="D1012" s="21"/>
      <c r="E1012" s="21"/>
      <c r="F1012" s="21"/>
      <c r="G1012" s="21"/>
      <c r="H1012" s="21"/>
      <c r="I1012" s="151">
        <f t="shared" si="15"/>
        <v>0</v>
      </c>
      <c r="J1012" s="153"/>
    </row>
    <row r="1013" spans="1:10" x14ac:dyDescent="0.25">
      <c r="A1013" s="21"/>
      <c r="B1013" s="21"/>
      <c r="C1013" s="21"/>
      <c r="D1013" s="21"/>
      <c r="E1013" s="21"/>
      <c r="F1013" s="21"/>
      <c r="G1013" s="21"/>
      <c r="H1013" s="21"/>
      <c r="I1013" s="151">
        <f t="shared" si="15"/>
        <v>0</v>
      </c>
      <c r="J1013" s="153"/>
    </row>
    <row r="1014" spans="1:10" x14ac:dyDescent="0.25">
      <c r="A1014" s="21"/>
      <c r="B1014" s="21"/>
      <c r="C1014" s="21"/>
      <c r="D1014" s="21"/>
      <c r="E1014" s="21"/>
      <c r="F1014" s="21"/>
      <c r="G1014" s="21"/>
      <c r="H1014" s="21"/>
      <c r="I1014" s="151">
        <f t="shared" si="15"/>
        <v>0</v>
      </c>
      <c r="J1014" s="153"/>
    </row>
    <row r="1015" spans="1:10" x14ac:dyDescent="0.25">
      <c r="A1015" s="21"/>
      <c r="B1015" s="21"/>
      <c r="C1015" s="21"/>
      <c r="D1015" s="21"/>
      <c r="E1015" s="21"/>
      <c r="F1015" s="21"/>
      <c r="G1015" s="21"/>
      <c r="H1015" s="21"/>
      <c r="I1015" s="151">
        <f t="shared" si="15"/>
        <v>0</v>
      </c>
      <c r="J1015" s="153"/>
    </row>
    <row r="1016" spans="1:10" x14ac:dyDescent="0.25">
      <c r="A1016" s="21"/>
      <c r="B1016" s="21"/>
      <c r="C1016" s="21"/>
      <c r="D1016" s="21"/>
      <c r="E1016" s="21"/>
      <c r="F1016" s="21"/>
      <c r="G1016" s="21"/>
      <c r="H1016" s="21"/>
      <c r="I1016" s="151">
        <f t="shared" si="15"/>
        <v>0</v>
      </c>
      <c r="J1016" s="153"/>
    </row>
    <row r="1017" spans="1:10" x14ac:dyDescent="0.25">
      <c r="A1017" s="21"/>
      <c r="B1017" s="21"/>
      <c r="C1017" s="21"/>
      <c r="D1017" s="21"/>
      <c r="E1017" s="21"/>
      <c r="F1017" s="21"/>
      <c r="G1017" s="21"/>
      <c r="H1017" s="21"/>
      <c r="I1017" s="151">
        <f t="shared" si="15"/>
        <v>0</v>
      </c>
      <c r="J1017" s="153"/>
    </row>
    <row r="1018" spans="1:10" x14ac:dyDescent="0.25">
      <c r="A1018" s="21"/>
      <c r="B1018" s="21"/>
      <c r="C1018" s="21"/>
      <c r="D1018" s="21"/>
      <c r="E1018" s="21"/>
      <c r="F1018" s="21"/>
      <c r="G1018" s="21"/>
      <c r="H1018" s="21"/>
      <c r="I1018" s="151">
        <f t="shared" si="15"/>
        <v>0</v>
      </c>
      <c r="J1018" s="153"/>
    </row>
    <row r="1019" spans="1:10" x14ac:dyDescent="0.25">
      <c r="A1019" s="21"/>
      <c r="B1019" s="21"/>
      <c r="C1019" s="21"/>
      <c r="D1019" s="21"/>
      <c r="E1019" s="21"/>
      <c r="F1019" s="21"/>
      <c r="G1019" s="21"/>
      <c r="H1019" s="21"/>
      <c r="I1019" s="151">
        <f t="shared" si="15"/>
        <v>0</v>
      </c>
      <c r="J1019" s="153"/>
    </row>
    <row r="1020" spans="1:10" x14ac:dyDescent="0.25">
      <c r="A1020" s="21"/>
      <c r="B1020" s="21"/>
      <c r="C1020" s="21"/>
      <c r="D1020" s="21"/>
      <c r="E1020" s="21"/>
      <c r="F1020" s="21"/>
      <c r="G1020" s="21"/>
      <c r="H1020" s="21"/>
      <c r="I1020" s="151">
        <f t="shared" si="15"/>
        <v>0</v>
      </c>
      <c r="J1020" s="153"/>
    </row>
    <row r="1021" spans="1:10" x14ac:dyDescent="0.25">
      <c r="A1021" s="21"/>
      <c r="B1021" s="21"/>
      <c r="C1021" s="21"/>
      <c r="D1021" s="21"/>
      <c r="E1021" s="21"/>
      <c r="F1021" s="21"/>
      <c r="G1021" s="21"/>
      <c r="H1021" s="21"/>
      <c r="I1021" s="151">
        <f t="shared" si="15"/>
        <v>0</v>
      </c>
      <c r="J1021" s="153"/>
    </row>
    <row r="1022" spans="1:10" x14ac:dyDescent="0.25">
      <c r="A1022" s="21"/>
      <c r="B1022" s="21"/>
      <c r="C1022" s="21"/>
      <c r="D1022" s="21"/>
      <c r="E1022" s="21"/>
      <c r="F1022" s="21"/>
      <c r="G1022" s="21"/>
      <c r="H1022" s="21"/>
      <c r="I1022" s="151">
        <f t="shared" si="15"/>
        <v>0</v>
      </c>
      <c r="J1022" s="153"/>
    </row>
    <row r="1023" spans="1:10" x14ac:dyDescent="0.25">
      <c r="A1023" s="21"/>
      <c r="B1023" s="21"/>
      <c r="C1023" s="21"/>
      <c r="D1023" s="21"/>
      <c r="E1023" s="21"/>
      <c r="F1023" s="21"/>
      <c r="G1023" s="21"/>
      <c r="H1023" s="21"/>
      <c r="I1023" s="151">
        <f t="shared" si="15"/>
        <v>0</v>
      </c>
      <c r="J1023" s="153"/>
    </row>
    <row r="1024" spans="1:10" x14ac:dyDescent="0.25">
      <c r="A1024" s="21"/>
      <c r="B1024" s="21"/>
      <c r="C1024" s="21"/>
      <c r="D1024" s="21"/>
      <c r="E1024" s="21"/>
      <c r="F1024" s="21"/>
      <c r="G1024" s="21"/>
      <c r="H1024" s="21"/>
      <c r="I1024" s="151">
        <f t="shared" si="15"/>
        <v>0</v>
      </c>
      <c r="J1024" s="153"/>
    </row>
    <row r="1025" spans="1:10" x14ac:dyDescent="0.25">
      <c r="A1025" s="21"/>
      <c r="B1025" s="21"/>
      <c r="C1025" s="21"/>
      <c r="D1025" s="21"/>
      <c r="E1025" s="21"/>
      <c r="F1025" s="21"/>
      <c r="G1025" s="21"/>
      <c r="H1025" s="21"/>
      <c r="I1025" s="151">
        <f t="shared" si="15"/>
        <v>0</v>
      </c>
      <c r="J1025" s="153"/>
    </row>
    <row r="1026" spans="1:10" x14ac:dyDescent="0.25">
      <c r="A1026" s="21"/>
      <c r="B1026" s="21"/>
      <c r="C1026" s="21"/>
      <c r="D1026" s="21"/>
      <c r="E1026" s="21"/>
      <c r="F1026" s="21"/>
      <c r="G1026" s="21"/>
      <c r="H1026" s="21"/>
      <c r="I1026" s="151">
        <f t="shared" si="15"/>
        <v>0</v>
      </c>
      <c r="J1026" s="153"/>
    </row>
    <row r="1027" spans="1:10" x14ac:dyDescent="0.25">
      <c r="A1027" s="21"/>
      <c r="B1027" s="21"/>
      <c r="C1027" s="21"/>
      <c r="D1027" s="21"/>
      <c r="E1027" s="21"/>
      <c r="F1027" s="21"/>
      <c r="G1027" s="21"/>
      <c r="H1027" s="21"/>
      <c r="I1027" s="151">
        <f t="shared" ref="I1027:I1090" si="16">IF(J1027="",SUM(G1027:H1027),0)</f>
        <v>0</v>
      </c>
      <c r="J1027" s="153"/>
    </row>
    <row r="1028" spans="1:10" x14ac:dyDescent="0.25">
      <c r="A1028" s="21"/>
      <c r="B1028" s="21"/>
      <c r="C1028" s="21"/>
      <c r="D1028" s="21"/>
      <c r="E1028" s="21"/>
      <c r="F1028" s="21"/>
      <c r="G1028" s="21"/>
      <c r="H1028" s="21"/>
      <c r="I1028" s="151">
        <f t="shared" si="16"/>
        <v>0</v>
      </c>
      <c r="J1028" s="153"/>
    </row>
    <row r="1029" spans="1:10" x14ac:dyDescent="0.25">
      <c r="A1029" s="21"/>
      <c r="B1029" s="21"/>
      <c r="C1029" s="21"/>
      <c r="D1029" s="21"/>
      <c r="E1029" s="21"/>
      <c r="F1029" s="21"/>
      <c r="G1029" s="21"/>
      <c r="H1029" s="21"/>
      <c r="I1029" s="151">
        <f t="shared" si="16"/>
        <v>0</v>
      </c>
      <c r="J1029" s="153"/>
    </row>
    <row r="1030" spans="1:10" x14ac:dyDescent="0.25">
      <c r="A1030" s="21"/>
      <c r="B1030" s="21"/>
      <c r="C1030" s="21"/>
      <c r="D1030" s="21"/>
      <c r="E1030" s="21"/>
      <c r="F1030" s="21"/>
      <c r="G1030" s="21"/>
      <c r="H1030" s="21"/>
      <c r="I1030" s="151">
        <f t="shared" si="16"/>
        <v>0</v>
      </c>
      <c r="J1030" s="153"/>
    </row>
    <row r="1031" spans="1:10" x14ac:dyDescent="0.25">
      <c r="A1031" s="21"/>
      <c r="B1031" s="21"/>
      <c r="C1031" s="21"/>
      <c r="D1031" s="21"/>
      <c r="E1031" s="21"/>
      <c r="F1031" s="21"/>
      <c r="G1031" s="21"/>
      <c r="H1031" s="21"/>
      <c r="I1031" s="151">
        <f t="shared" si="16"/>
        <v>0</v>
      </c>
      <c r="J1031" s="153"/>
    </row>
    <row r="1032" spans="1:10" x14ac:dyDescent="0.25">
      <c r="A1032" s="21"/>
      <c r="B1032" s="21"/>
      <c r="C1032" s="21"/>
      <c r="D1032" s="21"/>
      <c r="E1032" s="21"/>
      <c r="F1032" s="21"/>
      <c r="G1032" s="21"/>
      <c r="H1032" s="21"/>
      <c r="I1032" s="151">
        <f t="shared" si="16"/>
        <v>0</v>
      </c>
      <c r="J1032" s="153"/>
    </row>
    <row r="1033" spans="1:10" x14ac:dyDescent="0.25">
      <c r="A1033" s="21"/>
      <c r="B1033" s="21"/>
      <c r="C1033" s="21"/>
      <c r="D1033" s="21"/>
      <c r="E1033" s="21"/>
      <c r="F1033" s="21"/>
      <c r="G1033" s="21"/>
      <c r="H1033" s="21"/>
      <c r="I1033" s="151">
        <f t="shared" si="16"/>
        <v>0</v>
      </c>
      <c r="J1033" s="153"/>
    </row>
    <row r="1034" spans="1:10" x14ac:dyDescent="0.25">
      <c r="A1034" s="21"/>
      <c r="B1034" s="21"/>
      <c r="C1034" s="21"/>
      <c r="D1034" s="21"/>
      <c r="E1034" s="21"/>
      <c r="F1034" s="21"/>
      <c r="G1034" s="21"/>
      <c r="H1034" s="21"/>
      <c r="I1034" s="151">
        <f t="shared" si="16"/>
        <v>0</v>
      </c>
      <c r="J1034" s="153"/>
    </row>
    <row r="1035" spans="1:10" x14ac:dyDescent="0.25">
      <c r="A1035" s="21"/>
      <c r="B1035" s="21"/>
      <c r="C1035" s="21"/>
      <c r="D1035" s="21"/>
      <c r="E1035" s="21"/>
      <c r="F1035" s="21"/>
      <c r="G1035" s="21"/>
      <c r="H1035" s="21"/>
      <c r="I1035" s="151">
        <f t="shared" si="16"/>
        <v>0</v>
      </c>
      <c r="J1035" s="153"/>
    </row>
    <row r="1036" spans="1:10" x14ac:dyDescent="0.25">
      <c r="A1036" s="21"/>
      <c r="B1036" s="21"/>
      <c r="C1036" s="21"/>
      <c r="D1036" s="21"/>
      <c r="E1036" s="21"/>
      <c r="F1036" s="21"/>
      <c r="G1036" s="21"/>
      <c r="H1036" s="21"/>
      <c r="I1036" s="151">
        <f t="shared" si="16"/>
        <v>0</v>
      </c>
      <c r="J1036" s="153"/>
    </row>
    <row r="1037" spans="1:10" x14ac:dyDescent="0.25">
      <c r="A1037" s="21"/>
      <c r="B1037" s="21"/>
      <c r="C1037" s="21"/>
      <c r="D1037" s="21"/>
      <c r="E1037" s="21"/>
      <c r="F1037" s="21"/>
      <c r="G1037" s="21"/>
      <c r="H1037" s="21"/>
      <c r="I1037" s="151">
        <f t="shared" si="16"/>
        <v>0</v>
      </c>
      <c r="J1037" s="153"/>
    </row>
    <row r="1038" spans="1:10" x14ac:dyDescent="0.25">
      <c r="A1038" s="21"/>
      <c r="B1038" s="21"/>
      <c r="C1038" s="21"/>
      <c r="D1038" s="21"/>
      <c r="E1038" s="21"/>
      <c r="F1038" s="21"/>
      <c r="G1038" s="21"/>
      <c r="H1038" s="21"/>
      <c r="I1038" s="151">
        <f t="shared" si="16"/>
        <v>0</v>
      </c>
      <c r="J1038" s="153"/>
    </row>
    <row r="1039" spans="1:10" x14ac:dyDescent="0.25">
      <c r="A1039" s="21"/>
      <c r="B1039" s="21"/>
      <c r="C1039" s="21"/>
      <c r="D1039" s="21"/>
      <c r="E1039" s="21"/>
      <c r="F1039" s="21"/>
      <c r="G1039" s="21"/>
      <c r="H1039" s="21"/>
      <c r="I1039" s="151">
        <f t="shared" si="16"/>
        <v>0</v>
      </c>
      <c r="J1039" s="153"/>
    </row>
    <row r="1040" spans="1:10" x14ac:dyDescent="0.25">
      <c r="A1040" s="21"/>
      <c r="B1040" s="21"/>
      <c r="C1040" s="21"/>
      <c r="D1040" s="21"/>
      <c r="E1040" s="21"/>
      <c r="F1040" s="21"/>
      <c r="G1040" s="21"/>
      <c r="H1040" s="21"/>
      <c r="I1040" s="151">
        <f t="shared" si="16"/>
        <v>0</v>
      </c>
      <c r="J1040" s="153"/>
    </row>
    <row r="1041" spans="1:10" x14ac:dyDescent="0.25">
      <c r="A1041" s="21"/>
      <c r="B1041" s="21"/>
      <c r="C1041" s="21"/>
      <c r="D1041" s="21"/>
      <c r="E1041" s="21"/>
      <c r="F1041" s="21"/>
      <c r="G1041" s="21"/>
      <c r="H1041" s="21"/>
      <c r="I1041" s="151">
        <f t="shared" si="16"/>
        <v>0</v>
      </c>
      <c r="J1041" s="153"/>
    </row>
    <row r="1042" spans="1:10" x14ac:dyDescent="0.25">
      <c r="A1042" s="21"/>
      <c r="B1042" s="21"/>
      <c r="C1042" s="21"/>
      <c r="D1042" s="21"/>
      <c r="E1042" s="21"/>
      <c r="F1042" s="21"/>
      <c r="G1042" s="21"/>
      <c r="H1042" s="21"/>
      <c r="I1042" s="151">
        <f t="shared" si="16"/>
        <v>0</v>
      </c>
      <c r="J1042" s="153"/>
    </row>
    <row r="1043" spans="1:10" x14ac:dyDescent="0.25">
      <c r="A1043" s="21"/>
      <c r="B1043" s="21"/>
      <c r="C1043" s="21"/>
      <c r="D1043" s="21"/>
      <c r="E1043" s="21"/>
      <c r="F1043" s="21"/>
      <c r="G1043" s="21"/>
      <c r="H1043" s="21"/>
      <c r="I1043" s="151">
        <f t="shared" si="16"/>
        <v>0</v>
      </c>
      <c r="J1043" s="153"/>
    </row>
    <row r="1044" spans="1:10" x14ac:dyDescent="0.25">
      <c r="A1044" s="21"/>
      <c r="B1044" s="21"/>
      <c r="C1044" s="21"/>
      <c r="D1044" s="21"/>
      <c r="E1044" s="21"/>
      <c r="F1044" s="21"/>
      <c r="G1044" s="21"/>
      <c r="H1044" s="21"/>
      <c r="I1044" s="151">
        <f t="shared" si="16"/>
        <v>0</v>
      </c>
      <c r="J1044" s="153"/>
    </row>
    <row r="1045" spans="1:10" x14ac:dyDescent="0.25">
      <c r="A1045" s="21"/>
      <c r="B1045" s="21"/>
      <c r="C1045" s="21"/>
      <c r="D1045" s="21"/>
      <c r="E1045" s="21"/>
      <c r="F1045" s="21"/>
      <c r="G1045" s="21"/>
      <c r="H1045" s="21"/>
      <c r="I1045" s="151">
        <f t="shared" si="16"/>
        <v>0</v>
      </c>
      <c r="J1045" s="153"/>
    </row>
    <row r="1046" spans="1:10" x14ac:dyDescent="0.25">
      <c r="A1046" s="21"/>
      <c r="B1046" s="21"/>
      <c r="C1046" s="21"/>
      <c r="D1046" s="21"/>
      <c r="E1046" s="21"/>
      <c r="F1046" s="21"/>
      <c r="G1046" s="21"/>
      <c r="H1046" s="21"/>
      <c r="I1046" s="151">
        <f t="shared" si="16"/>
        <v>0</v>
      </c>
      <c r="J1046" s="153"/>
    </row>
    <row r="1047" spans="1:10" x14ac:dyDescent="0.25">
      <c r="A1047" s="21"/>
      <c r="B1047" s="21"/>
      <c r="C1047" s="21"/>
      <c r="D1047" s="21"/>
      <c r="E1047" s="21"/>
      <c r="F1047" s="21"/>
      <c r="G1047" s="21"/>
      <c r="H1047" s="21"/>
      <c r="I1047" s="151">
        <f t="shared" si="16"/>
        <v>0</v>
      </c>
      <c r="J1047" s="153"/>
    </row>
    <row r="1048" spans="1:10" x14ac:dyDescent="0.25">
      <c r="A1048" s="21"/>
      <c r="B1048" s="21"/>
      <c r="C1048" s="21"/>
      <c r="D1048" s="21"/>
      <c r="E1048" s="21"/>
      <c r="F1048" s="21"/>
      <c r="G1048" s="21"/>
      <c r="H1048" s="21"/>
      <c r="I1048" s="151">
        <f t="shared" si="16"/>
        <v>0</v>
      </c>
      <c r="J1048" s="153"/>
    </row>
    <row r="1049" spans="1:10" x14ac:dyDescent="0.25">
      <c r="A1049" s="21"/>
      <c r="B1049" s="21"/>
      <c r="C1049" s="21"/>
      <c r="D1049" s="21"/>
      <c r="E1049" s="21"/>
      <c r="F1049" s="21"/>
      <c r="G1049" s="21"/>
      <c r="H1049" s="21"/>
      <c r="I1049" s="151">
        <f t="shared" si="16"/>
        <v>0</v>
      </c>
      <c r="J1049" s="153"/>
    </row>
    <row r="1050" spans="1:10" x14ac:dyDescent="0.25">
      <c r="A1050" s="21"/>
      <c r="B1050" s="21"/>
      <c r="C1050" s="21"/>
      <c r="D1050" s="21"/>
      <c r="E1050" s="21"/>
      <c r="F1050" s="21"/>
      <c r="G1050" s="21"/>
      <c r="H1050" s="21"/>
      <c r="I1050" s="151">
        <f t="shared" si="16"/>
        <v>0</v>
      </c>
      <c r="J1050" s="153"/>
    </row>
    <row r="1051" spans="1:10" x14ac:dyDescent="0.25">
      <c r="A1051" s="21"/>
      <c r="B1051" s="21"/>
      <c r="C1051" s="21"/>
      <c r="D1051" s="21"/>
      <c r="E1051" s="21"/>
      <c r="F1051" s="21"/>
      <c r="G1051" s="21"/>
      <c r="H1051" s="21"/>
      <c r="I1051" s="151">
        <f t="shared" si="16"/>
        <v>0</v>
      </c>
      <c r="J1051" s="153"/>
    </row>
    <row r="1052" spans="1:10" x14ac:dyDescent="0.25">
      <c r="A1052" s="21"/>
      <c r="B1052" s="21"/>
      <c r="C1052" s="21"/>
      <c r="D1052" s="21"/>
      <c r="E1052" s="21"/>
      <c r="F1052" s="21"/>
      <c r="G1052" s="21"/>
      <c r="H1052" s="21"/>
      <c r="I1052" s="151">
        <f t="shared" si="16"/>
        <v>0</v>
      </c>
      <c r="J1052" s="153"/>
    </row>
    <row r="1053" spans="1:10" x14ac:dyDescent="0.25">
      <c r="A1053" s="21"/>
      <c r="B1053" s="21"/>
      <c r="C1053" s="21"/>
      <c r="D1053" s="21"/>
      <c r="E1053" s="21"/>
      <c r="F1053" s="21"/>
      <c r="G1053" s="21"/>
      <c r="H1053" s="21"/>
      <c r="I1053" s="151">
        <f t="shared" si="16"/>
        <v>0</v>
      </c>
      <c r="J1053" s="153"/>
    </row>
    <row r="1054" spans="1:10" x14ac:dyDescent="0.25">
      <c r="A1054" s="21"/>
      <c r="B1054" s="21"/>
      <c r="C1054" s="21"/>
      <c r="D1054" s="21"/>
      <c r="E1054" s="21"/>
      <c r="F1054" s="21"/>
      <c r="G1054" s="21"/>
      <c r="H1054" s="21"/>
      <c r="I1054" s="151">
        <f t="shared" si="16"/>
        <v>0</v>
      </c>
      <c r="J1054" s="153"/>
    </row>
    <row r="1055" spans="1:10" x14ac:dyDescent="0.25">
      <c r="A1055" s="21"/>
      <c r="B1055" s="21"/>
      <c r="C1055" s="21"/>
      <c r="D1055" s="21"/>
      <c r="E1055" s="21"/>
      <c r="F1055" s="21"/>
      <c r="G1055" s="21"/>
      <c r="H1055" s="21"/>
      <c r="I1055" s="151">
        <f t="shared" si="16"/>
        <v>0</v>
      </c>
      <c r="J1055" s="153"/>
    </row>
    <row r="1056" spans="1:10" x14ac:dyDescent="0.25">
      <c r="A1056" s="21"/>
      <c r="B1056" s="21"/>
      <c r="C1056" s="21"/>
      <c r="D1056" s="21"/>
      <c r="E1056" s="21"/>
      <c r="F1056" s="21"/>
      <c r="G1056" s="21"/>
      <c r="H1056" s="21"/>
      <c r="I1056" s="151">
        <f t="shared" si="16"/>
        <v>0</v>
      </c>
      <c r="J1056" s="153"/>
    </row>
    <row r="1057" spans="1:10" x14ac:dyDescent="0.25">
      <c r="A1057" s="21"/>
      <c r="B1057" s="21"/>
      <c r="C1057" s="21"/>
      <c r="D1057" s="21"/>
      <c r="E1057" s="21"/>
      <c r="F1057" s="21"/>
      <c r="G1057" s="21"/>
      <c r="H1057" s="21"/>
      <c r="I1057" s="151">
        <f t="shared" si="16"/>
        <v>0</v>
      </c>
      <c r="J1057" s="153"/>
    </row>
    <row r="1058" spans="1:10" x14ac:dyDescent="0.25">
      <c r="A1058" s="21"/>
      <c r="B1058" s="21"/>
      <c r="C1058" s="21"/>
      <c r="D1058" s="21"/>
      <c r="E1058" s="21"/>
      <c r="F1058" s="21"/>
      <c r="G1058" s="21"/>
      <c r="H1058" s="21"/>
      <c r="I1058" s="151">
        <f t="shared" si="16"/>
        <v>0</v>
      </c>
      <c r="J1058" s="153"/>
    </row>
    <row r="1059" spans="1:10" x14ac:dyDescent="0.25">
      <c r="A1059" s="21"/>
      <c r="B1059" s="21"/>
      <c r="C1059" s="21"/>
      <c r="D1059" s="21"/>
      <c r="E1059" s="21"/>
      <c r="F1059" s="21"/>
      <c r="G1059" s="21"/>
      <c r="H1059" s="21"/>
      <c r="I1059" s="151">
        <f t="shared" si="16"/>
        <v>0</v>
      </c>
      <c r="J1059" s="153"/>
    </row>
    <row r="1060" spans="1:10" x14ac:dyDescent="0.25">
      <c r="A1060" s="21"/>
      <c r="B1060" s="21"/>
      <c r="C1060" s="21"/>
      <c r="D1060" s="21"/>
      <c r="E1060" s="21"/>
      <c r="F1060" s="21"/>
      <c r="G1060" s="21"/>
      <c r="H1060" s="21"/>
      <c r="I1060" s="151">
        <f t="shared" si="16"/>
        <v>0</v>
      </c>
      <c r="J1060" s="153"/>
    </row>
    <row r="1061" spans="1:10" x14ac:dyDescent="0.25">
      <c r="A1061" s="21"/>
      <c r="B1061" s="21"/>
      <c r="C1061" s="21"/>
      <c r="D1061" s="21"/>
      <c r="E1061" s="21"/>
      <c r="F1061" s="21"/>
      <c r="G1061" s="21"/>
      <c r="H1061" s="21"/>
      <c r="I1061" s="151">
        <f t="shared" si="16"/>
        <v>0</v>
      </c>
      <c r="J1061" s="153"/>
    </row>
    <row r="1062" spans="1:10" x14ac:dyDescent="0.25">
      <c r="A1062" s="21"/>
      <c r="B1062" s="21"/>
      <c r="C1062" s="21"/>
      <c r="D1062" s="21"/>
      <c r="E1062" s="21"/>
      <c r="F1062" s="21"/>
      <c r="G1062" s="21"/>
      <c r="H1062" s="21"/>
      <c r="I1062" s="151">
        <f t="shared" si="16"/>
        <v>0</v>
      </c>
      <c r="J1062" s="153"/>
    </row>
    <row r="1063" spans="1:10" x14ac:dyDescent="0.25">
      <c r="A1063" s="21"/>
      <c r="B1063" s="21"/>
      <c r="C1063" s="21"/>
      <c r="D1063" s="21"/>
      <c r="E1063" s="21"/>
      <c r="F1063" s="21"/>
      <c r="G1063" s="21"/>
      <c r="H1063" s="21"/>
      <c r="I1063" s="151">
        <f t="shared" si="16"/>
        <v>0</v>
      </c>
      <c r="J1063" s="153"/>
    </row>
    <row r="1064" spans="1:10" x14ac:dyDescent="0.25">
      <c r="A1064" s="21"/>
      <c r="B1064" s="21"/>
      <c r="C1064" s="21"/>
      <c r="D1064" s="21"/>
      <c r="E1064" s="21"/>
      <c r="F1064" s="21"/>
      <c r="G1064" s="21"/>
      <c r="H1064" s="21"/>
      <c r="I1064" s="151">
        <f t="shared" si="16"/>
        <v>0</v>
      </c>
      <c r="J1064" s="153"/>
    </row>
    <row r="1065" spans="1:10" x14ac:dyDescent="0.25">
      <c r="A1065" s="21"/>
      <c r="B1065" s="21"/>
      <c r="C1065" s="21"/>
      <c r="D1065" s="21"/>
      <c r="E1065" s="21"/>
      <c r="F1065" s="21"/>
      <c r="G1065" s="21"/>
      <c r="H1065" s="21"/>
      <c r="I1065" s="151">
        <f t="shared" si="16"/>
        <v>0</v>
      </c>
      <c r="J1065" s="153"/>
    </row>
    <row r="1066" spans="1:10" x14ac:dyDescent="0.25">
      <c r="A1066" s="21"/>
      <c r="B1066" s="21"/>
      <c r="C1066" s="21"/>
      <c r="D1066" s="21"/>
      <c r="E1066" s="21"/>
      <c r="F1066" s="21"/>
      <c r="G1066" s="21"/>
      <c r="H1066" s="21"/>
      <c r="I1066" s="151">
        <f t="shared" si="16"/>
        <v>0</v>
      </c>
      <c r="J1066" s="153"/>
    </row>
    <row r="1067" spans="1:10" x14ac:dyDescent="0.25">
      <c r="A1067" s="21"/>
      <c r="B1067" s="21"/>
      <c r="C1067" s="21"/>
      <c r="D1067" s="21"/>
      <c r="E1067" s="21"/>
      <c r="F1067" s="21"/>
      <c r="G1067" s="21"/>
      <c r="H1067" s="21"/>
      <c r="I1067" s="151">
        <f t="shared" si="16"/>
        <v>0</v>
      </c>
      <c r="J1067" s="153"/>
    </row>
    <row r="1068" spans="1:10" x14ac:dyDescent="0.25">
      <c r="A1068" s="21"/>
      <c r="B1068" s="21"/>
      <c r="C1068" s="21"/>
      <c r="D1068" s="21"/>
      <c r="E1068" s="21"/>
      <c r="F1068" s="21"/>
      <c r="G1068" s="21"/>
      <c r="H1068" s="21"/>
      <c r="I1068" s="151">
        <f t="shared" si="16"/>
        <v>0</v>
      </c>
      <c r="J1068" s="153"/>
    </row>
    <row r="1069" spans="1:10" x14ac:dyDescent="0.25">
      <c r="A1069" s="21"/>
      <c r="B1069" s="21"/>
      <c r="C1069" s="21"/>
      <c r="D1069" s="21"/>
      <c r="E1069" s="21"/>
      <c r="F1069" s="21"/>
      <c r="G1069" s="21"/>
      <c r="H1069" s="21"/>
      <c r="I1069" s="151">
        <f t="shared" si="16"/>
        <v>0</v>
      </c>
      <c r="J1069" s="153"/>
    </row>
    <row r="1070" spans="1:10" x14ac:dyDescent="0.25">
      <c r="A1070" s="21"/>
      <c r="B1070" s="21"/>
      <c r="C1070" s="21"/>
      <c r="D1070" s="21"/>
      <c r="E1070" s="21"/>
      <c r="F1070" s="21"/>
      <c r="G1070" s="21"/>
      <c r="H1070" s="21"/>
      <c r="I1070" s="151">
        <f t="shared" si="16"/>
        <v>0</v>
      </c>
      <c r="J1070" s="153"/>
    </row>
    <row r="1071" spans="1:10" x14ac:dyDescent="0.25">
      <c r="A1071" s="21"/>
      <c r="B1071" s="21"/>
      <c r="C1071" s="21"/>
      <c r="D1071" s="21"/>
      <c r="E1071" s="21"/>
      <c r="F1071" s="21"/>
      <c r="G1071" s="21"/>
      <c r="H1071" s="21"/>
      <c r="I1071" s="151">
        <f t="shared" si="16"/>
        <v>0</v>
      </c>
      <c r="J1071" s="153"/>
    </row>
    <row r="1072" spans="1:10" x14ac:dyDescent="0.25">
      <c r="A1072" s="21"/>
      <c r="B1072" s="21"/>
      <c r="C1072" s="21"/>
      <c r="D1072" s="21"/>
      <c r="E1072" s="21"/>
      <c r="F1072" s="21"/>
      <c r="G1072" s="21"/>
      <c r="H1072" s="21"/>
      <c r="I1072" s="151">
        <f t="shared" si="16"/>
        <v>0</v>
      </c>
      <c r="J1072" s="153"/>
    </row>
    <row r="1073" spans="1:10" x14ac:dyDescent="0.25">
      <c r="A1073" s="21"/>
      <c r="B1073" s="21"/>
      <c r="C1073" s="21"/>
      <c r="D1073" s="21"/>
      <c r="E1073" s="21"/>
      <c r="F1073" s="21"/>
      <c r="G1073" s="21"/>
      <c r="H1073" s="21"/>
      <c r="I1073" s="151">
        <f t="shared" si="16"/>
        <v>0</v>
      </c>
      <c r="J1073" s="153"/>
    </row>
    <row r="1074" spans="1:10" x14ac:dyDescent="0.25">
      <c r="A1074" s="21"/>
      <c r="B1074" s="21"/>
      <c r="C1074" s="21"/>
      <c r="D1074" s="21"/>
      <c r="E1074" s="21"/>
      <c r="F1074" s="21"/>
      <c r="G1074" s="21"/>
      <c r="H1074" s="21"/>
      <c r="I1074" s="151">
        <f t="shared" si="16"/>
        <v>0</v>
      </c>
      <c r="J1074" s="153"/>
    </row>
    <row r="1075" spans="1:10" x14ac:dyDescent="0.25">
      <c r="A1075" s="21"/>
      <c r="B1075" s="21"/>
      <c r="C1075" s="21"/>
      <c r="D1075" s="21"/>
      <c r="E1075" s="21"/>
      <c r="F1075" s="21"/>
      <c r="G1075" s="21"/>
      <c r="H1075" s="21"/>
      <c r="I1075" s="151">
        <f t="shared" si="16"/>
        <v>0</v>
      </c>
      <c r="J1075" s="153"/>
    </row>
    <row r="1076" spans="1:10" x14ac:dyDescent="0.25">
      <c r="A1076" s="21"/>
      <c r="B1076" s="21"/>
      <c r="C1076" s="21"/>
      <c r="D1076" s="21"/>
      <c r="E1076" s="21"/>
      <c r="F1076" s="21"/>
      <c r="G1076" s="21"/>
      <c r="H1076" s="21"/>
      <c r="I1076" s="151">
        <f t="shared" si="16"/>
        <v>0</v>
      </c>
      <c r="J1076" s="153"/>
    </row>
    <row r="1077" spans="1:10" x14ac:dyDescent="0.25">
      <c r="A1077" s="21"/>
      <c r="B1077" s="21"/>
      <c r="C1077" s="21"/>
      <c r="D1077" s="21"/>
      <c r="E1077" s="21"/>
      <c r="F1077" s="21"/>
      <c r="G1077" s="21"/>
      <c r="H1077" s="21"/>
      <c r="I1077" s="151">
        <f t="shared" si="16"/>
        <v>0</v>
      </c>
      <c r="J1077" s="153"/>
    </row>
    <row r="1078" spans="1:10" x14ac:dyDescent="0.25">
      <c r="A1078" s="21"/>
      <c r="B1078" s="21"/>
      <c r="C1078" s="21"/>
      <c r="D1078" s="21"/>
      <c r="E1078" s="21"/>
      <c r="F1078" s="21"/>
      <c r="G1078" s="21"/>
      <c r="H1078" s="21"/>
      <c r="I1078" s="151">
        <f t="shared" si="16"/>
        <v>0</v>
      </c>
      <c r="J1078" s="153"/>
    </row>
    <row r="1079" spans="1:10" x14ac:dyDescent="0.25">
      <c r="A1079" s="21"/>
      <c r="B1079" s="21"/>
      <c r="C1079" s="21"/>
      <c r="D1079" s="21"/>
      <c r="E1079" s="21"/>
      <c r="F1079" s="21"/>
      <c r="G1079" s="21"/>
      <c r="H1079" s="21"/>
      <c r="I1079" s="151">
        <f t="shared" si="16"/>
        <v>0</v>
      </c>
      <c r="J1079" s="153"/>
    </row>
    <row r="1080" spans="1:10" x14ac:dyDescent="0.25">
      <c r="A1080" s="21"/>
      <c r="B1080" s="21"/>
      <c r="C1080" s="21"/>
      <c r="D1080" s="21"/>
      <c r="E1080" s="21"/>
      <c r="F1080" s="21"/>
      <c r="G1080" s="21"/>
      <c r="H1080" s="21"/>
      <c r="I1080" s="151">
        <f t="shared" si="16"/>
        <v>0</v>
      </c>
      <c r="J1080" s="153"/>
    </row>
    <row r="1081" spans="1:10" x14ac:dyDescent="0.25">
      <c r="A1081" s="21"/>
      <c r="B1081" s="21"/>
      <c r="C1081" s="21"/>
      <c r="D1081" s="21"/>
      <c r="E1081" s="21"/>
      <c r="F1081" s="21"/>
      <c r="G1081" s="21"/>
      <c r="H1081" s="21"/>
      <c r="I1081" s="151">
        <f t="shared" si="16"/>
        <v>0</v>
      </c>
      <c r="J1081" s="153"/>
    </row>
    <row r="1082" spans="1:10" x14ac:dyDescent="0.25">
      <c r="A1082" s="21"/>
      <c r="B1082" s="21"/>
      <c r="C1082" s="21"/>
      <c r="D1082" s="21"/>
      <c r="E1082" s="21"/>
      <c r="F1082" s="21"/>
      <c r="G1082" s="21"/>
      <c r="H1082" s="21"/>
      <c r="I1082" s="151">
        <f t="shared" si="16"/>
        <v>0</v>
      </c>
      <c r="J1082" s="153"/>
    </row>
    <row r="1083" spans="1:10" x14ac:dyDescent="0.25">
      <c r="A1083" s="21"/>
      <c r="B1083" s="21"/>
      <c r="C1083" s="21"/>
      <c r="D1083" s="21"/>
      <c r="E1083" s="21"/>
      <c r="F1083" s="21"/>
      <c r="G1083" s="21"/>
      <c r="H1083" s="21"/>
      <c r="I1083" s="151">
        <f t="shared" si="16"/>
        <v>0</v>
      </c>
      <c r="J1083" s="153"/>
    </row>
    <row r="1084" spans="1:10" x14ac:dyDescent="0.25">
      <c r="A1084" s="21"/>
      <c r="B1084" s="21"/>
      <c r="C1084" s="21"/>
      <c r="D1084" s="21"/>
      <c r="E1084" s="21"/>
      <c r="F1084" s="21"/>
      <c r="G1084" s="21"/>
      <c r="H1084" s="21"/>
      <c r="I1084" s="151">
        <f t="shared" si="16"/>
        <v>0</v>
      </c>
      <c r="J1084" s="153"/>
    </row>
    <row r="1085" spans="1:10" x14ac:dyDescent="0.25">
      <c r="A1085" s="21"/>
      <c r="B1085" s="21"/>
      <c r="C1085" s="21"/>
      <c r="D1085" s="21"/>
      <c r="E1085" s="21"/>
      <c r="F1085" s="21"/>
      <c r="G1085" s="21"/>
      <c r="H1085" s="21"/>
      <c r="I1085" s="151">
        <f t="shared" si="16"/>
        <v>0</v>
      </c>
      <c r="J1085" s="153"/>
    </row>
    <row r="1086" spans="1:10" x14ac:dyDescent="0.25">
      <c r="A1086" s="21"/>
      <c r="B1086" s="21"/>
      <c r="C1086" s="21"/>
      <c r="D1086" s="21"/>
      <c r="E1086" s="21"/>
      <c r="F1086" s="21"/>
      <c r="G1086" s="21"/>
      <c r="H1086" s="21"/>
      <c r="I1086" s="151">
        <f t="shared" si="16"/>
        <v>0</v>
      </c>
      <c r="J1086" s="153"/>
    </row>
    <row r="1087" spans="1:10" x14ac:dyDescent="0.25">
      <c r="A1087" s="21"/>
      <c r="B1087" s="21"/>
      <c r="C1087" s="21"/>
      <c r="D1087" s="21"/>
      <c r="E1087" s="21"/>
      <c r="F1087" s="21"/>
      <c r="G1087" s="21"/>
      <c r="H1087" s="21"/>
      <c r="I1087" s="151">
        <f t="shared" si="16"/>
        <v>0</v>
      </c>
      <c r="J1087" s="153"/>
    </row>
    <row r="1088" spans="1:10" x14ac:dyDescent="0.25">
      <c r="A1088" s="21"/>
      <c r="B1088" s="21"/>
      <c r="C1088" s="21"/>
      <c r="D1088" s="21"/>
      <c r="E1088" s="21"/>
      <c r="F1088" s="21"/>
      <c r="G1088" s="21"/>
      <c r="H1088" s="21"/>
      <c r="I1088" s="151">
        <f t="shared" si="16"/>
        <v>0</v>
      </c>
      <c r="J1088" s="153"/>
    </row>
    <row r="1089" spans="1:10" x14ac:dyDescent="0.25">
      <c r="A1089" s="21"/>
      <c r="B1089" s="21"/>
      <c r="C1089" s="21"/>
      <c r="D1089" s="21"/>
      <c r="E1089" s="21"/>
      <c r="F1089" s="21"/>
      <c r="G1089" s="21"/>
      <c r="H1089" s="21"/>
      <c r="I1089" s="151">
        <f t="shared" si="16"/>
        <v>0</v>
      </c>
      <c r="J1089" s="153"/>
    </row>
    <row r="1090" spans="1:10" x14ac:dyDescent="0.25">
      <c r="A1090" s="21"/>
      <c r="B1090" s="21"/>
      <c r="C1090" s="21"/>
      <c r="D1090" s="21"/>
      <c r="E1090" s="21"/>
      <c r="F1090" s="21"/>
      <c r="G1090" s="21"/>
      <c r="H1090" s="21"/>
      <c r="I1090" s="151">
        <f t="shared" si="16"/>
        <v>0</v>
      </c>
      <c r="J1090" s="153"/>
    </row>
    <row r="1091" spans="1:10" x14ac:dyDescent="0.25">
      <c r="A1091" s="21"/>
      <c r="B1091" s="21"/>
      <c r="C1091" s="21"/>
      <c r="D1091" s="21"/>
      <c r="E1091" s="21"/>
      <c r="F1091" s="21"/>
      <c r="G1091" s="21"/>
      <c r="H1091" s="21"/>
      <c r="I1091" s="151">
        <f t="shared" ref="I1091:I1154" si="17">IF(J1091="",SUM(G1091:H1091),0)</f>
        <v>0</v>
      </c>
      <c r="J1091" s="153"/>
    </row>
    <row r="1092" spans="1:10" x14ac:dyDescent="0.25">
      <c r="A1092" s="21"/>
      <c r="B1092" s="21"/>
      <c r="C1092" s="21"/>
      <c r="D1092" s="21"/>
      <c r="E1092" s="21"/>
      <c r="F1092" s="21"/>
      <c r="G1092" s="21"/>
      <c r="H1092" s="21"/>
      <c r="I1092" s="151">
        <f t="shared" si="17"/>
        <v>0</v>
      </c>
      <c r="J1092" s="153"/>
    </row>
    <row r="1093" spans="1:10" x14ac:dyDescent="0.25">
      <c r="A1093" s="21"/>
      <c r="B1093" s="21"/>
      <c r="C1093" s="21"/>
      <c r="D1093" s="21"/>
      <c r="E1093" s="21"/>
      <c r="F1093" s="21"/>
      <c r="G1093" s="21"/>
      <c r="H1093" s="21"/>
      <c r="I1093" s="151">
        <f t="shared" si="17"/>
        <v>0</v>
      </c>
      <c r="J1093" s="153"/>
    </row>
    <row r="1094" spans="1:10" x14ac:dyDescent="0.25">
      <c r="A1094" s="21"/>
      <c r="B1094" s="21"/>
      <c r="C1094" s="21"/>
      <c r="D1094" s="21"/>
      <c r="E1094" s="21"/>
      <c r="F1094" s="21"/>
      <c r="G1094" s="21"/>
      <c r="H1094" s="21"/>
      <c r="I1094" s="151">
        <f t="shared" si="17"/>
        <v>0</v>
      </c>
      <c r="J1094" s="153"/>
    </row>
    <row r="1095" spans="1:10" x14ac:dyDescent="0.25">
      <c r="A1095" s="21"/>
      <c r="B1095" s="21"/>
      <c r="C1095" s="21"/>
      <c r="D1095" s="21"/>
      <c r="E1095" s="21"/>
      <c r="F1095" s="21"/>
      <c r="G1095" s="21"/>
      <c r="H1095" s="21"/>
      <c r="I1095" s="151">
        <f t="shared" si="17"/>
        <v>0</v>
      </c>
      <c r="J1095" s="153"/>
    </row>
    <row r="1096" spans="1:10" x14ac:dyDescent="0.25">
      <c r="A1096" s="21"/>
      <c r="B1096" s="21"/>
      <c r="C1096" s="21"/>
      <c r="D1096" s="21"/>
      <c r="E1096" s="21"/>
      <c r="F1096" s="21"/>
      <c r="G1096" s="21"/>
      <c r="H1096" s="21"/>
      <c r="I1096" s="151">
        <f t="shared" si="17"/>
        <v>0</v>
      </c>
      <c r="J1096" s="153"/>
    </row>
    <row r="1097" spans="1:10" x14ac:dyDescent="0.25">
      <c r="A1097" s="21"/>
      <c r="B1097" s="21"/>
      <c r="C1097" s="21"/>
      <c r="D1097" s="21"/>
      <c r="E1097" s="21"/>
      <c r="F1097" s="21"/>
      <c r="G1097" s="21"/>
      <c r="H1097" s="21"/>
      <c r="I1097" s="151">
        <f t="shared" si="17"/>
        <v>0</v>
      </c>
      <c r="J1097" s="153"/>
    </row>
    <row r="1098" spans="1:10" x14ac:dyDescent="0.25">
      <c r="A1098" s="21"/>
      <c r="B1098" s="21"/>
      <c r="C1098" s="21"/>
      <c r="D1098" s="21"/>
      <c r="E1098" s="21"/>
      <c r="F1098" s="21"/>
      <c r="G1098" s="21"/>
      <c r="H1098" s="21"/>
      <c r="I1098" s="151">
        <f t="shared" si="17"/>
        <v>0</v>
      </c>
      <c r="J1098" s="153"/>
    </row>
    <row r="1099" spans="1:10" x14ac:dyDescent="0.25">
      <c r="A1099" s="21"/>
      <c r="B1099" s="21"/>
      <c r="C1099" s="21"/>
      <c r="D1099" s="21"/>
      <c r="E1099" s="21"/>
      <c r="F1099" s="21"/>
      <c r="G1099" s="21"/>
      <c r="H1099" s="21"/>
      <c r="I1099" s="151">
        <f t="shared" si="17"/>
        <v>0</v>
      </c>
      <c r="J1099" s="153"/>
    </row>
    <row r="1100" spans="1:10" x14ac:dyDescent="0.25">
      <c r="A1100" s="21"/>
      <c r="B1100" s="21"/>
      <c r="C1100" s="21"/>
      <c r="D1100" s="21"/>
      <c r="E1100" s="21"/>
      <c r="F1100" s="21"/>
      <c r="G1100" s="21"/>
      <c r="H1100" s="21"/>
      <c r="I1100" s="151">
        <f t="shared" si="17"/>
        <v>0</v>
      </c>
      <c r="J1100" s="153"/>
    </row>
    <row r="1101" spans="1:10" x14ac:dyDescent="0.25">
      <c r="A1101" s="21"/>
      <c r="B1101" s="21"/>
      <c r="C1101" s="21"/>
      <c r="D1101" s="21"/>
      <c r="E1101" s="21"/>
      <c r="F1101" s="21"/>
      <c r="G1101" s="21"/>
      <c r="H1101" s="21"/>
      <c r="I1101" s="151">
        <f t="shared" si="17"/>
        <v>0</v>
      </c>
      <c r="J1101" s="153"/>
    </row>
    <row r="1102" spans="1:10" x14ac:dyDescent="0.25">
      <c r="A1102" s="21"/>
      <c r="B1102" s="21"/>
      <c r="C1102" s="21"/>
      <c r="D1102" s="21"/>
      <c r="E1102" s="21"/>
      <c r="F1102" s="21"/>
      <c r="G1102" s="21"/>
      <c r="H1102" s="21"/>
      <c r="I1102" s="151">
        <f t="shared" si="17"/>
        <v>0</v>
      </c>
      <c r="J1102" s="153"/>
    </row>
    <row r="1103" spans="1:10" x14ac:dyDescent="0.25">
      <c r="A1103" s="21"/>
      <c r="B1103" s="21"/>
      <c r="C1103" s="21"/>
      <c r="D1103" s="21"/>
      <c r="E1103" s="21"/>
      <c r="F1103" s="21"/>
      <c r="G1103" s="21"/>
      <c r="H1103" s="21"/>
      <c r="I1103" s="151">
        <f t="shared" si="17"/>
        <v>0</v>
      </c>
      <c r="J1103" s="153"/>
    </row>
    <row r="1104" spans="1:10" x14ac:dyDescent="0.25">
      <c r="A1104" s="21"/>
      <c r="B1104" s="21"/>
      <c r="C1104" s="21"/>
      <c r="D1104" s="21"/>
      <c r="E1104" s="21"/>
      <c r="F1104" s="21"/>
      <c r="G1104" s="21"/>
      <c r="H1104" s="21"/>
      <c r="I1104" s="151">
        <f t="shared" si="17"/>
        <v>0</v>
      </c>
      <c r="J1104" s="153"/>
    </row>
    <row r="1105" spans="1:10" x14ac:dyDescent="0.25">
      <c r="A1105" s="21"/>
      <c r="B1105" s="21"/>
      <c r="C1105" s="21"/>
      <c r="D1105" s="21"/>
      <c r="E1105" s="21"/>
      <c r="F1105" s="21"/>
      <c r="G1105" s="21"/>
      <c r="H1105" s="21"/>
      <c r="I1105" s="151">
        <f t="shared" si="17"/>
        <v>0</v>
      </c>
      <c r="J1105" s="153"/>
    </row>
    <row r="1106" spans="1:10" x14ac:dyDescent="0.25">
      <c r="A1106" s="21"/>
      <c r="B1106" s="21"/>
      <c r="C1106" s="21"/>
      <c r="D1106" s="21"/>
      <c r="E1106" s="21"/>
      <c r="F1106" s="21"/>
      <c r="G1106" s="21"/>
      <c r="H1106" s="21"/>
      <c r="I1106" s="151">
        <f t="shared" si="17"/>
        <v>0</v>
      </c>
      <c r="J1106" s="153"/>
    </row>
    <row r="1107" spans="1:10" x14ac:dyDescent="0.25">
      <c r="A1107" s="21"/>
      <c r="B1107" s="21"/>
      <c r="C1107" s="21"/>
      <c r="D1107" s="21"/>
      <c r="E1107" s="21"/>
      <c r="F1107" s="21"/>
      <c r="G1107" s="21"/>
      <c r="H1107" s="21"/>
      <c r="I1107" s="151">
        <f t="shared" si="17"/>
        <v>0</v>
      </c>
      <c r="J1107" s="153"/>
    </row>
    <row r="1108" spans="1:10" x14ac:dyDescent="0.25">
      <c r="A1108" s="21"/>
      <c r="B1108" s="21"/>
      <c r="C1108" s="21"/>
      <c r="D1108" s="21"/>
      <c r="E1108" s="21"/>
      <c r="F1108" s="21"/>
      <c r="G1108" s="21"/>
      <c r="H1108" s="21"/>
      <c r="I1108" s="151">
        <f t="shared" si="17"/>
        <v>0</v>
      </c>
      <c r="J1108" s="153"/>
    </row>
    <row r="1109" spans="1:10" x14ac:dyDescent="0.25">
      <c r="A1109" s="21"/>
      <c r="B1109" s="21"/>
      <c r="C1109" s="21"/>
      <c r="D1109" s="21"/>
      <c r="E1109" s="21"/>
      <c r="F1109" s="21"/>
      <c r="G1109" s="21"/>
      <c r="H1109" s="21"/>
      <c r="I1109" s="151">
        <f t="shared" si="17"/>
        <v>0</v>
      </c>
      <c r="J1109" s="153"/>
    </row>
    <row r="1110" spans="1:10" x14ac:dyDescent="0.25">
      <c r="A1110" s="21"/>
      <c r="B1110" s="21"/>
      <c r="C1110" s="21"/>
      <c r="D1110" s="21"/>
      <c r="E1110" s="21"/>
      <c r="F1110" s="21"/>
      <c r="G1110" s="21"/>
      <c r="H1110" s="21"/>
      <c r="I1110" s="151">
        <f t="shared" si="17"/>
        <v>0</v>
      </c>
      <c r="J1110" s="153"/>
    </row>
    <row r="1111" spans="1:10" x14ac:dyDescent="0.25">
      <c r="A1111" s="21"/>
      <c r="B1111" s="21"/>
      <c r="C1111" s="21"/>
      <c r="D1111" s="21"/>
      <c r="E1111" s="21"/>
      <c r="F1111" s="21"/>
      <c r="G1111" s="21"/>
      <c r="H1111" s="21"/>
      <c r="I1111" s="151">
        <f t="shared" si="17"/>
        <v>0</v>
      </c>
      <c r="J1111" s="153"/>
    </row>
    <row r="1112" spans="1:10" x14ac:dyDescent="0.25">
      <c r="A1112" s="21"/>
      <c r="B1112" s="21"/>
      <c r="C1112" s="21"/>
      <c r="D1112" s="21"/>
      <c r="E1112" s="21"/>
      <c r="F1112" s="21"/>
      <c r="G1112" s="21"/>
      <c r="H1112" s="21"/>
      <c r="I1112" s="151">
        <f t="shared" si="17"/>
        <v>0</v>
      </c>
      <c r="J1112" s="153"/>
    </row>
    <row r="1113" spans="1:10" x14ac:dyDescent="0.25">
      <c r="A1113" s="21"/>
      <c r="B1113" s="21"/>
      <c r="C1113" s="21"/>
      <c r="D1113" s="21"/>
      <c r="E1113" s="21"/>
      <c r="F1113" s="21"/>
      <c r="G1113" s="21"/>
      <c r="H1113" s="21"/>
      <c r="I1113" s="151">
        <f t="shared" si="17"/>
        <v>0</v>
      </c>
      <c r="J1113" s="153"/>
    </row>
    <row r="1114" spans="1:10" x14ac:dyDescent="0.25">
      <c r="A1114" s="21"/>
      <c r="B1114" s="21"/>
      <c r="C1114" s="21"/>
      <c r="D1114" s="21"/>
      <c r="E1114" s="21"/>
      <c r="F1114" s="21"/>
      <c r="G1114" s="21"/>
      <c r="H1114" s="21"/>
      <c r="I1114" s="151">
        <f t="shared" si="17"/>
        <v>0</v>
      </c>
      <c r="J1114" s="153"/>
    </row>
    <row r="1115" spans="1:10" x14ac:dyDescent="0.25">
      <c r="A1115" s="21"/>
      <c r="B1115" s="21"/>
      <c r="C1115" s="21"/>
      <c r="D1115" s="21"/>
      <c r="E1115" s="21"/>
      <c r="F1115" s="21"/>
      <c r="G1115" s="21"/>
      <c r="H1115" s="21"/>
      <c r="I1115" s="151">
        <f t="shared" si="17"/>
        <v>0</v>
      </c>
      <c r="J1115" s="153"/>
    </row>
    <row r="1116" spans="1:10" x14ac:dyDescent="0.25">
      <c r="A1116" s="21"/>
      <c r="B1116" s="21"/>
      <c r="C1116" s="21"/>
      <c r="D1116" s="21"/>
      <c r="E1116" s="21"/>
      <c r="F1116" s="21"/>
      <c r="G1116" s="21"/>
      <c r="H1116" s="21"/>
      <c r="I1116" s="151">
        <f t="shared" si="17"/>
        <v>0</v>
      </c>
      <c r="J1116" s="153"/>
    </row>
    <row r="1117" spans="1:10" x14ac:dyDescent="0.25">
      <c r="A1117" s="21"/>
      <c r="B1117" s="21"/>
      <c r="C1117" s="21"/>
      <c r="D1117" s="21"/>
      <c r="E1117" s="21"/>
      <c r="F1117" s="21"/>
      <c r="G1117" s="21"/>
      <c r="H1117" s="21"/>
      <c r="I1117" s="151">
        <f t="shared" si="17"/>
        <v>0</v>
      </c>
      <c r="J1117" s="153"/>
    </row>
    <row r="1118" spans="1:10" x14ac:dyDescent="0.25">
      <c r="A1118" s="21"/>
      <c r="B1118" s="21"/>
      <c r="C1118" s="21"/>
      <c r="D1118" s="21"/>
      <c r="E1118" s="21"/>
      <c r="F1118" s="21"/>
      <c r="G1118" s="21"/>
      <c r="H1118" s="21"/>
      <c r="I1118" s="151">
        <f t="shared" si="17"/>
        <v>0</v>
      </c>
      <c r="J1118" s="153"/>
    </row>
    <row r="1119" spans="1:10" x14ac:dyDescent="0.25">
      <c r="A1119" s="21"/>
      <c r="B1119" s="21"/>
      <c r="C1119" s="21"/>
      <c r="D1119" s="21"/>
      <c r="E1119" s="21"/>
      <c r="F1119" s="21"/>
      <c r="G1119" s="21"/>
      <c r="H1119" s="21"/>
      <c r="I1119" s="151">
        <f t="shared" si="17"/>
        <v>0</v>
      </c>
      <c r="J1119" s="153"/>
    </row>
    <row r="1120" spans="1:10" x14ac:dyDescent="0.25">
      <c r="A1120" s="21"/>
      <c r="B1120" s="21"/>
      <c r="C1120" s="21"/>
      <c r="D1120" s="21"/>
      <c r="E1120" s="21"/>
      <c r="F1120" s="21"/>
      <c r="G1120" s="21"/>
      <c r="H1120" s="21"/>
      <c r="I1120" s="151">
        <f t="shared" si="17"/>
        <v>0</v>
      </c>
      <c r="J1120" s="153"/>
    </row>
    <row r="1121" spans="1:10" x14ac:dyDescent="0.25">
      <c r="A1121" s="21"/>
      <c r="B1121" s="21"/>
      <c r="C1121" s="21"/>
      <c r="D1121" s="21"/>
      <c r="E1121" s="21"/>
      <c r="F1121" s="21"/>
      <c r="G1121" s="21"/>
      <c r="H1121" s="21"/>
      <c r="I1121" s="151">
        <f t="shared" si="17"/>
        <v>0</v>
      </c>
      <c r="J1121" s="153"/>
    </row>
    <row r="1122" spans="1:10" x14ac:dyDescent="0.25">
      <c r="A1122" s="21"/>
      <c r="B1122" s="21"/>
      <c r="C1122" s="21"/>
      <c r="D1122" s="21"/>
      <c r="E1122" s="21"/>
      <c r="F1122" s="21"/>
      <c r="G1122" s="21"/>
      <c r="H1122" s="21"/>
      <c r="I1122" s="151">
        <f t="shared" si="17"/>
        <v>0</v>
      </c>
      <c r="J1122" s="153"/>
    </row>
    <row r="1123" spans="1:10" x14ac:dyDescent="0.25">
      <c r="A1123" s="21"/>
      <c r="B1123" s="21"/>
      <c r="C1123" s="21"/>
      <c r="D1123" s="21"/>
      <c r="E1123" s="21"/>
      <c r="F1123" s="21"/>
      <c r="G1123" s="21"/>
      <c r="H1123" s="21"/>
      <c r="I1123" s="151">
        <f t="shared" si="17"/>
        <v>0</v>
      </c>
      <c r="J1123" s="153"/>
    </row>
    <row r="1124" spans="1:10" x14ac:dyDescent="0.25">
      <c r="A1124" s="21"/>
      <c r="B1124" s="21"/>
      <c r="C1124" s="21"/>
      <c r="D1124" s="21"/>
      <c r="E1124" s="21"/>
      <c r="F1124" s="21"/>
      <c r="G1124" s="21"/>
      <c r="H1124" s="21"/>
      <c r="I1124" s="151">
        <f t="shared" si="17"/>
        <v>0</v>
      </c>
      <c r="J1124" s="153"/>
    </row>
    <row r="1125" spans="1:10" x14ac:dyDescent="0.25">
      <c r="A1125" s="21"/>
      <c r="B1125" s="21"/>
      <c r="C1125" s="21"/>
      <c r="D1125" s="21"/>
      <c r="E1125" s="21"/>
      <c r="F1125" s="21"/>
      <c r="G1125" s="21"/>
      <c r="H1125" s="21"/>
      <c r="I1125" s="151">
        <f t="shared" si="17"/>
        <v>0</v>
      </c>
      <c r="J1125" s="153"/>
    </row>
    <row r="1126" spans="1:10" x14ac:dyDescent="0.25">
      <c r="A1126" s="21"/>
      <c r="B1126" s="21"/>
      <c r="C1126" s="21"/>
      <c r="D1126" s="21"/>
      <c r="E1126" s="21"/>
      <c r="F1126" s="21"/>
      <c r="G1126" s="21"/>
      <c r="H1126" s="21"/>
      <c r="I1126" s="151">
        <f t="shared" si="17"/>
        <v>0</v>
      </c>
      <c r="J1126" s="153"/>
    </row>
    <row r="1127" spans="1:10" x14ac:dyDescent="0.25">
      <c r="A1127" s="21"/>
      <c r="B1127" s="21"/>
      <c r="C1127" s="21"/>
      <c r="D1127" s="21"/>
      <c r="E1127" s="21"/>
      <c r="F1127" s="21"/>
      <c r="G1127" s="21"/>
      <c r="H1127" s="21"/>
      <c r="I1127" s="151">
        <f t="shared" si="17"/>
        <v>0</v>
      </c>
      <c r="J1127" s="153"/>
    </row>
    <row r="1128" spans="1:10" x14ac:dyDescent="0.25">
      <c r="A1128" s="21"/>
      <c r="B1128" s="21"/>
      <c r="C1128" s="21"/>
      <c r="D1128" s="21"/>
      <c r="E1128" s="21"/>
      <c r="F1128" s="21"/>
      <c r="G1128" s="21"/>
      <c r="H1128" s="21"/>
      <c r="I1128" s="151">
        <f t="shared" si="17"/>
        <v>0</v>
      </c>
      <c r="J1128" s="153"/>
    </row>
    <row r="1129" spans="1:10" x14ac:dyDescent="0.25">
      <c r="A1129" s="21"/>
      <c r="B1129" s="21"/>
      <c r="C1129" s="21"/>
      <c r="D1129" s="21"/>
      <c r="E1129" s="21"/>
      <c r="F1129" s="21"/>
      <c r="G1129" s="21"/>
      <c r="H1129" s="21"/>
      <c r="I1129" s="151">
        <f t="shared" si="17"/>
        <v>0</v>
      </c>
      <c r="J1129" s="153"/>
    </row>
    <row r="1130" spans="1:10" x14ac:dyDescent="0.25">
      <c r="A1130" s="21"/>
      <c r="B1130" s="21"/>
      <c r="C1130" s="21"/>
      <c r="D1130" s="21"/>
      <c r="E1130" s="21"/>
      <c r="F1130" s="21"/>
      <c r="G1130" s="21"/>
      <c r="H1130" s="21"/>
      <c r="I1130" s="151">
        <f t="shared" si="17"/>
        <v>0</v>
      </c>
      <c r="J1130" s="153"/>
    </row>
    <row r="1131" spans="1:10" x14ac:dyDescent="0.25">
      <c r="A1131" s="21"/>
      <c r="B1131" s="21"/>
      <c r="C1131" s="21"/>
      <c r="D1131" s="21"/>
      <c r="E1131" s="21"/>
      <c r="F1131" s="21"/>
      <c r="G1131" s="21"/>
      <c r="H1131" s="21"/>
      <c r="I1131" s="151">
        <f t="shared" si="17"/>
        <v>0</v>
      </c>
      <c r="J1131" s="153"/>
    </row>
    <row r="1132" spans="1:10" x14ac:dyDescent="0.25">
      <c r="A1132" s="21"/>
      <c r="B1132" s="21"/>
      <c r="C1132" s="21"/>
      <c r="D1132" s="21"/>
      <c r="E1132" s="21"/>
      <c r="F1132" s="21"/>
      <c r="G1132" s="21"/>
      <c r="H1132" s="21"/>
      <c r="I1132" s="151">
        <f t="shared" si="17"/>
        <v>0</v>
      </c>
      <c r="J1132" s="153"/>
    </row>
    <row r="1133" spans="1:10" x14ac:dyDescent="0.25">
      <c r="A1133" s="21"/>
      <c r="B1133" s="21"/>
      <c r="C1133" s="21"/>
      <c r="D1133" s="21"/>
      <c r="E1133" s="21"/>
      <c r="F1133" s="21"/>
      <c r="G1133" s="21"/>
      <c r="H1133" s="21"/>
      <c r="I1133" s="151">
        <f t="shared" si="17"/>
        <v>0</v>
      </c>
      <c r="J1133" s="153"/>
    </row>
    <row r="1134" spans="1:10" x14ac:dyDescent="0.25">
      <c r="A1134" s="21"/>
      <c r="B1134" s="21"/>
      <c r="C1134" s="21"/>
      <c r="D1134" s="21"/>
      <c r="E1134" s="21"/>
      <c r="F1134" s="21"/>
      <c r="G1134" s="21"/>
      <c r="H1134" s="21"/>
      <c r="I1134" s="151">
        <f t="shared" si="17"/>
        <v>0</v>
      </c>
      <c r="J1134" s="153"/>
    </row>
    <row r="1135" spans="1:10" x14ac:dyDescent="0.25">
      <c r="A1135" s="21"/>
      <c r="B1135" s="21"/>
      <c r="C1135" s="21"/>
      <c r="D1135" s="21"/>
      <c r="E1135" s="21"/>
      <c r="F1135" s="21"/>
      <c r="G1135" s="21"/>
      <c r="H1135" s="21"/>
      <c r="I1135" s="151">
        <f t="shared" si="17"/>
        <v>0</v>
      </c>
      <c r="J1135" s="153"/>
    </row>
    <row r="1136" spans="1:10" x14ac:dyDescent="0.25">
      <c r="A1136" s="21"/>
      <c r="B1136" s="21"/>
      <c r="C1136" s="21"/>
      <c r="D1136" s="21"/>
      <c r="E1136" s="21"/>
      <c r="F1136" s="21"/>
      <c r="G1136" s="21"/>
      <c r="H1136" s="21"/>
      <c r="I1136" s="151">
        <f t="shared" si="17"/>
        <v>0</v>
      </c>
      <c r="J1136" s="153"/>
    </row>
    <row r="1137" spans="1:10" x14ac:dyDescent="0.25">
      <c r="A1137" s="21"/>
      <c r="B1137" s="21"/>
      <c r="C1137" s="21"/>
      <c r="D1137" s="21"/>
      <c r="E1137" s="21"/>
      <c r="F1137" s="21"/>
      <c r="G1137" s="21"/>
      <c r="H1137" s="21"/>
      <c r="I1137" s="151">
        <f t="shared" si="17"/>
        <v>0</v>
      </c>
      <c r="J1137" s="153"/>
    </row>
    <row r="1138" spans="1:10" x14ac:dyDescent="0.25">
      <c r="A1138" s="21"/>
      <c r="B1138" s="21"/>
      <c r="C1138" s="21"/>
      <c r="D1138" s="21"/>
      <c r="E1138" s="21"/>
      <c r="F1138" s="21"/>
      <c r="G1138" s="21"/>
      <c r="H1138" s="21"/>
      <c r="I1138" s="151">
        <f t="shared" si="17"/>
        <v>0</v>
      </c>
      <c r="J1138" s="153"/>
    </row>
    <row r="1139" spans="1:10" x14ac:dyDescent="0.25">
      <c r="A1139" s="21"/>
      <c r="B1139" s="21"/>
      <c r="C1139" s="21"/>
      <c r="D1139" s="21"/>
      <c r="E1139" s="21"/>
      <c r="F1139" s="21"/>
      <c r="G1139" s="21"/>
      <c r="H1139" s="21"/>
      <c r="I1139" s="151">
        <f t="shared" si="17"/>
        <v>0</v>
      </c>
      <c r="J1139" s="153"/>
    </row>
    <row r="1140" spans="1:10" x14ac:dyDescent="0.25">
      <c r="A1140" s="21"/>
      <c r="B1140" s="21"/>
      <c r="C1140" s="21"/>
      <c r="D1140" s="21"/>
      <c r="E1140" s="21"/>
      <c r="F1140" s="21"/>
      <c r="G1140" s="21"/>
      <c r="H1140" s="21"/>
      <c r="I1140" s="151">
        <f t="shared" si="17"/>
        <v>0</v>
      </c>
      <c r="J1140" s="153"/>
    </row>
    <row r="1141" spans="1:10" x14ac:dyDescent="0.25">
      <c r="A1141" s="21"/>
      <c r="B1141" s="21"/>
      <c r="C1141" s="21"/>
      <c r="D1141" s="21"/>
      <c r="E1141" s="21"/>
      <c r="F1141" s="21"/>
      <c r="G1141" s="21"/>
      <c r="H1141" s="21"/>
      <c r="I1141" s="151">
        <f t="shared" si="17"/>
        <v>0</v>
      </c>
      <c r="J1141" s="153"/>
    </row>
    <row r="1142" spans="1:10" x14ac:dyDescent="0.25">
      <c r="A1142" s="21"/>
      <c r="B1142" s="21"/>
      <c r="C1142" s="21"/>
      <c r="D1142" s="21"/>
      <c r="E1142" s="21"/>
      <c r="F1142" s="21"/>
      <c r="G1142" s="21"/>
      <c r="H1142" s="21"/>
      <c r="I1142" s="151">
        <f t="shared" si="17"/>
        <v>0</v>
      </c>
      <c r="J1142" s="153"/>
    </row>
    <row r="1143" spans="1:10" x14ac:dyDescent="0.25">
      <c r="A1143" s="21"/>
      <c r="B1143" s="21"/>
      <c r="C1143" s="21"/>
      <c r="D1143" s="21"/>
      <c r="E1143" s="21"/>
      <c r="F1143" s="21"/>
      <c r="G1143" s="21"/>
      <c r="H1143" s="21"/>
      <c r="I1143" s="151">
        <f t="shared" si="17"/>
        <v>0</v>
      </c>
      <c r="J1143" s="153"/>
    </row>
    <row r="1144" spans="1:10" x14ac:dyDescent="0.25">
      <c r="A1144" s="21"/>
      <c r="B1144" s="21"/>
      <c r="C1144" s="21"/>
      <c r="D1144" s="21"/>
      <c r="E1144" s="21"/>
      <c r="F1144" s="21"/>
      <c r="G1144" s="21"/>
      <c r="H1144" s="21"/>
      <c r="I1144" s="151">
        <f t="shared" si="17"/>
        <v>0</v>
      </c>
      <c r="J1144" s="153"/>
    </row>
    <row r="1145" spans="1:10" x14ac:dyDescent="0.25">
      <c r="A1145" s="21"/>
      <c r="B1145" s="21"/>
      <c r="C1145" s="21"/>
      <c r="D1145" s="21"/>
      <c r="E1145" s="21"/>
      <c r="F1145" s="21"/>
      <c r="G1145" s="21"/>
      <c r="H1145" s="21"/>
      <c r="I1145" s="151">
        <f t="shared" si="17"/>
        <v>0</v>
      </c>
      <c r="J1145" s="153"/>
    </row>
    <row r="1146" spans="1:10" x14ac:dyDescent="0.25">
      <c r="A1146" s="21"/>
      <c r="B1146" s="21"/>
      <c r="C1146" s="21"/>
      <c r="D1146" s="21"/>
      <c r="E1146" s="21"/>
      <c r="F1146" s="21"/>
      <c r="G1146" s="21"/>
      <c r="H1146" s="21"/>
      <c r="I1146" s="151">
        <f t="shared" si="17"/>
        <v>0</v>
      </c>
      <c r="J1146" s="153"/>
    </row>
    <row r="1147" spans="1:10" x14ac:dyDescent="0.25">
      <c r="A1147" s="21"/>
      <c r="B1147" s="21"/>
      <c r="C1147" s="21"/>
      <c r="D1147" s="21"/>
      <c r="E1147" s="21"/>
      <c r="F1147" s="21"/>
      <c r="G1147" s="21"/>
      <c r="H1147" s="21"/>
      <c r="I1147" s="151">
        <f t="shared" si="17"/>
        <v>0</v>
      </c>
      <c r="J1147" s="153"/>
    </row>
    <row r="1148" spans="1:10" x14ac:dyDescent="0.25">
      <c r="A1148" s="21"/>
      <c r="B1148" s="21"/>
      <c r="C1148" s="21"/>
      <c r="D1148" s="21"/>
      <c r="E1148" s="21"/>
      <c r="F1148" s="21"/>
      <c r="G1148" s="21"/>
      <c r="H1148" s="21"/>
      <c r="I1148" s="151">
        <f t="shared" si="17"/>
        <v>0</v>
      </c>
      <c r="J1148" s="153"/>
    </row>
    <row r="1149" spans="1:10" x14ac:dyDescent="0.25">
      <c r="A1149" s="21"/>
      <c r="B1149" s="21"/>
      <c r="C1149" s="21"/>
      <c r="D1149" s="21"/>
      <c r="E1149" s="21"/>
      <c r="F1149" s="21"/>
      <c r="G1149" s="21"/>
      <c r="H1149" s="21"/>
      <c r="I1149" s="151">
        <f t="shared" si="17"/>
        <v>0</v>
      </c>
      <c r="J1149" s="153"/>
    </row>
    <row r="1150" spans="1:10" x14ac:dyDescent="0.25">
      <c r="A1150" s="21"/>
      <c r="B1150" s="21"/>
      <c r="C1150" s="21"/>
      <c r="D1150" s="21"/>
      <c r="E1150" s="21"/>
      <c r="F1150" s="21"/>
      <c r="G1150" s="21"/>
      <c r="H1150" s="21"/>
      <c r="I1150" s="151">
        <f t="shared" si="17"/>
        <v>0</v>
      </c>
      <c r="J1150" s="153"/>
    </row>
    <row r="1151" spans="1:10" x14ac:dyDescent="0.25">
      <c r="A1151" s="21"/>
      <c r="B1151" s="21"/>
      <c r="C1151" s="21"/>
      <c r="D1151" s="21"/>
      <c r="E1151" s="21"/>
      <c r="F1151" s="21"/>
      <c r="G1151" s="21"/>
      <c r="H1151" s="21"/>
      <c r="I1151" s="151">
        <f t="shared" si="17"/>
        <v>0</v>
      </c>
      <c r="J1151" s="153"/>
    </row>
    <row r="1152" spans="1:10" x14ac:dyDescent="0.25">
      <c r="A1152" s="21"/>
      <c r="B1152" s="21"/>
      <c r="C1152" s="21"/>
      <c r="D1152" s="21"/>
      <c r="E1152" s="21"/>
      <c r="F1152" s="21"/>
      <c r="G1152" s="21"/>
      <c r="H1152" s="21"/>
      <c r="I1152" s="151">
        <f t="shared" si="17"/>
        <v>0</v>
      </c>
      <c r="J1152" s="153"/>
    </row>
    <row r="1153" spans="1:10" x14ac:dyDescent="0.25">
      <c r="A1153" s="21"/>
      <c r="B1153" s="21"/>
      <c r="C1153" s="21"/>
      <c r="D1153" s="21"/>
      <c r="E1153" s="21"/>
      <c r="F1153" s="21"/>
      <c r="G1153" s="21"/>
      <c r="H1153" s="21"/>
      <c r="I1153" s="151">
        <f t="shared" si="17"/>
        <v>0</v>
      </c>
      <c r="J1153" s="153"/>
    </row>
    <row r="1154" spans="1:10" x14ac:dyDescent="0.25">
      <c r="A1154" s="21"/>
      <c r="B1154" s="21"/>
      <c r="C1154" s="21"/>
      <c r="D1154" s="21"/>
      <c r="E1154" s="21"/>
      <c r="F1154" s="21"/>
      <c r="G1154" s="21"/>
      <c r="H1154" s="21"/>
      <c r="I1154" s="151">
        <f t="shared" si="17"/>
        <v>0</v>
      </c>
      <c r="J1154" s="153"/>
    </row>
    <row r="1155" spans="1:10" x14ac:dyDescent="0.25">
      <c r="A1155" s="21"/>
      <c r="B1155" s="21"/>
      <c r="C1155" s="21"/>
      <c r="D1155" s="21"/>
      <c r="E1155" s="21"/>
      <c r="F1155" s="21"/>
      <c r="G1155" s="21"/>
      <c r="H1155" s="21"/>
      <c r="I1155" s="151">
        <f t="shared" ref="I1155:I1199" si="18">IF(J1155="",SUM(G1155:H1155),0)</f>
        <v>0</v>
      </c>
      <c r="J1155" s="153"/>
    </row>
    <row r="1156" spans="1:10" x14ac:dyDescent="0.25">
      <c r="A1156" s="21"/>
      <c r="B1156" s="21"/>
      <c r="C1156" s="21"/>
      <c r="D1156" s="21"/>
      <c r="E1156" s="21"/>
      <c r="F1156" s="21"/>
      <c r="G1156" s="21"/>
      <c r="H1156" s="21"/>
      <c r="I1156" s="151">
        <f t="shared" si="18"/>
        <v>0</v>
      </c>
      <c r="J1156" s="153"/>
    </row>
    <row r="1157" spans="1:10" x14ac:dyDescent="0.25">
      <c r="A1157" s="21"/>
      <c r="B1157" s="21"/>
      <c r="C1157" s="21"/>
      <c r="D1157" s="21"/>
      <c r="E1157" s="21"/>
      <c r="F1157" s="21"/>
      <c r="G1157" s="21"/>
      <c r="H1157" s="21"/>
      <c r="I1157" s="151">
        <f t="shared" si="18"/>
        <v>0</v>
      </c>
      <c r="J1157" s="153"/>
    </row>
    <row r="1158" spans="1:10" x14ac:dyDescent="0.25">
      <c r="A1158" s="21"/>
      <c r="B1158" s="21"/>
      <c r="C1158" s="21"/>
      <c r="D1158" s="21"/>
      <c r="E1158" s="21"/>
      <c r="F1158" s="21"/>
      <c r="G1158" s="21"/>
      <c r="H1158" s="21"/>
      <c r="I1158" s="151">
        <f t="shared" si="18"/>
        <v>0</v>
      </c>
      <c r="J1158" s="153"/>
    </row>
    <row r="1159" spans="1:10" x14ac:dyDescent="0.25">
      <c r="A1159" s="21"/>
      <c r="B1159" s="21"/>
      <c r="C1159" s="21"/>
      <c r="D1159" s="21"/>
      <c r="E1159" s="21"/>
      <c r="F1159" s="21"/>
      <c r="G1159" s="21"/>
      <c r="H1159" s="21"/>
      <c r="I1159" s="151">
        <f t="shared" si="18"/>
        <v>0</v>
      </c>
      <c r="J1159" s="153"/>
    </row>
    <row r="1160" spans="1:10" x14ac:dyDescent="0.25">
      <c r="A1160" s="21"/>
      <c r="B1160" s="21"/>
      <c r="C1160" s="21"/>
      <c r="D1160" s="21"/>
      <c r="E1160" s="21"/>
      <c r="F1160" s="21"/>
      <c r="G1160" s="21"/>
      <c r="H1160" s="21"/>
      <c r="I1160" s="151">
        <f t="shared" si="18"/>
        <v>0</v>
      </c>
      <c r="J1160" s="153"/>
    </row>
    <row r="1161" spans="1:10" x14ac:dyDescent="0.25">
      <c r="A1161" s="21"/>
      <c r="B1161" s="21"/>
      <c r="C1161" s="21"/>
      <c r="D1161" s="21"/>
      <c r="E1161" s="21"/>
      <c r="F1161" s="21"/>
      <c r="G1161" s="21"/>
      <c r="H1161" s="21"/>
      <c r="I1161" s="151">
        <f t="shared" si="18"/>
        <v>0</v>
      </c>
      <c r="J1161" s="153"/>
    </row>
    <row r="1162" spans="1:10" x14ac:dyDescent="0.25">
      <c r="A1162" s="21"/>
      <c r="B1162" s="21"/>
      <c r="C1162" s="21"/>
      <c r="D1162" s="21"/>
      <c r="E1162" s="21"/>
      <c r="F1162" s="21"/>
      <c r="G1162" s="21"/>
      <c r="H1162" s="21"/>
      <c r="I1162" s="151">
        <f t="shared" si="18"/>
        <v>0</v>
      </c>
      <c r="J1162" s="153"/>
    </row>
    <row r="1163" spans="1:10" x14ac:dyDescent="0.25">
      <c r="A1163" s="21"/>
      <c r="B1163" s="21"/>
      <c r="C1163" s="21"/>
      <c r="D1163" s="21"/>
      <c r="E1163" s="21"/>
      <c r="F1163" s="21"/>
      <c r="G1163" s="21"/>
      <c r="H1163" s="21"/>
      <c r="I1163" s="151">
        <f t="shared" si="18"/>
        <v>0</v>
      </c>
      <c r="J1163" s="153"/>
    </row>
    <row r="1164" spans="1:10" x14ac:dyDescent="0.25">
      <c r="A1164" s="21"/>
      <c r="B1164" s="21"/>
      <c r="C1164" s="21"/>
      <c r="D1164" s="21"/>
      <c r="E1164" s="21"/>
      <c r="F1164" s="21"/>
      <c r="G1164" s="21"/>
      <c r="H1164" s="21"/>
      <c r="I1164" s="151">
        <f t="shared" si="18"/>
        <v>0</v>
      </c>
      <c r="J1164" s="153"/>
    </row>
    <row r="1165" spans="1:10" x14ac:dyDescent="0.25">
      <c r="A1165" s="21"/>
      <c r="B1165" s="21"/>
      <c r="C1165" s="21"/>
      <c r="D1165" s="21"/>
      <c r="E1165" s="21"/>
      <c r="F1165" s="21"/>
      <c r="G1165" s="21"/>
      <c r="H1165" s="21"/>
      <c r="I1165" s="151">
        <f t="shared" si="18"/>
        <v>0</v>
      </c>
      <c r="J1165" s="153"/>
    </row>
    <row r="1166" spans="1:10" x14ac:dyDescent="0.25">
      <c r="A1166" s="21"/>
      <c r="B1166" s="21"/>
      <c r="C1166" s="21"/>
      <c r="D1166" s="21"/>
      <c r="E1166" s="21"/>
      <c r="F1166" s="21"/>
      <c r="G1166" s="21"/>
      <c r="H1166" s="21"/>
      <c r="I1166" s="151">
        <f t="shared" si="18"/>
        <v>0</v>
      </c>
      <c r="J1166" s="153"/>
    </row>
    <row r="1167" spans="1:10" x14ac:dyDescent="0.25">
      <c r="A1167" s="21"/>
      <c r="B1167" s="21"/>
      <c r="C1167" s="21"/>
      <c r="D1167" s="21"/>
      <c r="E1167" s="21"/>
      <c r="F1167" s="21"/>
      <c r="G1167" s="21"/>
      <c r="H1167" s="21"/>
      <c r="I1167" s="151">
        <f t="shared" si="18"/>
        <v>0</v>
      </c>
      <c r="J1167" s="153"/>
    </row>
    <row r="1168" spans="1:10" x14ac:dyDescent="0.25">
      <c r="A1168" s="21"/>
      <c r="B1168" s="21"/>
      <c r="C1168" s="21"/>
      <c r="D1168" s="21"/>
      <c r="E1168" s="21"/>
      <c r="F1168" s="21"/>
      <c r="G1168" s="21"/>
      <c r="H1168" s="21"/>
      <c r="I1168" s="151">
        <f t="shared" si="18"/>
        <v>0</v>
      </c>
      <c r="J1168" s="153"/>
    </row>
    <row r="1169" spans="1:10" x14ac:dyDescent="0.25">
      <c r="A1169" s="21"/>
      <c r="B1169" s="21"/>
      <c r="C1169" s="21"/>
      <c r="D1169" s="21"/>
      <c r="E1169" s="21"/>
      <c r="F1169" s="21"/>
      <c r="G1169" s="21"/>
      <c r="H1169" s="21"/>
      <c r="I1169" s="151">
        <f t="shared" si="18"/>
        <v>0</v>
      </c>
      <c r="J1169" s="153"/>
    </row>
    <row r="1170" spans="1:10" x14ac:dyDescent="0.25">
      <c r="A1170" s="21"/>
      <c r="B1170" s="21"/>
      <c r="C1170" s="21"/>
      <c r="D1170" s="21"/>
      <c r="E1170" s="21"/>
      <c r="F1170" s="21"/>
      <c r="G1170" s="21"/>
      <c r="H1170" s="21"/>
      <c r="I1170" s="151">
        <f t="shared" si="18"/>
        <v>0</v>
      </c>
      <c r="J1170" s="153"/>
    </row>
    <row r="1171" spans="1:10" x14ac:dyDescent="0.25">
      <c r="A1171" s="21"/>
      <c r="B1171" s="21"/>
      <c r="C1171" s="21"/>
      <c r="D1171" s="21"/>
      <c r="E1171" s="21"/>
      <c r="F1171" s="21"/>
      <c r="G1171" s="21"/>
      <c r="H1171" s="21"/>
      <c r="I1171" s="151">
        <f t="shared" si="18"/>
        <v>0</v>
      </c>
      <c r="J1171" s="153"/>
    </row>
    <row r="1172" spans="1:10" x14ac:dyDescent="0.25">
      <c r="A1172" s="21"/>
      <c r="B1172" s="21"/>
      <c r="C1172" s="21"/>
      <c r="D1172" s="21"/>
      <c r="E1172" s="21"/>
      <c r="F1172" s="21"/>
      <c r="G1172" s="21"/>
      <c r="H1172" s="21"/>
      <c r="I1172" s="151">
        <f t="shared" si="18"/>
        <v>0</v>
      </c>
      <c r="J1172" s="153"/>
    </row>
    <row r="1173" spans="1:10" x14ac:dyDescent="0.25">
      <c r="A1173" s="21"/>
      <c r="B1173" s="21"/>
      <c r="C1173" s="21"/>
      <c r="D1173" s="21"/>
      <c r="E1173" s="21"/>
      <c r="F1173" s="21"/>
      <c r="G1173" s="21"/>
      <c r="H1173" s="21"/>
      <c r="I1173" s="151">
        <f t="shared" si="18"/>
        <v>0</v>
      </c>
      <c r="J1173" s="153"/>
    </row>
    <row r="1174" spans="1:10" x14ac:dyDescent="0.25">
      <c r="A1174" s="21"/>
      <c r="B1174" s="21"/>
      <c r="C1174" s="21"/>
      <c r="D1174" s="21"/>
      <c r="E1174" s="21"/>
      <c r="F1174" s="21"/>
      <c r="G1174" s="21"/>
      <c r="H1174" s="21"/>
      <c r="I1174" s="151">
        <f t="shared" si="18"/>
        <v>0</v>
      </c>
      <c r="J1174" s="153"/>
    </row>
    <row r="1175" spans="1:10" x14ac:dyDescent="0.25">
      <c r="A1175" s="21"/>
      <c r="B1175" s="21"/>
      <c r="C1175" s="21"/>
      <c r="D1175" s="21"/>
      <c r="E1175" s="21"/>
      <c r="F1175" s="21"/>
      <c r="G1175" s="21"/>
      <c r="H1175" s="21"/>
      <c r="I1175" s="151">
        <f t="shared" si="18"/>
        <v>0</v>
      </c>
      <c r="J1175" s="153"/>
    </row>
    <row r="1176" spans="1:10" x14ac:dyDescent="0.25">
      <c r="A1176" s="21"/>
      <c r="B1176" s="21"/>
      <c r="C1176" s="21"/>
      <c r="D1176" s="21"/>
      <c r="E1176" s="21"/>
      <c r="F1176" s="21"/>
      <c r="G1176" s="21"/>
      <c r="H1176" s="21"/>
      <c r="I1176" s="151">
        <f t="shared" si="18"/>
        <v>0</v>
      </c>
      <c r="J1176" s="153"/>
    </row>
    <row r="1177" spans="1:10" x14ac:dyDescent="0.25">
      <c r="A1177" s="21"/>
      <c r="B1177" s="21"/>
      <c r="C1177" s="21"/>
      <c r="D1177" s="21"/>
      <c r="E1177" s="21"/>
      <c r="F1177" s="21"/>
      <c r="G1177" s="21"/>
      <c r="H1177" s="21"/>
      <c r="I1177" s="151">
        <f t="shared" si="18"/>
        <v>0</v>
      </c>
      <c r="J1177" s="153"/>
    </row>
    <row r="1178" spans="1:10" x14ac:dyDescent="0.25">
      <c r="A1178" s="21"/>
      <c r="B1178" s="21"/>
      <c r="C1178" s="21"/>
      <c r="D1178" s="21"/>
      <c r="E1178" s="21"/>
      <c r="F1178" s="21"/>
      <c r="G1178" s="21"/>
      <c r="H1178" s="21"/>
      <c r="I1178" s="151">
        <f t="shared" si="18"/>
        <v>0</v>
      </c>
      <c r="J1178" s="153"/>
    </row>
    <row r="1179" spans="1:10" x14ac:dyDescent="0.25">
      <c r="A1179" s="21"/>
      <c r="B1179" s="21"/>
      <c r="C1179" s="21"/>
      <c r="D1179" s="21"/>
      <c r="E1179" s="21"/>
      <c r="F1179" s="21"/>
      <c r="G1179" s="21"/>
      <c r="H1179" s="21"/>
      <c r="I1179" s="151">
        <f t="shared" si="18"/>
        <v>0</v>
      </c>
      <c r="J1179" s="153"/>
    </row>
    <row r="1180" spans="1:10" x14ac:dyDescent="0.25">
      <c r="A1180" s="21"/>
      <c r="B1180" s="21"/>
      <c r="C1180" s="21"/>
      <c r="D1180" s="21"/>
      <c r="E1180" s="21"/>
      <c r="F1180" s="21"/>
      <c r="G1180" s="21"/>
      <c r="H1180" s="21"/>
      <c r="I1180" s="151">
        <f t="shared" si="18"/>
        <v>0</v>
      </c>
      <c r="J1180" s="153"/>
    </row>
    <row r="1181" spans="1:10" x14ac:dyDescent="0.25">
      <c r="A1181" s="21"/>
      <c r="B1181" s="21"/>
      <c r="C1181" s="21"/>
      <c r="D1181" s="21"/>
      <c r="E1181" s="21"/>
      <c r="F1181" s="21"/>
      <c r="G1181" s="21"/>
      <c r="H1181" s="21"/>
      <c r="I1181" s="151">
        <f t="shared" si="18"/>
        <v>0</v>
      </c>
      <c r="J1181" s="153"/>
    </row>
    <row r="1182" spans="1:10" x14ac:dyDescent="0.25">
      <c r="A1182" s="21"/>
      <c r="B1182" s="21"/>
      <c r="C1182" s="21"/>
      <c r="D1182" s="21"/>
      <c r="E1182" s="21"/>
      <c r="F1182" s="21"/>
      <c r="G1182" s="21"/>
      <c r="H1182" s="21"/>
      <c r="I1182" s="151">
        <f t="shared" si="18"/>
        <v>0</v>
      </c>
      <c r="J1182" s="153"/>
    </row>
    <row r="1183" spans="1:10" x14ac:dyDescent="0.25">
      <c r="A1183" s="21"/>
      <c r="B1183" s="21"/>
      <c r="C1183" s="21"/>
      <c r="D1183" s="21"/>
      <c r="E1183" s="21"/>
      <c r="F1183" s="21"/>
      <c r="G1183" s="21"/>
      <c r="H1183" s="21"/>
      <c r="I1183" s="151">
        <f t="shared" si="18"/>
        <v>0</v>
      </c>
      <c r="J1183" s="153"/>
    </row>
    <row r="1184" spans="1:10" x14ac:dyDescent="0.25">
      <c r="A1184" s="21"/>
      <c r="B1184" s="21"/>
      <c r="C1184" s="21"/>
      <c r="D1184" s="21"/>
      <c r="E1184" s="21"/>
      <c r="F1184" s="21"/>
      <c r="G1184" s="21"/>
      <c r="H1184" s="21"/>
      <c r="I1184" s="151">
        <f t="shared" si="18"/>
        <v>0</v>
      </c>
      <c r="J1184" s="153"/>
    </row>
    <row r="1185" spans="1:10" x14ac:dyDescent="0.25">
      <c r="A1185" s="21"/>
      <c r="B1185" s="21"/>
      <c r="C1185" s="21"/>
      <c r="D1185" s="21"/>
      <c r="E1185" s="21"/>
      <c r="F1185" s="21"/>
      <c r="G1185" s="21"/>
      <c r="H1185" s="21"/>
      <c r="I1185" s="151">
        <f t="shared" si="18"/>
        <v>0</v>
      </c>
      <c r="J1185" s="153"/>
    </row>
    <row r="1186" spans="1:10" x14ac:dyDescent="0.25">
      <c r="A1186" s="21"/>
      <c r="B1186" s="21"/>
      <c r="C1186" s="21"/>
      <c r="D1186" s="21"/>
      <c r="E1186" s="21"/>
      <c r="F1186" s="21"/>
      <c r="G1186" s="21"/>
      <c r="H1186" s="21"/>
      <c r="I1186" s="151">
        <f t="shared" si="18"/>
        <v>0</v>
      </c>
      <c r="J1186" s="153"/>
    </row>
    <row r="1187" spans="1:10" x14ac:dyDescent="0.25">
      <c r="A1187" s="21"/>
      <c r="B1187" s="21"/>
      <c r="C1187" s="21"/>
      <c r="D1187" s="21"/>
      <c r="E1187" s="21"/>
      <c r="F1187" s="21"/>
      <c r="G1187" s="21"/>
      <c r="H1187" s="21"/>
      <c r="I1187" s="151">
        <f t="shared" si="18"/>
        <v>0</v>
      </c>
      <c r="J1187" s="153"/>
    </row>
    <row r="1188" spans="1:10" x14ac:dyDescent="0.25">
      <c r="A1188" s="21"/>
      <c r="B1188" s="21"/>
      <c r="C1188" s="21"/>
      <c r="D1188" s="21"/>
      <c r="E1188" s="21"/>
      <c r="F1188" s="21"/>
      <c r="G1188" s="21"/>
      <c r="H1188" s="21"/>
      <c r="I1188" s="151">
        <f t="shared" si="18"/>
        <v>0</v>
      </c>
      <c r="J1188" s="153"/>
    </row>
    <row r="1189" spans="1:10" x14ac:dyDescent="0.25">
      <c r="A1189" s="21"/>
      <c r="B1189" s="21"/>
      <c r="C1189" s="21"/>
      <c r="D1189" s="21"/>
      <c r="E1189" s="21"/>
      <c r="F1189" s="21"/>
      <c r="G1189" s="21"/>
      <c r="H1189" s="21"/>
      <c r="I1189" s="151">
        <f t="shared" si="18"/>
        <v>0</v>
      </c>
      <c r="J1189" s="153"/>
    </row>
    <row r="1190" spans="1:10" x14ac:dyDescent="0.25">
      <c r="A1190" s="21"/>
      <c r="B1190" s="21"/>
      <c r="C1190" s="21"/>
      <c r="D1190" s="21"/>
      <c r="E1190" s="21"/>
      <c r="F1190" s="21"/>
      <c r="G1190" s="21"/>
      <c r="H1190" s="21"/>
      <c r="I1190" s="151">
        <f t="shared" si="18"/>
        <v>0</v>
      </c>
      <c r="J1190" s="153"/>
    </row>
    <row r="1191" spans="1:10" x14ac:dyDescent="0.25">
      <c r="A1191" s="21"/>
      <c r="B1191" s="21"/>
      <c r="C1191" s="21"/>
      <c r="D1191" s="21"/>
      <c r="E1191" s="21"/>
      <c r="F1191" s="21"/>
      <c r="G1191" s="21"/>
      <c r="H1191" s="21"/>
      <c r="I1191" s="151">
        <f t="shared" si="18"/>
        <v>0</v>
      </c>
      <c r="J1191" s="153"/>
    </row>
    <row r="1192" spans="1:10" x14ac:dyDescent="0.25">
      <c r="A1192" s="21"/>
      <c r="B1192" s="21"/>
      <c r="C1192" s="21"/>
      <c r="D1192" s="21"/>
      <c r="E1192" s="21"/>
      <c r="F1192" s="21"/>
      <c r="G1192" s="21"/>
      <c r="H1192" s="21"/>
      <c r="I1192" s="151">
        <f t="shared" si="18"/>
        <v>0</v>
      </c>
      <c r="J1192" s="153"/>
    </row>
    <row r="1193" spans="1:10" x14ac:dyDescent="0.25">
      <c r="A1193" s="21"/>
      <c r="B1193" s="21"/>
      <c r="C1193" s="21"/>
      <c r="D1193" s="21"/>
      <c r="E1193" s="21"/>
      <c r="F1193" s="21"/>
      <c r="G1193" s="21"/>
      <c r="H1193" s="21"/>
      <c r="I1193" s="151">
        <f t="shared" si="18"/>
        <v>0</v>
      </c>
      <c r="J1193" s="153"/>
    </row>
    <row r="1194" spans="1:10" x14ac:dyDescent="0.25">
      <c r="A1194" s="21"/>
      <c r="B1194" s="21"/>
      <c r="C1194" s="21"/>
      <c r="D1194" s="21"/>
      <c r="E1194" s="21"/>
      <c r="F1194" s="21"/>
      <c r="G1194" s="21"/>
      <c r="H1194" s="21"/>
      <c r="I1194" s="151">
        <f t="shared" si="18"/>
        <v>0</v>
      </c>
      <c r="J1194" s="153"/>
    </row>
    <row r="1195" spans="1:10" x14ac:dyDescent="0.25">
      <c r="A1195" s="21"/>
      <c r="B1195" s="21"/>
      <c r="C1195" s="21"/>
      <c r="D1195" s="21"/>
      <c r="E1195" s="21"/>
      <c r="F1195" s="21"/>
      <c r="G1195" s="21"/>
      <c r="H1195" s="21"/>
      <c r="I1195" s="151">
        <f t="shared" si="18"/>
        <v>0</v>
      </c>
      <c r="J1195" s="153"/>
    </row>
    <row r="1196" spans="1:10" x14ac:dyDescent="0.25">
      <c r="A1196" s="21"/>
      <c r="B1196" s="21"/>
      <c r="C1196" s="21"/>
      <c r="D1196" s="21"/>
      <c r="E1196" s="21"/>
      <c r="F1196" s="21"/>
      <c r="G1196" s="21"/>
      <c r="H1196" s="21"/>
      <c r="I1196" s="151">
        <f t="shared" si="18"/>
        <v>0</v>
      </c>
      <c r="J1196" s="153"/>
    </row>
    <row r="1197" spans="1:10" x14ac:dyDescent="0.25">
      <c r="A1197" s="21"/>
      <c r="B1197" s="21"/>
      <c r="C1197" s="21"/>
      <c r="D1197" s="21"/>
      <c r="E1197" s="21"/>
      <c r="F1197" s="21"/>
      <c r="G1197" s="21"/>
      <c r="H1197" s="21"/>
      <c r="I1197" s="151">
        <f t="shared" si="18"/>
        <v>0</v>
      </c>
      <c r="J1197" s="153"/>
    </row>
    <row r="1198" spans="1:10" x14ac:dyDescent="0.25">
      <c r="A1198" s="21"/>
      <c r="B1198" s="21"/>
      <c r="C1198" s="21"/>
      <c r="D1198" s="21"/>
      <c r="E1198" s="21"/>
      <c r="F1198" s="21"/>
      <c r="G1198" s="21"/>
      <c r="H1198" s="21"/>
      <c r="I1198" s="151">
        <f t="shared" si="18"/>
        <v>0</v>
      </c>
      <c r="J1198" s="153"/>
    </row>
    <row r="1199" spans="1:10" ht="15.75" thickBot="1" x14ac:dyDescent="0.3">
      <c r="A1199" s="21"/>
      <c r="B1199" s="21"/>
      <c r="C1199" s="21"/>
      <c r="D1199" s="21"/>
      <c r="E1199" s="21"/>
      <c r="F1199" s="21"/>
      <c r="G1199" s="21"/>
      <c r="H1199" s="21"/>
      <c r="I1199" s="151">
        <f t="shared" si="18"/>
        <v>0</v>
      </c>
      <c r="J1199" s="154"/>
    </row>
  </sheetData>
  <sheetProtection algorithmName="SHA-512" hashValue="8sPCHlYyrG2GhBanylXOk/mUiNa9+k0AQoYtjceJKYrAy8o4i5cRbI73JiyYFTyJw1vog1RQLx1TmHT7JLK68g==" saltValue="hJ22iap2TnOtNiHX+1+dug==" spinCount="100000" sheet="1" objects="1" scenarios="1" formatCells="0" autoFilter="0"/>
  <autoFilter ref="A1:H1199" xr:uid="{C47C4030-6718-4BB9-A2DC-896B33646E18}"/>
  <pageMargins left="0.70866141732283472" right="0.70866141732283472" top="0.74803149606299213" bottom="0.74803149606299213" header="0.31496062992125984" footer="0.31496062992125984"/>
  <pageSetup paperSize="8" scale="4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5435B-0AB6-42F5-86C9-022213F36473}">
  <sheetPr codeName="Лист8"/>
  <dimension ref="A1:H7"/>
  <sheetViews>
    <sheetView showGridLines="0" zoomScaleNormal="100" workbookViewId="0">
      <selection activeCell="H3" sqref="H3"/>
    </sheetView>
  </sheetViews>
  <sheetFormatPr defaultRowHeight="15" x14ac:dyDescent="0.25"/>
  <cols>
    <col min="1" max="1" width="10.85546875" style="130" bestFit="1" customWidth="1"/>
    <col min="2" max="2" width="17.28515625" style="130" bestFit="1" customWidth="1"/>
    <col min="3" max="3" width="10.85546875" style="130" bestFit="1" customWidth="1"/>
    <col min="4" max="4" width="21" style="130" bestFit="1" customWidth="1"/>
    <col min="5" max="5" width="17" style="130" bestFit="1" customWidth="1"/>
    <col min="6" max="6" width="13.85546875" style="130" bestFit="1" customWidth="1"/>
    <col min="7" max="7" width="32.5703125" style="130" bestFit="1" customWidth="1"/>
    <col min="8" max="8" width="20.42578125" style="130" customWidth="1"/>
    <col min="9" max="9" width="10.85546875" style="130" bestFit="1" customWidth="1"/>
    <col min="10" max="10" width="17.28515625" style="130" bestFit="1" customWidth="1"/>
    <col min="11" max="11" width="13.85546875" style="130" bestFit="1" customWidth="1"/>
    <col min="12" max="13" width="11.140625" style="130" bestFit="1" customWidth="1"/>
    <col min="14" max="14" width="11.5703125" style="130" bestFit="1" customWidth="1"/>
    <col min="15" max="15" width="17.28515625" style="130" bestFit="1" customWidth="1"/>
    <col min="16" max="16" width="13.85546875" style="130" bestFit="1" customWidth="1"/>
    <col min="17" max="17" width="11.140625" style="130" bestFit="1" customWidth="1"/>
    <col min="18" max="16384" width="9.140625" style="130"/>
  </cols>
  <sheetData>
    <row r="1" spans="1:8" x14ac:dyDescent="0.25">
      <c r="A1" s="130" t="s">
        <v>0</v>
      </c>
      <c r="B1" s="130" t="s">
        <v>11</v>
      </c>
      <c r="C1" s="130" t="s">
        <v>95</v>
      </c>
      <c r="D1" t="s">
        <v>1174</v>
      </c>
      <c r="E1" s="130" t="s">
        <v>587</v>
      </c>
      <c r="F1" s="130" t="s">
        <v>588</v>
      </c>
      <c r="G1" s="130" t="s">
        <v>586</v>
      </c>
      <c r="H1" s="130" t="s">
        <v>589</v>
      </c>
    </row>
    <row r="2" spans="1:8" x14ac:dyDescent="0.25">
      <c r="A2" s="130" t="s">
        <v>4</v>
      </c>
      <c r="B2" s="130" t="s">
        <v>574</v>
      </c>
      <c r="C2" s="130" t="s">
        <v>507</v>
      </c>
      <c r="D2" t="s">
        <v>1175</v>
      </c>
      <c r="E2" s="130" t="s">
        <v>1119</v>
      </c>
      <c r="F2" s="130">
        <v>43</v>
      </c>
      <c r="G2" s="130">
        <v>40</v>
      </c>
      <c r="H2" s="130">
        <v>1720</v>
      </c>
    </row>
    <row r="3" spans="1:8" x14ac:dyDescent="0.25">
      <c r="A3" s="130" t="s">
        <v>4</v>
      </c>
      <c r="B3" s="130" t="s">
        <v>574</v>
      </c>
      <c r="C3" s="130" t="s">
        <v>1007</v>
      </c>
      <c r="D3" t="s">
        <v>1176</v>
      </c>
      <c r="E3" s="130" t="s">
        <v>1119</v>
      </c>
      <c r="F3" s="130">
        <v>10</v>
      </c>
      <c r="G3" s="130">
        <v>40</v>
      </c>
      <c r="H3" s="130">
        <v>400</v>
      </c>
    </row>
    <row r="4" spans="1:8" x14ac:dyDescent="0.25">
      <c r="A4" s="130" t="s">
        <v>4</v>
      </c>
      <c r="B4" s="130" t="s">
        <v>574</v>
      </c>
      <c r="C4" s="130" t="s">
        <v>1019</v>
      </c>
      <c r="D4" t="s">
        <v>1177</v>
      </c>
      <c r="E4" s="130" t="s">
        <v>1119</v>
      </c>
      <c r="F4" s="130">
        <v>6</v>
      </c>
      <c r="G4" s="130">
        <v>20</v>
      </c>
      <c r="H4" s="130">
        <v>120</v>
      </c>
    </row>
    <row r="5" spans="1:8" x14ac:dyDescent="0.25">
      <c r="A5" s="130" t="s">
        <v>4</v>
      </c>
      <c r="B5" s="130" t="s">
        <v>579</v>
      </c>
      <c r="C5" s="130" t="s">
        <v>507</v>
      </c>
      <c r="D5" t="s">
        <v>1175</v>
      </c>
      <c r="E5" s="130" t="s">
        <v>1119</v>
      </c>
      <c r="F5" s="130">
        <v>13</v>
      </c>
      <c r="G5" s="130">
        <v>40</v>
      </c>
      <c r="H5" s="130">
        <v>520</v>
      </c>
    </row>
    <row r="6" spans="1:8" x14ac:dyDescent="0.25">
      <c r="A6" s="130" t="s">
        <v>4</v>
      </c>
      <c r="B6" s="130" t="s">
        <v>579</v>
      </c>
      <c r="C6" s="130" t="s">
        <v>1105</v>
      </c>
      <c r="D6" t="s">
        <v>1178</v>
      </c>
      <c r="E6" s="130" t="s">
        <v>1119</v>
      </c>
      <c r="F6" s="130">
        <v>6</v>
      </c>
      <c r="G6" s="130">
        <v>20</v>
      </c>
      <c r="H6" s="130">
        <v>120</v>
      </c>
    </row>
    <row r="7" spans="1:8" x14ac:dyDescent="0.25">
      <c r="A7" s="130" t="s">
        <v>4</v>
      </c>
      <c r="B7" s="130" t="s">
        <v>579</v>
      </c>
      <c r="C7" s="130" t="s">
        <v>554</v>
      </c>
      <c r="D7" t="s">
        <v>1176</v>
      </c>
      <c r="E7" s="130" t="s">
        <v>1119</v>
      </c>
      <c r="F7" s="130">
        <v>40</v>
      </c>
      <c r="G7" s="130">
        <v>40</v>
      </c>
      <c r="H7" s="130">
        <v>1600</v>
      </c>
    </row>
  </sheetData>
  <sheetProtection selectLockedCells="1"/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D3"/>
  <sheetViews>
    <sheetView showGridLines="0" zoomScaleNormal="100" workbookViewId="0">
      <selection sqref="A1:XFD1048576"/>
    </sheetView>
  </sheetViews>
  <sheetFormatPr defaultColWidth="67.7109375" defaultRowHeight="15" x14ac:dyDescent="0.25"/>
  <cols>
    <col min="1" max="1" width="10.85546875" style="121" bestFit="1" customWidth="1"/>
    <col min="2" max="2" width="17.28515625" style="121" bestFit="1" customWidth="1"/>
    <col min="3" max="3" width="22.7109375" style="121" bestFit="1" customWidth="1"/>
    <col min="4" max="4" width="14" style="131" bestFit="1" customWidth="1"/>
    <col min="5" max="16384" width="67.7109375" style="121"/>
  </cols>
  <sheetData>
    <row r="1" spans="1:4" x14ac:dyDescent="0.25">
      <c r="A1" s="121" t="s">
        <v>0</v>
      </c>
      <c r="B1" s="121" t="s">
        <v>11</v>
      </c>
      <c r="C1" s="121" t="s">
        <v>12</v>
      </c>
      <c r="D1" s="131" t="s">
        <v>3</v>
      </c>
    </row>
    <row r="2" spans="1:4" x14ac:dyDescent="0.25">
      <c r="A2" s="121" t="s">
        <v>4</v>
      </c>
      <c r="B2" s="121" t="s">
        <v>574</v>
      </c>
      <c r="C2" s="121" t="s">
        <v>608</v>
      </c>
      <c r="D2" s="131">
        <v>13535065.709999993</v>
      </c>
    </row>
    <row r="3" spans="1:4" x14ac:dyDescent="0.25">
      <c r="A3" s="121" t="s">
        <v>4</v>
      </c>
      <c r="B3" s="121" t="s">
        <v>579</v>
      </c>
      <c r="C3" s="121" t="s">
        <v>608</v>
      </c>
      <c r="D3" s="131">
        <v>7808199.1999999946</v>
      </c>
    </row>
  </sheetData>
  <sheetProtection selectLockedCell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D4AA6-2C1F-46BF-9F78-0CBED9193ECB}">
  <sheetPr codeName="Лист4"/>
  <dimension ref="A1:D3"/>
  <sheetViews>
    <sheetView showGridLines="0" zoomScaleNormal="100" workbookViewId="0">
      <selection sqref="A1:XFD1048576"/>
    </sheetView>
  </sheetViews>
  <sheetFormatPr defaultColWidth="9.7109375" defaultRowHeight="15" x14ac:dyDescent="0.25"/>
  <cols>
    <col min="1" max="1" width="10.85546875" style="121" bestFit="1" customWidth="1"/>
    <col min="2" max="2" width="24.7109375" style="121" bestFit="1" customWidth="1"/>
    <col min="3" max="3" width="30.140625" style="121" bestFit="1" customWidth="1"/>
    <col min="4" max="4" width="29.28515625" style="121" bestFit="1" customWidth="1"/>
    <col min="5" max="6" width="14.140625" style="121" customWidth="1"/>
    <col min="7" max="16384" width="9.7109375" style="121"/>
  </cols>
  <sheetData>
    <row r="1" spans="1:4" x14ac:dyDescent="0.25">
      <c r="A1" s="121" t="s">
        <v>0</v>
      </c>
      <c r="B1" s="121" t="s">
        <v>1</v>
      </c>
      <c r="C1" s="121" t="s">
        <v>2</v>
      </c>
      <c r="D1" s="121" t="s">
        <v>10</v>
      </c>
    </row>
    <row r="2" spans="1:4" x14ac:dyDescent="0.25">
      <c r="A2" s="121" t="s">
        <v>4</v>
      </c>
      <c r="B2" s="121" t="s">
        <v>574</v>
      </c>
      <c r="C2" s="121" t="s">
        <v>608</v>
      </c>
      <c r="D2" s="131">
        <v>14651871.039999999</v>
      </c>
    </row>
    <row r="3" spans="1:4" x14ac:dyDescent="0.25">
      <c r="A3" s="121" t="s">
        <v>4</v>
      </c>
      <c r="B3" s="121" t="s">
        <v>579</v>
      </c>
      <c r="C3" s="121" t="s">
        <v>608</v>
      </c>
      <c r="D3" s="131">
        <v>8629280.3399999999</v>
      </c>
    </row>
  </sheetData>
  <sheetProtection selectLockedCell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FB96F-61C6-44E0-9672-DC006D09AC8A}">
  <sheetPr codeName="Лист7"/>
  <dimension ref="A1:E25"/>
  <sheetViews>
    <sheetView showGridLines="0" zoomScaleNormal="100" workbookViewId="0">
      <selection sqref="A1:XFD1048576"/>
    </sheetView>
  </sheetViews>
  <sheetFormatPr defaultRowHeight="15" x14ac:dyDescent="0.25"/>
  <cols>
    <col min="1" max="1" width="10.85546875" style="121" bestFit="1" customWidth="1"/>
    <col min="2" max="2" width="17.28515625" style="121" bestFit="1" customWidth="1"/>
    <col min="3" max="3" width="22.7109375" style="121" bestFit="1" customWidth="1"/>
    <col min="4" max="4" width="14" style="121" bestFit="1" customWidth="1"/>
    <col min="5" max="5" width="14" style="131" bestFit="1" customWidth="1"/>
    <col min="6" max="6" width="23.42578125" style="121" bestFit="1" customWidth="1"/>
    <col min="7" max="7" width="17.28515625" style="121" customWidth="1"/>
    <col min="8" max="16384" width="9.140625" style="121"/>
  </cols>
  <sheetData>
    <row r="1" spans="1:5" x14ac:dyDescent="0.25">
      <c r="A1" s="121" t="s">
        <v>0</v>
      </c>
      <c r="B1" s="121" t="s">
        <v>11</v>
      </c>
      <c r="C1" s="121" t="s">
        <v>12</v>
      </c>
      <c r="D1" s="131" t="s">
        <v>3</v>
      </c>
      <c r="E1" s="144" t="s">
        <v>231</v>
      </c>
    </row>
    <row r="2" spans="1:5" x14ac:dyDescent="0.25">
      <c r="A2" s="121" t="s">
        <v>4</v>
      </c>
      <c r="B2" s="121" t="s">
        <v>579</v>
      </c>
      <c r="C2" s="121" t="s">
        <v>608</v>
      </c>
      <c r="D2" s="131">
        <v>6600384.620000001</v>
      </c>
      <c r="E2" s="121"/>
    </row>
    <row r="3" spans="1:5" x14ac:dyDescent="0.25">
      <c r="A3" s="121" t="s">
        <v>4</v>
      </c>
      <c r="B3" s="121" t="s">
        <v>574</v>
      </c>
      <c r="C3" s="121" t="s">
        <v>608</v>
      </c>
      <c r="D3" s="131">
        <v>8693582.5600000024</v>
      </c>
      <c r="E3" s="121"/>
    </row>
    <row r="4" spans="1:5" x14ac:dyDescent="0.25">
      <c r="A4" s="121" t="s">
        <v>4</v>
      </c>
      <c r="B4" s="121" t="s">
        <v>574</v>
      </c>
      <c r="C4" s="121" t="s">
        <v>608</v>
      </c>
      <c r="D4" s="131">
        <v>8806216.2400000021</v>
      </c>
      <c r="E4" s="121"/>
    </row>
    <row r="5" spans="1:5" x14ac:dyDescent="0.25">
      <c r="A5" s="121" t="s">
        <v>4</v>
      </c>
      <c r="B5" s="121" t="s">
        <v>579</v>
      </c>
      <c r="C5" s="121" t="s">
        <v>608</v>
      </c>
      <c r="D5" s="131">
        <v>3647349.4200000032</v>
      </c>
      <c r="E5" s="121"/>
    </row>
    <row r="6" spans="1:5" x14ac:dyDescent="0.25">
      <c r="A6" s="121" t="s">
        <v>4</v>
      </c>
      <c r="B6" s="121" t="s">
        <v>574</v>
      </c>
      <c r="C6" s="121" t="s">
        <v>608</v>
      </c>
      <c r="D6" s="131">
        <v>8174467.9999999972</v>
      </c>
      <c r="E6" s="121"/>
    </row>
    <row r="7" spans="1:5" x14ac:dyDescent="0.25">
      <c r="A7" s="121" t="s">
        <v>4</v>
      </c>
      <c r="B7" s="121" t="s">
        <v>579</v>
      </c>
      <c r="C7" s="121" t="s">
        <v>608</v>
      </c>
      <c r="D7" s="131">
        <v>3346288.8799999976</v>
      </c>
      <c r="E7" s="121"/>
    </row>
    <row r="8" spans="1:5" x14ac:dyDescent="0.25">
      <c r="A8" s="121" t="s">
        <v>4</v>
      </c>
      <c r="B8" s="121" t="s">
        <v>579</v>
      </c>
      <c r="C8" s="121" t="s">
        <v>608</v>
      </c>
      <c r="D8" s="131">
        <v>6212536.6900000013</v>
      </c>
      <c r="E8" s="121"/>
    </row>
    <row r="9" spans="1:5" x14ac:dyDescent="0.25">
      <c r="A9" s="121" t="s">
        <v>4</v>
      </c>
      <c r="B9" s="121" t="s">
        <v>574</v>
      </c>
      <c r="C9" s="121" t="s">
        <v>608</v>
      </c>
      <c r="D9" s="131">
        <v>6284739.599999995</v>
      </c>
      <c r="E9" s="121"/>
    </row>
    <row r="10" spans="1:5" x14ac:dyDescent="0.25">
      <c r="A10" s="121" t="s">
        <v>4</v>
      </c>
      <c r="B10" s="121" t="s">
        <v>579</v>
      </c>
      <c r="C10" s="121" t="s">
        <v>608</v>
      </c>
      <c r="D10" s="131">
        <v>3549232.0399999982</v>
      </c>
      <c r="E10" s="121"/>
    </row>
    <row r="11" spans="1:5" x14ac:dyDescent="0.25">
      <c r="A11" s="121" t="s">
        <v>4</v>
      </c>
      <c r="B11" s="121" t="s">
        <v>574</v>
      </c>
      <c r="C11" s="121" t="s">
        <v>608</v>
      </c>
      <c r="D11" s="131">
        <v>5711957.650000005</v>
      </c>
      <c r="E11" s="121"/>
    </row>
    <row r="12" spans="1:5" x14ac:dyDescent="0.25">
      <c r="A12" s="121" t="s">
        <v>4</v>
      </c>
      <c r="B12" s="121" t="s">
        <v>579</v>
      </c>
      <c r="C12" s="121" t="s">
        <v>608</v>
      </c>
      <c r="D12" s="131">
        <v>4727979.629999998</v>
      </c>
      <c r="E12" s="121"/>
    </row>
    <row r="13" spans="1:5" x14ac:dyDescent="0.25">
      <c r="A13" s="121" t="s">
        <v>4</v>
      </c>
      <c r="B13" s="145" t="s">
        <v>574</v>
      </c>
      <c r="C13" s="121" t="s">
        <v>608</v>
      </c>
      <c r="D13" s="131">
        <v>6714939.1500000069</v>
      </c>
      <c r="E13" s="121"/>
    </row>
    <row r="14" spans="1:5" x14ac:dyDescent="0.25">
      <c r="A14" s="121" t="s">
        <v>4</v>
      </c>
      <c r="B14" s="121" t="s">
        <v>579</v>
      </c>
      <c r="C14" s="121" t="s">
        <v>608</v>
      </c>
      <c r="D14" s="131">
        <v>4724885.5700000031</v>
      </c>
      <c r="E14" s="121"/>
    </row>
    <row r="15" spans="1:5" x14ac:dyDescent="0.25">
      <c r="A15" s="121" t="s">
        <v>4</v>
      </c>
      <c r="B15" s="121" t="s">
        <v>574</v>
      </c>
      <c r="C15" s="121" t="s">
        <v>608</v>
      </c>
      <c r="D15" s="131">
        <v>7191839.2999999952</v>
      </c>
      <c r="E15" s="121"/>
    </row>
    <row r="16" spans="1:5" x14ac:dyDescent="0.25">
      <c r="A16" s="121" t="s">
        <v>4</v>
      </c>
      <c r="B16" s="121" t="s">
        <v>579</v>
      </c>
      <c r="C16" s="121" t="s">
        <v>608</v>
      </c>
      <c r="D16" s="131">
        <v>4446908.759999997</v>
      </c>
      <c r="E16" s="121"/>
    </row>
    <row r="17" spans="1:5" x14ac:dyDescent="0.25">
      <c r="A17" s="121" t="s">
        <v>4</v>
      </c>
      <c r="B17" s="121" t="s">
        <v>574</v>
      </c>
      <c r="C17" s="121" t="s">
        <v>608</v>
      </c>
      <c r="D17" s="131">
        <v>8467155.8000000063</v>
      </c>
      <c r="E17" s="121"/>
    </row>
    <row r="18" spans="1:5" x14ac:dyDescent="0.25">
      <c r="A18" s="121" t="s">
        <v>4</v>
      </c>
      <c r="B18" s="121" t="s">
        <v>574</v>
      </c>
      <c r="C18" s="121" t="s">
        <v>608</v>
      </c>
      <c r="D18" s="131">
        <v>10492580.609999986</v>
      </c>
      <c r="E18" s="121"/>
    </row>
    <row r="19" spans="1:5" x14ac:dyDescent="0.25">
      <c r="A19" s="121" t="s">
        <v>4</v>
      </c>
      <c r="B19" s="121" t="s">
        <v>579</v>
      </c>
      <c r="C19" s="121" t="s">
        <v>608</v>
      </c>
      <c r="D19" s="131">
        <v>6701886.6799999978</v>
      </c>
      <c r="E19" s="121"/>
    </row>
    <row r="20" spans="1:5" x14ac:dyDescent="0.25">
      <c r="A20" s="121" t="s">
        <v>4</v>
      </c>
      <c r="B20" s="121" t="s">
        <v>579</v>
      </c>
      <c r="C20" s="121" t="s">
        <v>608</v>
      </c>
      <c r="D20" s="131">
        <v>8612931.570000004</v>
      </c>
      <c r="E20" s="121"/>
    </row>
    <row r="21" spans="1:5" x14ac:dyDescent="0.25">
      <c r="A21" s="121" t="s">
        <v>4</v>
      </c>
      <c r="B21" s="121" t="s">
        <v>574</v>
      </c>
      <c r="C21" s="121" t="s">
        <v>608</v>
      </c>
      <c r="D21" s="131">
        <v>11332303.980000012</v>
      </c>
      <c r="E21" s="121"/>
    </row>
    <row r="22" spans="1:5" x14ac:dyDescent="0.25">
      <c r="A22" s="121" t="s">
        <v>4</v>
      </c>
      <c r="B22" s="121" t="s">
        <v>579</v>
      </c>
      <c r="C22" s="121" t="s">
        <v>608</v>
      </c>
      <c r="D22" s="131">
        <v>6864254.1599999983</v>
      </c>
      <c r="E22" s="121"/>
    </row>
    <row r="23" spans="1:5" x14ac:dyDescent="0.25">
      <c r="A23" s="121" t="s">
        <v>4</v>
      </c>
      <c r="B23" s="121" t="s">
        <v>574</v>
      </c>
      <c r="C23" s="121" t="s">
        <v>608</v>
      </c>
      <c r="D23" s="131">
        <v>14703513.470000012</v>
      </c>
      <c r="E23" s="121"/>
    </row>
    <row r="24" spans="1:5" x14ac:dyDescent="0.25">
      <c r="A24" s="121" t="s">
        <v>4</v>
      </c>
      <c r="B24" s="121" t="s">
        <v>579</v>
      </c>
      <c r="C24" s="121" t="s">
        <v>608</v>
      </c>
      <c r="D24" s="131">
        <v>7882388.4999999916</v>
      </c>
      <c r="E24" s="121"/>
    </row>
    <row r="25" spans="1:5" x14ac:dyDescent="0.25">
      <c r="A25" s="121" t="s">
        <v>4</v>
      </c>
      <c r="B25" s="121" t="s">
        <v>574</v>
      </c>
      <c r="C25" s="121" t="s">
        <v>608</v>
      </c>
      <c r="D25" s="131">
        <v>13561578.059999989</v>
      </c>
      <c r="E25" s="121"/>
    </row>
  </sheetData>
  <sheetProtection selectLockedCell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4E99B-308E-4AE1-8B5E-0330B5EE2FE3}">
  <sheetPr codeName="Лист10"/>
  <dimension ref="A1:E3336"/>
  <sheetViews>
    <sheetView showGridLines="0" zoomScaleNormal="100" workbookViewId="0">
      <selection activeCell="E30" sqref="E30"/>
    </sheetView>
  </sheetViews>
  <sheetFormatPr defaultRowHeight="15" x14ac:dyDescent="0.25"/>
  <cols>
    <col min="1" max="1" width="10.85546875" style="130" bestFit="1" customWidth="1"/>
    <col min="2" max="2" width="17.28515625" style="130" bestFit="1" customWidth="1"/>
    <col min="3" max="3" width="22.7109375" style="130" bestFit="1" customWidth="1"/>
    <col min="4" max="4" width="10.85546875" style="130" bestFit="1" customWidth="1"/>
    <col min="5" max="5" width="12.42578125" style="132" bestFit="1" customWidth="1"/>
    <col min="6" max="16384" width="9.140625" style="130"/>
  </cols>
  <sheetData>
    <row r="1" spans="1:5" x14ac:dyDescent="0.25">
      <c r="A1" s="130" t="s">
        <v>0</v>
      </c>
      <c r="B1" s="130" t="s">
        <v>11</v>
      </c>
      <c r="C1" s="130" t="s">
        <v>12</v>
      </c>
      <c r="D1" s="130" t="s">
        <v>95</v>
      </c>
      <c r="E1" s="132" t="s">
        <v>3</v>
      </c>
    </row>
    <row r="2" spans="1:5" x14ac:dyDescent="0.25">
      <c r="A2" s="130" t="s">
        <v>4</v>
      </c>
      <c r="B2" s="130" t="s">
        <v>574</v>
      </c>
      <c r="C2" s="130" t="s">
        <v>608</v>
      </c>
      <c r="D2" s="130" t="s">
        <v>328</v>
      </c>
      <c r="E2" s="132">
        <v>6311.95</v>
      </c>
    </row>
    <row r="3" spans="1:5" x14ac:dyDescent="0.25">
      <c r="A3" s="130" t="s">
        <v>4</v>
      </c>
      <c r="B3" s="130" t="s">
        <v>574</v>
      </c>
      <c r="C3" s="130" t="s">
        <v>608</v>
      </c>
      <c r="D3" s="130" t="s">
        <v>362</v>
      </c>
      <c r="E3" s="132">
        <v>103064.55</v>
      </c>
    </row>
    <row r="4" spans="1:5" x14ac:dyDescent="0.25">
      <c r="A4" s="130" t="s">
        <v>4</v>
      </c>
      <c r="B4" s="130" t="s">
        <v>574</v>
      </c>
      <c r="C4" s="130" t="s">
        <v>608</v>
      </c>
      <c r="D4" s="130" t="s">
        <v>291</v>
      </c>
      <c r="E4" s="132">
        <v>10854.15</v>
      </c>
    </row>
    <row r="5" spans="1:5" x14ac:dyDescent="0.25">
      <c r="A5" s="130" t="s">
        <v>4</v>
      </c>
      <c r="B5" s="130" t="s">
        <v>574</v>
      </c>
      <c r="C5" s="130" t="s">
        <v>608</v>
      </c>
      <c r="D5" s="130" t="s">
        <v>744</v>
      </c>
      <c r="E5" s="132">
        <v>1440.73</v>
      </c>
    </row>
    <row r="6" spans="1:5" x14ac:dyDescent="0.25">
      <c r="A6" s="130" t="s">
        <v>4</v>
      </c>
      <c r="B6" s="130" t="s">
        <v>574</v>
      </c>
      <c r="C6" s="130" t="s">
        <v>608</v>
      </c>
      <c r="D6" s="130" t="s">
        <v>915</v>
      </c>
      <c r="E6" s="132">
        <v>7701.84</v>
      </c>
    </row>
    <row r="7" spans="1:5" x14ac:dyDescent="0.25">
      <c r="A7" s="130" t="s">
        <v>4</v>
      </c>
      <c r="B7" s="130" t="s">
        <v>574</v>
      </c>
      <c r="C7" s="130" t="s">
        <v>608</v>
      </c>
      <c r="D7" s="130" t="s">
        <v>746</v>
      </c>
      <c r="E7" s="132">
        <v>350.35</v>
      </c>
    </row>
    <row r="8" spans="1:5" x14ac:dyDescent="0.25">
      <c r="A8" s="130" t="s">
        <v>4</v>
      </c>
      <c r="B8" s="130" t="s">
        <v>574</v>
      </c>
      <c r="C8" s="130" t="s">
        <v>608</v>
      </c>
      <c r="D8" s="130" t="s">
        <v>275</v>
      </c>
      <c r="E8" s="132">
        <v>26398.57</v>
      </c>
    </row>
    <row r="9" spans="1:5" x14ac:dyDescent="0.25">
      <c r="A9" s="130" t="s">
        <v>4</v>
      </c>
      <c r="B9" s="130" t="s">
        <v>574</v>
      </c>
      <c r="C9" s="130" t="s">
        <v>608</v>
      </c>
      <c r="D9" s="130" t="s">
        <v>286</v>
      </c>
      <c r="E9" s="132">
        <v>12322.64</v>
      </c>
    </row>
    <row r="10" spans="1:5" x14ac:dyDescent="0.25">
      <c r="A10" s="130" t="s">
        <v>4</v>
      </c>
      <c r="B10" s="130" t="s">
        <v>574</v>
      </c>
      <c r="C10" s="130" t="s">
        <v>608</v>
      </c>
      <c r="D10" s="130" t="s">
        <v>404</v>
      </c>
      <c r="E10" s="132">
        <v>14799.25</v>
      </c>
    </row>
    <row r="11" spans="1:5" x14ac:dyDescent="0.25">
      <c r="A11" s="130" t="s">
        <v>4</v>
      </c>
      <c r="B11" s="130" t="s">
        <v>574</v>
      </c>
      <c r="C11" s="130" t="s">
        <v>608</v>
      </c>
      <c r="D11" s="130" t="s">
        <v>406</v>
      </c>
      <c r="E11" s="132">
        <v>32095.84</v>
      </c>
    </row>
    <row r="12" spans="1:5" x14ac:dyDescent="0.25">
      <c r="A12" s="130" t="s">
        <v>4</v>
      </c>
      <c r="B12" s="130" t="s">
        <v>574</v>
      </c>
      <c r="C12" s="130" t="s">
        <v>608</v>
      </c>
      <c r="D12" s="130" t="s">
        <v>501</v>
      </c>
      <c r="E12" s="132">
        <v>5369.63</v>
      </c>
    </row>
    <row r="13" spans="1:5" x14ac:dyDescent="0.25">
      <c r="A13" s="130" t="s">
        <v>4</v>
      </c>
      <c r="B13" s="130" t="s">
        <v>574</v>
      </c>
      <c r="C13" s="130" t="s">
        <v>608</v>
      </c>
      <c r="D13" s="130" t="s">
        <v>708</v>
      </c>
      <c r="E13" s="132">
        <v>7499.01</v>
      </c>
    </row>
    <row r="14" spans="1:5" x14ac:dyDescent="0.25">
      <c r="A14" s="130" t="s">
        <v>4</v>
      </c>
      <c r="B14" s="130" t="s">
        <v>574</v>
      </c>
      <c r="C14" s="130" t="s">
        <v>608</v>
      </c>
      <c r="D14" s="130" t="s">
        <v>660</v>
      </c>
      <c r="E14" s="132">
        <v>7413.62</v>
      </c>
    </row>
    <row r="15" spans="1:5" x14ac:dyDescent="0.25">
      <c r="A15" s="130" t="s">
        <v>4</v>
      </c>
      <c r="B15" s="130" t="s">
        <v>574</v>
      </c>
      <c r="C15" s="130" t="s">
        <v>608</v>
      </c>
      <c r="D15" s="130" t="s">
        <v>507</v>
      </c>
      <c r="E15" s="132">
        <v>31770.52</v>
      </c>
    </row>
    <row r="16" spans="1:5" x14ac:dyDescent="0.25">
      <c r="A16" s="130" t="s">
        <v>4</v>
      </c>
      <c r="B16" s="130" t="s">
        <v>574</v>
      </c>
      <c r="C16" s="130" t="s">
        <v>608</v>
      </c>
      <c r="D16" s="130" t="s">
        <v>916</v>
      </c>
      <c r="E16" s="132">
        <v>32425.19</v>
      </c>
    </row>
    <row r="17" spans="1:5" x14ac:dyDescent="0.25">
      <c r="A17" s="130" t="s">
        <v>4</v>
      </c>
      <c r="B17" s="130" t="s">
        <v>574</v>
      </c>
      <c r="C17" s="130" t="s">
        <v>608</v>
      </c>
      <c r="D17" s="130" t="s">
        <v>687</v>
      </c>
      <c r="E17" s="132">
        <v>20241.87</v>
      </c>
    </row>
    <row r="18" spans="1:5" x14ac:dyDescent="0.25">
      <c r="A18" s="130" t="s">
        <v>4</v>
      </c>
      <c r="B18" s="130" t="s">
        <v>574</v>
      </c>
      <c r="C18" s="130" t="s">
        <v>608</v>
      </c>
      <c r="D18" s="130" t="s">
        <v>261</v>
      </c>
      <c r="E18" s="132">
        <v>57541</v>
      </c>
    </row>
    <row r="19" spans="1:5" x14ac:dyDescent="0.25">
      <c r="A19" s="130" t="s">
        <v>4</v>
      </c>
      <c r="B19" s="130" t="s">
        <v>574</v>
      </c>
      <c r="C19" s="130" t="s">
        <v>608</v>
      </c>
      <c r="D19" s="130" t="s">
        <v>688</v>
      </c>
      <c r="E19" s="132">
        <v>20383</v>
      </c>
    </row>
    <row r="20" spans="1:5" x14ac:dyDescent="0.25">
      <c r="A20" s="130" t="s">
        <v>4</v>
      </c>
      <c r="B20" s="130" t="s">
        <v>574</v>
      </c>
      <c r="C20" s="130" t="s">
        <v>608</v>
      </c>
      <c r="D20" s="130" t="s">
        <v>689</v>
      </c>
      <c r="E20" s="132">
        <v>15228.58</v>
      </c>
    </row>
    <row r="21" spans="1:5" x14ac:dyDescent="0.25">
      <c r="A21" s="130" t="s">
        <v>4</v>
      </c>
      <c r="B21" s="130" t="s">
        <v>574</v>
      </c>
      <c r="C21" s="130" t="s">
        <v>608</v>
      </c>
      <c r="D21" s="130" t="s">
        <v>254</v>
      </c>
      <c r="E21" s="132">
        <v>10980.42</v>
      </c>
    </row>
    <row r="22" spans="1:5" x14ac:dyDescent="0.25">
      <c r="A22" s="130" t="s">
        <v>4</v>
      </c>
      <c r="B22" s="130" t="s">
        <v>574</v>
      </c>
      <c r="C22" s="130" t="s">
        <v>608</v>
      </c>
      <c r="D22" s="130" t="s">
        <v>917</v>
      </c>
      <c r="E22" s="132">
        <v>1029.8</v>
      </c>
    </row>
    <row r="23" spans="1:5" x14ac:dyDescent="0.25">
      <c r="A23" s="130" t="s">
        <v>4</v>
      </c>
      <c r="B23" s="130" t="s">
        <v>574</v>
      </c>
      <c r="C23" s="130" t="s">
        <v>608</v>
      </c>
      <c r="D23" s="130" t="s">
        <v>918</v>
      </c>
      <c r="E23" s="132">
        <v>581.16</v>
      </c>
    </row>
    <row r="24" spans="1:5" x14ac:dyDescent="0.25">
      <c r="A24" s="130" t="s">
        <v>4</v>
      </c>
      <c r="B24" s="130" t="s">
        <v>574</v>
      </c>
      <c r="C24" s="130" t="s">
        <v>608</v>
      </c>
      <c r="D24" s="130" t="s">
        <v>373</v>
      </c>
      <c r="E24" s="132">
        <v>698.9</v>
      </c>
    </row>
    <row r="25" spans="1:5" x14ac:dyDescent="0.25">
      <c r="A25" s="130" t="s">
        <v>4</v>
      </c>
      <c r="B25" s="130" t="s">
        <v>574</v>
      </c>
      <c r="C25" s="130" t="s">
        <v>608</v>
      </c>
      <c r="D25" s="130" t="s">
        <v>919</v>
      </c>
      <c r="E25" s="132">
        <v>1010.29</v>
      </c>
    </row>
    <row r="26" spans="1:5" x14ac:dyDescent="0.25">
      <c r="A26" s="130" t="s">
        <v>4</v>
      </c>
      <c r="B26" s="130" t="s">
        <v>574</v>
      </c>
      <c r="C26" s="130" t="s">
        <v>608</v>
      </c>
      <c r="D26" s="130" t="s">
        <v>920</v>
      </c>
      <c r="E26" s="132">
        <v>575.28</v>
      </c>
    </row>
    <row r="27" spans="1:5" x14ac:dyDescent="0.25">
      <c r="A27" s="130" t="s">
        <v>4</v>
      </c>
      <c r="B27" s="130" t="s">
        <v>574</v>
      </c>
      <c r="C27" s="130" t="s">
        <v>608</v>
      </c>
      <c r="D27" s="130" t="s">
        <v>921</v>
      </c>
      <c r="E27" s="132">
        <v>692.13</v>
      </c>
    </row>
    <row r="28" spans="1:5" x14ac:dyDescent="0.25">
      <c r="A28" s="130" t="s">
        <v>4</v>
      </c>
      <c r="B28" s="130" t="s">
        <v>574</v>
      </c>
      <c r="C28" s="130" t="s">
        <v>608</v>
      </c>
      <c r="D28" s="130" t="s">
        <v>763</v>
      </c>
      <c r="E28" s="132">
        <v>904.7</v>
      </c>
    </row>
    <row r="29" spans="1:5" x14ac:dyDescent="0.25">
      <c r="A29" s="130" t="s">
        <v>4</v>
      </c>
      <c r="B29" s="130" t="s">
        <v>574</v>
      </c>
      <c r="C29" s="130" t="s">
        <v>608</v>
      </c>
      <c r="D29" s="130" t="s">
        <v>922</v>
      </c>
      <c r="E29" s="132">
        <v>990.05</v>
      </c>
    </row>
    <row r="30" spans="1:5" x14ac:dyDescent="0.25">
      <c r="A30" s="130" t="s">
        <v>4</v>
      </c>
      <c r="B30" s="130" t="s">
        <v>574</v>
      </c>
      <c r="C30" s="130" t="s">
        <v>608</v>
      </c>
      <c r="D30" s="130" t="s">
        <v>764</v>
      </c>
      <c r="E30" s="132">
        <v>1121.42</v>
      </c>
    </row>
    <row r="31" spans="1:5" x14ac:dyDescent="0.25">
      <c r="A31" s="130" t="s">
        <v>4</v>
      </c>
      <c r="B31" s="130" t="s">
        <v>574</v>
      </c>
      <c r="C31" s="130" t="s">
        <v>608</v>
      </c>
      <c r="D31" s="130" t="s">
        <v>765</v>
      </c>
      <c r="E31" s="132">
        <v>1340.7</v>
      </c>
    </row>
    <row r="32" spans="1:5" x14ac:dyDescent="0.25">
      <c r="A32" s="130" t="s">
        <v>4</v>
      </c>
      <c r="B32" s="130" t="s">
        <v>574</v>
      </c>
      <c r="C32" s="130" t="s">
        <v>608</v>
      </c>
      <c r="D32" s="130" t="s">
        <v>923</v>
      </c>
      <c r="E32" s="132">
        <v>1557.77</v>
      </c>
    </row>
    <row r="33" spans="1:5" x14ac:dyDescent="0.25">
      <c r="A33" s="130" t="s">
        <v>4</v>
      </c>
      <c r="B33" s="130" t="s">
        <v>574</v>
      </c>
      <c r="C33" s="130" t="s">
        <v>608</v>
      </c>
      <c r="D33" s="130" t="s">
        <v>924</v>
      </c>
      <c r="E33" s="132">
        <v>1774.48</v>
      </c>
    </row>
    <row r="34" spans="1:5" x14ac:dyDescent="0.25">
      <c r="A34" s="130" t="s">
        <v>4</v>
      </c>
      <c r="B34" s="130" t="s">
        <v>574</v>
      </c>
      <c r="C34" s="130" t="s">
        <v>608</v>
      </c>
      <c r="D34" s="130" t="s">
        <v>692</v>
      </c>
      <c r="E34" s="132">
        <v>5669.67</v>
      </c>
    </row>
    <row r="35" spans="1:5" x14ac:dyDescent="0.25">
      <c r="A35" s="130" t="s">
        <v>4</v>
      </c>
      <c r="B35" s="130" t="s">
        <v>574</v>
      </c>
      <c r="C35" s="130" t="s">
        <v>608</v>
      </c>
      <c r="D35" s="130" t="s">
        <v>693</v>
      </c>
      <c r="E35" s="132">
        <v>2629.17</v>
      </c>
    </row>
    <row r="36" spans="1:5" x14ac:dyDescent="0.25">
      <c r="A36" s="130" t="s">
        <v>4</v>
      </c>
      <c r="B36" s="130" t="s">
        <v>574</v>
      </c>
      <c r="C36" s="130" t="s">
        <v>608</v>
      </c>
      <c r="D36" s="130" t="s">
        <v>925</v>
      </c>
      <c r="E36" s="132">
        <v>1727.39</v>
      </c>
    </row>
    <row r="37" spans="1:5" x14ac:dyDescent="0.25">
      <c r="A37" s="130" t="s">
        <v>4</v>
      </c>
      <c r="B37" s="130" t="s">
        <v>574</v>
      </c>
      <c r="C37" s="130" t="s">
        <v>608</v>
      </c>
      <c r="D37" s="130" t="s">
        <v>740</v>
      </c>
      <c r="E37" s="132">
        <v>3723.29</v>
      </c>
    </row>
    <row r="38" spans="1:5" x14ac:dyDescent="0.25">
      <c r="A38" s="130" t="s">
        <v>4</v>
      </c>
      <c r="B38" s="130" t="s">
        <v>574</v>
      </c>
      <c r="C38" s="130" t="s">
        <v>608</v>
      </c>
      <c r="D38" s="130" t="s">
        <v>543</v>
      </c>
      <c r="E38" s="132">
        <v>28597.61</v>
      </c>
    </row>
    <row r="39" spans="1:5" x14ac:dyDescent="0.25">
      <c r="A39" s="130" t="s">
        <v>4</v>
      </c>
      <c r="B39" s="130" t="s">
        <v>574</v>
      </c>
      <c r="C39" s="130" t="s">
        <v>608</v>
      </c>
      <c r="D39" s="130" t="s">
        <v>532</v>
      </c>
      <c r="E39" s="132">
        <v>26107.38</v>
      </c>
    </row>
    <row r="40" spans="1:5" x14ac:dyDescent="0.25">
      <c r="A40" s="130" t="s">
        <v>4</v>
      </c>
      <c r="B40" s="130" t="s">
        <v>574</v>
      </c>
      <c r="C40" s="130" t="s">
        <v>608</v>
      </c>
      <c r="D40" s="130" t="s">
        <v>578</v>
      </c>
      <c r="E40" s="132">
        <v>25412.87</v>
      </c>
    </row>
    <row r="41" spans="1:5" x14ac:dyDescent="0.25">
      <c r="A41" s="130" t="s">
        <v>4</v>
      </c>
      <c r="B41" s="130" t="s">
        <v>574</v>
      </c>
      <c r="C41" s="130" t="s">
        <v>608</v>
      </c>
      <c r="D41" s="130" t="s">
        <v>654</v>
      </c>
      <c r="E41" s="132">
        <v>26136.86</v>
      </c>
    </row>
    <row r="42" spans="1:5" x14ac:dyDescent="0.25">
      <c r="A42" s="130" t="s">
        <v>4</v>
      </c>
      <c r="B42" s="130" t="s">
        <v>574</v>
      </c>
      <c r="C42" s="130" t="s">
        <v>608</v>
      </c>
      <c r="D42" s="130" t="s">
        <v>257</v>
      </c>
      <c r="E42" s="132">
        <v>15868.46</v>
      </c>
    </row>
    <row r="43" spans="1:5" x14ac:dyDescent="0.25">
      <c r="A43" s="130" t="s">
        <v>4</v>
      </c>
      <c r="B43" s="130" t="s">
        <v>574</v>
      </c>
      <c r="C43" s="130" t="s">
        <v>608</v>
      </c>
      <c r="D43" s="130" t="s">
        <v>428</v>
      </c>
      <c r="E43" s="132">
        <v>6799.86</v>
      </c>
    </row>
    <row r="44" spans="1:5" x14ac:dyDescent="0.25">
      <c r="A44" s="130" t="s">
        <v>4</v>
      </c>
      <c r="B44" s="130" t="s">
        <v>574</v>
      </c>
      <c r="C44" s="130" t="s">
        <v>608</v>
      </c>
      <c r="D44" s="130" t="s">
        <v>429</v>
      </c>
      <c r="E44" s="132">
        <v>8093.91</v>
      </c>
    </row>
    <row r="45" spans="1:5" x14ac:dyDescent="0.25">
      <c r="A45" s="130" t="s">
        <v>4</v>
      </c>
      <c r="B45" s="130" t="s">
        <v>574</v>
      </c>
      <c r="C45" s="130" t="s">
        <v>608</v>
      </c>
      <c r="D45" s="130" t="s">
        <v>269</v>
      </c>
      <c r="E45" s="132">
        <v>9390.89</v>
      </c>
    </row>
    <row r="46" spans="1:5" x14ac:dyDescent="0.25">
      <c r="A46" s="130" t="s">
        <v>4</v>
      </c>
      <c r="B46" s="130" t="s">
        <v>574</v>
      </c>
      <c r="C46" s="130" t="s">
        <v>608</v>
      </c>
      <c r="D46" s="130" t="s">
        <v>258</v>
      </c>
      <c r="E46" s="132">
        <v>13278.61</v>
      </c>
    </row>
    <row r="47" spans="1:5" x14ac:dyDescent="0.25">
      <c r="A47" s="130" t="s">
        <v>4</v>
      </c>
      <c r="B47" s="130" t="s">
        <v>574</v>
      </c>
      <c r="C47" s="130" t="s">
        <v>608</v>
      </c>
      <c r="D47" s="130" t="s">
        <v>655</v>
      </c>
      <c r="E47" s="132">
        <v>4451.8500000000004</v>
      </c>
    </row>
    <row r="48" spans="1:5" x14ac:dyDescent="0.25">
      <c r="A48" s="130" t="s">
        <v>4</v>
      </c>
      <c r="B48" s="130" t="s">
        <v>574</v>
      </c>
      <c r="C48" s="130" t="s">
        <v>608</v>
      </c>
      <c r="D48" s="130" t="s">
        <v>262</v>
      </c>
      <c r="E48" s="132">
        <v>1148.3499999999999</v>
      </c>
    </row>
    <row r="49" spans="1:5" x14ac:dyDescent="0.25">
      <c r="A49" s="130" t="s">
        <v>4</v>
      </c>
      <c r="B49" s="130" t="s">
        <v>574</v>
      </c>
      <c r="C49" s="130" t="s">
        <v>608</v>
      </c>
      <c r="D49" s="130" t="s">
        <v>320</v>
      </c>
      <c r="E49" s="132">
        <v>3804.25</v>
      </c>
    </row>
    <row r="50" spans="1:5" x14ac:dyDescent="0.25">
      <c r="A50" s="130" t="s">
        <v>4</v>
      </c>
      <c r="B50" s="130" t="s">
        <v>574</v>
      </c>
      <c r="C50" s="130" t="s">
        <v>608</v>
      </c>
      <c r="D50" s="130" t="s">
        <v>431</v>
      </c>
      <c r="E50" s="132">
        <v>5210.01</v>
      </c>
    </row>
    <row r="51" spans="1:5" x14ac:dyDescent="0.25">
      <c r="A51" s="130" t="s">
        <v>4</v>
      </c>
      <c r="B51" s="130" t="s">
        <v>574</v>
      </c>
      <c r="C51" s="130" t="s">
        <v>608</v>
      </c>
      <c r="D51" s="130" t="s">
        <v>668</v>
      </c>
      <c r="E51" s="132">
        <v>157.62</v>
      </c>
    </row>
    <row r="52" spans="1:5" x14ac:dyDescent="0.25">
      <c r="A52" s="130" t="s">
        <v>4</v>
      </c>
      <c r="B52" s="130" t="s">
        <v>574</v>
      </c>
      <c r="C52" s="130" t="s">
        <v>608</v>
      </c>
      <c r="D52" s="130" t="s">
        <v>669</v>
      </c>
      <c r="E52" s="132">
        <v>236.28</v>
      </c>
    </row>
    <row r="53" spans="1:5" x14ac:dyDescent="0.25">
      <c r="A53" s="130" t="s">
        <v>4</v>
      </c>
      <c r="B53" s="130" t="s">
        <v>574</v>
      </c>
      <c r="C53" s="130" t="s">
        <v>608</v>
      </c>
      <c r="D53" s="130" t="s">
        <v>670</v>
      </c>
      <c r="E53" s="132">
        <v>315.08999999999997</v>
      </c>
    </row>
    <row r="54" spans="1:5" x14ac:dyDescent="0.25">
      <c r="A54" s="130" t="s">
        <v>4</v>
      </c>
      <c r="B54" s="130" t="s">
        <v>574</v>
      </c>
      <c r="C54" s="130" t="s">
        <v>608</v>
      </c>
      <c r="D54" s="130" t="s">
        <v>671</v>
      </c>
      <c r="E54" s="132">
        <v>393.89</v>
      </c>
    </row>
    <row r="55" spans="1:5" x14ac:dyDescent="0.25">
      <c r="A55" s="130" t="s">
        <v>4</v>
      </c>
      <c r="B55" s="130" t="s">
        <v>574</v>
      </c>
      <c r="C55" s="130" t="s">
        <v>608</v>
      </c>
      <c r="D55" s="130" t="s">
        <v>926</v>
      </c>
      <c r="E55" s="132">
        <v>726.99</v>
      </c>
    </row>
    <row r="56" spans="1:5" x14ac:dyDescent="0.25">
      <c r="A56" s="130" t="s">
        <v>4</v>
      </c>
      <c r="B56" s="130" t="s">
        <v>574</v>
      </c>
      <c r="C56" s="130" t="s">
        <v>608</v>
      </c>
      <c r="D56" s="130" t="s">
        <v>927</v>
      </c>
      <c r="E56" s="132">
        <v>872.59</v>
      </c>
    </row>
    <row r="57" spans="1:5" x14ac:dyDescent="0.25">
      <c r="A57" s="130" t="s">
        <v>4</v>
      </c>
      <c r="B57" s="130" t="s">
        <v>574</v>
      </c>
      <c r="C57" s="130" t="s">
        <v>608</v>
      </c>
      <c r="D57" s="130" t="s">
        <v>784</v>
      </c>
      <c r="E57" s="132">
        <v>3573.46</v>
      </c>
    </row>
    <row r="58" spans="1:5" x14ac:dyDescent="0.25">
      <c r="A58" s="130" t="s">
        <v>4</v>
      </c>
      <c r="B58" s="130" t="s">
        <v>574</v>
      </c>
      <c r="C58" s="130" t="s">
        <v>608</v>
      </c>
      <c r="D58" s="130" t="s">
        <v>742</v>
      </c>
      <c r="E58" s="132">
        <v>19185.66</v>
      </c>
    </row>
    <row r="59" spans="1:5" x14ac:dyDescent="0.25">
      <c r="A59" s="130" t="s">
        <v>4</v>
      </c>
      <c r="B59" s="130" t="s">
        <v>574</v>
      </c>
      <c r="C59" s="130" t="s">
        <v>608</v>
      </c>
      <c r="D59" s="130" t="s">
        <v>672</v>
      </c>
      <c r="E59" s="132">
        <v>16412.3</v>
      </c>
    </row>
    <row r="60" spans="1:5" x14ac:dyDescent="0.25">
      <c r="A60" s="130" t="s">
        <v>4</v>
      </c>
      <c r="B60" s="130" t="s">
        <v>574</v>
      </c>
      <c r="C60" s="130" t="s">
        <v>608</v>
      </c>
      <c r="D60" s="130" t="s">
        <v>627</v>
      </c>
      <c r="E60" s="132">
        <v>625.83000000000004</v>
      </c>
    </row>
    <row r="61" spans="1:5" x14ac:dyDescent="0.25">
      <c r="A61" s="130" t="s">
        <v>4</v>
      </c>
      <c r="B61" s="130" t="s">
        <v>574</v>
      </c>
      <c r="C61" s="130" t="s">
        <v>608</v>
      </c>
      <c r="D61" s="130" t="s">
        <v>616</v>
      </c>
      <c r="E61" s="132">
        <v>250.91</v>
      </c>
    </row>
    <row r="62" spans="1:5" x14ac:dyDescent="0.25">
      <c r="A62" s="130" t="s">
        <v>4</v>
      </c>
      <c r="B62" s="130" t="s">
        <v>574</v>
      </c>
      <c r="C62" s="130" t="s">
        <v>608</v>
      </c>
      <c r="D62" s="130" t="s">
        <v>312</v>
      </c>
      <c r="E62" s="132">
        <v>670.35</v>
      </c>
    </row>
    <row r="63" spans="1:5" x14ac:dyDescent="0.25">
      <c r="A63" s="130" t="s">
        <v>4</v>
      </c>
      <c r="B63" s="130" t="s">
        <v>574</v>
      </c>
      <c r="C63" s="130" t="s">
        <v>608</v>
      </c>
      <c r="D63" s="130" t="s">
        <v>243</v>
      </c>
      <c r="E63" s="132">
        <v>464.31</v>
      </c>
    </row>
    <row r="64" spans="1:5" x14ac:dyDescent="0.25">
      <c r="A64" s="130" t="s">
        <v>4</v>
      </c>
      <c r="B64" s="130" t="s">
        <v>574</v>
      </c>
      <c r="C64" s="130" t="s">
        <v>608</v>
      </c>
      <c r="D64" s="130" t="s">
        <v>613</v>
      </c>
      <c r="E64" s="132">
        <v>55.17</v>
      </c>
    </row>
    <row r="65" spans="1:5" x14ac:dyDescent="0.25">
      <c r="A65" s="130" t="s">
        <v>4</v>
      </c>
      <c r="B65" s="130" t="s">
        <v>574</v>
      </c>
      <c r="C65" s="130" t="s">
        <v>608</v>
      </c>
      <c r="D65" s="130" t="s">
        <v>757</v>
      </c>
      <c r="E65" s="132">
        <v>85.95</v>
      </c>
    </row>
    <row r="66" spans="1:5" x14ac:dyDescent="0.25">
      <c r="A66" s="130" t="s">
        <v>4</v>
      </c>
      <c r="B66" s="130" t="s">
        <v>574</v>
      </c>
      <c r="C66" s="130" t="s">
        <v>608</v>
      </c>
      <c r="D66" s="130" t="s">
        <v>727</v>
      </c>
      <c r="E66" s="132">
        <v>110.33</v>
      </c>
    </row>
    <row r="67" spans="1:5" x14ac:dyDescent="0.25">
      <c r="A67" s="130" t="s">
        <v>4</v>
      </c>
      <c r="B67" s="130" t="s">
        <v>574</v>
      </c>
      <c r="C67" s="130" t="s">
        <v>608</v>
      </c>
      <c r="D67" s="130" t="s">
        <v>547</v>
      </c>
      <c r="E67" s="132">
        <v>1223.4000000000001</v>
      </c>
    </row>
    <row r="68" spans="1:5" x14ac:dyDescent="0.25">
      <c r="A68" s="130" t="s">
        <v>4</v>
      </c>
      <c r="B68" s="130" t="s">
        <v>574</v>
      </c>
      <c r="C68" s="130" t="s">
        <v>608</v>
      </c>
      <c r="D68" s="130" t="s">
        <v>507</v>
      </c>
      <c r="E68" s="132">
        <v>4342.6000000000004</v>
      </c>
    </row>
    <row r="69" spans="1:5" x14ac:dyDescent="0.25">
      <c r="A69" s="130" t="s">
        <v>4</v>
      </c>
      <c r="B69" s="130" t="s">
        <v>574</v>
      </c>
      <c r="C69" s="130" t="s">
        <v>608</v>
      </c>
      <c r="D69" s="130" t="s">
        <v>248</v>
      </c>
      <c r="E69" s="132">
        <v>2477.3000000000002</v>
      </c>
    </row>
    <row r="70" spans="1:5" x14ac:dyDescent="0.25">
      <c r="A70" s="130" t="s">
        <v>4</v>
      </c>
      <c r="B70" s="130" t="s">
        <v>574</v>
      </c>
      <c r="C70" s="130" t="s">
        <v>608</v>
      </c>
      <c r="D70" s="130" t="s">
        <v>371</v>
      </c>
      <c r="E70" s="132">
        <v>7635.42</v>
      </c>
    </row>
    <row r="71" spans="1:5" x14ac:dyDescent="0.25">
      <c r="A71" s="130" t="s">
        <v>4</v>
      </c>
      <c r="B71" s="130" t="s">
        <v>574</v>
      </c>
      <c r="C71" s="130" t="s">
        <v>608</v>
      </c>
      <c r="D71" s="130" t="s">
        <v>288</v>
      </c>
      <c r="E71" s="132">
        <v>12361.47</v>
      </c>
    </row>
    <row r="72" spans="1:5" x14ac:dyDescent="0.25">
      <c r="A72" s="130" t="s">
        <v>4</v>
      </c>
      <c r="B72" s="130" t="s">
        <v>574</v>
      </c>
      <c r="C72" s="130" t="s">
        <v>608</v>
      </c>
      <c r="D72" s="130" t="s">
        <v>270</v>
      </c>
      <c r="E72" s="132">
        <v>11718.63</v>
      </c>
    </row>
    <row r="73" spans="1:5" x14ac:dyDescent="0.25">
      <c r="A73" s="130" t="s">
        <v>4</v>
      </c>
      <c r="B73" s="130" t="s">
        <v>574</v>
      </c>
      <c r="C73" s="130" t="s">
        <v>608</v>
      </c>
      <c r="D73" s="130" t="s">
        <v>928</v>
      </c>
      <c r="E73" s="132">
        <v>682.57</v>
      </c>
    </row>
    <row r="74" spans="1:5" x14ac:dyDescent="0.25">
      <c r="A74" s="130" t="s">
        <v>4</v>
      </c>
      <c r="B74" s="130" t="s">
        <v>574</v>
      </c>
      <c r="C74" s="130" t="s">
        <v>608</v>
      </c>
      <c r="D74" s="130" t="s">
        <v>929</v>
      </c>
      <c r="E74" s="132">
        <v>800.95</v>
      </c>
    </row>
    <row r="75" spans="1:5" x14ac:dyDescent="0.25">
      <c r="A75" s="130" t="s">
        <v>4</v>
      </c>
      <c r="B75" s="130" t="s">
        <v>574</v>
      </c>
      <c r="C75" s="130" t="s">
        <v>608</v>
      </c>
      <c r="D75" s="130" t="s">
        <v>341</v>
      </c>
      <c r="E75" s="132">
        <v>1242.83</v>
      </c>
    </row>
    <row r="76" spans="1:5" x14ac:dyDescent="0.25">
      <c r="A76" s="130" t="s">
        <v>4</v>
      </c>
      <c r="B76" s="130" t="s">
        <v>574</v>
      </c>
      <c r="C76" s="130" t="s">
        <v>608</v>
      </c>
      <c r="D76" s="130" t="s">
        <v>930</v>
      </c>
      <c r="E76" s="132">
        <v>5810.59</v>
      </c>
    </row>
    <row r="77" spans="1:5" x14ac:dyDescent="0.25">
      <c r="A77" s="130" t="s">
        <v>4</v>
      </c>
      <c r="B77" s="130" t="s">
        <v>574</v>
      </c>
      <c r="C77" s="130" t="s">
        <v>608</v>
      </c>
      <c r="D77" s="130" t="s">
        <v>575</v>
      </c>
      <c r="E77" s="132">
        <v>4600.4399999999996</v>
      </c>
    </row>
    <row r="78" spans="1:5" x14ac:dyDescent="0.25">
      <c r="A78" s="130" t="s">
        <v>4</v>
      </c>
      <c r="B78" s="130" t="s">
        <v>574</v>
      </c>
      <c r="C78" s="130" t="s">
        <v>608</v>
      </c>
      <c r="D78" s="130" t="s">
        <v>283</v>
      </c>
      <c r="E78" s="132">
        <v>2847.97</v>
      </c>
    </row>
    <row r="79" spans="1:5" x14ac:dyDescent="0.25">
      <c r="A79" s="130" t="s">
        <v>4</v>
      </c>
      <c r="B79" s="130" t="s">
        <v>574</v>
      </c>
      <c r="C79" s="130" t="s">
        <v>608</v>
      </c>
      <c r="D79" s="130" t="s">
        <v>931</v>
      </c>
      <c r="E79" s="132">
        <v>2462.09</v>
      </c>
    </row>
    <row r="80" spans="1:5" x14ac:dyDescent="0.25">
      <c r="A80" s="130" t="s">
        <v>4</v>
      </c>
      <c r="B80" s="130" t="s">
        <v>574</v>
      </c>
      <c r="C80" s="130" t="s">
        <v>608</v>
      </c>
      <c r="D80" s="130" t="s">
        <v>690</v>
      </c>
      <c r="E80" s="132">
        <v>1303.8499999999999</v>
      </c>
    </row>
    <row r="81" spans="1:5" x14ac:dyDescent="0.25">
      <c r="A81" s="130" t="s">
        <v>4</v>
      </c>
      <c r="B81" s="130" t="s">
        <v>574</v>
      </c>
      <c r="C81" s="130" t="s">
        <v>608</v>
      </c>
      <c r="D81" s="130" t="s">
        <v>614</v>
      </c>
      <c r="E81" s="132">
        <v>2273.7800000000002</v>
      </c>
    </row>
    <row r="82" spans="1:5" x14ac:dyDescent="0.25">
      <c r="A82" s="130" t="s">
        <v>4</v>
      </c>
      <c r="B82" s="130" t="s">
        <v>574</v>
      </c>
      <c r="C82" s="130" t="s">
        <v>608</v>
      </c>
      <c r="D82" s="130" t="s">
        <v>264</v>
      </c>
      <c r="E82" s="132">
        <v>2426.11</v>
      </c>
    </row>
    <row r="83" spans="1:5" x14ac:dyDescent="0.25">
      <c r="A83" s="130" t="s">
        <v>4</v>
      </c>
      <c r="B83" s="130" t="s">
        <v>574</v>
      </c>
      <c r="C83" s="130" t="s">
        <v>608</v>
      </c>
      <c r="D83" s="130" t="s">
        <v>381</v>
      </c>
      <c r="E83" s="132">
        <v>2785.89</v>
      </c>
    </row>
    <row r="84" spans="1:5" x14ac:dyDescent="0.25">
      <c r="A84" s="130" t="s">
        <v>4</v>
      </c>
      <c r="B84" s="130" t="s">
        <v>574</v>
      </c>
      <c r="C84" s="130" t="s">
        <v>608</v>
      </c>
      <c r="D84" s="130" t="s">
        <v>343</v>
      </c>
      <c r="E84" s="132">
        <v>2045.63</v>
      </c>
    </row>
    <row r="85" spans="1:5" x14ac:dyDescent="0.25">
      <c r="A85" s="130" t="s">
        <v>4</v>
      </c>
      <c r="B85" s="130" t="s">
        <v>574</v>
      </c>
      <c r="C85" s="130" t="s">
        <v>608</v>
      </c>
      <c r="D85" s="130" t="s">
        <v>703</v>
      </c>
      <c r="E85" s="132">
        <v>1314.2</v>
      </c>
    </row>
    <row r="86" spans="1:5" x14ac:dyDescent="0.25">
      <c r="A86" s="130" t="s">
        <v>4</v>
      </c>
      <c r="B86" s="130" t="s">
        <v>574</v>
      </c>
      <c r="C86" s="130" t="s">
        <v>608</v>
      </c>
      <c r="D86" s="130" t="s">
        <v>440</v>
      </c>
      <c r="E86" s="132">
        <v>3074.29</v>
      </c>
    </row>
    <row r="87" spans="1:5" x14ac:dyDescent="0.25">
      <c r="A87" s="130" t="s">
        <v>4</v>
      </c>
      <c r="B87" s="130" t="s">
        <v>574</v>
      </c>
      <c r="C87" s="130" t="s">
        <v>608</v>
      </c>
      <c r="D87" s="130" t="s">
        <v>693</v>
      </c>
      <c r="E87" s="132">
        <v>1314.58</v>
      </c>
    </row>
    <row r="88" spans="1:5" x14ac:dyDescent="0.25">
      <c r="A88" s="130" t="s">
        <v>4</v>
      </c>
      <c r="B88" s="130" t="s">
        <v>574</v>
      </c>
      <c r="C88" s="130" t="s">
        <v>608</v>
      </c>
      <c r="D88" s="130" t="s">
        <v>629</v>
      </c>
      <c r="E88" s="132">
        <v>2531.65</v>
      </c>
    </row>
    <row r="89" spans="1:5" x14ac:dyDescent="0.25">
      <c r="A89" s="130" t="s">
        <v>4</v>
      </c>
      <c r="B89" s="130" t="s">
        <v>574</v>
      </c>
      <c r="C89" s="130" t="s">
        <v>608</v>
      </c>
      <c r="D89" s="130" t="s">
        <v>262</v>
      </c>
      <c r="E89" s="132">
        <v>444.96</v>
      </c>
    </row>
    <row r="90" spans="1:5" x14ac:dyDescent="0.25">
      <c r="A90" s="130" t="s">
        <v>4</v>
      </c>
      <c r="B90" s="130" t="s">
        <v>574</v>
      </c>
      <c r="C90" s="130" t="s">
        <v>608</v>
      </c>
      <c r="D90" s="130" t="s">
        <v>236</v>
      </c>
      <c r="E90" s="132">
        <v>577.63</v>
      </c>
    </row>
    <row r="91" spans="1:5" x14ac:dyDescent="0.25">
      <c r="A91" s="130" t="s">
        <v>4</v>
      </c>
      <c r="B91" s="130" t="s">
        <v>574</v>
      </c>
      <c r="C91" s="130" t="s">
        <v>608</v>
      </c>
      <c r="D91" s="130" t="s">
        <v>672</v>
      </c>
      <c r="E91" s="132">
        <v>2051.54</v>
      </c>
    </row>
    <row r="92" spans="1:5" x14ac:dyDescent="0.25">
      <c r="A92" s="130" t="s">
        <v>4</v>
      </c>
      <c r="B92" s="130" t="s">
        <v>574</v>
      </c>
      <c r="C92" s="130" t="s">
        <v>608</v>
      </c>
      <c r="D92" s="130" t="s">
        <v>679</v>
      </c>
      <c r="E92" s="132">
        <v>1768.22</v>
      </c>
    </row>
    <row r="93" spans="1:5" x14ac:dyDescent="0.25">
      <c r="A93" s="130" t="s">
        <v>4</v>
      </c>
      <c r="B93" s="130" t="s">
        <v>574</v>
      </c>
      <c r="C93" s="130" t="s">
        <v>608</v>
      </c>
      <c r="D93" s="130" t="s">
        <v>338</v>
      </c>
      <c r="E93" s="132">
        <v>1030.18</v>
      </c>
    </row>
    <row r="94" spans="1:5" x14ac:dyDescent="0.25">
      <c r="A94" s="130" t="s">
        <v>4</v>
      </c>
      <c r="B94" s="130" t="s">
        <v>574</v>
      </c>
      <c r="C94" s="130" t="s">
        <v>608</v>
      </c>
      <c r="D94" s="130" t="s">
        <v>293</v>
      </c>
      <c r="E94" s="132">
        <v>662.22</v>
      </c>
    </row>
    <row r="95" spans="1:5" x14ac:dyDescent="0.25">
      <c r="A95" s="130" t="s">
        <v>4</v>
      </c>
      <c r="B95" s="130" t="s">
        <v>574</v>
      </c>
      <c r="C95" s="130" t="s">
        <v>608</v>
      </c>
      <c r="D95" s="130" t="s">
        <v>237</v>
      </c>
      <c r="E95" s="132">
        <v>750.61</v>
      </c>
    </row>
    <row r="96" spans="1:5" x14ac:dyDescent="0.25">
      <c r="A96" s="130" t="s">
        <v>4</v>
      </c>
      <c r="B96" s="130" t="s">
        <v>574</v>
      </c>
      <c r="C96" s="130" t="s">
        <v>608</v>
      </c>
      <c r="D96" s="130" t="s">
        <v>238</v>
      </c>
      <c r="E96" s="132">
        <v>375.28</v>
      </c>
    </row>
    <row r="97" spans="1:5" x14ac:dyDescent="0.25">
      <c r="A97" s="130" t="s">
        <v>4</v>
      </c>
      <c r="B97" s="130" t="s">
        <v>574</v>
      </c>
      <c r="C97" s="130" t="s">
        <v>608</v>
      </c>
      <c r="D97" s="130" t="s">
        <v>406</v>
      </c>
      <c r="E97" s="132">
        <v>1096.76</v>
      </c>
    </row>
    <row r="98" spans="1:5" x14ac:dyDescent="0.25">
      <c r="A98" s="130" t="s">
        <v>4</v>
      </c>
      <c r="B98" s="130" t="s">
        <v>574</v>
      </c>
      <c r="C98" s="130" t="s">
        <v>608</v>
      </c>
      <c r="D98" s="130" t="s">
        <v>512</v>
      </c>
      <c r="E98" s="132">
        <v>659.68</v>
      </c>
    </row>
    <row r="99" spans="1:5" x14ac:dyDescent="0.25">
      <c r="A99" s="130" t="s">
        <v>4</v>
      </c>
      <c r="B99" s="130" t="s">
        <v>574</v>
      </c>
      <c r="C99" s="130" t="s">
        <v>608</v>
      </c>
      <c r="D99" s="130" t="s">
        <v>660</v>
      </c>
      <c r="E99" s="132">
        <v>1085.73</v>
      </c>
    </row>
    <row r="100" spans="1:5" x14ac:dyDescent="0.25">
      <c r="A100" s="130" t="s">
        <v>4</v>
      </c>
      <c r="B100" s="130" t="s">
        <v>574</v>
      </c>
      <c r="C100" s="130" t="s">
        <v>608</v>
      </c>
      <c r="D100" s="130" t="s">
        <v>712</v>
      </c>
      <c r="E100" s="132">
        <v>1109.6300000000001</v>
      </c>
    </row>
    <row r="101" spans="1:5" x14ac:dyDescent="0.25">
      <c r="A101" s="130" t="s">
        <v>4</v>
      </c>
      <c r="B101" s="130" t="s">
        <v>574</v>
      </c>
      <c r="C101" s="130" t="s">
        <v>608</v>
      </c>
      <c r="D101" s="130" t="s">
        <v>339</v>
      </c>
      <c r="E101" s="132">
        <v>734.35</v>
      </c>
    </row>
    <row r="102" spans="1:5" x14ac:dyDescent="0.25">
      <c r="A102" s="130" t="s">
        <v>4</v>
      </c>
      <c r="B102" s="130" t="s">
        <v>574</v>
      </c>
      <c r="C102" s="130" t="s">
        <v>608</v>
      </c>
      <c r="D102" s="130" t="s">
        <v>243</v>
      </c>
      <c r="E102" s="132">
        <v>464.31</v>
      </c>
    </row>
    <row r="103" spans="1:5" x14ac:dyDescent="0.25">
      <c r="A103" s="130" t="s">
        <v>4</v>
      </c>
      <c r="B103" s="130" t="s">
        <v>574</v>
      </c>
      <c r="C103" s="130" t="s">
        <v>608</v>
      </c>
      <c r="D103" s="130" t="s">
        <v>435</v>
      </c>
      <c r="E103" s="132">
        <v>1009.56</v>
      </c>
    </row>
    <row r="104" spans="1:5" x14ac:dyDescent="0.25">
      <c r="A104" s="130" t="s">
        <v>4</v>
      </c>
      <c r="B104" s="130" t="s">
        <v>574</v>
      </c>
      <c r="C104" s="130" t="s">
        <v>608</v>
      </c>
      <c r="D104" s="130" t="s">
        <v>280</v>
      </c>
      <c r="E104" s="132">
        <v>303.14999999999998</v>
      </c>
    </row>
    <row r="105" spans="1:5" x14ac:dyDescent="0.25">
      <c r="A105" s="130" t="s">
        <v>4</v>
      </c>
      <c r="B105" s="130" t="s">
        <v>574</v>
      </c>
      <c r="C105" s="130" t="s">
        <v>608</v>
      </c>
      <c r="D105" s="130" t="s">
        <v>475</v>
      </c>
      <c r="E105" s="132">
        <v>334.09</v>
      </c>
    </row>
    <row r="106" spans="1:5" x14ac:dyDescent="0.25">
      <c r="A106" s="130" t="s">
        <v>4</v>
      </c>
      <c r="B106" s="130" t="s">
        <v>574</v>
      </c>
      <c r="C106" s="130" t="s">
        <v>608</v>
      </c>
      <c r="D106" s="130" t="s">
        <v>412</v>
      </c>
      <c r="E106" s="132">
        <v>300.98</v>
      </c>
    </row>
    <row r="107" spans="1:5" x14ac:dyDescent="0.25">
      <c r="A107" s="130" t="s">
        <v>4</v>
      </c>
      <c r="B107" s="130" t="s">
        <v>574</v>
      </c>
      <c r="C107" s="130" t="s">
        <v>608</v>
      </c>
      <c r="D107" s="130" t="s">
        <v>458</v>
      </c>
      <c r="E107" s="132">
        <v>361.3</v>
      </c>
    </row>
    <row r="108" spans="1:5" x14ac:dyDescent="0.25">
      <c r="A108" s="130" t="s">
        <v>4</v>
      </c>
      <c r="B108" s="130" t="s">
        <v>574</v>
      </c>
      <c r="C108" s="130" t="s">
        <v>608</v>
      </c>
      <c r="D108" s="130" t="s">
        <v>476</v>
      </c>
      <c r="E108" s="132">
        <v>378.2</v>
      </c>
    </row>
    <row r="109" spans="1:5" x14ac:dyDescent="0.25">
      <c r="A109" s="130" t="s">
        <v>4</v>
      </c>
      <c r="B109" s="130" t="s">
        <v>574</v>
      </c>
      <c r="C109" s="130" t="s">
        <v>608</v>
      </c>
      <c r="D109" s="130" t="s">
        <v>316</v>
      </c>
      <c r="E109" s="132">
        <v>250.15</v>
      </c>
    </row>
    <row r="110" spans="1:5" x14ac:dyDescent="0.25">
      <c r="A110" s="130" t="s">
        <v>4</v>
      </c>
      <c r="B110" s="130" t="s">
        <v>574</v>
      </c>
      <c r="C110" s="130" t="s">
        <v>608</v>
      </c>
      <c r="D110" s="130" t="s">
        <v>525</v>
      </c>
      <c r="E110" s="132">
        <v>1603.37</v>
      </c>
    </row>
    <row r="111" spans="1:5" x14ac:dyDescent="0.25">
      <c r="A111" s="130" t="s">
        <v>4</v>
      </c>
      <c r="B111" s="130" t="s">
        <v>574</v>
      </c>
      <c r="C111" s="130" t="s">
        <v>608</v>
      </c>
      <c r="D111" s="130" t="s">
        <v>353</v>
      </c>
      <c r="E111" s="132">
        <v>911.72</v>
      </c>
    </row>
    <row r="112" spans="1:5" x14ac:dyDescent="0.25">
      <c r="A112" s="130" t="s">
        <v>4</v>
      </c>
      <c r="B112" s="130" t="s">
        <v>574</v>
      </c>
      <c r="C112" s="130" t="s">
        <v>608</v>
      </c>
      <c r="D112" s="130" t="s">
        <v>328</v>
      </c>
      <c r="E112" s="132">
        <v>1069.4100000000001</v>
      </c>
    </row>
    <row r="113" spans="1:5" x14ac:dyDescent="0.25">
      <c r="A113" s="130" t="s">
        <v>4</v>
      </c>
      <c r="B113" s="130" t="s">
        <v>574</v>
      </c>
      <c r="C113" s="130" t="s">
        <v>608</v>
      </c>
      <c r="D113" s="130" t="s">
        <v>502</v>
      </c>
      <c r="E113" s="132">
        <v>7172.57</v>
      </c>
    </row>
    <row r="114" spans="1:5" x14ac:dyDescent="0.25">
      <c r="A114" s="130" t="s">
        <v>4</v>
      </c>
      <c r="B114" s="130" t="s">
        <v>574</v>
      </c>
      <c r="C114" s="130" t="s">
        <v>608</v>
      </c>
      <c r="D114" s="130" t="s">
        <v>362</v>
      </c>
      <c r="E114" s="132">
        <v>10728.7</v>
      </c>
    </row>
    <row r="115" spans="1:5" x14ac:dyDescent="0.25">
      <c r="A115" s="130" t="s">
        <v>4</v>
      </c>
      <c r="B115" s="130" t="s">
        <v>574</v>
      </c>
      <c r="C115" s="130" t="s">
        <v>608</v>
      </c>
      <c r="D115" s="130" t="s">
        <v>774</v>
      </c>
      <c r="E115" s="132">
        <v>7620.57</v>
      </c>
    </row>
    <row r="116" spans="1:5" x14ac:dyDescent="0.25">
      <c r="A116" s="130" t="s">
        <v>4</v>
      </c>
      <c r="B116" s="130" t="s">
        <v>574</v>
      </c>
      <c r="C116" s="130" t="s">
        <v>608</v>
      </c>
      <c r="D116" s="130" t="s">
        <v>775</v>
      </c>
      <c r="E116" s="132">
        <v>982.23</v>
      </c>
    </row>
    <row r="117" spans="1:5" x14ac:dyDescent="0.25">
      <c r="A117" s="130" t="s">
        <v>4</v>
      </c>
      <c r="B117" s="130" t="s">
        <v>574</v>
      </c>
      <c r="C117" s="130" t="s">
        <v>608</v>
      </c>
      <c r="D117" s="130" t="s">
        <v>730</v>
      </c>
      <c r="E117" s="132">
        <v>982.23</v>
      </c>
    </row>
    <row r="118" spans="1:5" x14ac:dyDescent="0.25">
      <c r="A118" s="130" t="s">
        <v>4</v>
      </c>
      <c r="B118" s="130" t="s">
        <v>574</v>
      </c>
      <c r="C118" s="130" t="s">
        <v>608</v>
      </c>
      <c r="D118" s="130" t="s">
        <v>819</v>
      </c>
      <c r="E118" s="132">
        <v>982.23</v>
      </c>
    </row>
    <row r="119" spans="1:5" x14ac:dyDescent="0.25">
      <c r="A119" s="130" t="s">
        <v>4</v>
      </c>
      <c r="B119" s="130" t="s">
        <v>574</v>
      </c>
      <c r="C119" s="130" t="s">
        <v>608</v>
      </c>
      <c r="D119" s="130" t="s">
        <v>341</v>
      </c>
      <c r="E119" s="132">
        <v>1314.59</v>
      </c>
    </row>
    <row r="120" spans="1:5" x14ac:dyDescent="0.25">
      <c r="A120" s="130" t="s">
        <v>4</v>
      </c>
      <c r="B120" s="130" t="s">
        <v>574</v>
      </c>
      <c r="C120" s="130" t="s">
        <v>608</v>
      </c>
      <c r="D120" s="130" t="s">
        <v>305</v>
      </c>
      <c r="E120" s="132">
        <v>3416.08</v>
      </c>
    </row>
    <row r="121" spans="1:5" x14ac:dyDescent="0.25">
      <c r="A121" s="130" t="s">
        <v>4</v>
      </c>
      <c r="B121" s="130" t="s">
        <v>574</v>
      </c>
      <c r="C121" s="130" t="s">
        <v>608</v>
      </c>
      <c r="D121" s="130" t="s">
        <v>511</v>
      </c>
      <c r="E121" s="132">
        <v>4696.38</v>
      </c>
    </row>
    <row r="122" spans="1:5" x14ac:dyDescent="0.25">
      <c r="A122" s="130" t="s">
        <v>4</v>
      </c>
      <c r="B122" s="130" t="s">
        <v>574</v>
      </c>
      <c r="C122" s="130" t="s">
        <v>608</v>
      </c>
      <c r="D122" s="130" t="s">
        <v>559</v>
      </c>
      <c r="E122" s="132">
        <v>3359.09</v>
      </c>
    </row>
    <row r="123" spans="1:5" x14ac:dyDescent="0.25">
      <c r="A123" s="130" t="s">
        <v>4</v>
      </c>
      <c r="B123" s="130" t="s">
        <v>574</v>
      </c>
      <c r="C123" s="130" t="s">
        <v>608</v>
      </c>
      <c r="D123" s="130" t="s">
        <v>531</v>
      </c>
      <c r="E123" s="132">
        <v>3256.36</v>
      </c>
    </row>
    <row r="124" spans="1:5" x14ac:dyDescent="0.25">
      <c r="A124" s="130" t="s">
        <v>4</v>
      </c>
      <c r="B124" s="130" t="s">
        <v>574</v>
      </c>
      <c r="C124" s="130" t="s">
        <v>608</v>
      </c>
      <c r="D124" s="130" t="s">
        <v>402</v>
      </c>
      <c r="E124" s="132">
        <v>2538.9</v>
      </c>
    </row>
    <row r="125" spans="1:5" x14ac:dyDescent="0.25">
      <c r="A125" s="130" t="s">
        <v>4</v>
      </c>
      <c r="B125" s="130" t="s">
        <v>574</v>
      </c>
      <c r="C125" s="130" t="s">
        <v>608</v>
      </c>
      <c r="D125" s="130" t="s">
        <v>304</v>
      </c>
      <c r="E125" s="132">
        <v>3222.26</v>
      </c>
    </row>
    <row r="126" spans="1:5" x14ac:dyDescent="0.25">
      <c r="A126" s="130" t="s">
        <v>4</v>
      </c>
      <c r="B126" s="130" t="s">
        <v>574</v>
      </c>
      <c r="C126" s="130" t="s">
        <v>608</v>
      </c>
      <c r="D126" s="130" t="s">
        <v>291</v>
      </c>
      <c r="E126" s="132">
        <v>3858.88</v>
      </c>
    </row>
    <row r="127" spans="1:5" x14ac:dyDescent="0.25">
      <c r="A127" s="130" t="s">
        <v>4</v>
      </c>
      <c r="B127" s="130" t="s">
        <v>574</v>
      </c>
      <c r="C127" s="130" t="s">
        <v>608</v>
      </c>
      <c r="D127" s="130" t="s">
        <v>932</v>
      </c>
      <c r="E127" s="132">
        <v>2504.6799999999998</v>
      </c>
    </row>
    <row r="128" spans="1:5" x14ac:dyDescent="0.25">
      <c r="A128" s="130" t="s">
        <v>4</v>
      </c>
      <c r="B128" s="130" t="s">
        <v>574</v>
      </c>
      <c r="C128" s="130" t="s">
        <v>608</v>
      </c>
      <c r="D128" s="130" t="s">
        <v>933</v>
      </c>
      <c r="E128" s="132">
        <v>3177.13</v>
      </c>
    </row>
    <row r="129" spans="1:5" x14ac:dyDescent="0.25">
      <c r="A129" s="130" t="s">
        <v>4</v>
      </c>
      <c r="B129" s="130" t="s">
        <v>574</v>
      </c>
      <c r="C129" s="130" t="s">
        <v>608</v>
      </c>
      <c r="D129" s="130" t="s">
        <v>934</v>
      </c>
      <c r="E129" s="132">
        <v>3788.82</v>
      </c>
    </row>
    <row r="130" spans="1:5" x14ac:dyDescent="0.25">
      <c r="A130" s="130" t="s">
        <v>4</v>
      </c>
      <c r="B130" s="130" t="s">
        <v>574</v>
      </c>
      <c r="C130" s="130" t="s">
        <v>608</v>
      </c>
      <c r="D130" s="130" t="s">
        <v>490</v>
      </c>
      <c r="E130" s="132">
        <v>2607.41</v>
      </c>
    </row>
    <row r="131" spans="1:5" x14ac:dyDescent="0.25">
      <c r="A131" s="130" t="s">
        <v>4</v>
      </c>
      <c r="B131" s="130" t="s">
        <v>574</v>
      </c>
      <c r="C131" s="130" t="s">
        <v>608</v>
      </c>
      <c r="D131" s="130" t="s">
        <v>306</v>
      </c>
      <c r="E131" s="132">
        <v>2883.62</v>
      </c>
    </row>
    <row r="132" spans="1:5" x14ac:dyDescent="0.25">
      <c r="A132" s="130" t="s">
        <v>4</v>
      </c>
      <c r="B132" s="130" t="s">
        <v>574</v>
      </c>
      <c r="C132" s="130" t="s">
        <v>608</v>
      </c>
      <c r="D132" s="130" t="s">
        <v>385</v>
      </c>
      <c r="E132" s="132">
        <v>3175.64</v>
      </c>
    </row>
    <row r="133" spans="1:5" x14ac:dyDescent="0.25">
      <c r="A133" s="130" t="s">
        <v>4</v>
      </c>
      <c r="B133" s="130" t="s">
        <v>574</v>
      </c>
      <c r="C133" s="130" t="s">
        <v>608</v>
      </c>
      <c r="D133" s="130" t="s">
        <v>386</v>
      </c>
      <c r="E133" s="132">
        <v>3393.57</v>
      </c>
    </row>
    <row r="134" spans="1:5" x14ac:dyDescent="0.25">
      <c r="A134" s="130" t="s">
        <v>4</v>
      </c>
      <c r="B134" s="130" t="s">
        <v>574</v>
      </c>
      <c r="C134" s="130" t="s">
        <v>608</v>
      </c>
      <c r="D134" s="130" t="s">
        <v>368</v>
      </c>
      <c r="E134" s="132">
        <v>3961.8</v>
      </c>
    </row>
    <row r="135" spans="1:5" x14ac:dyDescent="0.25">
      <c r="A135" s="130" t="s">
        <v>4</v>
      </c>
      <c r="B135" s="130" t="s">
        <v>574</v>
      </c>
      <c r="C135" s="130" t="s">
        <v>608</v>
      </c>
      <c r="D135" s="130" t="s">
        <v>387</v>
      </c>
      <c r="E135" s="132">
        <v>4479.1899999999996</v>
      </c>
    </row>
    <row r="136" spans="1:5" x14ac:dyDescent="0.25">
      <c r="A136" s="130" t="s">
        <v>4</v>
      </c>
      <c r="B136" s="130" t="s">
        <v>574</v>
      </c>
      <c r="C136" s="130" t="s">
        <v>608</v>
      </c>
      <c r="D136" s="130" t="s">
        <v>425</v>
      </c>
      <c r="E136" s="132">
        <v>9157.09</v>
      </c>
    </row>
    <row r="137" spans="1:5" x14ac:dyDescent="0.25">
      <c r="A137" s="130" t="s">
        <v>4</v>
      </c>
      <c r="B137" s="130" t="s">
        <v>574</v>
      </c>
      <c r="C137" s="130" t="s">
        <v>608</v>
      </c>
      <c r="D137" s="130" t="s">
        <v>935</v>
      </c>
      <c r="E137" s="132">
        <v>5366.41</v>
      </c>
    </row>
    <row r="138" spans="1:5" x14ac:dyDescent="0.25">
      <c r="A138" s="130" t="s">
        <v>4</v>
      </c>
      <c r="B138" s="130" t="s">
        <v>574</v>
      </c>
      <c r="C138" s="130" t="s">
        <v>608</v>
      </c>
      <c r="D138" s="130" t="s">
        <v>538</v>
      </c>
      <c r="E138" s="132">
        <v>5849.08</v>
      </c>
    </row>
    <row r="139" spans="1:5" x14ac:dyDescent="0.25">
      <c r="A139" s="130" t="s">
        <v>4</v>
      </c>
      <c r="B139" s="130" t="s">
        <v>574</v>
      </c>
      <c r="C139" s="130" t="s">
        <v>608</v>
      </c>
      <c r="D139" s="130" t="s">
        <v>389</v>
      </c>
      <c r="E139" s="132">
        <v>6958.26</v>
      </c>
    </row>
    <row r="140" spans="1:5" x14ac:dyDescent="0.25">
      <c r="A140" s="130" t="s">
        <v>4</v>
      </c>
      <c r="B140" s="130" t="s">
        <v>574</v>
      </c>
      <c r="C140" s="130" t="s">
        <v>608</v>
      </c>
      <c r="D140" s="130" t="s">
        <v>427</v>
      </c>
      <c r="E140" s="132">
        <v>8055.66</v>
      </c>
    </row>
    <row r="141" spans="1:5" x14ac:dyDescent="0.25">
      <c r="A141" s="130" t="s">
        <v>4</v>
      </c>
      <c r="B141" s="130" t="s">
        <v>574</v>
      </c>
      <c r="C141" s="130" t="s">
        <v>608</v>
      </c>
      <c r="D141" s="130" t="s">
        <v>572</v>
      </c>
      <c r="E141" s="132">
        <v>5552.6</v>
      </c>
    </row>
    <row r="142" spans="1:5" x14ac:dyDescent="0.25">
      <c r="A142" s="130" t="s">
        <v>4</v>
      </c>
      <c r="B142" s="130" t="s">
        <v>574</v>
      </c>
      <c r="C142" s="130" t="s">
        <v>608</v>
      </c>
      <c r="D142" s="130" t="s">
        <v>543</v>
      </c>
      <c r="E142" s="132">
        <v>7562.14</v>
      </c>
    </row>
    <row r="143" spans="1:5" x14ac:dyDescent="0.25">
      <c r="A143" s="130" t="s">
        <v>4</v>
      </c>
      <c r="B143" s="130" t="s">
        <v>574</v>
      </c>
      <c r="C143" s="130" t="s">
        <v>608</v>
      </c>
      <c r="D143" s="130" t="s">
        <v>576</v>
      </c>
      <c r="E143" s="132">
        <v>11923.84</v>
      </c>
    </row>
    <row r="144" spans="1:5" x14ac:dyDescent="0.25">
      <c r="A144" s="130" t="s">
        <v>4</v>
      </c>
      <c r="B144" s="130" t="s">
        <v>574</v>
      </c>
      <c r="C144" s="130" t="s">
        <v>608</v>
      </c>
      <c r="D144" s="130" t="s">
        <v>936</v>
      </c>
      <c r="E144" s="132">
        <v>6911.51</v>
      </c>
    </row>
    <row r="145" spans="1:5" x14ac:dyDescent="0.25">
      <c r="A145" s="130" t="s">
        <v>4</v>
      </c>
      <c r="B145" s="130" t="s">
        <v>574</v>
      </c>
      <c r="C145" s="130" t="s">
        <v>608</v>
      </c>
      <c r="D145" s="130" t="s">
        <v>652</v>
      </c>
      <c r="E145" s="132">
        <v>7092.11</v>
      </c>
    </row>
    <row r="146" spans="1:5" x14ac:dyDescent="0.25">
      <c r="A146" s="130" t="s">
        <v>4</v>
      </c>
      <c r="B146" s="130" t="s">
        <v>574</v>
      </c>
      <c r="C146" s="130" t="s">
        <v>608</v>
      </c>
      <c r="D146" s="130" t="s">
        <v>578</v>
      </c>
      <c r="E146" s="132">
        <v>6720.06</v>
      </c>
    </row>
    <row r="147" spans="1:5" x14ac:dyDescent="0.25">
      <c r="A147" s="130" t="s">
        <v>4</v>
      </c>
      <c r="B147" s="130" t="s">
        <v>574</v>
      </c>
      <c r="C147" s="130" t="s">
        <v>608</v>
      </c>
      <c r="D147" s="130" t="s">
        <v>759</v>
      </c>
      <c r="E147" s="132">
        <v>6603.94</v>
      </c>
    </row>
    <row r="148" spans="1:5" x14ac:dyDescent="0.25">
      <c r="A148" s="130" t="s">
        <v>4</v>
      </c>
      <c r="B148" s="130" t="s">
        <v>574</v>
      </c>
      <c r="C148" s="130" t="s">
        <v>608</v>
      </c>
      <c r="D148" s="130" t="s">
        <v>653</v>
      </c>
      <c r="E148" s="132">
        <v>4145.32</v>
      </c>
    </row>
    <row r="149" spans="1:5" x14ac:dyDescent="0.25">
      <c r="A149" s="130" t="s">
        <v>4</v>
      </c>
      <c r="B149" s="130" t="s">
        <v>574</v>
      </c>
      <c r="C149" s="130" t="s">
        <v>608</v>
      </c>
      <c r="D149" s="130" t="s">
        <v>937</v>
      </c>
      <c r="E149" s="132">
        <v>7684.38</v>
      </c>
    </row>
    <row r="150" spans="1:5" x14ac:dyDescent="0.25">
      <c r="A150" s="130" t="s">
        <v>4</v>
      </c>
      <c r="B150" s="130" t="s">
        <v>574</v>
      </c>
      <c r="C150" s="130" t="s">
        <v>608</v>
      </c>
      <c r="D150" s="130" t="s">
        <v>776</v>
      </c>
      <c r="E150" s="132">
        <v>10146.540000000001</v>
      </c>
    </row>
    <row r="151" spans="1:5" x14ac:dyDescent="0.25">
      <c r="A151" s="130" t="s">
        <v>4</v>
      </c>
      <c r="B151" s="130" t="s">
        <v>574</v>
      </c>
      <c r="C151" s="130" t="s">
        <v>608</v>
      </c>
      <c r="D151" s="130" t="s">
        <v>938</v>
      </c>
      <c r="E151" s="132">
        <v>12608.37</v>
      </c>
    </row>
    <row r="152" spans="1:5" x14ac:dyDescent="0.25">
      <c r="A152" s="130" t="s">
        <v>4</v>
      </c>
      <c r="B152" s="130" t="s">
        <v>574</v>
      </c>
      <c r="C152" s="130" t="s">
        <v>608</v>
      </c>
      <c r="D152" s="130" t="s">
        <v>269</v>
      </c>
      <c r="E152" s="132">
        <v>9933.1200000000008</v>
      </c>
    </row>
    <row r="153" spans="1:5" x14ac:dyDescent="0.25">
      <c r="A153" s="130" t="s">
        <v>4</v>
      </c>
      <c r="B153" s="130" t="s">
        <v>574</v>
      </c>
      <c r="C153" s="130" t="s">
        <v>608</v>
      </c>
      <c r="D153" s="130" t="s">
        <v>560</v>
      </c>
      <c r="E153" s="132">
        <v>12673.74</v>
      </c>
    </row>
    <row r="154" spans="1:5" x14ac:dyDescent="0.25">
      <c r="A154" s="130" t="s">
        <v>4</v>
      </c>
      <c r="B154" s="130" t="s">
        <v>574</v>
      </c>
      <c r="C154" s="130" t="s">
        <v>608</v>
      </c>
      <c r="D154" s="130" t="s">
        <v>561</v>
      </c>
      <c r="E154" s="132">
        <v>15416.25</v>
      </c>
    </row>
    <row r="155" spans="1:5" x14ac:dyDescent="0.25">
      <c r="A155" s="130" t="s">
        <v>4</v>
      </c>
      <c r="B155" s="130" t="s">
        <v>574</v>
      </c>
      <c r="C155" s="130" t="s">
        <v>608</v>
      </c>
      <c r="D155" s="130" t="s">
        <v>334</v>
      </c>
      <c r="E155" s="132">
        <v>17895.43</v>
      </c>
    </row>
    <row r="156" spans="1:5" x14ac:dyDescent="0.25">
      <c r="A156" s="130" t="s">
        <v>4</v>
      </c>
      <c r="B156" s="130" t="s">
        <v>574</v>
      </c>
      <c r="C156" s="130" t="s">
        <v>608</v>
      </c>
      <c r="D156" s="130" t="s">
        <v>335</v>
      </c>
      <c r="E156" s="132">
        <v>19099.97</v>
      </c>
    </row>
    <row r="157" spans="1:5" x14ac:dyDescent="0.25">
      <c r="A157" s="130" t="s">
        <v>4</v>
      </c>
      <c r="B157" s="130" t="s">
        <v>574</v>
      </c>
      <c r="C157" s="130" t="s">
        <v>608</v>
      </c>
      <c r="D157" s="130" t="s">
        <v>378</v>
      </c>
      <c r="E157" s="132">
        <v>4771.1499999999996</v>
      </c>
    </row>
    <row r="158" spans="1:5" x14ac:dyDescent="0.25">
      <c r="A158" s="130" t="s">
        <v>4</v>
      </c>
      <c r="B158" s="130" t="s">
        <v>574</v>
      </c>
      <c r="C158" s="130" t="s">
        <v>608</v>
      </c>
      <c r="D158" s="130" t="s">
        <v>309</v>
      </c>
      <c r="E158" s="132">
        <v>4346.82</v>
      </c>
    </row>
    <row r="159" spans="1:5" x14ac:dyDescent="0.25">
      <c r="A159" s="130" t="s">
        <v>4</v>
      </c>
      <c r="B159" s="130" t="s">
        <v>574</v>
      </c>
      <c r="C159" s="130" t="s">
        <v>608</v>
      </c>
      <c r="D159" s="130" t="s">
        <v>655</v>
      </c>
      <c r="E159" s="132">
        <v>4708.8999999999996</v>
      </c>
    </row>
    <row r="160" spans="1:5" x14ac:dyDescent="0.25">
      <c r="A160" s="130" t="s">
        <v>4</v>
      </c>
      <c r="B160" s="130" t="s">
        <v>574</v>
      </c>
      <c r="C160" s="130" t="s">
        <v>608</v>
      </c>
      <c r="D160" s="130" t="s">
        <v>509</v>
      </c>
      <c r="E160" s="132">
        <v>1310.68</v>
      </c>
    </row>
    <row r="161" spans="1:5" x14ac:dyDescent="0.25">
      <c r="A161" s="130" t="s">
        <v>4</v>
      </c>
      <c r="B161" s="130" t="s">
        <v>574</v>
      </c>
      <c r="C161" s="130" t="s">
        <v>608</v>
      </c>
      <c r="D161" s="130" t="s">
        <v>356</v>
      </c>
      <c r="E161" s="132">
        <v>1488.12</v>
      </c>
    </row>
    <row r="162" spans="1:5" x14ac:dyDescent="0.25">
      <c r="A162" s="130" t="s">
        <v>4</v>
      </c>
      <c r="B162" s="130" t="s">
        <v>574</v>
      </c>
      <c r="C162" s="130" t="s">
        <v>608</v>
      </c>
      <c r="D162" s="130" t="s">
        <v>310</v>
      </c>
      <c r="E162" s="132">
        <v>7084.37</v>
      </c>
    </row>
    <row r="163" spans="1:5" x14ac:dyDescent="0.25">
      <c r="A163" s="130" t="s">
        <v>4</v>
      </c>
      <c r="B163" s="130" t="s">
        <v>574</v>
      </c>
      <c r="C163" s="130" t="s">
        <v>608</v>
      </c>
      <c r="D163" s="130" t="s">
        <v>273</v>
      </c>
      <c r="E163" s="132">
        <v>3658.12</v>
      </c>
    </row>
    <row r="164" spans="1:5" x14ac:dyDescent="0.25">
      <c r="A164" s="130" t="s">
        <v>4</v>
      </c>
      <c r="B164" s="130" t="s">
        <v>574</v>
      </c>
      <c r="C164" s="130" t="s">
        <v>608</v>
      </c>
      <c r="D164" s="130" t="s">
        <v>629</v>
      </c>
      <c r="E164" s="132">
        <v>5355.62</v>
      </c>
    </row>
    <row r="165" spans="1:5" x14ac:dyDescent="0.25">
      <c r="A165" s="130" t="s">
        <v>4</v>
      </c>
      <c r="B165" s="130" t="s">
        <v>574</v>
      </c>
      <c r="C165" s="130" t="s">
        <v>608</v>
      </c>
      <c r="D165" s="130" t="s">
        <v>326</v>
      </c>
      <c r="E165" s="132">
        <v>1570.46</v>
      </c>
    </row>
    <row r="166" spans="1:5" x14ac:dyDescent="0.25">
      <c r="A166" s="130" t="s">
        <v>4</v>
      </c>
      <c r="B166" s="130" t="s">
        <v>574</v>
      </c>
      <c r="C166" s="130" t="s">
        <v>608</v>
      </c>
      <c r="D166" s="130" t="s">
        <v>357</v>
      </c>
      <c r="E166" s="132">
        <v>540.14</v>
      </c>
    </row>
    <row r="167" spans="1:5" x14ac:dyDescent="0.25">
      <c r="A167" s="130" t="s">
        <v>4</v>
      </c>
      <c r="B167" s="130" t="s">
        <v>574</v>
      </c>
      <c r="C167" s="130" t="s">
        <v>608</v>
      </c>
      <c r="D167" s="130" t="s">
        <v>318</v>
      </c>
      <c r="E167" s="132">
        <v>1962.92</v>
      </c>
    </row>
    <row r="168" spans="1:5" x14ac:dyDescent="0.25">
      <c r="A168" s="130" t="s">
        <v>4</v>
      </c>
      <c r="B168" s="130" t="s">
        <v>574</v>
      </c>
      <c r="C168" s="130" t="s">
        <v>608</v>
      </c>
      <c r="D168" s="130" t="s">
        <v>336</v>
      </c>
      <c r="E168" s="132">
        <v>2609.6999999999998</v>
      </c>
    </row>
    <row r="169" spans="1:5" x14ac:dyDescent="0.25">
      <c r="A169" s="130" t="s">
        <v>4</v>
      </c>
      <c r="B169" s="130" t="s">
        <v>574</v>
      </c>
      <c r="C169" s="130" t="s">
        <v>608</v>
      </c>
      <c r="D169" s="130" t="s">
        <v>320</v>
      </c>
      <c r="E169" s="132">
        <v>12071.4</v>
      </c>
    </row>
    <row r="170" spans="1:5" x14ac:dyDescent="0.25">
      <c r="A170" s="130" t="s">
        <v>4</v>
      </c>
      <c r="B170" s="130" t="s">
        <v>574</v>
      </c>
      <c r="C170" s="130" t="s">
        <v>608</v>
      </c>
      <c r="D170" s="130" t="s">
        <v>431</v>
      </c>
      <c r="E170" s="132">
        <v>11021.12</v>
      </c>
    </row>
    <row r="171" spans="1:5" x14ac:dyDescent="0.25">
      <c r="A171" s="130" t="s">
        <v>4</v>
      </c>
      <c r="B171" s="130" t="s">
        <v>574</v>
      </c>
      <c r="C171" s="130" t="s">
        <v>608</v>
      </c>
      <c r="D171" s="130" t="s">
        <v>259</v>
      </c>
      <c r="E171" s="132">
        <v>7727.82</v>
      </c>
    </row>
    <row r="172" spans="1:5" x14ac:dyDescent="0.25">
      <c r="A172" s="130" t="s">
        <v>4</v>
      </c>
      <c r="B172" s="130" t="s">
        <v>574</v>
      </c>
      <c r="C172" s="130" t="s">
        <v>608</v>
      </c>
      <c r="D172" s="130" t="s">
        <v>939</v>
      </c>
      <c r="E172" s="132">
        <v>12831.74</v>
      </c>
    </row>
    <row r="173" spans="1:5" x14ac:dyDescent="0.25">
      <c r="A173" s="130" t="s">
        <v>4</v>
      </c>
      <c r="B173" s="130" t="s">
        <v>574</v>
      </c>
      <c r="C173" s="130" t="s">
        <v>608</v>
      </c>
      <c r="D173" s="130" t="s">
        <v>327</v>
      </c>
      <c r="E173" s="132">
        <v>2527.9899999999998</v>
      </c>
    </row>
    <row r="174" spans="1:5" x14ac:dyDescent="0.25">
      <c r="A174" s="130" t="s">
        <v>4</v>
      </c>
      <c r="B174" s="130" t="s">
        <v>574</v>
      </c>
      <c r="C174" s="130" t="s">
        <v>608</v>
      </c>
      <c r="D174" s="130" t="s">
        <v>277</v>
      </c>
      <c r="E174" s="132">
        <v>3654.28</v>
      </c>
    </row>
    <row r="175" spans="1:5" x14ac:dyDescent="0.25">
      <c r="A175" s="130" t="s">
        <v>4</v>
      </c>
      <c r="B175" s="130" t="s">
        <v>574</v>
      </c>
      <c r="C175" s="130" t="s">
        <v>608</v>
      </c>
      <c r="D175" s="130" t="s">
        <v>234</v>
      </c>
      <c r="E175" s="132">
        <v>3226.17</v>
      </c>
    </row>
    <row r="176" spans="1:5" x14ac:dyDescent="0.25">
      <c r="A176" s="130" t="s">
        <v>4</v>
      </c>
      <c r="B176" s="130" t="s">
        <v>574</v>
      </c>
      <c r="C176" s="130" t="s">
        <v>608</v>
      </c>
      <c r="D176" s="130" t="s">
        <v>609</v>
      </c>
      <c r="E176" s="132">
        <v>3281.41</v>
      </c>
    </row>
    <row r="177" spans="1:5" x14ac:dyDescent="0.25">
      <c r="A177" s="130" t="s">
        <v>4</v>
      </c>
      <c r="B177" s="130" t="s">
        <v>574</v>
      </c>
      <c r="C177" s="130" t="s">
        <v>608</v>
      </c>
      <c r="D177" s="130" t="s">
        <v>656</v>
      </c>
      <c r="E177" s="132">
        <v>6098.01</v>
      </c>
    </row>
    <row r="178" spans="1:5" x14ac:dyDescent="0.25">
      <c r="A178" s="130" t="s">
        <v>4</v>
      </c>
      <c r="B178" s="130" t="s">
        <v>574</v>
      </c>
      <c r="C178" s="130" t="s">
        <v>608</v>
      </c>
      <c r="D178" s="130" t="s">
        <v>533</v>
      </c>
      <c r="E178" s="132">
        <v>2971.66</v>
      </c>
    </row>
    <row r="179" spans="1:5" x14ac:dyDescent="0.25">
      <c r="A179" s="130" t="s">
        <v>4</v>
      </c>
      <c r="B179" s="130" t="s">
        <v>574</v>
      </c>
      <c r="C179" s="130" t="s">
        <v>608</v>
      </c>
      <c r="D179" s="130" t="s">
        <v>462</v>
      </c>
      <c r="E179" s="132">
        <v>2798.8</v>
      </c>
    </row>
    <row r="180" spans="1:5" x14ac:dyDescent="0.25">
      <c r="A180" s="130" t="s">
        <v>4</v>
      </c>
      <c r="B180" s="130" t="s">
        <v>574</v>
      </c>
      <c r="C180" s="130" t="s">
        <v>608</v>
      </c>
      <c r="D180" s="130" t="s">
        <v>278</v>
      </c>
      <c r="E180" s="132">
        <v>3281.41</v>
      </c>
    </row>
    <row r="181" spans="1:5" x14ac:dyDescent="0.25">
      <c r="A181" s="130" t="s">
        <v>4</v>
      </c>
      <c r="B181" s="130" t="s">
        <v>574</v>
      </c>
      <c r="C181" s="130" t="s">
        <v>608</v>
      </c>
      <c r="D181" s="130" t="s">
        <v>940</v>
      </c>
      <c r="E181" s="132">
        <v>4483.1000000000004</v>
      </c>
    </row>
    <row r="182" spans="1:5" x14ac:dyDescent="0.25">
      <c r="A182" s="130" t="s">
        <v>4</v>
      </c>
      <c r="B182" s="130" t="s">
        <v>574</v>
      </c>
      <c r="C182" s="130" t="s">
        <v>608</v>
      </c>
      <c r="D182" s="130" t="s">
        <v>522</v>
      </c>
      <c r="E182" s="132">
        <v>1857.02</v>
      </c>
    </row>
    <row r="183" spans="1:5" x14ac:dyDescent="0.25">
      <c r="A183" s="130" t="s">
        <v>4</v>
      </c>
      <c r="B183" s="130" t="s">
        <v>574</v>
      </c>
      <c r="C183" s="130" t="s">
        <v>608</v>
      </c>
      <c r="D183" s="130" t="s">
        <v>536</v>
      </c>
      <c r="E183" s="132">
        <v>1703.02</v>
      </c>
    </row>
    <row r="184" spans="1:5" x14ac:dyDescent="0.25">
      <c r="A184" s="130" t="s">
        <v>4</v>
      </c>
      <c r="B184" s="130" t="s">
        <v>574</v>
      </c>
      <c r="C184" s="130" t="s">
        <v>608</v>
      </c>
      <c r="D184" s="130" t="s">
        <v>279</v>
      </c>
      <c r="E184" s="132">
        <v>2257.17</v>
      </c>
    </row>
    <row r="185" spans="1:5" x14ac:dyDescent="0.25">
      <c r="A185" s="130" t="s">
        <v>4</v>
      </c>
      <c r="B185" s="130" t="s">
        <v>574</v>
      </c>
      <c r="C185" s="130" t="s">
        <v>608</v>
      </c>
      <c r="D185" s="130" t="s">
        <v>311</v>
      </c>
      <c r="E185" s="132">
        <v>2103.04</v>
      </c>
    </row>
    <row r="186" spans="1:5" x14ac:dyDescent="0.25">
      <c r="A186" s="130" t="s">
        <v>4</v>
      </c>
      <c r="B186" s="130" t="s">
        <v>574</v>
      </c>
      <c r="C186" s="130" t="s">
        <v>608</v>
      </c>
      <c r="D186" s="130" t="s">
        <v>658</v>
      </c>
      <c r="E186" s="132">
        <v>4352.3999999999996</v>
      </c>
    </row>
    <row r="187" spans="1:5" x14ac:dyDescent="0.25">
      <c r="A187" s="130" t="s">
        <v>4</v>
      </c>
      <c r="B187" s="130" t="s">
        <v>574</v>
      </c>
      <c r="C187" s="130" t="s">
        <v>608</v>
      </c>
      <c r="D187" s="130" t="s">
        <v>393</v>
      </c>
      <c r="E187" s="132">
        <v>4534.5600000000004</v>
      </c>
    </row>
    <row r="188" spans="1:5" x14ac:dyDescent="0.25">
      <c r="A188" s="130" t="s">
        <v>4</v>
      </c>
      <c r="B188" s="130" t="s">
        <v>574</v>
      </c>
      <c r="C188" s="130" t="s">
        <v>608</v>
      </c>
      <c r="D188" s="130" t="s">
        <v>284</v>
      </c>
      <c r="E188" s="132">
        <v>1654.66</v>
      </c>
    </row>
    <row r="189" spans="1:5" x14ac:dyDescent="0.25">
      <c r="A189" s="130" t="s">
        <v>4</v>
      </c>
      <c r="B189" s="130" t="s">
        <v>574</v>
      </c>
      <c r="C189" s="130" t="s">
        <v>608</v>
      </c>
      <c r="D189" s="130" t="s">
        <v>285</v>
      </c>
      <c r="E189" s="132">
        <v>2400.39</v>
      </c>
    </row>
    <row r="190" spans="1:5" x14ac:dyDescent="0.25">
      <c r="A190" s="130" t="s">
        <v>4</v>
      </c>
      <c r="B190" s="130" t="s">
        <v>574</v>
      </c>
      <c r="C190" s="130" t="s">
        <v>608</v>
      </c>
      <c r="D190" s="130" t="s">
        <v>669</v>
      </c>
      <c r="E190" s="132">
        <v>1249.6099999999999</v>
      </c>
    </row>
    <row r="191" spans="1:5" x14ac:dyDescent="0.25">
      <c r="A191" s="130" t="s">
        <v>4</v>
      </c>
      <c r="B191" s="130" t="s">
        <v>574</v>
      </c>
      <c r="C191" s="130" t="s">
        <v>608</v>
      </c>
      <c r="D191" s="130" t="s">
        <v>670</v>
      </c>
      <c r="E191" s="132">
        <v>1666.4</v>
      </c>
    </row>
    <row r="192" spans="1:5" x14ac:dyDescent="0.25">
      <c r="A192" s="130" t="s">
        <v>4</v>
      </c>
      <c r="B192" s="130" t="s">
        <v>574</v>
      </c>
      <c r="C192" s="130" t="s">
        <v>608</v>
      </c>
      <c r="D192" s="130" t="s">
        <v>671</v>
      </c>
      <c r="E192" s="132">
        <v>2083.17</v>
      </c>
    </row>
    <row r="193" spans="1:5" x14ac:dyDescent="0.25">
      <c r="A193" s="130" t="s">
        <v>4</v>
      </c>
      <c r="B193" s="130" t="s">
        <v>574</v>
      </c>
      <c r="C193" s="130" t="s">
        <v>608</v>
      </c>
      <c r="D193" s="130" t="s">
        <v>649</v>
      </c>
      <c r="E193" s="132">
        <v>9212.11</v>
      </c>
    </row>
    <row r="194" spans="1:5" x14ac:dyDescent="0.25">
      <c r="A194" s="130" t="s">
        <v>4</v>
      </c>
      <c r="B194" s="130" t="s">
        <v>574</v>
      </c>
      <c r="C194" s="130" t="s">
        <v>608</v>
      </c>
      <c r="D194" s="130" t="s">
        <v>818</v>
      </c>
      <c r="E194" s="132">
        <v>3686.45</v>
      </c>
    </row>
    <row r="195" spans="1:5" x14ac:dyDescent="0.25">
      <c r="A195" s="130" t="s">
        <v>4</v>
      </c>
      <c r="B195" s="130" t="s">
        <v>574</v>
      </c>
      <c r="C195" s="130" t="s">
        <v>608</v>
      </c>
      <c r="D195" s="130" t="s">
        <v>263</v>
      </c>
      <c r="E195" s="132">
        <v>2851.01</v>
      </c>
    </row>
    <row r="196" spans="1:5" x14ac:dyDescent="0.25">
      <c r="A196" s="130" t="s">
        <v>4</v>
      </c>
      <c r="B196" s="130" t="s">
        <v>574</v>
      </c>
      <c r="C196" s="130" t="s">
        <v>608</v>
      </c>
      <c r="D196" s="130" t="s">
        <v>496</v>
      </c>
      <c r="E196" s="132">
        <v>2717.96</v>
      </c>
    </row>
    <row r="197" spans="1:5" x14ac:dyDescent="0.25">
      <c r="A197" s="130" t="s">
        <v>4</v>
      </c>
      <c r="B197" s="130" t="s">
        <v>574</v>
      </c>
      <c r="C197" s="130" t="s">
        <v>608</v>
      </c>
      <c r="D197" s="130" t="s">
        <v>498</v>
      </c>
      <c r="E197" s="132">
        <v>2628.43</v>
      </c>
    </row>
    <row r="198" spans="1:5" x14ac:dyDescent="0.25">
      <c r="A198" s="130" t="s">
        <v>4</v>
      </c>
      <c r="B198" s="130" t="s">
        <v>574</v>
      </c>
      <c r="C198" s="130" t="s">
        <v>608</v>
      </c>
      <c r="D198" s="130" t="s">
        <v>941</v>
      </c>
      <c r="E198" s="132">
        <v>4130.5</v>
      </c>
    </row>
    <row r="199" spans="1:5" x14ac:dyDescent="0.25">
      <c r="A199" s="130" t="s">
        <v>4</v>
      </c>
      <c r="B199" s="130" t="s">
        <v>574</v>
      </c>
      <c r="C199" s="130" t="s">
        <v>608</v>
      </c>
      <c r="D199" s="130" t="s">
        <v>556</v>
      </c>
      <c r="E199" s="132">
        <v>4338.3900000000003</v>
      </c>
    </row>
    <row r="200" spans="1:5" x14ac:dyDescent="0.25">
      <c r="A200" s="130" t="s">
        <v>4</v>
      </c>
      <c r="B200" s="130" t="s">
        <v>574</v>
      </c>
      <c r="C200" s="130" t="s">
        <v>608</v>
      </c>
      <c r="D200" s="130" t="s">
        <v>364</v>
      </c>
      <c r="E200" s="132">
        <v>3609.08</v>
      </c>
    </row>
    <row r="201" spans="1:5" x14ac:dyDescent="0.25">
      <c r="A201" s="130" t="s">
        <v>4</v>
      </c>
      <c r="B201" s="130" t="s">
        <v>574</v>
      </c>
      <c r="C201" s="130" t="s">
        <v>608</v>
      </c>
      <c r="D201" s="130" t="s">
        <v>338</v>
      </c>
      <c r="E201" s="132">
        <v>871.72</v>
      </c>
    </row>
    <row r="202" spans="1:5" x14ac:dyDescent="0.25">
      <c r="A202" s="130" t="s">
        <v>4</v>
      </c>
      <c r="B202" s="130" t="s">
        <v>574</v>
      </c>
      <c r="C202" s="130" t="s">
        <v>608</v>
      </c>
      <c r="D202" s="130" t="s">
        <v>293</v>
      </c>
      <c r="E202" s="132">
        <v>700.48</v>
      </c>
    </row>
    <row r="203" spans="1:5" x14ac:dyDescent="0.25">
      <c r="A203" s="130" t="s">
        <v>4</v>
      </c>
      <c r="B203" s="130" t="s">
        <v>574</v>
      </c>
      <c r="C203" s="130" t="s">
        <v>608</v>
      </c>
      <c r="D203" s="130" t="s">
        <v>274</v>
      </c>
      <c r="E203" s="132">
        <v>614.85</v>
      </c>
    </row>
    <row r="204" spans="1:5" x14ac:dyDescent="0.25">
      <c r="A204" s="130" t="s">
        <v>4</v>
      </c>
      <c r="B204" s="130" t="s">
        <v>574</v>
      </c>
      <c r="C204" s="130" t="s">
        <v>608</v>
      </c>
      <c r="D204" s="130" t="s">
        <v>303</v>
      </c>
      <c r="E204" s="132">
        <v>818.9</v>
      </c>
    </row>
    <row r="205" spans="1:5" x14ac:dyDescent="0.25">
      <c r="A205" s="130" t="s">
        <v>4</v>
      </c>
      <c r="B205" s="130" t="s">
        <v>574</v>
      </c>
      <c r="C205" s="130" t="s">
        <v>608</v>
      </c>
      <c r="D205" s="130" t="s">
        <v>403</v>
      </c>
      <c r="E205" s="132">
        <v>689.56</v>
      </c>
    </row>
    <row r="206" spans="1:5" x14ac:dyDescent="0.25">
      <c r="A206" s="130" t="s">
        <v>4</v>
      </c>
      <c r="B206" s="130" t="s">
        <v>574</v>
      </c>
      <c r="C206" s="130" t="s">
        <v>608</v>
      </c>
      <c r="D206" s="130" t="s">
        <v>344</v>
      </c>
      <c r="E206" s="132">
        <v>561.16</v>
      </c>
    </row>
    <row r="207" spans="1:5" x14ac:dyDescent="0.25">
      <c r="A207" s="130" t="s">
        <v>4</v>
      </c>
      <c r="B207" s="130" t="s">
        <v>574</v>
      </c>
      <c r="C207" s="130" t="s">
        <v>608</v>
      </c>
      <c r="D207" s="130" t="s">
        <v>471</v>
      </c>
      <c r="E207" s="132">
        <v>789.88</v>
      </c>
    </row>
    <row r="208" spans="1:5" x14ac:dyDescent="0.25">
      <c r="A208" s="130" t="s">
        <v>4</v>
      </c>
      <c r="B208" s="130" t="s">
        <v>574</v>
      </c>
      <c r="C208" s="130" t="s">
        <v>608</v>
      </c>
      <c r="D208" s="130" t="s">
        <v>503</v>
      </c>
      <c r="E208" s="132">
        <v>1272.55</v>
      </c>
    </row>
    <row r="209" spans="1:5" x14ac:dyDescent="0.25">
      <c r="A209" s="130" t="s">
        <v>4</v>
      </c>
      <c r="B209" s="130" t="s">
        <v>574</v>
      </c>
      <c r="C209" s="130" t="s">
        <v>608</v>
      </c>
      <c r="D209" s="130" t="s">
        <v>942</v>
      </c>
      <c r="E209" s="132">
        <v>776.74</v>
      </c>
    </row>
    <row r="210" spans="1:5" x14ac:dyDescent="0.25">
      <c r="A210" s="130" t="s">
        <v>4</v>
      </c>
      <c r="B210" s="130" t="s">
        <v>574</v>
      </c>
      <c r="C210" s="130" t="s">
        <v>608</v>
      </c>
      <c r="D210" s="130" t="s">
        <v>943</v>
      </c>
      <c r="E210" s="132">
        <v>1047.68</v>
      </c>
    </row>
    <row r="211" spans="1:5" x14ac:dyDescent="0.25">
      <c r="A211" s="130" t="s">
        <v>4</v>
      </c>
      <c r="B211" s="130" t="s">
        <v>574</v>
      </c>
      <c r="C211" s="130" t="s">
        <v>608</v>
      </c>
      <c r="D211" s="130" t="s">
        <v>441</v>
      </c>
      <c r="E211" s="132">
        <v>1925.6</v>
      </c>
    </row>
    <row r="212" spans="1:5" x14ac:dyDescent="0.25">
      <c r="A212" s="130" t="s">
        <v>4</v>
      </c>
      <c r="B212" s="130" t="s">
        <v>574</v>
      </c>
      <c r="C212" s="130" t="s">
        <v>608</v>
      </c>
      <c r="D212" s="130" t="s">
        <v>294</v>
      </c>
      <c r="E212" s="132">
        <v>1626.57</v>
      </c>
    </row>
    <row r="213" spans="1:5" x14ac:dyDescent="0.25">
      <c r="A213" s="130" t="s">
        <v>4</v>
      </c>
      <c r="B213" s="130" t="s">
        <v>574</v>
      </c>
      <c r="C213" s="130" t="s">
        <v>608</v>
      </c>
      <c r="D213" s="130" t="s">
        <v>295</v>
      </c>
      <c r="E213" s="132">
        <v>2704.75</v>
      </c>
    </row>
    <row r="214" spans="1:5" x14ac:dyDescent="0.25">
      <c r="A214" s="130" t="s">
        <v>4</v>
      </c>
      <c r="B214" s="130" t="s">
        <v>574</v>
      </c>
      <c r="C214" s="130" t="s">
        <v>608</v>
      </c>
      <c r="D214" s="130" t="s">
        <v>747</v>
      </c>
      <c r="E214" s="132">
        <v>1941.16</v>
      </c>
    </row>
    <row r="215" spans="1:5" x14ac:dyDescent="0.25">
      <c r="A215" s="130" t="s">
        <v>4</v>
      </c>
      <c r="B215" s="130" t="s">
        <v>574</v>
      </c>
      <c r="C215" s="130" t="s">
        <v>608</v>
      </c>
      <c r="D215" s="130" t="s">
        <v>748</v>
      </c>
      <c r="E215" s="132">
        <v>1375.28</v>
      </c>
    </row>
    <row r="216" spans="1:5" x14ac:dyDescent="0.25">
      <c r="A216" s="130" t="s">
        <v>4</v>
      </c>
      <c r="B216" s="130" t="s">
        <v>574</v>
      </c>
      <c r="C216" s="130" t="s">
        <v>608</v>
      </c>
      <c r="D216" s="130" t="s">
        <v>500</v>
      </c>
      <c r="E216" s="132">
        <v>1958.21</v>
      </c>
    </row>
    <row r="217" spans="1:5" x14ac:dyDescent="0.25">
      <c r="A217" s="130" t="s">
        <v>4</v>
      </c>
      <c r="B217" s="130" t="s">
        <v>574</v>
      </c>
      <c r="C217" s="130" t="s">
        <v>608</v>
      </c>
      <c r="D217" s="130" t="s">
        <v>404</v>
      </c>
      <c r="E217" s="132">
        <v>2468.84</v>
      </c>
    </row>
    <row r="218" spans="1:5" x14ac:dyDescent="0.25">
      <c r="A218" s="130" t="s">
        <v>4</v>
      </c>
      <c r="B218" s="130" t="s">
        <v>574</v>
      </c>
      <c r="C218" s="130" t="s">
        <v>608</v>
      </c>
      <c r="D218" s="130" t="s">
        <v>944</v>
      </c>
      <c r="E218" s="132">
        <v>641.33000000000004</v>
      </c>
    </row>
    <row r="219" spans="1:5" x14ac:dyDescent="0.25">
      <c r="A219" s="130" t="s">
        <v>4</v>
      </c>
      <c r="B219" s="130" t="s">
        <v>574</v>
      </c>
      <c r="C219" s="130" t="s">
        <v>608</v>
      </c>
      <c r="D219" s="130" t="s">
        <v>281</v>
      </c>
      <c r="E219" s="132">
        <v>977.62</v>
      </c>
    </row>
    <row r="220" spans="1:5" x14ac:dyDescent="0.25">
      <c r="A220" s="130" t="s">
        <v>4</v>
      </c>
      <c r="B220" s="130" t="s">
        <v>574</v>
      </c>
      <c r="C220" s="130" t="s">
        <v>608</v>
      </c>
      <c r="D220" s="130" t="s">
        <v>405</v>
      </c>
      <c r="E220" s="132">
        <v>1418.06</v>
      </c>
    </row>
    <row r="221" spans="1:5" x14ac:dyDescent="0.25">
      <c r="A221" s="130" t="s">
        <v>4</v>
      </c>
      <c r="B221" s="130" t="s">
        <v>574</v>
      </c>
      <c r="C221" s="130" t="s">
        <v>608</v>
      </c>
      <c r="D221" s="130" t="s">
        <v>945</v>
      </c>
      <c r="E221" s="132">
        <v>1543.43</v>
      </c>
    </row>
    <row r="222" spans="1:5" x14ac:dyDescent="0.25">
      <c r="A222" s="130" t="s">
        <v>4</v>
      </c>
      <c r="B222" s="130" t="s">
        <v>574</v>
      </c>
      <c r="C222" s="130" t="s">
        <v>608</v>
      </c>
      <c r="D222" s="130" t="s">
        <v>659</v>
      </c>
      <c r="E222" s="132">
        <v>1220.4100000000001</v>
      </c>
    </row>
    <row r="223" spans="1:5" x14ac:dyDescent="0.25">
      <c r="A223" s="130" t="s">
        <v>4</v>
      </c>
      <c r="B223" s="130" t="s">
        <v>574</v>
      </c>
      <c r="C223" s="130" t="s">
        <v>608</v>
      </c>
      <c r="D223" s="130" t="s">
        <v>383</v>
      </c>
      <c r="E223" s="132">
        <v>1622.04</v>
      </c>
    </row>
    <row r="224" spans="1:5" x14ac:dyDescent="0.25">
      <c r="A224" s="130" t="s">
        <v>4</v>
      </c>
      <c r="B224" s="130" t="s">
        <v>574</v>
      </c>
      <c r="C224" s="130" t="s">
        <v>608</v>
      </c>
      <c r="D224" s="130" t="s">
        <v>724</v>
      </c>
      <c r="E224" s="132">
        <v>1085.3699999999999</v>
      </c>
    </row>
    <row r="225" spans="1:5" x14ac:dyDescent="0.25">
      <c r="A225" s="130" t="s">
        <v>4</v>
      </c>
      <c r="B225" s="130" t="s">
        <v>574</v>
      </c>
      <c r="C225" s="130" t="s">
        <v>608</v>
      </c>
      <c r="D225" s="130" t="s">
        <v>442</v>
      </c>
      <c r="E225" s="132">
        <v>826.58</v>
      </c>
    </row>
    <row r="226" spans="1:5" x14ac:dyDescent="0.25">
      <c r="A226" s="130" t="s">
        <v>4</v>
      </c>
      <c r="B226" s="130" t="s">
        <v>574</v>
      </c>
      <c r="C226" s="130" t="s">
        <v>608</v>
      </c>
      <c r="D226" s="130" t="s">
        <v>680</v>
      </c>
      <c r="E226" s="132">
        <v>1059.67</v>
      </c>
    </row>
    <row r="227" spans="1:5" x14ac:dyDescent="0.25">
      <c r="A227" s="130" t="s">
        <v>4</v>
      </c>
      <c r="B227" s="130" t="s">
        <v>574</v>
      </c>
      <c r="C227" s="130" t="s">
        <v>608</v>
      </c>
      <c r="D227" s="130" t="s">
        <v>443</v>
      </c>
      <c r="E227" s="132">
        <v>1613.49</v>
      </c>
    </row>
    <row r="228" spans="1:5" x14ac:dyDescent="0.25">
      <c r="A228" s="130" t="s">
        <v>4</v>
      </c>
      <c r="B228" s="130" t="s">
        <v>574</v>
      </c>
      <c r="C228" s="130" t="s">
        <v>608</v>
      </c>
      <c r="D228" s="130" t="s">
        <v>715</v>
      </c>
      <c r="E228" s="132">
        <v>1271.81</v>
      </c>
    </row>
    <row r="229" spans="1:5" x14ac:dyDescent="0.25">
      <c r="A229" s="130" t="s">
        <v>4</v>
      </c>
      <c r="B229" s="130" t="s">
        <v>574</v>
      </c>
      <c r="C229" s="130" t="s">
        <v>608</v>
      </c>
      <c r="D229" s="130" t="s">
        <v>615</v>
      </c>
      <c r="E229" s="132">
        <v>1192.01</v>
      </c>
    </row>
    <row r="230" spans="1:5" x14ac:dyDescent="0.25">
      <c r="A230" s="130" t="s">
        <v>4</v>
      </c>
      <c r="B230" s="130" t="s">
        <v>574</v>
      </c>
      <c r="C230" s="130" t="s">
        <v>608</v>
      </c>
      <c r="D230" s="130" t="s">
        <v>237</v>
      </c>
      <c r="E230" s="132">
        <v>1323.08</v>
      </c>
    </row>
    <row r="231" spans="1:5" x14ac:dyDescent="0.25">
      <c r="A231" s="130" t="s">
        <v>4</v>
      </c>
      <c r="B231" s="130" t="s">
        <v>574</v>
      </c>
      <c r="C231" s="130" t="s">
        <v>608</v>
      </c>
      <c r="D231" s="130" t="s">
        <v>238</v>
      </c>
      <c r="E231" s="132">
        <v>1984.62</v>
      </c>
    </row>
    <row r="232" spans="1:5" x14ac:dyDescent="0.25">
      <c r="A232" s="130" t="s">
        <v>4</v>
      </c>
      <c r="B232" s="130" t="s">
        <v>574</v>
      </c>
      <c r="C232" s="130" t="s">
        <v>608</v>
      </c>
      <c r="D232" s="130" t="s">
        <v>716</v>
      </c>
      <c r="E232" s="132">
        <v>3116.37</v>
      </c>
    </row>
    <row r="233" spans="1:5" x14ac:dyDescent="0.25">
      <c r="A233" s="130" t="s">
        <v>4</v>
      </c>
      <c r="B233" s="130" t="s">
        <v>574</v>
      </c>
      <c r="C233" s="130" t="s">
        <v>608</v>
      </c>
      <c r="D233" s="130" t="s">
        <v>474</v>
      </c>
      <c r="E233" s="132">
        <v>2146.56</v>
      </c>
    </row>
    <row r="234" spans="1:5" x14ac:dyDescent="0.25">
      <c r="A234" s="130" t="s">
        <v>4</v>
      </c>
      <c r="B234" s="130" t="s">
        <v>574</v>
      </c>
      <c r="C234" s="130" t="s">
        <v>608</v>
      </c>
      <c r="D234" s="130" t="s">
        <v>239</v>
      </c>
      <c r="E234" s="132">
        <v>3677.53</v>
      </c>
    </row>
    <row r="235" spans="1:5" x14ac:dyDescent="0.25">
      <c r="A235" s="130" t="s">
        <v>4</v>
      </c>
      <c r="B235" s="130" t="s">
        <v>574</v>
      </c>
      <c r="C235" s="130" t="s">
        <v>608</v>
      </c>
      <c r="D235" s="130" t="s">
        <v>406</v>
      </c>
      <c r="E235" s="132">
        <v>2320.16</v>
      </c>
    </row>
    <row r="236" spans="1:5" x14ac:dyDescent="0.25">
      <c r="A236" s="130" t="s">
        <v>4</v>
      </c>
      <c r="B236" s="130" t="s">
        <v>574</v>
      </c>
      <c r="C236" s="130" t="s">
        <v>608</v>
      </c>
      <c r="D236" s="130" t="s">
        <v>444</v>
      </c>
      <c r="E236" s="132">
        <v>2073.4</v>
      </c>
    </row>
    <row r="237" spans="1:5" x14ac:dyDescent="0.25">
      <c r="A237" s="130" t="s">
        <v>4</v>
      </c>
      <c r="B237" s="130" t="s">
        <v>574</v>
      </c>
      <c r="C237" s="130" t="s">
        <v>608</v>
      </c>
      <c r="D237" s="130" t="s">
        <v>266</v>
      </c>
      <c r="E237" s="132">
        <v>1226.6099999999999</v>
      </c>
    </row>
    <row r="238" spans="1:5" x14ac:dyDescent="0.25">
      <c r="A238" s="130" t="s">
        <v>4</v>
      </c>
      <c r="B238" s="130" t="s">
        <v>574</v>
      </c>
      <c r="C238" s="130" t="s">
        <v>608</v>
      </c>
      <c r="D238" s="130" t="s">
        <v>240</v>
      </c>
      <c r="E238" s="132">
        <v>747.22</v>
      </c>
    </row>
    <row r="239" spans="1:5" x14ac:dyDescent="0.25">
      <c r="A239" s="130" t="s">
        <v>4</v>
      </c>
      <c r="B239" s="130" t="s">
        <v>574</v>
      </c>
      <c r="C239" s="130" t="s">
        <v>608</v>
      </c>
      <c r="D239" s="130" t="s">
        <v>512</v>
      </c>
      <c r="E239" s="132">
        <v>2791.12</v>
      </c>
    </row>
    <row r="240" spans="1:5" x14ac:dyDescent="0.25">
      <c r="A240" s="130" t="s">
        <v>4</v>
      </c>
      <c r="B240" s="130" t="s">
        <v>574</v>
      </c>
      <c r="C240" s="130" t="s">
        <v>608</v>
      </c>
      <c r="D240" s="130" t="s">
        <v>633</v>
      </c>
      <c r="E240" s="132">
        <v>2073.4</v>
      </c>
    </row>
    <row r="241" spans="1:5" x14ac:dyDescent="0.25">
      <c r="A241" s="130" t="s">
        <v>4</v>
      </c>
      <c r="B241" s="130" t="s">
        <v>574</v>
      </c>
      <c r="C241" s="130" t="s">
        <v>608</v>
      </c>
      <c r="D241" s="130" t="s">
        <v>710</v>
      </c>
      <c r="E241" s="132">
        <v>2192.5100000000002</v>
      </c>
    </row>
    <row r="242" spans="1:5" x14ac:dyDescent="0.25">
      <c r="A242" s="130" t="s">
        <v>4</v>
      </c>
      <c r="B242" s="130" t="s">
        <v>574</v>
      </c>
      <c r="C242" s="130" t="s">
        <v>608</v>
      </c>
      <c r="D242" s="130" t="s">
        <v>501</v>
      </c>
      <c r="E242" s="132">
        <v>529.23</v>
      </c>
    </row>
    <row r="243" spans="1:5" x14ac:dyDescent="0.25">
      <c r="A243" s="130" t="s">
        <v>4</v>
      </c>
      <c r="B243" s="130" t="s">
        <v>574</v>
      </c>
      <c r="C243" s="130" t="s">
        <v>608</v>
      </c>
      <c r="D243" s="130" t="s">
        <v>708</v>
      </c>
      <c r="E243" s="132">
        <v>2323.2600000000002</v>
      </c>
    </row>
    <row r="244" spans="1:5" x14ac:dyDescent="0.25">
      <c r="A244" s="130" t="s">
        <v>4</v>
      </c>
      <c r="B244" s="130" t="s">
        <v>574</v>
      </c>
      <c r="C244" s="130" t="s">
        <v>608</v>
      </c>
      <c r="D244" s="130" t="s">
        <v>407</v>
      </c>
      <c r="E244" s="132">
        <v>3216.06</v>
      </c>
    </row>
    <row r="245" spans="1:5" x14ac:dyDescent="0.25">
      <c r="A245" s="130" t="s">
        <v>4</v>
      </c>
      <c r="B245" s="130" t="s">
        <v>574</v>
      </c>
      <c r="C245" s="130" t="s">
        <v>608</v>
      </c>
      <c r="D245" s="130" t="s">
        <v>749</v>
      </c>
      <c r="E245" s="132">
        <v>2896.89</v>
      </c>
    </row>
    <row r="246" spans="1:5" x14ac:dyDescent="0.25">
      <c r="A246" s="130" t="s">
        <v>4</v>
      </c>
      <c r="B246" s="130" t="s">
        <v>574</v>
      </c>
      <c r="C246" s="130" t="s">
        <v>608</v>
      </c>
      <c r="D246" s="130" t="s">
        <v>408</v>
      </c>
      <c r="E246" s="132">
        <v>2254.0700000000002</v>
      </c>
    </row>
    <row r="247" spans="1:5" x14ac:dyDescent="0.25">
      <c r="A247" s="130" t="s">
        <v>4</v>
      </c>
      <c r="B247" s="130" t="s">
        <v>574</v>
      </c>
      <c r="C247" s="130" t="s">
        <v>608</v>
      </c>
      <c r="D247" s="130" t="s">
        <v>409</v>
      </c>
      <c r="E247" s="132">
        <v>2278.9299999999998</v>
      </c>
    </row>
    <row r="248" spans="1:5" x14ac:dyDescent="0.25">
      <c r="A248" s="130" t="s">
        <v>4</v>
      </c>
      <c r="B248" s="130" t="s">
        <v>574</v>
      </c>
      <c r="C248" s="130" t="s">
        <v>608</v>
      </c>
      <c r="D248" s="130" t="s">
        <v>628</v>
      </c>
      <c r="E248" s="132">
        <v>568.16999999999996</v>
      </c>
    </row>
    <row r="249" spans="1:5" x14ac:dyDescent="0.25">
      <c r="A249" s="130" t="s">
        <v>4</v>
      </c>
      <c r="B249" s="130" t="s">
        <v>574</v>
      </c>
      <c r="C249" s="130" t="s">
        <v>608</v>
      </c>
      <c r="D249" s="130" t="s">
        <v>789</v>
      </c>
      <c r="E249" s="132">
        <v>893.54</v>
      </c>
    </row>
    <row r="250" spans="1:5" x14ac:dyDescent="0.25">
      <c r="A250" s="130" t="s">
        <v>4</v>
      </c>
      <c r="B250" s="130" t="s">
        <v>574</v>
      </c>
      <c r="C250" s="130" t="s">
        <v>608</v>
      </c>
      <c r="D250" s="130" t="s">
        <v>616</v>
      </c>
      <c r="E250" s="132">
        <v>530.84</v>
      </c>
    </row>
    <row r="251" spans="1:5" x14ac:dyDescent="0.25">
      <c r="A251" s="130" t="s">
        <v>4</v>
      </c>
      <c r="B251" s="130" t="s">
        <v>574</v>
      </c>
      <c r="C251" s="130" t="s">
        <v>608</v>
      </c>
      <c r="D251" s="130" t="s">
        <v>282</v>
      </c>
      <c r="E251" s="132">
        <v>1460.1</v>
      </c>
    </row>
    <row r="252" spans="1:5" x14ac:dyDescent="0.25">
      <c r="A252" s="130" t="s">
        <v>4</v>
      </c>
      <c r="B252" s="130" t="s">
        <v>574</v>
      </c>
      <c r="C252" s="130" t="s">
        <v>608</v>
      </c>
      <c r="D252" s="130" t="s">
        <v>445</v>
      </c>
      <c r="E252" s="132">
        <v>1195.48</v>
      </c>
    </row>
    <row r="253" spans="1:5" x14ac:dyDescent="0.25">
      <c r="A253" s="130" t="s">
        <v>4</v>
      </c>
      <c r="B253" s="130" t="s">
        <v>574</v>
      </c>
      <c r="C253" s="130" t="s">
        <v>608</v>
      </c>
      <c r="D253" s="130" t="s">
        <v>711</v>
      </c>
      <c r="E253" s="132">
        <v>2408.14</v>
      </c>
    </row>
    <row r="254" spans="1:5" x14ac:dyDescent="0.25">
      <c r="A254" s="130" t="s">
        <v>4</v>
      </c>
      <c r="B254" s="130" t="s">
        <v>574</v>
      </c>
      <c r="C254" s="130" t="s">
        <v>608</v>
      </c>
      <c r="D254" s="130" t="s">
        <v>446</v>
      </c>
      <c r="E254" s="132">
        <v>1620.49</v>
      </c>
    </row>
    <row r="255" spans="1:5" x14ac:dyDescent="0.25">
      <c r="A255" s="130" t="s">
        <v>4</v>
      </c>
      <c r="B255" s="130" t="s">
        <v>574</v>
      </c>
      <c r="C255" s="130" t="s">
        <v>608</v>
      </c>
      <c r="D255" s="130" t="s">
        <v>712</v>
      </c>
      <c r="E255" s="132">
        <v>2347.44</v>
      </c>
    </row>
    <row r="256" spans="1:5" x14ac:dyDescent="0.25">
      <c r="A256" s="130" t="s">
        <v>4</v>
      </c>
      <c r="B256" s="130" t="s">
        <v>574</v>
      </c>
      <c r="C256" s="130" t="s">
        <v>608</v>
      </c>
      <c r="D256" s="130" t="s">
        <v>297</v>
      </c>
      <c r="E256" s="132">
        <v>1619.69</v>
      </c>
    </row>
    <row r="257" spans="1:5" x14ac:dyDescent="0.25">
      <c r="A257" s="130" t="s">
        <v>4</v>
      </c>
      <c r="B257" s="130" t="s">
        <v>574</v>
      </c>
      <c r="C257" s="130" t="s">
        <v>608</v>
      </c>
      <c r="D257" s="130" t="s">
        <v>697</v>
      </c>
      <c r="E257" s="132">
        <v>1110.67</v>
      </c>
    </row>
    <row r="258" spans="1:5" x14ac:dyDescent="0.25">
      <c r="A258" s="130" t="s">
        <v>4</v>
      </c>
      <c r="B258" s="130" t="s">
        <v>574</v>
      </c>
      <c r="C258" s="130" t="s">
        <v>608</v>
      </c>
      <c r="D258" s="130" t="s">
        <v>447</v>
      </c>
      <c r="E258" s="132">
        <v>2368.46</v>
      </c>
    </row>
    <row r="259" spans="1:5" x14ac:dyDescent="0.25">
      <c r="A259" s="130" t="s">
        <v>4</v>
      </c>
      <c r="B259" s="130" t="s">
        <v>574</v>
      </c>
      <c r="C259" s="130" t="s">
        <v>608</v>
      </c>
      <c r="D259" s="130" t="s">
        <v>365</v>
      </c>
      <c r="E259" s="132">
        <v>3299.95</v>
      </c>
    </row>
    <row r="260" spans="1:5" x14ac:dyDescent="0.25">
      <c r="A260" s="130" t="s">
        <v>4</v>
      </c>
      <c r="B260" s="130" t="s">
        <v>574</v>
      </c>
      <c r="C260" s="130" t="s">
        <v>608</v>
      </c>
      <c r="D260" s="130" t="s">
        <v>345</v>
      </c>
      <c r="E260" s="132">
        <v>5261.32</v>
      </c>
    </row>
    <row r="261" spans="1:5" x14ac:dyDescent="0.25">
      <c r="A261" s="130" t="s">
        <v>4</v>
      </c>
      <c r="B261" s="130" t="s">
        <v>574</v>
      </c>
      <c r="C261" s="130" t="s">
        <v>608</v>
      </c>
      <c r="D261" s="130" t="s">
        <v>448</v>
      </c>
      <c r="E261" s="132">
        <v>1995.66</v>
      </c>
    </row>
    <row r="262" spans="1:5" x14ac:dyDescent="0.25">
      <c r="A262" s="130" t="s">
        <v>4</v>
      </c>
      <c r="B262" s="130" t="s">
        <v>574</v>
      </c>
      <c r="C262" s="130" t="s">
        <v>608</v>
      </c>
      <c r="D262" s="130" t="s">
        <v>733</v>
      </c>
      <c r="E262" s="132">
        <v>4499.46</v>
      </c>
    </row>
    <row r="263" spans="1:5" x14ac:dyDescent="0.25">
      <c r="A263" s="130" t="s">
        <v>4</v>
      </c>
      <c r="B263" s="130" t="s">
        <v>574</v>
      </c>
      <c r="C263" s="130" t="s">
        <v>608</v>
      </c>
      <c r="D263" s="130" t="s">
        <v>946</v>
      </c>
      <c r="E263" s="132">
        <v>3042.46</v>
      </c>
    </row>
    <row r="264" spans="1:5" x14ac:dyDescent="0.25">
      <c r="A264" s="130" t="s">
        <v>4</v>
      </c>
      <c r="B264" s="130" t="s">
        <v>574</v>
      </c>
      <c r="C264" s="130" t="s">
        <v>608</v>
      </c>
      <c r="D264" s="130" t="s">
        <v>947</v>
      </c>
      <c r="E264" s="132">
        <v>2921.81</v>
      </c>
    </row>
    <row r="265" spans="1:5" x14ac:dyDescent="0.25">
      <c r="A265" s="130" t="s">
        <v>4</v>
      </c>
      <c r="B265" s="130" t="s">
        <v>574</v>
      </c>
      <c r="C265" s="130" t="s">
        <v>608</v>
      </c>
      <c r="D265" s="130" t="s">
        <v>948</v>
      </c>
      <c r="E265" s="132">
        <v>2548.1999999999998</v>
      </c>
    </row>
    <row r="266" spans="1:5" x14ac:dyDescent="0.25">
      <c r="A266" s="130" t="s">
        <v>4</v>
      </c>
      <c r="B266" s="130" t="s">
        <v>574</v>
      </c>
      <c r="C266" s="130" t="s">
        <v>608</v>
      </c>
      <c r="D266" s="130" t="s">
        <v>346</v>
      </c>
      <c r="E266" s="132">
        <v>10133.9</v>
      </c>
    </row>
    <row r="267" spans="1:5" x14ac:dyDescent="0.25">
      <c r="A267" s="130" t="s">
        <v>4</v>
      </c>
      <c r="B267" s="130" t="s">
        <v>574</v>
      </c>
      <c r="C267" s="130" t="s">
        <v>608</v>
      </c>
      <c r="D267" s="130" t="s">
        <v>617</v>
      </c>
      <c r="E267" s="132">
        <v>3438.64</v>
      </c>
    </row>
    <row r="268" spans="1:5" x14ac:dyDescent="0.25">
      <c r="A268" s="130" t="s">
        <v>4</v>
      </c>
      <c r="B268" s="130" t="s">
        <v>574</v>
      </c>
      <c r="C268" s="130" t="s">
        <v>608</v>
      </c>
      <c r="D268" s="130" t="s">
        <v>949</v>
      </c>
      <c r="E268" s="132">
        <v>3574.05</v>
      </c>
    </row>
    <row r="269" spans="1:5" x14ac:dyDescent="0.25">
      <c r="A269" s="130" t="s">
        <v>4</v>
      </c>
      <c r="B269" s="130" t="s">
        <v>574</v>
      </c>
      <c r="C269" s="130" t="s">
        <v>608</v>
      </c>
      <c r="D269" s="130" t="s">
        <v>513</v>
      </c>
      <c r="E269" s="132">
        <v>805.57</v>
      </c>
    </row>
    <row r="270" spans="1:5" x14ac:dyDescent="0.25">
      <c r="A270" s="130" t="s">
        <v>4</v>
      </c>
      <c r="B270" s="130" t="s">
        <v>574</v>
      </c>
      <c r="C270" s="130" t="s">
        <v>608</v>
      </c>
      <c r="D270" s="130" t="s">
        <v>950</v>
      </c>
      <c r="E270" s="132">
        <v>1304.48</v>
      </c>
    </row>
    <row r="271" spans="1:5" x14ac:dyDescent="0.25">
      <c r="A271" s="130" t="s">
        <v>4</v>
      </c>
      <c r="B271" s="130" t="s">
        <v>574</v>
      </c>
      <c r="C271" s="130" t="s">
        <v>608</v>
      </c>
      <c r="D271" s="130" t="s">
        <v>951</v>
      </c>
      <c r="E271" s="132">
        <v>2199.5100000000002</v>
      </c>
    </row>
    <row r="272" spans="1:5" x14ac:dyDescent="0.25">
      <c r="A272" s="130" t="s">
        <v>4</v>
      </c>
      <c r="B272" s="130" t="s">
        <v>574</v>
      </c>
      <c r="C272" s="130" t="s">
        <v>608</v>
      </c>
      <c r="D272" s="130" t="s">
        <v>312</v>
      </c>
      <c r="E272" s="132">
        <v>709.03</v>
      </c>
    </row>
    <row r="273" spans="1:5" x14ac:dyDescent="0.25">
      <c r="A273" s="130" t="s">
        <v>4</v>
      </c>
      <c r="B273" s="130" t="s">
        <v>574</v>
      </c>
      <c r="C273" s="130" t="s">
        <v>608</v>
      </c>
      <c r="D273" s="130" t="s">
        <v>952</v>
      </c>
      <c r="E273" s="132">
        <v>1183.83</v>
      </c>
    </row>
    <row r="274" spans="1:5" x14ac:dyDescent="0.25">
      <c r="A274" s="130" t="s">
        <v>4</v>
      </c>
      <c r="B274" s="130" t="s">
        <v>574</v>
      </c>
      <c r="C274" s="130" t="s">
        <v>608</v>
      </c>
      <c r="D274" s="130" t="s">
        <v>453</v>
      </c>
      <c r="E274" s="132">
        <v>2278.9299999999998</v>
      </c>
    </row>
    <row r="275" spans="1:5" x14ac:dyDescent="0.25">
      <c r="A275" s="130" t="s">
        <v>4</v>
      </c>
      <c r="B275" s="130" t="s">
        <v>574</v>
      </c>
      <c r="C275" s="130" t="s">
        <v>608</v>
      </c>
      <c r="D275" s="130" t="s">
        <v>394</v>
      </c>
      <c r="E275" s="132">
        <v>1131.6199999999999</v>
      </c>
    </row>
    <row r="276" spans="1:5" x14ac:dyDescent="0.25">
      <c r="A276" s="130" t="s">
        <v>4</v>
      </c>
      <c r="B276" s="130" t="s">
        <v>574</v>
      </c>
      <c r="C276" s="130" t="s">
        <v>608</v>
      </c>
      <c r="D276" s="130" t="s">
        <v>454</v>
      </c>
      <c r="E276" s="132">
        <v>1687.39</v>
      </c>
    </row>
    <row r="277" spans="1:5" x14ac:dyDescent="0.25">
      <c r="A277" s="130" t="s">
        <v>4</v>
      </c>
      <c r="B277" s="130" t="s">
        <v>574</v>
      </c>
      <c r="C277" s="130" t="s">
        <v>608</v>
      </c>
      <c r="D277" s="130" t="s">
        <v>545</v>
      </c>
      <c r="E277" s="132">
        <v>3697.06</v>
      </c>
    </row>
    <row r="278" spans="1:5" x14ac:dyDescent="0.25">
      <c r="A278" s="130" t="s">
        <v>4</v>
      </c>
      <c r="B278" s="130" t="s">
        <v>574</v>
      </c>
      <c r="C278" s="130" t="s">
        <v>608</v>
      </c>
      <c r="D278" s="130" t="s">
        <v>546</v>
      </c>
      <c r="E278" s="132">
        <v>2477.4</v>
      </c>
    </row>
    <row r="279" spans="1:5" x14ac:dyDescent="0.25">
      <c r="A279" s="130" t="s">
        <v>4</v>
      </c>
      <c r="B279" s="130" t="s">
        <v>574</v>
      </c>
      <c r="C279" s="130" t="s">
        <v>608</v>
      </c>
      <c r="D279" s="130" t="s">
        <v>734</v>
      </c>
      <c r="E279" s="132">
        <v>3427.73</v>
      </c>
    </row>
    <row r="280" spans="1:5" x14ac:dyDescent="0.25">
      <c r="A280" s="130" t="s">
        <v>4</v>
      </c>
      <c r="B280" s="130" t="s">
        <v>574</v>
      </c>
      <c r="C280" s="130" t="s">
        <v>608</v>
      </c>
      <c r="D280" s="130" t="s">
        <v>298</v>
      </c>
      <c r="E280" s="132">
        <v>556.51</v>
      </c>
    </row>
    <row r="281" spans="1:5" x14ac:dyDescent="0.25">
      <c r="A281" s="130" t="s">
        <v>4</v>
      </c>
      <c r="B281" s="130" t="s">
        <v>574</v>
      </c>
      <c r="C281" s="130" t="s">
        <v>608</v>
      </c>
      <c r="D281" s="130" t="s">
        <v>455</v>
      </c>
      <c r="E281" s="132">
        <v>916.86</v>
      </c>
    </row>
    <row r="282" spans="1:5" x14ac:dyDescent="0.25">
      <c r="A282" s="130" t="s">
        <v>4</v>
      </c>
      <c r="B282" s="130" t="s">
        <v>574</v>
      </c>
      <c r="C282" s="130" t="s">
        <v>608</v>
      </c>
      <c r="D282" s="130" t="s">
        <v>299</v>
      </c>
      <c r="E282" s="132">
        <v>1667.92</v>
      </c>
    </row>
    <row r="283" spans="1:5" x14ac:dyDescent="0.25">
      <c r="A283" s="130" t="s">
        <v>4</v>
      </c>
      <c r="B283" s="130" t="s">
        <v>574</v>
      </c>
      <c r="C283" s="130" t="s">
        <v>608</v>
      </c>
      <c r="D283" s="130" t="s">
        <v>953</v>
      </c>
      <c r="E283" s="132">
        <v>2065.67</v>
      </c>
    </row>
    <row r="284" spans="1:5" x14ac:dyDescent="0.25">
      <c r="A284" s="130" t="s">
        <v>4</v>
      </c>
      <c r="B284" s="130" t="s">
        <v>574</v>
      </c>
      <c r="C284" s="130" t="s">
        <v>608</v>
      </c>
      <c r="D284" s="130" t="s">
        <v>464</v>
      </c>
      <c r="E284" s="132">
        <v>565.07000000000005</v>
      </c>
    </row>
    <row r="285" spans="1:5" x14ac:dyDescent="0.25">
      <c r="A285" s="130" t="s">
        <v>4</v>
      </c>
      <c r="B285" s="130" t="s">
        <v>574</v>
      </c>
      <c r="C285" s="130" t="s">
        <v>608</v>
      </c>
      <c r="D285" s="130" t="s">
        <v>456</v>
      </c>
      <c r="E285" s="132">
        <v>926.96</v>
      </c>
    </row>
    <row r="286" spans="1:5" x14ac:dyDescent="0.25">
      <c r="A286" s="130" t="s">
        <v>4</v>
      </c>
      <c r="B286" s="130" t="s">
        <v>574</v>
      </c>
      <c r="C286" s="130" t="s">
        <v>608</v>
      </c>
      <c r="D286" s="130" t="s">
        <v>954</v>
      </c>
      <c r="E286" s="132">
        <v>1703.76</v>
      </c>
    </row>
    <row r="287" spans="1:5" x14ac:dyDescent="0.25">
      <c r="A287" s="130" t="s">
        <v>4</v>
      </c>
      <c r="B287" s="130" t="s">
        <v>574</v>
      </c>
      <c r="C287" s="130" t="s">
        <v>608</v>
      </c>
      <c r="D287" s="130" t="s">
        <v>539</v>
      </c>
      <c r="E287" s="132">
        <v>1704.5</v>
      </c>
    </row>
    <row r="288" spans="1:5" x14ac:dyDescent="0.25">
      <c r="A288" s="130" t="s">
        <v>4</v>
      </c>
      <c r="B288" s="130" t="s">
        <v>574</v>
      </c>
      <c r="C288" s="130" t="s">
        <v>608</v>
      </c>
      <c r="D288" s="130" t="s">
        <v>955</v>
      </c>
      <c r="E288" s="132">
        <v>820.32</v>
      </c>
    </row>
    <row r="289" spans="1:5" x14ac:dyDescent="0.25">
      <c r="A289" s="130" t="s">
        <v>4</v>
      </c>
      <c r="B289" s="130" t="s">
        <v>574</v>
      </c>
      <c r="C289" s="130" t="s">
        <v>608</v>
      </c>
      <c r="D289" s="130" t="s">
        <v>854</v>
      </c>
      <c r="E289" s="132">
        <v>2341.1799999999998</v>
      </c>
    </row>
    <row r="290" spans="1:5" x14ac:dyDescent="0.25">
      <c r="A290" s="130" t="s">
        <v>4</v>
      </c>
      <c r="B290" s="130" t="s">
        <v>574</v>
      </c>
      <c r="C290" s="130" t="s">
        <v>608</v>
      </c>
      <c r="D290" s="130" t="s">
        <v>956</v>
      </c>
      <c r="E290" s="132">
        <v>666.25</v>
      </c>
    </row>
    <row r="291" spans="1:5" x14ac:dyDescent="0.25">
      <c r="A291" s="130" t="s">
        <v>4</v>
      </c>
      <c r="B291" s="130" t="s">
        <v>574</v>
      </c>
      <c r="C291" s="130" t="s">
        <v>608</v>
      </c>
      <c r="D291" s="130" t="s">
        <v>957</v>
      </c>
      <c r="E291" s="132">
        <v>1352.72</v>
      </c>
    </row>
    <row r="292" spans="1:5" x14ac:dyDescent="0.25">
      <c r="A292" s="130" t="s">
        <v>4</v>
      </c>
      <c r="B292" s="130" t="s">
        <v>574</v>
      </c>
      <c r="C292" s="130" t="s">
        <v>608</v>
      </c>
      <c r="D292" s="130" t="s">
        <v>698</v>
      </c>
      <c r="E292" s="132">
        <v>1989.46</v>
      </c>
    </row>
    <row r="293" spans="1:5" x14ac:dyDescent="0.25">
      <c r="A293" s="130" t="s">
        <v>4</v>
      </c>
      <c r="B293" s="130" t="s">
        <v>574</v>
      </c>
      <c r="C293" s="130" t="s">
        <v>608</v>
      </c>
      <c r="D293" s="130" t="s">
        <v>722</v>
      </c>
      <c r="E293" s="132">
        <v>1364.37</v>
      </c>
    </row>
    <row r="294" spans="1:5" x14ac:dyDescent="0.25">
      <c r="A294" s="130" t="s">
        <v>4</v>
      </c>
      <c r="B294" s="130" t="s">
        <v>574</v>
      </c>
      <c r="C294" s="130" t="s">
        <v>608</v>
      </c>
      <c r="D294" s="130" t="s">
        <v>792</v>
      </c>
      <c r="E294" s="132">
        <v>1723.23</v>
      </c>
    </row>
    <row r="295" spans="1:5" x14ac:dyDescent="0.25">
      <c r="A295" s="130" t="s">
        <v>4</v>
      </c>
      <c r="B295" s="130" t="s">
        <v>574</v>
      </c>
      <c r="C295" s="130" t="s">
        <v>608</v>
      </c>
      <c r="D295" s="130" t="s">
        <v>725</v>
      </c>
      <c r="E295" s="132">
        <v>325.38</v>
      </c>
    </row>
    <row r="296" spans="1:5" x14ac:dyDescent="0.25">
      <c r="A296" s="130" t="s">
        <v>4</v>
      </c>
      <c r="B296" s="130" t="s">
        <v>574</v>
      </c>
      <c r="C296" s="130" t="s">
        <v>608</v>
      </c>
      <c r="D296" s="130" t="s">
        <v>410</v>
      </c>
      <c r="E296" s="132">
        <v>1405.66</v>
      </c>
    </row>
    <row r="297" spans="1:5" x14ac:dyDescent="0.25">
      <c r="A297" s="130" t="s">
        <v>4</v>
      </c>
      <c r="B297" s="130" t="s">
        <v>574</v>
      </c>
      <c r="C297" s="130" t="s">
        <v>608</v>
      </c>
      <c r="D297" s="130" t="s">
        <v>242</v>
      </c>
      <c r="E297" s="132">
        <v>572.88</v>
      </c>
    </row>
    <row r="298" spans="1:5" x14ac:dyDescent="0.25">
      <c r="A298" s="130" t="s">
        <v>4</v>
      </c>
      <c r="B298" s="130" t="s">
        <v>574</v>
      </c>
      <c r="C298" s="130" t="s">
        <v>608</v>
      </c>
      <c r="D298" s="130" t="s">
        <v>958</v>
      </c>
      <c r="E298" s="132">
        <v>1506.04</v>
      </c>
    </row>
    <row r="299" spans="1:5" x14ac:dyDescent="0.25">
      <c r="A299" s="130" t="s">
        <v>4</v>
      </c>
      <c r="B299" s="130" t="s">
        <v>574</v>
      </c>
      <c r="C299" s="130" t="s">
        <v>608</v>
      </c>
      <c r="D299" s="130" t="s">
        <v>651</v>
      </c>
      <c r="E299" s="132">
        <v>1064.73</v>
      </c>
    </row>
    <row r="300" spans="1:5" x14ac:dyDescent="0.25">
      <c r="A300" s="130" t="s">
        <v>4</v>
      </c>
      <c r="B300" s="130" t="s">
        <v>574</v>
      </c>
      <c r="C300" s="130" t="s">
        <v>608</v>
      </c>
      <c r="D300" s="130" t="s">
        <v>243</v>
      </c>
      <c r="E300" s="132">
        <v>982.2</v>
      </c>
    </row>
    <row r="301" spans="1:5" x14ac:dyDescent="0.25">
      <c r="A301" s="130" t="s">
        <v>4</v>
      </c>
      <c r="B301" s="130" t="s">
        <v>574</v>
      </c>
      <c r="C301" s="130" t="s">
        <v>608</v>
      </c>
      <c r="D301" s="130" t="s">
        <v>434</v>
      </c>
      <c r="E301" s="132">
        <v>890.38</v>
      </c>
    </row>
    <row r="302" spans="1:5" x14ac:dyDescent="0.25">
      <c r="A302" s="130" t="s">
        <v>4</v>
      </c>
      <c r="B302" s="130" t="s">
        <v>574</v>
      </c>
      <c r="C302" s="130" t="s">
        <v>608</v>
      </c>
      <c r="D302" s="130" t="s">
        <v>435</v>
      </c>
      <c r="E302" s="132">
        <v>2135.71</v>
      </c>
    </row>
    <row r="303" spans="1:5" x14ac:dyDescent="0.25">
      <c r="A303" s="130" t="s">
        <v>4</v>
      </c>
      <c r="B303" s="130" t="s">
        <v>574</v>
      </c>
      <c r="C303" s="130" t="s">
        <v>608</v>
      </c>
      <c r="D303" s="130" t="s">
        <v>518</v>
      </c>
      <c r="E303" s="132">
        <v>1513.85</v>
      </c>
    </row>
    <row r="304" spans="1:5" x14ac:dyDescent="0.25">
      <c r="A304" s="130" t="s">
        <v>4</v>
      </c>
      <c r="B304" s="130" t="s">
        <v>574</v>
      </c>
      <c r="C304" s="130" t="s">
        <v>608</v>
      </c>
      <c r="D304" s="130" t="s">
        <v>681</v>
      </c>
      <c r="E304" s="132">
        <v>891.19</v>
      </c>
    </row>
    <row r="305" spans="1:5" x14ac:dyDescent="0.25">
      <c r="A305" s="130" t="s">
        <v>4</v>
      </c>
      <c r="B305" s="130" t="s">
        <v>574</v>
      </c>
      <c r="C305" s="130" t="s">
        <v>608</v>
      </c>
      <c r="D305" s="130" t="s">
        <v>828</v>
      </c>
      <c r="E305" s="132">
        <v>2218.98</v>
      </c>
    </row>
    <row r="306" spans="1:5" x14ac:dyDescent="0.25">
      <c r="A306" s="130" t="s">
        <v>4</v>
      </c>
      <c r="B306" s="130" t="s">
        <v>574</v>
      </c>
      <c r="C306" s="130" t="s">
        <v>608</v>
      </c>
      <c r="D306" s="130" t="s">
        <v>280</v>
      </c>
      <c r="E306" s="132">
        <v>1603.32</v>
      </c>
    </row>
    <row r="307" spans="1:5" x14ac:dyDescent="0.25">
      <c r="A307" s="130" t="s">
        <v>4</v>
      </c>
      <c r="B307" s="130" t="s">
        <v>574</v>
      </c>
      <c r="C307" s="130" t="s">
        <v>608</v>
      </c>
      <c r="D307" s="130" t="s">
        <v>412</v>
      </c>
      <c r="E307" s="132">
        <v>1591.54</v>
      </c>
    </row>
    <row r="308" spans="1:5" x14ac:dyDescent="0.25">
      <c r="A308" s="130" t="s">
        <v>4</v>
      </c>
      <c r="B308" s="130" t="s">
        <v>574</v>
      </c>
      <c r="C308" s="130" t="s">
        <v>608</v>
      </c>
      <c r="D308" s="130" t="s">
        <v>514</v>
      </c>
      <c r="E308" s="132">
        <v>1905.38</v>
      </c>
    </row>
    <row r="309" spans="1:5" x14ac:dyDescent="0.25">
      <c r="A309" s="130" t="s">
        <v>4</v>
      </c>
      <c r="B309" s="130" t="s">
        <v>574</v>
      </c>
      <c r="C309" s="130" t="s">
        <v>608</v>
      </c>
      <c r="D309" s="130" t="s">
        <v>753</v>
      </c>
      <c r="E309" s="132">
        <v>1350.61</v>
      </c>
    </row>
    <row r="310" spans="1:5" x14ac:dyDescent="0.25">
      <c r="A310" s="130" t="s">
        <v>4</v>
      </c>
      <c r="B310" s="130" t="s">
        <v>574</v>
      </c>
      <c r="C310" s="130" t="s">
        <v>608</v>
      </c>
      <c r="D310" s="130" t="s">
        <v>754</v>
      </c>
      <c r="E310" s="132">
        <v>579.08000000000004</v>
      </c>
    </row>
    <row r="311" spans="1:5" x14ac:dyDescent="0.25">
      <c r="A311" s="130" t="s">
        <v>4</v>
      </c>
      <c r="B311" s="130" t="s">
        <v>574</v>
      </c>
      <c r="C311" s="130" t="s">
        <v>608</v>
      </c>
      <c r="D311" s="130" t="s">
        <v>755</v>
      </c>
      <c r="E311" s="132">
        <v>516.09</v>
      </c>
    </row>
    <row r="312" spans="1:5" x14ac:dyDescent="0.25">
      <c r="A312" s="130" t="s">
        <v>4</v>
      </c>
      <c r="B312" s="130" t="s">
        <v>574</v>
      </c>
      <c r="C312" s="130" t="s">
        <v>608</v>
      </c>
      <c r="D312" s="130" t="s">
        <v>756</v>
      </c>
      <c r="E312" s="132">
        <v>469.46</v>
      </c>
    </row>
    <row r="313" spans="1:5" x14ac:dyDescent="0.25">
      <c r="A313" s="130" t="s">
        <v>4</v>
      </c>
      <c r="B313" s="130" t="s">
        <v>574</v>
      </c>
      <c r="C313" s="130" t="s">
        <v>608</v>
      </c>
      <c r="D313" s="130" t="s">
        <v>613</v>
      </c>
      <c r="E313" s="132">
        <v>58.47</v>
      </c>
    </row>
    <row r="314" spans="1:5" x14ac:dyDescent="0.25">
      <c r="A314" s="130" t="s">
        <v>4</v>
      </c>
      <c r="B314" s="130" t="s">
        <v>574</v>
      </c>
      <c r="C314" s="130" t="s">
        <v>608</v>
      </c>
      <c r="D314" s="130" t="s">
        <v>757</v>
      </c>
      <c r="E314" s="132">
        <v>91.1</v>
      </c>
    </row>
    <row r="315" spans="1:5" x14ac:dyDescent="0.25">
      <c r="A315" s="130" t="s">
        <v>4</v>
      </c>
      <c r="B315" s="130" t="s">
        <v>574</v>
      </c>
      <c r="C315" s="130" t="s">
        <v>608</v>
      </c>
      <c r="D315" s="130" t="s">
        <v>727</v>
      </c>
      <c r="E315" s="132">
        <v>116.93</v>
      </c>
    </row>
    <row r="316" spans="1:5" x14ac:dyDescent="0.25">
      <c r="A316" s="130" t="s">
        <v>4</v>
      </c>
      <c r="B316" s="130" t="s">
        <v>574</v>
      </c>
      <c r="C316" s="130" t="s">
        <v>608</v>
      </c>
      <c r="D316" s="130" t="s">
        <v>340</v>
      </c>
      <c r="E316" s="132">
        <v>8066.57</v>
      </c>
    </row>
    <row r="317" spans="1:5" x14ac:dyDescent="0.25">
      <c r="A317" s="130" t="s">
        <v>4</v>
      </c>
      <c r="B317" s="130" t="s">
        <v>574</v>
      </c>
      <c r="C317" s="130" t="s">
        <v>608</v>
      </c>
      <c r="D317" s="130" t="s">
        <v>436</v>
      </c>
      <c r="E317" s="132">
        <v>9362.06</v>
      </c>
    </row>
    <row r="318" spans="1:5" x14ac:dyDescent="0.25">
      <c r="A318" s="130" t="s">
        <v>4</v>
      </c>
      <c r="B318" s="130" t="s">
        <v>574</v>
      </c>
      <c r="C318" s="130" t="s">
        <v>608</v>
      </c>
      <c r="D318" s="130" t="s">
        <v>507</v>
      </c>
      <c r="E318" s="132">
        <v>11483.39</v>
      </c>
    </row>
    <row r="319" spans="1:5" x14ac:dyDescent="0.25">
      <c r="A319" s="130" t="s">
        <v>4</v>
      </c>
      <c r="B319" s="130" t="s">
        <v>574</v>
      </c>
      <c r="C319" s="130" t="s">
        <v>608</v>
      </c>
      <c r="D319" s="130" t="s">
        <v>618</v>
      </c>
      <c r="E319" s="132">
        <v>449.81</v>
      </c>
    </row>
    <row r="320" spans="1:5" x14ac:dyDescent="0.25">
      <c r="A320" s="130" t="s">
        <v>4</v>
      </c>
      <c r="B320" s="130" t="s">
        <v>574</v>
      </c>
      <c r="C320" s="130" t="s">
        <v>608</v>
      </c>
      <c r="D320" s="130" t="s">
        <v>375</v>
      </c>
      <c r="E320" s="132">
        <v>615.1</v>
      </c>
    </row>
    <row r="321" spans="1:5" x14ac:dyDescent="0.25">
      <c r="A321" s="130" t="s">
        <v>4</v>
      </c>
      <c r="B321" s="130" t="s">
        <v>574</v>
      </c>
      <c r="C321" s="130" t="s">
        <v>608</v>
      </c>
      <c r="D321" s="130" t="s">
        <v>359</v>
      </c>
      <c r="E321" s="132">
        <v>733.65</v>
      </c>
    </row>
    <row r="322" spans="1:5" x14ac:dyDescent="0.25">
      <c r="A322" s="130" t="s">
        <v>4</v>
      </c>
      <c r="B322" s="130" t="s">
        <v>574</v>
      </c>
      <c r="C322" s="130" t="s">
        <v>608</v>
      </c>
      <c r="D322" s="130" t="s">
        <v>314</v>
      </c>
      <c r="E322" s="132">
        <v>877.86</v>
      </c>
    </row>
    <row r="323" spans="1:5" x14ac:dyDescent="0.25">
      <c r="A323" s="130" t="s">
        <v>4</v>
      </c>
      <c r="B323" s="130" t="s">
        <v>574</v>
      </c>
      <c r="C323" s="130" t="s">
        <v>608</v>
      </c>
      <c r="D323" s="130" t="s">
        <v>494</v>
      </c>
      <c r="E323" s="132">
        <v>1028.27</v>
      </c>
    </row>
    <row r="324" spans="1:5" x14ac:dyDescent="0.25">
      <c r="A324" s="130" t="s">
        <v>4</v>
      </c>
      <c r="B324" s="130" t="s">
        <v>574</v>
      </c>
      <c r="C324" s="130" t="s">
        <v>608</v>
      </c>
      <c r="D324" s="130" t="s">
        <v>488</v>
      </c>
      <c r="E324" s="132">
        <v>1145.45</v>
      </c>
    </row>
    <row r="325" spans="1:5" x14ac:dyDescent="0.25">
      <c r="A325" s="130" t="s">
        <v>4</v>
      </c>
      <c r="B325" s="130" t="s">
        <v>574</v>
      </c>
      <c r="C325" s="130" t="s">
        <v>608</v>
      </c>
      <c r="D325" s="130" t="s">
        <v>489</v>
      </c>
      <c r="E325" s="132">
        <v>1293.32</v>
      </c>
    </row>
    <row r="326" spans="1:5" x14ac:dyDescent="0.25">
      <c r="A326" s="130" t="s">
        <v>4</v>
      </c>
      <c r="B326" s="130" t="s">
        <v>574</v>
      </c>
      <c r="C326" s="130" t="s">
        <v>608</v>
      </c>
      <c r="D326" s="130" t="s">
        <v>959</v>
      </c>
      <c r="E326" s="132">
        <v>1446.71</v>
      </c>
    </row>
    <row r="327" spans="1:5" x14ac:dyDescent="0.25">
      <c r="A327" s="130" t="s">
        <v>4</v>
      </c>
      <c r="B327" s="130" t="s">
        <v>574</v>
      </c>
      <c r="C327" s="130" t="s">
        <v>608</v>
      </c>
      <c r="D327" s="130" t="s">
        <v>960</v>
      </c>
      <c r="E327" s="132">
        <v>1592.84</v>
      </c>
    </row>
    <row r="328" spans="1:5" x14ac:dyDescent="0.25">
      <c r="A328" s="130" t="s">
        <v>4</v>
      </c>
      <c r="B328" s="130" t="s">
        <v>574</v>
      </c>
      <c r="C328" s="130" t="s">
        <v>608</v>
      </c>
      <c r="D328" s="130" t="s">
        <v>961</v>
      </c>
      <c r="E328" s="132">
        <v>1705.74</v>
      </c>
    </row>
    <row r="329" spans="1:5" x14ac:dyDescent="0.25">
      <c r="A329" s="130" t="s">
        <v>4</v>
      </c>
      <c r="B329" s="130" t="s">
        <v>574</v>
      </c>
      <c r="C329" s="130" t="s">
        <v>608</v>
      </c>
      <c r="D329" s="130" t="s">
        <v>360</v>
      </c>
      <c r="E329" s="132">
        <v>424.95</v>
      </c>
    </row>
    <row r="330" spans="1:5" x14ac:dyDescent="0.25">
      <c r="A330" s="130" t="s">
        <v>4</v>
      </c>
      <c r="B330" s="130" t="s">
        <v>574</v>
      </c>
      <c r="C330" s="130" t="s">
        <v>608</v>
      </c>
      <c r="D330" s="130" t="s">
        <v>376</v>
      </c>
      <c r="E330" s="132">
        <v>476.9</v>
      </c>
    </row>
    <row r="331" spans="1:5" x14ac:dyDescent="0.25">
      <c r="A331" s="130" t="s">
        <v>4</v>
      </c>
      <c r="B331" s="130" t="s">
        <v>574</v>
      </c>
      <c r="C331" s="130" t="s">
        <v>608</v>
      </c>
      <c r="D331" s="130" t="s">
        <v>352</v>
      </c>
      <c r="E331" s="132">
        <v>676.48</v>
      </c>
    </row>
    <row r="332" spans="1:5" x14ac:dyDescent="0.25">
      <c r="A332" s="130" t="s">
        <v>4</v>
      </c>
      <c r="B332" s="130" t="s">
        <v>574</v>
      </c>
      <c r="C332" s="130" t="s">
        <v>608</v>
      </c>
      <c r="D332" s="130" t="s">
        <v>962</v>
      </c>
      <c r="E332" s="132">
        <v>1096.97</v>
      </c>
    </row>
    <row r="333" spans="1:5" x14ac:dyDescent="0.25">
      <c r="A333" s="130" t="s">
        <v>4</v>
      </c>
      <c r="B333" s="130" t="s">
        <v>574</v>
      </c>
      <c r="C333" s="130" t="s">
        <v>608</v>
      </c>
      <c r="D333" s="130" t="s">
        <v>852</v>
      </c>
      <c r="E333" s="132">
        <v>1790.25</v>
      </c>
    </row>
    <row r="334" spans="1:5" x14ac:dyDescent="0.25">
      <c r="A334" s="130" t="s">
        <v>4</v>
      </c>
      <c r="B334" s="130" t="s">
        <v>574</v>
      </c>
      <c r="C334" s="130" t="s">
        <v>608</v>
      </c>
      <c r="D334" s="130" t="s">
        <v>963</v>
      </c>
      <c r="E334" s="132">
        <v>377.67</v>
      </c>
    </row>
    <row r="335" spans="1:5" x14ac:dyDescent="0.25">
      <c r="A335" s="130" t="s">
        <v>4</v>
      </c>
      <c r="B335" s="130" t="s">
        <v>574</v>
      </c>
      <c r="C335" s="130" t="s">
        <v>608</v>
      </c>
      <c r="D335" s="130" t="s">
        <v>437</v>
      </c>
      <c r="E335" s="132">
        <v>377.67</v>
      </c>
    </row>
    <row r="336" spans="1:5" x14ac:dyDescent="0.25">
      <c r="A336" s="130" t="s">
        <v>4</v>
      </c>
      <c r="B336" s="130" t="s">
        <v>574</v>
      </c>
      <c r="C336" s="130" t="s">
        <v>608</v>
      </c>
      <c r="D336" s="130" t="s">
        <v>964</v>
      </c>
      <c r="E336" s="132">
        <v>941.41</v>
      </c>
    </row>
    <row r="337" spans="1:5" x14ac:dyDescent="0.25">
      <c r="A337" s="130" t="s">
        <v>4</v>
      </c>
      <c r="B337" s="130" t="s">
        <v>574</v>
      </c>
      <c r="C337" s="130" t="s">
        <v>608</v>
      </c>
      <c r="D337" s="130" t="s">
        <v>662</v>
      </c>
      <c r="E337" s="132">
        <v>1342.92</v>
      </c>
    </row>
    <row r="338" spans="1:5" x14ac:dyDescent="0.25">
      <c r="A338" s="130" t="s">
        <v>4</v>
      </c>
      <c r="B338" s="130" t="s">
        <v>574</v>
      </c>
      <c r="C338" s="130" t="s">
        <v>608</v>
      </c>
      <c r="D338" s="130" t="s">
        <v>663</v>
      </c>
      <c r="E338" s="132">
        <v>1835.94</v>
      </c>
    </row>
    <row r="339" spans="1:5" x14ac:dyDescent="0.25">
      <c r="A339" s="130" t="s">
        <v>4</v>
      </c>
      <c r="B339" s="130" t="s">
        <v>574</v>
      </c>
      <c r="C339" s="130" t="s">
        <v>608</v>
      </c>
      <c r="D339" s="130" t="s">
        <v>361</v>
      </c>
      <c r="E339" s="132">
        <v>2684.6</v>
      </c>
    </row>
    <row r="340" spans="1:5" x14ac:dyDescent="0.25">
      <c r="A340" s="130" t="s">
        <v>4</v>
      </c>
      <c r="B340" s="130" t="s">
        <v>574</v>
      </c>
      <c r="C340" s="130" t="s">
        <v>608</v>
      </c>
      <c r="D340" s="130" t="s">
        <v>316</v>
      </c>
      <c r="E340" s="132">
        <v>661.54</v>
      </c>
    </row>
    <row r="341" spans="1:5" x14ac:dyDescent="0.25">
      <c r="A341" s="130" t="s">
        <v>4</v>
      </c>
      <c r="B341" s="130" t="s">
        <v>574</v>
      </c>
      <c r="C341" s="130" t="s">
        <v>608</v>
      </c>
      <c r="D341" s="130" t="s">
        <v>384</v>
      </c>
      <c r="E341" s="132">
        <v>3245.7</v>
      </c>
    </row>
    <row r="342" spans="1:5" x14ac:dyDescent="0.25">
      <c r="A342" s="130" t="s">
        <v>4</v>
      </c>
      <c r="B342" s="130" t="s">
        <v>574</v>
      </c>
      <c r="C342" s="130" t="s">
        <v>608</v>
      </c>
      <c r="D342" s="130" t="s">
        <v>477</v>
      </c>
      <c r="E342" s="132">
        <v>236.72</v>
      </c>
    </row>
    <row r="343" spans="1:5" x14ac:dyDescent="0.25">
      <c r="A343" s="130" t="s">
        <v>4</v>
      </c>
      <c r="B343" s="130" t="s">
        <v>574</v>
      </c>
      <c r="C343" s="130" t="s">
        <v>608</v>
      </c>
      <c r="D343" s="130" t="s">
        <v>825</v>
      </c>
      <c r="E343" s="132">
        <v>1476.84</v>
      </c>
    </row>
    <row r="344" spans="1:5" x14ac:dyDescent="0.25">
      <c r="A344" s="130" t="s">
        <v>4</v>
      </c>
      <c r="B344" s="130" t="s">
        <v>574</v>
      </c>
      <c r="C344" s="130" t="s">
        <v>608</v>
      </c>
      <c r="D344" s="130" t="s">
        <v>244</v>
      </c>
      <c r="E344" s="132">
        <v>3313.9</v>
      </c>
    </row>
    <row r="345" spans="1:5" x14ac:dyDescent="0.25">
      <c r="A345" s="130" t="s">
        <v>4</v>
      </c>
      <c r="B345" s="130" t="s">
        <v>574</v>
      </c>
      <c r="C345" s="130" t="s">
        <v>608</v>
      </c>
      <c r="D345" s="130" t="s">
        <v>245</v>
      </c>
      <c r="E345" s="132">
        <v>2672.2</v>
      </c>
    </row>
    <row r="346" spans="1:5" x14ac:dyDescent="0.25">
      <c r="A346" s="130" t="s">
        <v>4</v>
      </c>
      <c r="B346" s="130" t="s">
        <v>574</v>
      </c>
      <c r="C346" s="130" t="s">
        <v>608</v>
      </c>
      <c r="D346" s="130" t="s">
        <v>246</v>
      </c>
      <c r="E346" s="132">
        <v>2837.12</v>
      </c>
    </row>
    <row r="347" spans="1:5" x14ac:dyDescent="0.25">
      <c r="A347" s="130" t="s">
        <v>4</v>
      </c>
      <c r="B347" s="130" t="s">
        <v>574</v>
      </c>
      <c r="C347" s="130" t="s">
        <v>608</v>
      </c>
      <c r="D347" s="130" t="s">
        <v>247</v>
      </c>
      <c r="E347" s="132">
        <v>2350.54</v>
      </c>
    </row>
    <row r="348" spans="1:5" x14ac:dyDescent="0.25">
      <c r="A348" s="130" t="s">
        <v>4</v>
      </c>
      <c r="B348" s="130" t="s">
        <v>574</v>
      </c>
      <c r="C348" s="130" t="s">
        <v>608</v>
      </c>
      <c r="D348" s="130" t="s">
        <v>248</v>
      </c>
      <c r="E348" s="132">
        <v>2625.51</v>
      </c>
    </row>
    <row r="349" spans="1:5" x14ac:dyDescent="0.25">
      <c r="A349" s="130" t="s">
        <v>4</v>
      </c>
      <c r="B349" s="130" t="s">
        <v>574</v>
      </c>
      <c r="C349" s="130" t="s">
        <v>608</v>
      </c>
      <c r="D349" s="130" t="s">
        <v>249</v>
      </c>
      <c r="E349" s="132">
        <v>1904.64</v>
      </c>
    </row>
    <row r="350" spans="1:5" x14ac:dyDescent="0.25">
      <c r="A350" s="130" t="s">
        <v>4</v>
      </c>
      <c r="B350" s="130" t="s">
        <v>574</v>
      </c>
      <c r="C350" s="130" t="s">
        <v>608</v>
      </c>
      <c r="D350" s="130" t="s">
        <v>250</v>
      </c>
      <c r="E350" s="132">
        <v>2538.2800000000002</v>
      </c>
    </row>
    <row r="351" spans="1:5" x14ac:dyDescent="0.25">
      <c r="A351" s="130" t="s">
        <v>4</v>
      </c>
      <c r="B351" s="130" t="s">
        <v>574</v>
      </c>
      <c r="C351" s="130" t="s">
        <v>608</v>
      </c>
      <c r="D351" s="130" t="s">
        <v>719</v>
      </c>
      <c r="E351" s="132">
        <v>2432.3200000000002</v>
      </c>
    </row>
    <row r="352" spans="1:5" x14ac:dyDescent="0.25">
      <c r="A352" s="130" t="s">
        <v>4</v>
      </c>
      <c r="B352" s="130" t="s">
        <v>574</v>
      </c>
      <c r="C352" s="130" t="s">
        <v>608</v>
      </c>
      <c r="D352" s="130" t="s">
        <v>469</v>
      </c>
      <c r="E352" s="132">
        <v>2285.0700000000002</v>
      </c>
    </row>
    <row r="353" spans="1:5" x14ac:dyDescent="0.25">
      <c r="A353" s="130" t="s">
        <v>4</v>
      </c>
      <c r="B353" s="130" t="s">
        <v>574</v>
      </c>
      <c r="C353" s="130" t="s">
        <v>608</v>
      </c>
      <c r="D353" s="130" t="s">
        <v>965</v>
      </c>
      <c r="E353" s="132">
        <v>2569.2199999999998</v>
      </c>
    </row>
    <row r="354" spans="1:5" x14ac:dyDescent="0.25">
      <c r="A354" s="130" t="s">
        <v>4</v>
      </c>
      <c r="B354" s="130" t="s">
        <v>574</v>
      </c>
      <c r="C354" s="130" t="s">
        <v>608</v>
      </c>
      <c r="D354" s="130" t="s">
        <v>573</v>
      </c>
      <c r="E354" s="132">
        <v>3171.61</v>
      </c>
    </row>
    <row r="355" spans="1:5" x14ac:dyDescent="0.25">
      <c r="A355" s="130" t="s">
        <v>4</v>
      </c>
      <c r="B355" s="130" t="s">
        <v>574</v>
      </c>
      <c r="C355" s="130" t="s">
        <v>608</v>
      </c>
      <c r="D355" s="130" t="s">
        <v>966</v>
      </c>
      <c r="E355" s="132">
        <v>2936.63</v>
      </c>
    </row>
    <row r="356" spans="1:5" x14ac:dyDescent="0.25">
      <c r="A356" s="130" t="s">
        <v>4</v>
      </c>
      <c r="B356" s="130" t="s">
        <v>574</v>
      </c>
      <c r="C356" s="130" t="s">
        <v>608</v>
      </c>
      <c r="D356" s="130" t="s">
        <v>967</v>
      </c>
      <c r="E356" s="132">
        <v>3985.79</v>
      </c>
    </row>
    <row r="357" spans="1:5" x14ac:dyDescent="0.25">
      <c r="A357" s="130" t="s">
        <v>4</v>
      </c>
      <c r="B357" s="130" t="s">
        <v>574</v>
      </c>
      <c r="C357" s="130" t="s">
        <v>608</v>
      </c>
      <c r="D357" s="130" t="s">
        <v>968</v>
      </c>
      <c r="E357" s="132">
        <v>5117.4799999999996</v>
      </c>
    </row>
    <row r="358" spans="1:5" x14ac:dyDescent="0.25">
      <c r="A358" s="130" t="s">
        <v>4</v>
      </c>
      <c r="B358" s="130" t="s">
        <v>574</v>
      </c>
      <c r="C358" s="130" t="s">
        <v>608</v>
      </c>
      <c r="D358" s="130" t="s">
        <v>317</v>
      </c>
      <c r="E358" s="132">
        <v>1066.92</v>
      </c>
    </row>
    <row r="359" spans="1:5" x14ac:dyDescent="0.25">
      <c r="A359" s="130" t="s">
        <v>4</v>
      </c>
      <c r="B359" s="130" t="s">
        <v>574</v>
      </c>
      <c r="C359" s="130" t="s">
        <v>608</v>
      </c>
      <c r="D359" s="130" t="s">
        <v>816</v>
      </c>
      <c r="E359" s="132">
        <v>1379.66</v>
      </c>
    </row>
    <row r="360" spans="1:5" x14ac:dyDescent="0.25">
      <c r="A360" s="130" t="s">
        <v>4</v>
      </c>
      <c r="B360" s="130" t="s">
        <v>574</v>
      </c>
      <c r="C360" s="130" t="s">
        <v>608</v>
      </c>
      <c r="D360" s="130" t="s">
        <v>817</v>
      </c>
      <c r="E360" s="132">
        <v>1794.34</v>
      </c>
    </row>
    <row r="361" spans="1:5" x14ac:dyDescent="0.25">
      <c r="A361" s="130" t="s">
        <v>4</v>
      </c>
      <c r="B361" s="130" t="s">
        <v>574</v>
      </c>
      <c r="C361" s="130" t="s">
        <v>608</v>
      </c>
      <c r="D361" s="130" t="s">
        <v>850</v>
      </c>
      <c r="E361" s="132">
        <v>4257.42</v>
      </c>
    </row>
    <row r="362" spans="1:5" x14ac:dyDescent="0.25">
      <c r="A362" s="130" t="s">
        <v>4</v>
      </c>
      <c r="B362" s="130" t="s">
        <v>574</v>
      </c>
      <c r="C362" s="130" t="s">
        <v>608</v>
      </c>
      <c r="D362" s="130" t="s">
        <v>790</v>
      </c>
      <c r="E362" s="132">
        <v>6397.84</v>
      </c>
    </row>
    <row r="363" spans="1:5" x14ac:dyDescent="0.25">
      <c r="A363" s="130" t="s">
        <v>4</v>
      </c>
      <c r="B363" s="130" t="s">
        <v>574</v>
      </c>
      <c r="C363" s="130" t="s">
        <v>608</v>
      </c>
      <c r="D363" s="130" t="s">
        <v>851</v>
      </c>
      <c r="E363" s="132">
        <v>7557.49</v>
      </c>
    </row>
    <row r="364" spans="1:5" x14ac:dyDescent="0.25">
      <c r="A364" s="130" t="s">
        <v>4</v>
      </c>
      <c r="B364" s="130" t="s">
        <v>574</v>
      </c>
      <c r="C364" s="130" t="s">
        <v>608</v>
      </c>
      <c r="D364" s="130" t="s">
        <v>969</v>
      </c>
      <c r="E364" s="132">
        <v>3446.43</v>
      </c>
    </row>
    <row r="365" spans="1:5" x14ac:dyDescent="0.25">
      <c r="A365" s="130" t="s">
        <v>4</v>
      </c>
      <c r="B365" s="130" t="s">
        <v>574</v>
      </c>
      <c r="C365" s="130" t="s">
        <v>608</v>
      </c>
      <c r="D365" s="130" t="s">
        <v>826</v>
      </c>
      <c r="E365" s="132">
        <v>4913.2299999999996</v>
      </c>
    </row>
    <row r="366" spans="1:5" x14ac:dyDescent="0.25">
      <c r="A366" s="130" t="s">
        <v>4</v>
      </c>
      <c r="B366" s="130" t="s">
        <v>574</v>
      </c>
      <c r="C366" s="130" t="s">
        <v>608</v>
      </c>
      <c r="D366" s="130" t="s">
        <v>970</v>
      </c>
      <c r="E366" s="132">
        <v>6393.6</v>
      </c>
    </row>
    <row r="367" spans="1:5" x14ac:dyDescent="0.25">
      <c r="A367" s="130" t="s">
        <v>4</v>
      </c>
      <c r="B367" s="130" t="s">
        <v>574</v>
      </c>
      <c r="C367" s="130" t="s">
        <v>608</v>
      </c>
      <c r="D367" s="130" t="s">
        <v>251</v>
      </c>
      <c r="E367" s="132">
        <v>3184.94</v>
      </c>
    </row>
    <row r="368" spans="1:5" x14ac:dyDescent="0.25">
      <c r="A368" s="130" t="s">
        <v>4</v>
      </c>
      <c r="B368" s="130" t="s">
        <v>574</v>
      </c>
      <c r="C368" s="130" t="s">
        <v>608</v>
      </c>
      <c r="D368" s="130" t="s">
        <v>260</v>
      </c>
      <c r="E368" s="132">
        <v>4459.78</v>
      </c>
    </row>
    <row r="369" spans="1:5" x14ac:dyDescent="0.25">
      <c r="A369" s="130" t="s">
        <v>4</v>
      </c>
      <c r="B369" s="130" t="s">
        <v>574</v>
      </c>
      <c r="C369" s="130" t="s">
        <v>608</v>
      </c>
      <c r="D369" s="130" t="s">
        <v>687</v>
      </c>
      <c r="E369" s="132">
        <v>3791.24</v>
      </c>
    </row>
    <row r="370" spans="1:5" x14ac:dyDescent="0.25">
      <c r="A370" s="130" t="s">
        <v>4</v>
      </c>
      <c r="B370" s="130" t="s">
        <v>574</v>
      </c>
      <c r="C370" s="130" t="s">
        <v>608</v>
      </c>
      <c r="D370" s="130" t="s">
        <v>483</v>
      </c>
      <c r="E370" s="132">
        <v>1692.1</v>
      </c>
    </row>
    <row r="371" spans="1:5" x14ac:dyDescent="0.25">
      <c r="A371" s="130" t="s">
        <v>4</v>
      </c>
      <c r="B371" s="130" t="s">
        <v>574</v>
      </c>
      <c r="C371" s="130" t="s">
        <v>608</v>
      </c>
      <c r="D371" s="130" t="s">
        <v>682</v>
      </c>
      <c r="E371" s="132">
        <v>2404.2399999999998</v>
      </c>
    </row>
    <row r="372" spans="1:5" x14ac:dyDescent="0.25">
      <c r="A372" s="130" t="s">
        <v>4</v>
      </c>
      <c r="B372" s="130" t="s">
        <v>574</v>
      </c>
      <c r="C372" s="130" t="s">
        <v>608</v>
      </c>
      <c r="D372" s="130" t="s">
        <v>971</v>
      </c>
      <c r="E372" s="132">
        <v>4514.28</v>
      </c>
    </row>
    <row r="373" spans="1:5" x14ac:dyDescent="0.25">
      <c r="A373" s="130" t="s">
        <v>4</v>
      </c>
      <c r="B373" s="130" t="s">
        <v>574</v>
      </c>
      <c r="C373" s="130" t="s">
        <v>608</v>
      </c>
      <c r="D373" s="130" t="s">
        <v>267</v>
      </c>
      <c r="E373" s="132">
        <v>3489.98</v>
      </c>
    </row>
    <row r="374" spans="1:5" x14ac:dyDescent="0.25">
      <c r="A374" s="130" t="s">
        <v>4</v>
      </c>
      <c r="B374" s="130" t="s">
        <v>574</v>
      </c>
      <c r="C374" s="130" t="s">
        <v>608</v>
      </c>
      <c r="D374" s="130" t="s">
        <v>329</v>
      </c>
      <c r="E374" s="132">
        <v>1972.28</v>
      </c>
    </row>
    <row r="375" spans="1:5" x14ac:dyDescent="0.25">
      <c r="A375" s="130" t="s">
        <v>4</v>
      </c>
      <c r="B375" s="130" t="s">
        <v>574</v>
      </c>
      <c r="C375" s="130" t="s">
        <v>608</v>
      </c>
      <c r="D375" s="130" t="s">
        <v>553</v>
      </c>
      <c r="E375" s="132">
        <v>2936.63</v>
      </c>
    </row>
    <row r="376" spans="1:5" x14ac:dyDescent="0.25">
      <c r="A376" s="130" t="s">
        <v>4</v>
      </c>
      <c r="B376" s="130" t="s">
        <v>574</v>
      </c>
      <c r="C376" s="130" t="s">
        <v>608</v>
      </c>
      <c r="D376" s="130" t="s">
        <v>323</v>
      </c>
      <c r="E376" s="132">
        <v>1530.16</v>
      </c>
    </row>
    <row r="377" spans="1:5" x14ac:dyDescent="0.25">
      <c r="A377" s="130" t="s">
        <v>4</v>
      </c>
      <c r="B377" s="130" t="s">
        <v>574</v>
      </c>
      <c r="C377" s="130" t="s">
        <v>608</v>
      </c>
      <c r="D377" s="130" t="s">
        <v>331</v>
      </c>
      <c r="E377" s="132">
        <v>1819.7</v>
      </c>
    </row>
    <row r="378" spans="1:5" x14ac:dyDescent="0.25">
      <c r="A378" s="130" t="s">
        <v>4</v>
      </c>
      <c r="B378" s="130" t="s">
        <v>574</v>
      </c>
      <c r="C378" s="130" t="s">
        <v>608</v>
      </c>
      <c r="D378" s="130" t="s">
        <v>702</v>
      </c>
      <c r="E378" s="132">
        <v>2247.81</v>
      </c>
    </row>
    <row r="379" spans="1:5" x14ac:dyDescent="0.25">
      <c r="A379" s="130" t="s">
        <v>4</v>
      </c>
      <c r="B379" s="130" t="s">
        <v>574</v>
      </c>
      <c r="C379" s="130" t="s">
        <v>608</v>
      </c>
      <c r="D379" s="130" t="s">
        <v>809</v>
      </c>
      <c r="E379" s="132">
        <v>954.24</v>
      </c>
    </row>
    <row r="380" spans="1:5" x14ac:dyDescent="0.25">
      <c r="A380" s="130" t="s">
        <v>4</v>
      </c>
      <c r="B380" s="130" t="s">
        <v>574</v>
      </c>
      <c r="C380" s="130" t="s">
        <v>608</v>
      </c>
      <c r="D380" s="130" t="s">
        <v>738</v>
      </c>
      <c r="E380" s="132">
        <v>2765.39</v>
      </c>
    </row>
    <row r="381" spans="1:5" x14ac:dyDescent="0.25">
      <c r="A381" s="130" t="s">
        <v>4</v>
      </c>
      <c r="B381" s="130" t="s">
        <v>574</v>
      </c>
      <c r="C381" s="130" t="s">
        <v>608</v>
      </c>
      <c r="D381" s="130" t="s">
        <v>739</v>
      </c>
      <c r="E381" s="132">
        <v>3149.1</v>
      </c>
    </row>
    <row r="382" spans="1:5" x14ac:dyDescent="0.25">
      <c r="A382" s="130" t="s">
        <v>4</v>
      </c>
      <c r="B382" s="130" t="s">
        <v>574</v>
      </c>
      <c r="C382" s="130" t="s">
        <v>608</v>
      </c>
      <c r="D382" s="130" t="s">
        <v>972</v>
      </c>
      <c r="E382" s="132">
        <v>7309.8</v>
      </c>
    </row>
    <row r="383" spans="1:5" x14ac:dyDescent="0.25">
      <c r="A383" s="130" t="s">
        <v>4</v>
      </c>
      <c r="B383" s="130" t="s">
        <v>574</v>
      </c>
      <c r="C383" s="130" t="s">
        <v>608</v>
      </c>
      <c r="D383" s="130" t="s">
        <v>973</v>
      </c>
      <c r="E383" s="132">
        <v>7942.2</v>
      </c>
    </row>
    <row r="384" spans="1:5" x14ac:dyDescent="0.25">
      <c r="A384" s="130" t="s">
        <v>4</v>
      </c>
      <c r="B384" s="130" t="s">
        <v>574</v>
      </c>
      <c r="C384" s="130" t="s">
        <v>608</v>
      </c>
      <c r="D384" s="130" t="s">
        <v>974</v>
      </c>
      <c r="E384" s="132">
        <v>8538.33</v>
      </c>
    </row>
    <row r="385" spans="1:5" x14ac:dyDescent="0.25">
      <c r="A385" s="130" t="s">
        <v>4</v>
      </c>
      <c r="B385" s="130" t="s">
        <v>574</v>
      </c>
      <c r="C385" s="130" t="s">
        <v>608</v>
      </c>
      <c r="D385" s="130" t="s">
        <v>397</v>
      </c>
      <c r="E385" s="132">
        <v>9765.93</v>
      </c>
    </row>
    <row r="386" spans="1:5" x14ac:dyDescent="0.25">
      <c r="A386" s="130" t="s">
        <v>4</v>
      </c>
      <c r="B386" s="130" t="s">
        <v>574</v>
      </c>
      <c r="C386" s="130" t="s">
        <v>608</v>
      </c>
      <c r="D386" s="130" t="s">
        <v>398</v>
      </c>
      <c r="E386" s="132">
        <v>5136.3900000000003</v>
      </c>
    </row>
    <row r="387" spans="1:5" x14ac:dyDescent="0.25">
      <c r="A387" s="130" t="s">
        <v>4</v>
      </c>
      <c r="B387" s="130" t="s">
        <v>574</v>
      </c>
      <c r="C387" s="130" t="s">
        <v>608</v>
      </c>
      <c r="D387" s="130" t="s">
        <v>399</v>
      </c>
      <c r="E387" s="132">
        <v>12292.74</v>
      </c>
    </row>
    <row r="388" spans="1:5" x14ac:dyDescent="0.25">
      <c r="A388" s="130" t="s">
        <v>4</v>
      </c>
      <c r="B388" s="130" t="s">
        <v>574</v>
      </c>
      <c r="C388" s="130" t="s">
        <v>608</v>
      </c>
      <c r="D388" s="130" t="s">
        <v>470</v>
      </c>
      <c r="E388" s="132">
        <v>1899.43</v>
      </c>
    </row>
    <row r="389" spans="1:5" x14ac:dyDescent="0.25">
      <c r="A389" s="130" t="s">
        <v>4</v>
      </c>
      <c r="B389" s="130" t="s">
        <v>574</v>
      </c>
      <c r="C389" s="130" t="s">
        <v>608</v>
      </c>
      <c r="D389" s="130" t="s">
        <v>491</v>
      </c>
      <c r="E389" s="132">
        <v>12805.91</v>
      </c>
    </row>
    <row r="390" spans="1:5" x14ac:dyDescent="0.25">
      <c r="A390" s="130" t="s">
        <v>4</v>
      </c>
      <c r="B390" s="130" t="s">
        <v>574</v>
      </c>
      <c r="C390" s="130" t="s">
        <v>608</v>
      </c>
      <c r="D390" s="130" t="s">
        <v>975</v>
      </c>
      <c r="E390" s="132">
        <v>15392.43</v>
      </c>
    </row>
    <row r="391" spans="1:5" x14ac:dyDescent="0.25">
      <c r="A391" s="130" t="s">
        <v>4</v>
      </c>
      <c r="B391" s="130" t="s">
        <v>574</v>
      </c>
      <c r="C391" s="130" t="s">
        <v>608</v>
      </c>
      <c r="D391" s="130" t="s">
        <v>976</v>
      </c>
      <c r="E391" s="132">
        <v>6648.01</v>
      </c>
    </row>
    <row r="392" spans="1:5" x14ac:dyDescent="0.25">
      <c r="A392" s="130" t="s">
        <v>4</v>
      </c>
      <c r="B392" s="130" t="s">
        <v>574</v>
      </c>
      <c r="C392" s="130" t="s">
        <v>608</v>
      </c>
      <c r="D392" s="130" t="s">
        <v>400</v>
      </c>
      <c r="E392" s="132">
        <v>17859.72</v>
      </c>
    </row>
    <row r="393" spans="1:5" x14ac:dyDescent="0.25">
      <c r="A393" s="130" t="s">
        <v>4</v>
      </c>
      <c r="B393" s="130" t="s">
        <v>574</v>
      </c>
      <c r="C393" s="130" t="s">
        <v>608</v>
      </c>
      <c r="D393" s="130" t="s">
        <v>472</v>
      </c>
      <c r="E393" s="132">
        <v>22784.07</v>
      </c>
    </row>
    <row r="394" spans="1:5" x14ac:dyDescent="0.25">
      <c r="A394" s="130" t="s">
        <v>4</v>
      </c>
      <c r="B394" s="130" t="s">
        <v>574</v>
      </c>
      <c r="C394" s="130" t="s">
        <v>608</v>
      </c>
      <c r="D394" s="130" t="s">
        <v>977</v>
      </c>
      <c r="E394" s="132">
        <v>11839.09</v>
      </c>
    </row>
    <row r="395" spans="1:5" x14ac:dyDescent="0.25">
      <c r="A395" s="130" t="s">
        <v>4</v>
      </c>
      <c r="B395" s="130" t="s">
        <v>574</v>
      </c>
      <c r="C395" s="130" t="s">
        <v>608</v>
      </c>
      <c r="D395" s="130" t="s">
        <v>978</v>
      </c>
      <c r="E395" s="132">
        <v>15601.18</v>
      </c>
    </row>
    <row r="396" spans="1:5" x14ac:dyDescent="0.25">
      <c r="A396" s="130" t="s">
        <v>4</v>
      </c>
      <c r="B396" s="130" t="s">
        <v>574</v>
      </c>
      <c r="C396" s="130" t="s">
        <v>608</v>
      </c>
      <c r="D396" s="130" t="s">
        <v>979</v>
      </c>
      <c r="E396" s="132">
        <v>16669.509999999998</v>
      </c>
    </row>
    <row r="397" spans="1:5" x14ac:dyDescent="0.25">
      <c r="A397" s="130" t="s">
        <v>4</v>
      </c>
      <c r="B397" s="130" t="s">
        <v>574</v>
      </c>
      <c r="C397" s="130" t="s">
        <v>608</v>
      </c>
      <c r="D397" s="130" t="s">
        <v>306</v>
      </c>
      <c r="E397" s="132">
        <v>5684.59</v>
      </c>
    </row>
    <row r="398" spans="1:5" x14ac:dyDescent="0.25">
      <c r="A398" s="130" t="s">
        <v>4</v>
      </c>
      <c r="B398" s="130" t="s">
        <v>574</v>
      </c>
      <c r="C398" s="130" t="s">
        <v>608</v>
      </c>
      <c r="D398" s="130" t="s">
        <v>386</v>
      </c>
      <c r="E398" s="132">
        <v>33449.35</v>
      </c>
    </row>
    <row r="399" spans="1:5" x14ac:dyDescent="0.25">
      <c r="A399" s="130" t="s">
        <v>4</v>
      </c>
      <c r="B399" s="130" t="s">
        <v>574</v>
      </c>
      <c r="C399" s="130" t="s">
        <v>608</v>
      </c>
      <c r="D399" s="130" t="s">
        <v>368</v>
      </c>
      <c r="E399" s="132">
        <v>39049.15</v>
      </c>
    </row>
    <row r="400" spans="1:5" x14ac:dyDescent="0.25">
      <c r="A400" s="130" t="s">
        <v>4</v>
      </c>
      <c r="B400" s="130" t="s">
        <v>574</v>
      </c>
      <c r="C400" s="130" t="s">
        <v>608</v>
      </c>
      <c r="D400" s="130" t="s">
        <v>387</v>
      </c>
      <c r="E400" s="132">
        <v>8830.36</v>
      </c>
    </row>
    <row r="401" spans="1:5" x14ac:dyDescent="0.25">
      <c r="A401" s="130" t="s">
        <v>4</v>
      </c>
      <c r="B401" s="130" t="s">
        <v>574</v>
      </c>
      <c r="C401" s="130" t="s">
        <v>608</v>
      </c>
      <c r="D401" s="130" t="s">
        <v>388</v>
      </c>
      <c r="E401" s="132">
        <v>15489.12</v>
      </c>
    </row>
    <row r="402" spans="1:5" x14ac:dyDescent="0.25">
      <c r="A402" s="130" t="s">
        <v>4</v>
      </c>
      <c r="B402" s="130" t="s">
        <v>574</v>
      </c>
      <c r="C402" s="130" t="s">
        <v>608</v>
      </c>
      <c r="D402" s="130" t="s">
        <v>354</v>
      </c>
      <c r="E402" s="132">
        <v>12052.38</v>
      </c>
    </row>
    <row r="403" spans="1:5" x14ac:dyDescent="0.25">
      <c r="A403" s="130" t="s">
        <v>4</v>
      </c>
      <c r="B403" s="130" t="s">
        <v>574</v>
      </c>
      <c r="C403" s="130" t="s">
        <v>608</v>
      </c>
      <c r="D403" s="130" t="s">
        <v>427</v>
      </c>
      <c r="E403" s="132">
        <v>47642.22</v>
      </c>
    </row>
    <row r="404" spans="1:5" x14ac:dyDescent="0.25">
      <c r="A404" s="130" t="s">
        <v>4</v>
      </c>
      <c r="B404" s="130" t="s">
        <v>574</v>
      </c>
      <c r="C404" s="130" t="s">
        <v>608</v>
      </c>
      <c r="D404" s="130" t="s">
        <v>429</v>
      </c>
      <c r="E404" s="132">
        <v>21442.33</v>
      </c>
    </row>
    <row r="405" spans="1:5" x14ac:dyDescent="0.25">
      <c r="A405" s="130" t="s">
        <v>4</v>
      </c>
      <c r="B405" s="130" t="s">
        <v>574</v>
      </c>
      <c r="C405" s="130" t="s">
        <v>608</v>
      </c>
      <c r="D405" s="130" t="s">
        <v>377</v>
      </c>
      <c r="E405" s="132">
        <v>16988.55</v>
      </c>
    </row>
    <row r="406" spans="1:5" x14ac:dyDescent="0.25">
      <c r="A406" s="130" t="s">
        <v>4</v>
      </c>
      <c r="B406" s="130" t="s">
        <v>574</v>
      </c>
      <c r="C406" s="130" t="s">
        <v>608</v>
      </c>
      <c r="D406" s="130" t="s">
        <v>337</v>
      </c>
      <c r="E406" s="132">
        <v>2612.06</v>
      </c>
    </row>
    <row r="407" spans="1:5" x14ac:dyDescent="0.25">
      <c r="A407" s="130" t="s">
        <v>4</v>
      </c>
      <c r="B407" s="130" t="s">
        <v>574</v>
      </c>
      <c r="C407" s="130" t="s">
        <v>608</v>
      </c>
      <c r="D407" s="130" t="s">
        <v>333</v>
      </c>
      <c r="E407" s="132">
        <v>7111.4</v>
      </c>
    </row>
    <row r="408" spans="1:5" x14ac:dyDescent="0.25">
      <c r="A408" s="130" t="s">
        <v>4</v>
      </c>
      <c r="B408" s="130" t="s">
        <v>574</v>
      </c>
      <c r="C408" s="130" t="s">
        <v>608</v>
      </c>
      <c r="D408" s="130" t="s">
        <v>309</v>
      </c>
      <c r="E408" s="132">
        <v>8709.76</v>
      </c>
    </row>
    <row r="409" spans="1:5" x14ac:dyDescent="0.25">
      <c r="A409" s="130" t="s">
        <v>4</v>
      </c>
      <c r="B409" s="130" t="s">
        <v>574</v>
      </c>
      <c r="C409" s="130" t="s">
        <v>608</v>
      </c>
      <c r="D409" s="130" t="s">
        <v>655</v>
      </c>
      <c r="E409" s="132">
        <v>4717.58</v>
      </c>
    </row>
    <row r="410" spans="1:5" x14ac:dyDescent="0.25">
      <c r="A410" s="130" t="s">
        <v>4</v>
      </c>
      <c r="B410" s="130" t="s">
        <v>574</v>
      </c>
      <c r="C410" s="130" t="s">
        <v>608</v>
      </c>
      <c r="D410" s="130" t="s">
        <v>275</v>
      </c>
      <c r="E410" s="132">
        <v>5316.52</v>
      </c>
    </row>
    <row r="411" spans="1:5" x14ac:dyDescent="0.25">
      <c r="A411" s="130" t="s">
        <v>4</v>
      </c>
      <c r="B411" s="130" t="s">
        <v>574</v>
      </c>
      <c r="C411" s="130" t="s">
        <v>608</v>
      </c>
      <c r="D411" s="130" t="s">
        <v>326</v>
      </c>
      <c r="E411" s="132">
        <v>923.8</v>
      </c>
    </row>
    <row r="412" spans="1:5" x14ac:dyDescent="0.25">
      <c r="A412" s="130" t="s">
        <v>4</v>
      </c>
      <c r="B412" s="130" t="s">
        <v>574</v>
      </c>
      <c r="C412" s="130" t="s">
        <v>608</v>
      </c>
      <c r="D412" s="130" t="s">
        <v>320</v>
      </c>
      <c r="E412" s="132">
        <v>115085.4</v>
      </c>
    </row>
    <row r="413" spans="1:5" x14ac:dyDescent="0.25">
      <c r="A413" s="130" t="s">
        <v>4</v>
      </c>
      <c r="B413" s="130" t="s">
        <v>574</v>
      </c>
      <c r="C413" s="130" t="s">
        <v>608</v>
      </c>
      <c r="D413" s="130" t="s">
        <v>630</v>
      </c>
      <c r="E413" s="132">
        <v>30141.33</v>
      </c>
    </row>
    <row r="414" spans="1:5" x14ac:dyDescent="0.25">
      <c r="A414" s="130" t="s">
        <v>4</v>
      </c>
      <c r="B414" s="130" t="s">
        <v>574</v>
      </c>
      <c r="C414" s="130" t="s">
        <v>608</v>
      </c>
      <c r="D414" s="130" t="s">
        <v>259</v>
      </c>
      <c r="E414" s="132">
        <v>11612.97</v>
      </c>
    </row>
    <row r="415" spans="1:5" x14ac:dyDescent="0.25">
      <c r="A415" s="130" t="s">
        <v>4</v>
      </c>
      <c r="B415" s="130" t="s">
        <v>574</v>
      </c>
      <c r="C415" s="130" t="s">
        <v>608</v>
      </c>
      <c r="D415" s="130" t="s">
        <v>980</v>
      </c>
      <c r="E415" s="132">
        <v>3759.19</v>
      </c>
    </row>
    <row r="416" spans="1:5" x14ac:dyDescent="0.25">
      <c r="A416" s="130" t="s">
        <v>4</v>
      </c>
      <c r="B416" s="130" t="s">
        <v>574</v>
      </c>
      <c r="C416" s="130" t="s">
        <v>608</v>
      </c>
      <c r="D416" s="130" t="s">
        <v>277</v>
      </c>
      <c r="E416" s="132">
        <v>36017.449999999997</v>
      </c>
    </row>
    <row r="417" spans="1:5" x14ac:dyDescent="0.25">
      <c r="A417" s="130" t="s">
        <v>4</v>
      </c>
      <c r="B417" s="130" t="s">
        <v>574</v>
      </c>
      <c r="C417" s="130" t="s">
        <v>608</v>
      </c>
      <c r="D417" s="130" t="s">
        <v>255</v>
      </c>
      <c r="E417" s="132">
        <v>1905.64</v>
      </c>
    </row>
    <row r="418" spans="1:5" x14ac:dyDescent="0.25">
      <c r="A418" s="130" t="s">
        <v>4</v>
      </c>
      <c r="B418" s="130" t="s">
        <v>574</v>
      </c>
      <c r="C418" s="130" t="s">
        <v>608</v>
      </c>
      <c r="D418" s="130" t="s">
        <v>473</v>
      </c>
      <c r="E418" s="132">
        <v>5675.56</v>
      </c>
    </row>
    <row r="419" spans="1:5" x14ac:dyDescent="0.25">
      <c r="A419" s="130" t="s">
        <v>4</v>
      </c>
      <c r="B419" s="130" t="s">
        <v>574</v>
      </c>
      <c r="C419" s="130" t="s">
        <v>608</v>
      </c>
      <c r="D419" s="130" t="s">
        <v>390</v>
      </c>
      <c r="E419" s="132">
        <v>21004.74</v>
      </c>
    </row>
    <row r="420" spans="1:5" x14ac:dyDescent="0.25">
      <c r="A420" s="130" t="s">
        <v>4</v>
      </c>
      <c r="B420" s="130" t="s">
        <v>574</v>
      </c>
      <c r="C420" s="130" t="s">
        <v>608</v>
      </c>
      <c r="D420" s="130" t="s">
        <v>235</v>
      </c>
      <c r="E420" s="132">
        <v>21864.84</v>
      </c>
    </row>
    <row r="421" spans="1:5" x14ac:dyDescent="0.25">
      <c r="A421" s="130" t="s">
        <v>4</v>
      </c>
      <c r="B421" s="130" t="s">
        <v>574</v>
      </c>
      <c r="C421" s="130" t="s">
        <v>608</v>
      </c>
      <c r="D421" s="130" t="s">
        <v>656</v>
      </c>
      <c r="E421" s="132">
        <v>24043.759999999998</v>
      </c>
    </row>
    <row r="422" spans="1:5" x14ac:dyDescent="0.25">
      <c r="A422" s="130" t="s">
        <v>4</v>
      </c>
      <c r="B422" s="130" t="s">
        <v>574</v>
      </c>
      <c r="C422" s="130" t="s">
        <v>608</v>
      </c>
      <c r="D422" s="130" t="s">
        <v>278</v>
      </c>
      <c r="E422" s="132">
        <v>24257.56</v>
      </c>
    </row>
    <row r="423" spans="1:5" x14ac:dyDescent="0.25">
      <c r="A423" s="130" t="s">
        <v>4</v>
      </c>
      <c r="B423" s="130" t="s">
        <v>574</v>
      </c>
      <c r="C423" s="130" t="s">
        <v>608</v>
      </c>
      <c r="D423" s="130" t="s">
        <v>657</v>
      </c>
      <c r="E423" s="132">
        <v>6043.76</v>
      </c>
    </row>
    <row r="424" spans="1:5" x14ac:dyDescent="0.25">
      <c r="A424" s="130" t="s">
        <v>4</v>
      </c>
      <c r="B424" s="130" t="s">
        <v>574</v>
      </c>
      <c r="C424" s="130" t="s">
        <v>608</v>
      </c>
      <c r="D424" s="130" t="s">
        <v>522</v>
      </c>
      <c r="E424" s="132">
        <v>1830.49</v>
      </c>
    </row>
    <row r="425" spans="1:5" x14ac:dyDescent="0.25">
      <c r="A425" s="130" t="s">
        <v>4</v>
      </c>
      <c r="B425" s="130" t="s">
        <v>574</v>
      </c>
      <c r="C425" s="130" t="s">
        <v>608</v>
      </c>
      <c r="D425" s="130" t="s">
        <v>279</v>
      </c>
      <c r="E425" s="132">
        <v>22247.919999999998</v>
      </c>
    </row>
    <row r="426" spans="1:5" x14ac:dyDescent="0.25">
      <c r="A426" s="130" t="s">
        <v>4</v>
      </c>
      <c r="B426" s="130" t="s">
        <v>574</v>
      </c>
      <c r="C426" s="130" t="s">
        <v>608</v>
      </c>
      <c r="D426" s="130" t="s">
        <v>319</v>
      </c>
      <c r="E426" s="132">
        <v>9146.34</v>
      </c>
    </row>
    <row r="427" spans="1:5" x14ac:dyDescent="0.25">
      <c r="A427" s="130" t="s">
        <v>4</v>
      </c>
      <c r="B427" s="130" t="s">
        <v>574</v>
      </c>
      <c r="C427" s="130" t="s">
        <v>608</v>
      </c>
      <c r="D427" s="130" t="s">
        <v>265</v>
      </c>
      <c r="E427" s="132">
        <v>6863.05</v>
      </c>
    </row>
    <row r="428" spans="1:5" x14ac:dyDescent="0.25">
      <c r="A428" s="130" t="s">
        <v>4</v>
      </c>
      <c r="B428" s="130" t="s">
        <v>574</v>
      </c>
      <c r="C428" s="130" t="s">
        <v>608</v>
      </c>
      <c r="D428" s="130" t="s">
        <v>363</v>
      </c>
      <c r="E428" s="132">
        <v>9843.57</v>
      </c>
    </row>
    <row r="429" spans="1:5" x14ac:dyDescent="0.25">
      <c r="A429" s="130" t="s">
        <v>4</v>
      </c>
      <c r="B429" s="130" t="s">
        <v>574</v>
      </c>
      <c r="C429" s="130" t="s">
        <v>608</v>
      </c>
      <c r="D429" s="130" t="s">
        <v>632</v>
      </c>
      <c r="E429" s="132">
        <v>4565.42</v>
      </c>
    </row>
    <row r="430" spans="1:5" x14ac:dyDescent="0.25">
      <c r="A430" s="130" t="s">
        <v>4</v>
      </c>
      <c r="B430" s="130" t="s">
        <v>574</v>
      </c>
      <c r="C430" s="130" t="s">
        <v>608</v>
      </c>
      <c r="D430" s="130" t="s">
        <v>393</v>
      </c>
      <c r="E430" s="132">
        <v>11173.98</v>
      </c>
    </row>
    <row r="431" spans="1:5" x14ac:dyDescent="0.25">
      <c r="A431" s="130" t="s">
        <v>4</v>
      </c>
      <c r="B431" s="130" t="s">
        <v>574</v>
      </c>
      <c r="C431" s="130" t="s">
        <v>608</v>
      </c>
      <c r="D431" s="130" t="s">
        <v>941</v>
      </c>
      <c r="E431" s="132">
        <v>2758.75</v>
      </c>
    </row>
    <row r="432" spans="1:5" x14ac:dyDescent="0.25">
      <c r="A432" s="130" t="s">
        <v>4</v>
      </c>
      <c r="B432" s="130" t="s">
        <v>574</v>
      </c>
      <c r="C432" s="130" t="s">
        <v>608</v>
      </c>
      <c r="D432" s="130" t="s">
        <v>338</v>
      </c>
      <c r="E432" s="132">
        <v>6549.06</v>
      </c>
    </row>
    <row r="433" spans="1:5" x14ac:dyDescent="0.25">
      <c r="A433" s="130" t="s">
        <v>4</v>
      </c>
      <c r="B433" s="130" t="s">
        <v>574</v>
      </c>
      <c r="C433" s="130" t="s">
        <v>608</v>
      </c>
      <c r="D433" s="130" t="s">
        <v>293</v>
      </c>
      <c r="E433" s="132">
        <v>701.72</v>
      </c>
    </row>
    <row r="434" spans="1:5" x14ac:dyDescent="0.25">
      <c r="A434" s="130" t="s">
        <v>4</v>
      </c>
      <c r="B434" s="130" t="s">
        <v>574</v>
      </c>
      <c r="C434" s="130" t="s">
        <v>608</v>
      </c>
      <c r="D434" s="130" t="s">
        <v>303</v>
      </c>
      <c r="E434" s="132">
        <v>2050.96</v>
      </c>
    </row>
    <row r="435" spans="1:5" x14ac:dyDescent="0.25">
      <c r="A435" s="130" t="s">
        <v>4</v>
      </c>
      <c r="B435" s="130" t="s">
        <v>574</v>
      </c>
      <c r="C435" s="130" t="s">
        <v>608</v>
      </c>
      <c r="D435" s="130" t="s">
        <v>295</v>
      </c>
      <c r="E435" s="132">
        <v>5419.42</v>
      </c>
    </row>
    <row r="436" spans="1:5" x14ac:dyDescent="0.25">
      <c r="A436" s="130" t="s">
        <v>4</v>
      </c>
      <c r="B436" s="130" t="s">
        <v>574</v>
      </c>
      <c r="C436" s="130" t="s">
        <v>608</v>
      </c>
      <c r="D436" s="130" t="s">
        <v>500</v>
      </c>
      <c r="E436" s="132">
        <v>4904.51</v>
      </c>
    </row>
    <row r="437" spans="1:5" x14ac:dyDescent="0.25">
      <c r="A437" s="130" t="s">
        <v>4</v>
      </c>
      <c r="B437" s="130" t="s">
        <v>574</v>
      </c>
      <c r="C437" s="130" t="s">
        <v>608</v>
      </c>
      <c r="D437" s="130" t="s">
        <v>442</v>
      </c>
      <c r="E437" s="132">
        <v>5796.72</v>
      </c>
    </row>
    <row r="438" spans="1:5" x14ac:dyDescent="0.25">
      <c r="A438" s="130" t="s">
        <v>4</v>
      </c>
      <c r="B438" s="130" t="s">
        <v>574</v>
      </c>
      <c r="C438" s="130" t="s">
        <v>608</v>
      </c>
      <c r="D438" s="130" t="s">
        <v>715</v>
      </c>
      <c r="E438" s="132">
        <v>6370.5</v>
      </c>
    </row>
    <row r="439" spans="1:5" x14ac:dyDescent="0.25">
      <c r="A439" s="130" t="s">
        <v>4</v>
      </c>
      <c r="B439" s="130" t="s">
        <v>574</v>
      </c>
      <c r="C439" s="130" t="s">
        <v>608</v>
      </c>
      <c r="D439" s="130" t="s">
        <v>474</v>
      </c>
      <c r="E439" s="132">
        <v>5376.33</v>
      </c>
    </row>
    <row r="440" spans="1:5" x14ac:dyDescent="0.25">
      <c r="A440" s="130" t="s">
        <v>4</v>
      </c>
      <c r="B440" s="130" t="s">
        <v>574</v>
      </c>
      <c r="C440" s="130" t="s">
        <v>608</v>
      </c>
      <c r="D440" s="130" t="s">
        <v>239</v>
      </c>
      <c r="E440" s="132">
        <v>22106.1</v>
      </c>
    </row>
    <row r="441" spans="1:5" x14ac:dyDescent="0.25">
      <c r="A441" s="130" t="s">
        <v>4</v>
      </c>
      <c r="B441" s="130" t="s">
        <v>574</v>
      </c>
      <c r="C441" s="130" t="s">
        <v>608</v>
      </c>
      <c r="D441" s="130" t="s">
        <v>266</v>
      </c>
      <c r="E441" s="132">
        <v>1843.26</v>
      </c>
    </row>
    <row r="442" spans="1:5" x14ac:dyDescent="0.25">
      <c r="A442" s="130" t="s">
        <v>4</v>
      </c>
      <c r="B442" s="130" t="s">
        <v>574</v>
      </c>
      <c r="C442" s="130" t="s">
        <v>608</v>
      </c>
      <c r="D442" s="130" t="s">
        <v>749</v>
      </c>
      <c r="E442" s="132">
        <v>4353.33</v>
      </c>
    </row>
    <row r="443" spans="1:5" x14ac:dyDescent="0.25">
      <c r="A443" s="130" t="s">
        <v>4</v>
      </c>
      <c r="B443" s="130" t="s">
        <v>574</v>
      </c>
      <c r="C443" s="130" t="s">
        <v>608</v>
      </c>
      <c r="D443" s="130" t="s">
        <v>446</v>
      </c>
      <c r="E443" s="132">
        <v>3246.82</v>
      </c>
    </row>
    <row r="444" spans="1:5" x14ac:dyDescent="0.25">
      <c r="A444" s="130" t="s">
        <v>4</v>
      </c>
      <c r="B444" s="130" t="s">
        <v>574</v>
      </c>
      <c r="C444" s="130" t="s">
        <v>608</v>
      </c>
      <c r="D444" s="130" t="s">
        <v>451</v>
      </c>
      <c r="E444" s="132">
        <v>1553.22</v>
      </c>
    </row>
    <row r="445" spans="1:5" x14ac:dyDescent="0.25">
      <c r="A445" s="130" t="s">
        <v>4</v>
      </c>
      <c r="B445" s="130" t="s">
        <v>574</v>
      </c>
      <c r="C445" s="130" t="s">
        <v>608</v>
      </c>
      <c r="D445" s="130" t="s">
        <v>453</v>
      </c>
      <c r="E445" s="132">
        <v>2283.09</v>
      </c>
    </row>
    <row r="446" spans="1:5" x14ac:dyDescent="0.25">
      <c r="A446" s="130" t="s">
        <v>4</v>
      </c>
      <c r="B446" s="130" t="s">
        <v>574</v>
      </c>
      <c r="C446" s="130" t="s">
        <v>608</v>
      </c>
      <c r="D446" s="130" t="s">
        <v>394</v>
      </c>
      <c r="E446" s="132">
        <v>5668.66</v>
      </c>
    </row>
    <row r="447" spans="1:5" x14ac:dyDescent="0.25">
      <c r="A447" s="130" t="s">
        <v>4</v>
      </c>
      <c r="B447" s="130" t="s">
        <v>574</v>
      </c>
      <c r="C447" s="130" t="s">
        <v>608</v>
      </c>
      <c r="D447" s="130" t="s">
        <v>464</v>
      </c>
      <c r="E447" s="132">
        <v>566.12</v>
      </c>
    </row>
    <row r="448" spans="1:5" x14ac:dyDescent="0.25">
      <c r="A448" s="130" t="s">
        <v>4</v>
      </c>
      <c r="B448" s="130" t="s">
        <v>574</v>
      </c>
      <c r="C448" s="130" t="s">
        <v>608</v>
      </c>
      <c r="D448" s="130" t="s">
        <v>955</v>
      </c>
      <c r="E448" s="132">
        <v>1643.74</v>
      </c>
    </row>
    <row r="449" spans="1:5" x14ac:dyDescent="0.25">
      <c r="A449" s="130" t="s">
        <v>4</v>
      </c>
      <c r="B449" s="130" t="s">
        <v>574</v>
      </c>
      <c r="C449" s="130" t="s">
        <v>608</v>
      </c>
      <c r="D449" s="130" t="s">
        <v>349</v>
      </c>
      <c r="E449" s="132">
        <v>1210.1199999999999</v>
      </c>
    </row>
    <row r="450" spans="1:5" x14ac:dyDescent="0.25">
      <c r="A450" s="130" t="s">
        <v>4</v>
      </c>
      <c r="B450" s="130" t="s">
        <v>574</v>
      </c>
      <c r="C450" s="130" t="s">
        <v>608</v>
      </c>
      <c r="D450" s="130" t="s">
        <v>242</v>
      </c>
      <c r="E450" s="132">
        <v>4304.04</v>
      </c>
    </row>
    <row r="451" spans="1:5" x14ac:dyDescent="0.25">
      <c r="A451" s="130" t="s">
        <v>4</v>
      </c>
      <c r="B451" s="130" t="s">
        <v>574</v>
      </c>
      <c r="C451" s="130" t="s">
        <v>608</v>
      </c>
      <c r="D451" s="130" t="s">
        <v>434</v>
      </c>
      <c r="E451" s="132">
        <v>1338.08</v>
      </c>
    </row>
    <row r="452" spans="1:5" x14ac:dyDescent="0.25">
      <c r="A452" s="130" t="s">
        <v>4</v>
      </c>
      <c r="B452" s="130" t="s">
        <v>574</v>
      </c>
      <c r="C452" s="130" t="s">
        <v>608</v>
      </c>
      <c r="D452" s="130" t="s">
        <v>314</v>
      </c>
      <c r="E452" s="132">
        <v>877.86</v>
      </c>
    </row>
    <row r="453" spans="1:5" x14ac:dyDescent="0.25">
      <c r="A453" s="130" t="s">
        <v>4</v>
      </c>
      <c r="B453" s="130" t="s">
        <v>574</v>
      </c>
      <c r="C453" s="130" t="s">
        <v>608</v>
      </c>
      <c r="D453" s="130" t="s">
        <v>959</v>
      </c>
      <c r="E453" s="132">
        <v>1446.71</v>
      </c>
    </row>
    <row r="454" spans="1:5" x14ac:dyDescent="0.25">
      <c r="A454" s="130" t="s">
        <v>4</v>
      </c>
      <c r="B454" s="130" t="s">
        <v>574</v>
      </c>
      <c r="C454" s="130" t="s">
        <v>608</v>
      </c>
      <c r="D454" s="130" t="s">
        <v>376</v>
      </c>
      <c r="E454" s="132">
        <v>2384.52</v>
      </c>
    </row>
    <row r="455" spans="1:5" x14ac:dyDescent="0.25">
      <c r="A455" s="130" t="s">
        <v>4</v>
      </c>
      <c r="B455" s="130" t="s">
        <v>574</v>
      </c>
      <c r="C455" s="130" t="s">
        <v>608</v>
      </c>
      <c r="D455" s="130" t="s">
        <v>418</v>
      </c>
      <c r="E455" s="132">
        <v>2922.06</v>
      </c>
    </row>
    <row r="456" spans="1:5" x14ac:dyDescent="0.25">
      <c r="A456" s="130" t="s">
        <v>4</v>
      </c>
      <c r="B456" s="130" t="s">
        <v>574</v>
      </c>
      <c r="C456" s="130" t="s">
        <v>608</v>
      </c>
      <c r="D456" s="130" t="s">
        <v>352</v>
      </c>
      <c r="E456" s="132">
        <v>3382.41</v>
      </c>
    </row>
    <row r="457" spans="1:5" x14ac:dyDescent="0.25">
      <c r="A457" s="130" t="s">
        <v>4</v>
      </c>
      <c r="B457" s="130" t="s">
        <v>574</v>
      </c>
      <c r="C457" s="130" t="s">
        <v>608</v>
      </c>
      <c r="D457" s="130" t="s">
        <v>244</v>
      </c>
      <c r="E457" s="132">
        <v>3313.9</v>
      </c>
    </row>
    <row r="458" spans="1:5" x14ac:dyDescent="0.25">
      <c r="A458" s="130" t="s">
        <v>4</v>
      </c>
      <c r="B458" s="130" t="s">
        <v>574</v>
      </c>
      <c r="C458" s="130" t="s">
        <v>608</v>
      </c>
      <c r="D458" s="130" t="s">
        <v>248</v>
      </c>
      <c r="E458" s="132">
        <v>2625.51</v>
      </c>
    </row>
    <row r="459" spans="1:5" x14ac:dyDescent="0.25">
      <c r="A459" s="130" t="s">
        <v>4</v>
      </c>
      <c r="B459" s="130" t="s">
        <v>574</v>
      </c>
      <c r="C459" s="130" t="s">
        <v>608</v>
      </c>
      <c r="D459" s="130" t="s">
        <v>251</v>
      </c>
      <c r="E459" s="132">
        <v>9417.91</v>
      </c>
    </row>
    <row r="460" spans="1:5" x14ac:dyDescent="0.25">
      <c r="A460" s="130" t="s">
        <v>4</v>
      </c>
      <c r="B460" s="130" t="s">
        <v>574</v>
      </c>
      <c r="C460" s="130" t="s">
        <v>608</v>
      </c>
      <c r="D460" s="130" t="s">
        <v>636</v>
      </c>
      <c r="E460" s="132">
        <v>10966.58</v>
      </c>
    </row>
    <row r="461" spans="1:5" x14ac:dyDescent="0.25">
      <c r="A461" s="130" t="s">
        <v>4</v>
      </c>
      <c r="B461" s="130" t="s">
        <v>574</v>
      </c>
      <c r="C461" s="130" t="s">
        <v>608</v>
      </c>
      <c r="D461" s="130" t="s">
        <v>481</v>
      </c>
      <c r="E461" s="132">
        <v>22407.62</v>
      </c>
    </row>
    <row r="462" spans="1:5" x14ac:dyDescent="0.25">
      <c r="A462" s="130" t="s">
        <v>4</v>
      </c>
      <c r="B462" s="130" t="s">
        <v>574</v>
      </c>
      <c r="C462" s="130" t="s">
        <v>608</v>
      </c>
      <c r="D462" s="130" t="s">
        <v>332</v>
      </c>
      <c r="E462" s="132">
        <v>8230.68</v>
      </c>
    </row>
    <row r="463" spans="1:5" x14ac:dyDescent="0.25">
      <c r="A463" s="130" t="s">
        <v>4</v>
      </c>
      <c r="B463" s="130" t="s">
        <v>574</v>
      </c>
      <c r="C463" s="130" t="s">
        <v>608</v>
      </c>
      <c r="D463" s="130" t="s">
        <v>322</v>
      </c>
      <c r="E463" s="132">
        <v>3260.45</v>
      </c>
    </row>
    <row r="464" spans="1:5" x14ac:dyDescent="0.25">
      <c r="A464" s="130" t="s">
        <v>4</v>
      </c>
      <c r="B464" s="130" t="s">
        <v>574</v>
      </c>
      <c r="C464" s="130" t="s">
        <v>608</v>
      </c>
      <c r="D464" s="130" t="s">
        <v>525</v>
      </c>
      <c r="E464" s="132">
        <v>8358.2199999999993</v>
      </c>
    </row>
    <row r="465" spans="1:5" x14ac:dyDescent="0.25">
      <c r="A465" s="130" t="s">
        <v>4</v>
      </c>
      <c r="B465" s="130" t="s">
        <v>574</v>
      </c>
      <c r="C465" s="130" t="s">
        <v>608</v>
      </c>
      <c r="D465" s="130" t="s">
        <v>483</v>
      </c>
      <c r="E465" s="132">
        <v>3335.72</v>
      </c>
    </row>
    <row r="466" spans="1:5" x14ac:dyDescent="0.25">
      <c r="A466" s="130" t="s">
        <v>4</v>
      </c>
      <c r="B466" s="130" t="s">
        <v>574</v>
      </c>
      <c r="C466" s="130" t="s">
        <v>608</v>
      </c>
      <c r="D466" s="130" t="s">
        <v>396</v>
      </c>
      <c r="E466" s="132">
        <v>10629.25</v>
      </c>
    </row>
    <row r="467" spans="1:5" x14ac:dyDescent="0.25">
      <c r="A467" s="130" t="s">
        <v>4</v>
      </c>
      <c r="B467" s="130" t="s">
        <v>574</v>
      </c>
      <c r="C467" s="130" t="s">
        <v>608</v>
      </c>
      <c r="D467" s="130" t="s">
        <v>552</v>
      </c>
      <c r="E467" s="132">
        <v>3491.4</v>
      </c>
    </row>
    <row r="468" spans="1:5" x14ac:dyDescent="0.25">
      <c r="A468" s="130" t="s">
        <v>4</v>
      </c>
      <c r="B468" s="130" t="s">
        <v>574</v>
      </c>
      <c r="C468" s="130" t="s">
        <v>608</v>
      </c>
      <c r="D468" s="130" t="s">
        <v>555</v>
      </c>
      <c r="E468" s="132">
        <v>19777.419999999998</v>
      </c>
    </row>
    <row r="469" spans="1:5" x14ac:dyDescent="0.25">
      <c r="A469" s="130" t="s">
        <v>4</v>
      </c>
      <c r="B469" s="130" t="s">
        <v>574</v>
      </c>
      <c r="C469" s="130" t="s">
        <v>608</v>
      </c>
      <c r="D469" s="130" t="s">
        <v>329</v>
      </c>
      <c r="E469" s="132">
        <v>3888.02</v>
      </c>
    </row>
    <row r="470" spans="1:5" x14ac:dyDescent="0.25">
      <c r="A470" s="130" t="s">
        <v>4</v>
      </c>
      <c r="B470" s="130" t="s">
        <v>574</v>
      </c>
      <c r="C470" s="130" t="s">
        <v>608</v>
      </c>
      <c r="D470" s="130" t="s">
        <v>558</v>
      </c>
      <c r="E470" s="132">
        <v>35145.760000000002</v>
      </c>
    </row>
    <row r="471" spans="1:5" x14ac:dyDescent="0.25">
      <c r="A471" s="130" t="s">
        <v>4</v>
      </c>
      <c r="B471" s="130" t="s">
        <v>574</v>
      </c>
      <c r="C471" s="130" t="s">
        <v>608</v>
      </c>
      <c r="D471" s="130" t="s">
        <v>981</v>
      </c>
      <c r="E471" s="132">
        <v>35135.449999999997</v>
      </c>
    </row>
    <row r="472" spans="1:5" x14ac:dyDescent="0.25">
      <c r="A472" s="130" t="s">
        <v>4</v>
      </c>
      <c r="B472" s="130" t="s">
        <v>574</v>
      </c>
      <c r="C472" s="130" t="s">
        <v>608</v>
      </c>
      <c r="D472" s="130" t="s">
        <v>253</v>
      </c>
      <c r="E472" s="132">
        <v>32190.31</v>
      </c>
    </row>
    <row r="473" spans="1:5" x14ac:dyDescent="0.25">
      <c r="A473" s="130" t="s">
        <v>4</v>
      </c>
      <c r="B473" s="130" t="s">
        <v>574</v>
      </c>
      <c r="C473" s="130" t="s">
        <v>608</v>
      </c>
      <c r="D473" s="130" t="s">
        <v>438</v>
      </c>
      <c r="E473" s="132">
        <v>16095.46</v>
      </c>
    </row>
    <row r="474" spans="1:5" x14ac:dyDescent="0.25">
      <c r="A474" s="130" t="s">
        <v>4</v>
      </c>
      <c r="B474" s="130" t="s">
        <v>574</v>
      </c>
      <c r="C474" s="130" t="s">
        <v>608</v>
      </c>
      <c r="D474" s="130" t="s">
        <v>557</v>
      </c>
      <c r="E474" s="132">
        <v>12339.55</v>
      </c>
    </row>
    <row r="475" spans="1:5" x14ac:dyDescent="0.25">
      <c r="A475" s="130" t="s">
        <v>4</v>
      </c>
      <c r="B475" s="130" t="s">
        <v>574</v>
      </c>
      <c r="C475" s="130" t="s">
        <v>608</v>
      </c>
      <c r="D475" s="130" t="s">
        <v>398</v>
      </c>
      <c r="E475" s="132">
        <v>5870.16</v>
      </c>
    </row>
    <row r="476" spans="1:5" x14ac:dyDescent="0.25">
      <c r="A476" s="130" t="s">
        <v>4</v>
      </c>
      <c r="B476" s="130" t="s">
        <v>574</v>
      </c>
      <c r="C476" s="130" t="s">
        <v>608</v>
      </c>
      <c r="D476" s="130" t="s">
        <v>470</v>
      </c>
      <c r="E476" s="132">
        <v>12346.31</v>
      </c>
    </row>
    <row r="477" spans="1:5" x14ac:dyDescent="0.25">
      <c r="A477" s="130" t="s">
        <v>4</v>
      </c>
      <c r="B477" s="130" t="s">
        <v>574</v>
      </c>
      <c r="C477" s="130" t="s">
        <v>608</v>
      </c>
      <c r="D477" s="130" t="s">
        <v>491</v>
      </c>
      <c r="E477" s="132">
        <v>4656.7</v>
      </c>
    </row>
    <row r="478" spans="1:5" x14ac:dyDescent="0.25">
      <c r="A478" s="130" t="s">
        <v>4</v>
      </c>
      <c r="B478" s="130" t="s">
        <v>574</v>
      </c>
      <c r="C478" s="130" t="s">
        <v>608</v>
      </c>
      <c r="D478" s="130" t="s">
        <v>976</v>
      </c>
      <c r="E478" s="132">
        <v>9972.02</v>
      </c>
    </row>
    <row r="479" spans="1:5" x14ac:dyDescent="0.25">
      <c r="A479" s="130" t="s">
        <v>4</v>
      </c>
      <c r="B479" s="130" t="s">
        <v>574</v>
      </c>
      <c r="C479" s="130" t="s">
        <v>608</v>
      </c>
      <c r="D479" s="130" t="s">
        <v>401</v>
      </c>
      <c r="E479" s="132">
        <v>20327.939999999999</v>
      </c>
    </row>
    <row r="480" spans="1:5" x14ac:dyDescent="0.25">
      <c r="A480" s="130" t="s">
        <v>4</v>
      </c>
      <c r="B480" s="130" t="s">
        <v>574</v>
      </c>
      <c r="C480" s="130" t="s">
        <v>608</v>
      </c>
      <c r="D480" s="130" t="s">
        <v>977</v>
      </c>
      <c r="E480" s="132">
        <v>13530.38</v>
      </c>
    </row>
    <row r="481" spans="1:5" x14ac:dyDescent="0.25">
      <c r="A481" s="130" t="s">
        <v>4</v>
      </c>
      <c r="B481" s="130" t="s">
        <v>574</v>
      </c>
      <c r="C481" s="130" t="s">
        <v>608</v>
      </c>
      <c r="D481" s="130" t="s">
        <v>978</v>
      </c>
      <c r="E481" s="132">
        <v>9750.74</v>
      </c>
    </row>
    <row r="482" spans="1:5" x14ac:dyDescent="0.25">
      <c r="A482" s="130" t="s">
        <v>4</v>
      </c>
      <c r="B482" s="130" t="s">
        <v>574</v>
      </c>
      <c r="C482" s="130" t="s">
        <v>608</v>
      </c>
      <c r="D482" s="130" t="s">
        <v>979</v>
      </c>
      <c r="E482" s="132">
        <v>16669.509999999998</v>
      </c>
    </row>
    <row r="483" spans="1:5" x14ac:dyDescent="0.25">
      <c r="A483" s="130" t="s">
        <v>4</v>
      </c>
      <c r="B483" s="130" t="s">
        <v>574</v>
      </c>
      <c r="C483" s="130" t="s">
        <v>608</v>
      </c>
      <c r="D483" s="130" t="s">
        <v>442</v>
      </c>
      <c r="E483" s="132">
        <v>9937.24</v>
      </c>
    </row>
    <row r="484" spans="1:5" x14ac:dyDescent="0.25">
      <c r="A484" s="130" t="s">
        <v>4</v>
      </c>
      <c r="B484" s="130" t="s">
        <v>574</v>
      </c>
      <c r="C484" s="130" t="s">
        <v>608</v>
      </c>
      <c r="D484" s="130" t="s">
        <v>423</v>
      </c>
      <c r="E484" s="132">
        <v>13675.28</v>
      </c>
    </row>
    <row r="485" spans="1:5" x14ac:dyDescent="0.25">
      <c r="A485" s="130" t="s">
        <v>4</v>
      </c>
      <c r="B485" s="130" t="s">
        <v>574</v>
      </c>
      <c r="C485" s="130" t="s">
        <v>608</v>
      </c>
      <c r="D485" s="130" t="s">
        <v>516</v>
      </c>
      <c r="E485" s="132">
        <v>5430.89</v>
      </c>
    </row>
    <row r="486" spans="1:5" x14ac:dyDescent="0.25">
      <c r="A486" s="130" t="s">
        <v>4</v>
      </c>
      <c r="B486" s="130" t="s">
        <v>574</v>
      </c>
      <c r="C486" s="130" t="s">
        <v>608</v>
      </c>
      <c r="D486" s="130" t="s">
        <v>800</v>
      </c>
      <c r="E486" s="132">
        <v>22425.4</v>
      </c>
    </row>
    <row r="487" spans="1:5" x14ac:dyDescent="0.25">
      <c r="A487" s="130" t="s">
        <v>4</v>
      </c>
      <c r="B487" s="130" t="s">
        <v>574</v>
      </c>
      <c r="C487" s="130" t="s">
        <v>608</v>
      </c>
      <c r="D487" s="130" t="s">
        <v>982</v>
      </c>
      <c r="E487" s="132">
        <v>15708.63</v>
      </c>
    </row>
    <row r="488" spans="1:5" x14ac:dyDescent="0.25">
      <c r="A488" s="130" t="s">
        <v>4</v>
      </c>
      <c r="B488" s="130" t="s">
        <v>574</v>
      </c>
      <c r="C488" s="130" t="s">
        <v>608</v>
      </c>
      <c r="D488" s="130" t="s">
        <v>653</v>
      </c>
      <c r="E488" s="132">
        <v>39493.629999999997</v>
      </c>
    </row>
    <row r="489" spans="1:5" x14ac:dyDescent="0.25">
      <c r="A489" s="130" t="s">
        <v>4</v>
      </c>
      <c r="B489" s="130" t="s">
        <v>574</v>
      </c>
      <c r="C489" s="130" t="s">
        <v>608</v>
      </c>
      <c r="D489" s="130" t="s">
        <v>520</v>
      </c>
      <c r="E489" s="132">
        <v>59884.77</v>
      </c>
    </row>
    <row r="490" spans="1:5" x14ac:dyDescent="0.25">
      <c r="A490" s="130" t="s">
        <v>4</v>
      </c>
      <c r="B490" s="130" t="s">
        <v>574</v>
      </c>
      <c r="C490" s="130" t="s">
        <v>608</v>
      </c>
      <c r="D490" s="130" t="s">
        <v>490</v>
      </c>
      <c r="E490" s="132">
        <v>527.1</v>
      </c>
    </row>
    <row r="491" spans="1:5" x14ac:dyDescent="0.25">
      <c r="A491" s="130" t="s">
        <v>4</v>
      </c>
      <c r="B491" s="130" t="s">
        <v>574</v>
      </c>
      <c r="C491" s="130" t="s">
        <v>608</v>
      </c>
      <c r="D491" s="130" t="s">
        <v>306</v>
      </c>
      <c r="E491" s="132">
        <v>582.85</v>
      </c>
    </row>
    <row r="492" spans="1:5" x14ac:dyDescent="0.25">
      <c r="A492" s="130" t="s">
        <v>4</v>
      </c>
      <c r="B492" s="130" t="s">
        <v>574</v>
      </c>
      <c r="C492" s="130" t="s">
        <v>608</v>
      </c>
      <c r="D492" s="130" t="s">
        <v>425</v>
      </c>
      <c r="E492" s="132">
        <v>3702.85</v>
      </c>
    </row>
    <row r="493" spans="1:5" x14ac:dyDescent="0.25">
      <c r="A493" s="130" t="s">
        <v>4</v>
      </c>
      <c r="B493" s="130" t="s">
        <v>574</v>
      </c>
      <c r="C493" s="130" t="s">
        <v>608</v>
      </c>
      <c r="D493" s="130" t="s">
        <v>983</v>
      </c>
      <c r="E493" s="132">
        <v>610.96</v>
      </c>
    </row>
    <row r="494" spans="1:5" x14ac:dyDescent="0.25">
      <c r="A494" s="130" t="s">
        <v>4</v>
      </c>
      <c r="B494" s="130" t="s">
        <v>574</v>
      </c>
      <c r="C494" s="130" t="s">
        <v>608</v>
      </c>
      <c r="D494" s="130" t="s">
        <v>279</v>
      </c>
      <c r="E494" s="132">
        <v>1085.55</v>
      </c>
    </row>
    <row r="495" spans="1:5" x14ac:dyDescent="0.25">
      <c r="A495" s="130" t="s">
        <v>4</v>
      </c>
      <c r="B495" s="130" t="s">
        <v>574</v>
      </c>
      <c r="C495" s="130" t="s">
        <v>608</v>
      </c>
      <c r="D495" s="130" t="s">
        <v>620</v>
      </c>
      <c r="E495" s="132">
        <v>6130.77</v>
      </c>
    </row>
    <row r="496" spans="1:5" x14ac:dyDescent="0.25">
      <c r="A496" s="130" t="s">
        <v>4</v>
      </c>
      <c r="B496" s="130" t="s">
        <v>574</v>
      </c>
      <c r="C496" s="130" t="s">
        <v>608</v>
      </c>
      <c r="D496" s="130" t="s">
        <v>621</v>
      </c>
      <c r="E496" s="132">
        <v>4761.08</v>
      </c>
    </row>
    <row r="497" spans="1:5" x14ac:dyDescent="0.25">
      <c r="A497" s="130" t="s">
        <v>4</v>
      </c>
      <c r="B497" s="130" t="s">
        <v>574</v>
      </c>
      <c r="C497" s="130" t="s">
        <v>608</v>
      </c>
      <c r="D497" s="130" t="s">
        <v>794</v>
      </c>
      <c r="E497" s="132">
        <v>1351.81</v>
      </c>
    </row>
    <row r="498" spans="1:5" x14ac:dyDescent="0.25">
      <c r="A498" s="130" t="s">
        <v>4</v>
      </c>
      <c r="B498" s="130" t="s">
        <v>574</v>
      </c>
      <c r="C498" s="130" t="s">
        <v>608</v>
      </c>
      <c r="D498" s="130" t="s">
        <v>833</v>
      </c>
      <c r="E498" s="132">
        <v>2147.7800000000002</v>
      </c>
    </row>
    <row r="499" spans="1:5" x14ac:dyDescent="0.25">
      <c r="A499" s="130" t="s">
        <v>4</v>
      </c>
      <c r="B499" s="130" t="s">
        <v>574</v>
      </c>
      <c r="C499" s="130" t="s">
        <v>608</v>
      </c>
      <c r="D499" s="130" t="s">
        <v>835</v>
      </c>
      <c r="E499" s="132">
        <v>1426.57</v>
      </c>
    </row>
    <row r="500" spans="1:5" x14ac:dyDescent="0.25">
      <c r="A500" s="130" t="s">
        <v>4</v>
      </c>
      <c r="B500" s="130" t="s">
        <v>574</v>
      </c>
      <c r="C500" s="130" t="s">
        <v>608</v>
      </c>
      <c r="D500" s="130" t="s">
        <v>767</v>
      </c>
      <c r="E500" s="132">
        <v>3868.28</v>
      </c>
    </row>
    <row r="501" spans="1:5" x14ac:dyDescent="0.25">
      <c r="A501" s="130" t="s">
        <v>4</v>
      </c>
      <c r="B501" s="130" t="s">
        <v>574</v>
      </c>
      <c r="C501" s="130" t="s">
        <v>608</v>
      </c>
      <c r="D501" s="130" t="s">
        <v>625</v>
      </c>
      <c r="E501" s="132">
        <v>432.45</v>
      </c>
    </row>
    <row r="502" spans="1:5" x14ac:dyDescent="0.25">
      <c r="A502" s="130" t="s">
        <v>4</v>
      </c>
      <c r="B502" s="130" t="s">
        <v>574</v>
      </c>
      <c r="C502" s="130" t="s">
        <v>608</v>
      </c>
      <c r="D502" s="130" t="s">
        <v>645</v>
      </c>
      <c r="E502" s="132">
        <v>393.18</v>
      </c>
    </row>
    <row r="503" spans="1:5" x14ac:dyDescent="0.25">
      <c r="A503" s="130" t="s">
        <v>4</v>
      </c>
      <c r="B503" s="130" t="s">
        <v>574</v>
      </c>
      <c r="C503" s="130" t="s">
        <v>608</v>
      </c>
      <c r="D503" s="130" t="s">
        <v>338</v>
      </c>
      <c r="E503" s="132">
        <v>1101.53</v>
      </c>
    </row>
    <row r="504" spans="1:5" x14ac:dyDescent="0.25">
      <c r="A504" s="130" t="s">
        <v>4</v>
      </c>
      <c r="B504" s="130" t="s">
        <v>574</v>
      </c>
      <c r="C504" s="130" t="s">
        <v>608</v>
      </c>
      <c r="D504" s="130" t="s">
        <v>293</v>
      </c>
      <c r="E504" s="132">
        <v>708.04</v>
      </c>
    </row>
    <row r="505" spans="1:5" x14ac:dyDescent="0.25">
      <c r="A505" s="130" t="s">
        <v>4</v>
      </c>
      <c r="B505" s="130" t="s">
        <v>574</v>
      </c>
      <c r="C505" s="130" t="s">
        <v>608</v>
      </c>
      <c r="D505" s="130" t="s">
        <v>294</v>
      </c>
      <c r="E505" s="132">
        <v>658.23</v>
      </c>
    </row>
    <row r="506" spans="1:5" x14ac:dyDescent="0.25">
      <c r="A506" s="130" t="s">
        <v>4</v>
      </c>
      <c r="B506" s="130" t="s">
        <v>574</v>
      </c>
      <c r="C506" s="130" t="s">
        <v>608</v>
      </c>
      <c r="D506" s="130" t="s">
        <v>944</v>
      </c>
      <c r="E506" s="132">
        <v>323.85000000000002</v>
      </c>
    </row>
    <row r="507" spans="1:5" x14ac:dyDescent="0.25">
      <c r="A507" s="130" t="s">
        <v>4</v>
      </c>
      <c r="B507" s="130" t="s">
        <v>574</v>
      </c>
      <c r="C507" s="130" t="s">
        <v>608</v>
      </c>
      <c r="D507" s="130" t="s">
        <v>281</v>
      </c>
      <c r="E507" s="132">
        <v>494.35</v>
      </c>
    </row>
    <row r="508" spans="1:5" x14ac:dyDescent="0.25">
      <c r="A508" s="130" t="s">
        <v>4</v>
      </c>
      <c r="B508" s="130" t="s">
        <v>574</v>
      </c>
      <c r="C508" s="130" t="s">
        <v>608</v>
      </c>
      <c r="D508" s="130" t="s">
        <v>237</v>
      </c>
      <c r="E508" s="132">
        <v>267.47000000000003</v>
      </c>
    </row>
    <row r="509" spans="1:5" x14ac:dyDescent="0.25">
      <c r="A509" s="130" t="s">
        <v>4</v>
      </c>
      <c r="B509" s="130" t="s">
        <v>574</v>
      </c>
      <c r="C509" s="130" t="s">
        <v>608</v>
      </c>
      <c r="D509" s="130" t="s">
        <v>266</v>
      </c>
      <c r="E509" s="132">
        <v>1240.42</v>
      </c>
    </row>
    <row r="510" spans="1:5" x14ac:dyDescent="0.25">
      <c r="A510" s="130" t="s">
        <v>4</v>
      </c>
      <c r="B510" s="130" t="s">
        <v>574</v>
      </c>
      <c r="C510" s="130" t="s">
        <v>608</v>
      </c>
      <c r="D510" s="130" t="s">
        <v>240</v>
      </c>
      <c r="E510" s="132">
        <v>1132.8900000000001</v>
      </c>
    </row>
    <row r="511" spans="1:5" x14ac:dyDescent="0.25">
      <c r="A511" s="130" t="s">
        <v>4</v>
      </c>
      <c r="B511" s="130" t="s">
        <v>574</v>
      </c>
      <c r="C511" s="130" t="s">
        <v>608</v>
      </c>
      <c r="D511" s="130" t="s">
        <v>463</v>
      </c>
      <c r="E511" s="132">
        <v>1746.54</v>
      </c>
    </row>
    <row r="512" spans="1:5" x14ac:dyDescent="0.25">
      <c r="A512" s="130" t="s">
        <v>4</v>
      </c>
      <c r="B512" s="130" t="s">
        <v>574</v>
      </c>
      <c r="C512" s="130" t="s">
        <v>608</v>
      </c>
      <c r="D512" s="130" t="s">
        <v>451</v>
      </c>
      <c r="E512" s="132">
        <v>1566.84</v>
      </c>
    </row>
    <row r="513" spans="1:5" x14ac:dyDescent="0.25">
      <c r="A513" s="130" t="s">
        <v>4</v>
      </c>
      <c r="B513" s="130" t="s">
        <v>574</v>
      </c>
      <c r="C513" s="130" t="s">
        <v>608</v>
      </c>
      <c r="D513" s="130" t="s">
        <v>452</v>
      </c>
      <c r="E513" s="132">
        <v>1351.86</v>
      </c>
    </row>
    <row r="514" spans="1:5" x14ac:dyDescent="0.25">
      <c r="A514" s="130" t="s">
        <v>4</v>
      </c>
      <c r="B514" s="130" t="s">
        <v>574</v>
      </c>
      <c r="C514" s="130" t="s">
        <v>608</v>
      </c>
      <c r="D514" s="130" t="s">
        <v>513</v>
      </c>
      <c r="E514" s="132">
        <v>1628.53</v>
      </c>
    </row>
    <row r="515" spans="1:5" x14ac:dyDescent="0.25">
      <c r="A515" s="130" t="s">
        <v>4</v>
      </c>
      <c r="B515" s="130" t="s">
        <v>574</v>
      </c>
      <c r="C515" s="130" t="s">
        <v>608</v>
      </c>
      <c r="D515" s="130" t="s">
        <v>952</v>
      </c>
      <c r="E515" s="132">
        <v>1196.5</v>
      </c>
    </row>
    <row r="516" spans="1:5" x14ac:dyDescent="0.25">
      <c r="A516" s="130" t="s">
        <v>4</v>
      </c>
      <c r="B516" s="130" t="s">
        <v>574</v>
      </c>
      <c r="C516" s="130" t="s">
        <v>608</v>
      </c>
      <c r="D516" s="130" t="s">
        <v>454</v>
      </c>
      <c r="E516" s="132">
        <v>852.97</v>
      </c>
    </row>
    <row r="517" spans="1:5" x14ac:dyDescent="0.25">
      <c r="A517" s="130" t="s">
        <v>4</v>
      </c>
      <c r="B517" s="130" t="s">
        <v>574</v>
      </c>
      <c r="C517" s="130" t="s">
        <v>608</v>
      </c>
      <c r="D517" s="130" t="s">
        <v>464</v>
      </c>
      <c r="E517" s="132">
        <v>571.02</v>
      </c>
    </row>
    <row r="518" spans="1:5" x14ac:dyDescent="0.25">
      <c r="A518" s="130" t="s">
        <v>4</v>
      </c>
      <c r="B518" s="130" t="s">
        <v>574</v>
      </c>
      <c r="C518" s="130" t="s">
        <v>608</v>
      </c>
      <c r="D518" s="130" t="s">
        <v>349</v>
      </c>
      <c r="E518" s="132">
        <v>610.39</v>
      </c>
    </row>
    <row r="519" spans="1:5" x14ac:dyDescent="0.25">
      <c r="A519" s="130" t="s">
        <v>4</v>
      </c>
      <c r="B519" s="130" t="s">
        <v>574</v>
      </c>
      <c r="C519" s="130" t="s">
        <v>608</v>
      </c>
      <c r="D519" s="130" t="s">
        <v>550</v>
      </c>
      <c r="E519" s="132">
        <v>976.86</v>
      </c>
    </row>
    <row r="520" spans="1:5" x14ac:dyDescent="0.25">
      <c r="A520" s="130" t="s">
        <v>4</v>
      </c>
      <c r="B520" s="130" t="s">
        <v>574</v>
      </c>
      <c r="C520" s="130" t="s">
        <v>608</v>
      </c>
      <c r="D520" s="130" t="s">
        <v>684</v>
      </c>
      <c r="E520" s="132">
        <v>1463.3</v>
      </c>
    </row>
    <row r="521" spans="1:5" x14ac:dyDescent="0.25">
      <c r="A521" s="130" t="s">
        <v>4</v>
      </c>
      <c r="B521" s="130" t="s">
        <v>574</v>
      </c>
      <c r="C521" s="130" t="s">
        <v>608</v>
      </c>
      <c r="D521" s="130" t="s">
        <v>410</v>
      </c>
      <c r="E521" s="132">
        <v>1421.35</v>
      </c>
    </row>
    <row r="522" spans="1:5" x14ac:dyDescent="0.25">
      <c r="A522" s="130" t="s">
        <v>4</v>
      </c>
      <c r="B522" s="130" t="s">
        <v>574</v>
      </c>
      <c r="C522" s="130" t="s">
        <v>608</v>
      </c>
      <c r="D522" s="130" t="s">
        <v>243</v>
      </c>
      <c r="E522" s="132">
        <v>992.62</v>
      </c>
    </row>
    <row r="523" spans="1:5" x14ac:dyDescent="0.25">
      <c r="A523" s="130" t="s">
        <v>4</v>
      </c>
      <c r="B523" s="130" t="s">
        <v>574</v>
      </c>
      <c r="C523" s="130" t="s">
        <v>608</v>
      </c>
      <c r="D523" s="130" t="s">
        <v>518</v>
      </c>
      <c r="E523" s="132">
        <v>1530.16</v>
      </c>
    </row>
    <row r="524" spans="1:5" x14ac:dyDescent="0.25">
      <c r="A524" s="130" t="s">
        <v>4</v>
      </c>
      <c r="B524" s="130" t="s">
        <v>574</v>
      </c>
      <c r="C524" s="130" t="s">
        <v>608</v>
      </c>
      <c r="D524" s="130" t="s">
        <v>475</v>
      </c>
      <c r="E524" s="132">
        <v>714.65</v>
      </c>
    </row>
    <row r="525" spans="1:5" x14ac:dyDescent="0.25">
      <c r="A525" s="130" t="s">
        <v>4</v>
      </c>
      <c r="B525" s="130" t="s">
        <v>574</v>
      </c>
      <c r="C525" s="130" t="s">
        <v>608</v>
      </c>
      <c r="D525" s="130" t="s">
        <v>458</v>
      </c>
      <c r="E525" s="132">
        <v>1158.47</v>
      </c>
    </row>
    <row r="526" spans="1:5" x14ac:dyDescent="0.25">
      <c r="A526" s="130" t="s">
        <v>4</v>
      </c>
      <c r="B526" s="130" t="s">
        <v>574</v>
      </c>
      <c r="C526" s="130" t="s">
        <v>608</v>
      </c>
      <c r="D526" s="130" t="s">
        <v>413</v>
      </c>
      <c r="E526" s="132">
        <v>1145.97</v>
      </c>
    </row>
    <row r="527" spans="1:5" x14ac:dyDescent="0.25">
      <c r="A527" s="130" t="s">
        <v>4</v>
      </c>
      <c r="B527" s="130" t="s">
        <v>574</v>
      </c>
      <c r="C527" s="130" t="s">
        <v>608</v>
      </c>
      <c r="D527" s="130" t="s">
        <v>300</v>
      </c>
      <c r="E527" s="132">
        <v>968.96</v>
      </c>
    </row>
    <row r="528" spans="1:5" x14ac:dyDescent="0.25">
      <c r="A528" s="130" t="s">
        <v>4</v>
      </c>
      <c r="B528" s="130" t="s">
        <v>574</v>
      </c>
      <c r="C528" s="130" t="s">
        <v>608</v>
      </c>
      <c r="D528" s="130" t="s">
        <v>261</v>
      </c>
      <c r="E528" s="132">
        <v>3267.5</v>
      </c>
    </row>
    <row r="529" spans="1:5" x14ac:dyDescent="0.25">
      <c r="A529" s="130" t="s">
        <v>4</v>
      </c>
      <c r="B529" s="130" t="s">
        <v>574</v>
      </c>
      <c r="C529" s="130" t="s">
        <v>608</v>
      </c>
      <c r="D529" s="130" t="s">
        <v>322</v>
      </c>
      <c r="E529" s="132">
        <v>3343.56</v>
      </c>
    </row>
    <row r="530" spans="1:5" x14ac:dyDescent="0.25">
      <c r="A530" s="130" t="s">
        <v>4</v>
      </c>
      <c r="B530" s="130" t="s">
        <v>574</v>
      </c>
      <c r="C530" s="130" t="s">
        <v>608</v>
      </c>
      <c r="D530" s="130" t="s">
        <v>324</v>
      </c>
      <c r="E530" s="132">
        <v>1104.68</v>
      </c>
    </row>
    <row r="531" spans="1:5" x14ac:dyDescent="0.25">
      <c r="A531" s="130" t="s">
        <v>4</v>
      </c>
      <c r="B531" s="130" t="s">
        <v>574</v>
      </c>
      <c r="C531" s="130" t="s">
        <v>608</v>
      </c>
      <c r="D531" s="130" t="s">
        <v>362</v>
      </c>
      <c r="E531" s="132">
        <v>2711.14</v>
      </c>
    </row>
    <row r="532" spans="1:5" x14ac:dyDescent="0.25">
      <c r="A532" s="130" t="s">
        <v>4</v>
      </c>
      <c r="B532" s="130" t="s">
        <v>574</v>
      </c>
      <c r="C532" s="130" t="s">
        <v>608</v>
      </c>
      <c r="D532" s="130" t="s">
        <v>984</v>
      </c>
      <c r="E532" s="132">
        <v>671.09</v>
      </c>
    </row>
    <row r="533" spans="1:5" x14ac:dyDescent="0.25">
      <c r="A533" s="130" t="s">
        <v>4</v>
      </c>
      <c r="B533" s="130" t="s">
        <v>574</v>
      </c>
      <c r="C533" s="130" t="s">
        <v>608</v>
      </c>
      <c r="D533" s="130" t="s">
        <v>985</v>
      </c>
      <c r="E533" s="132">
        <v>702.15</v>
      </c>
    </row>
    <row r="534" spans="1:5" x14ac:dyDescent="0.25">
      <c r="A534" s="130" t="s">
        <v>4</v>
      </c>
      <c r="B534" s="130" t="s">
        <v>574</v>
      </c>
      <c r="C534" s="130" t="s">
        <v>608</v>
      </c>
      <c r="D534" s="130" t="s">
        <v>986</v>
      </c>
      <c r="E534" s="132">
        <v>853.99</v>
      </c>
    </row>
    <row r="535" spans="1:5" x14ac:dyDescent="0.25">
      <c r="A535" s="130" t="s">
        <v>4</v>
      </c>
      <c r="B535" s="130" t="s">
        <v>574</v>
      </c>
      <c r="C535" s="130" t="s">
        <v>608</v>
      </c>
      <c r="D535" s="130" t="s">
        <v>304</v>
      </c>
      <c r="E535" s="132">
        <v>1628.49</v>
      </c>
    </row>
    <row r="536" spans="1:5" x14ac:dyDescent="0.25">
      <c r="A536" s="130" t="s">
        <v>4</v>
      </c>
      <c r="B536" s="130" t="s">
        <v>574</v>
      </c>
      <c r="C536" s="130" t="s">
        <v>608</v>
      </c>
      <c r="D536" s="130" t="s">
        <v>306</v>
      </c>
      <c r="E536" s="132">
        <v>1165.97</v>
      </c>
    </row>
    <row r="537" spans="1:5" x14ac:dyDescent="0.25">
      <c r="A537" s="130" t="s">
        <v>4</v>
      </c>
      <c r="B537" s="130" t="s">
        <v>574</v>
      </c>
      <c r="C537" s="130" t="s">
        <v>608</v>
      </c>
      <c r="D537" s="130" t="s">
        <v>387</v>
      </c>
      <c r="E537" s="132">
        <v>1811.02</v>
      </c>
    </row>
    <row r="538" spans="1:5" x14ac:dyDescent="0.25">
      <c r="A538" s="130" t="s">
        <v>4</v>
      </c>
      <c r="B538" s="130" t="s">
        <v>574</v>
      </c>
      <c r="C538" s="130" t="s">
        <v>608</v>
      </c>
      <c r="D538" s="130" t="s">
        <v>388</v>
      </c>
      <c r="E538" s="132">
        <v>2117.92</v>
      </c>
    </row>
    <row r="539" spans="1:5" x14ac:dyDescent="0.25">
      <c r="A539" s="130" t="s">
        <v>4</v>
      </c>
      <c r="B539" s="130" t="s">
        <v>574</v>
      </c>
      <c r="C539" s="130" t="s">
        <v>608</v>
      </c>
      <c r="D539" s="130" t="s">
        <v>354</v>
      </c>
      <c r="E539" s="132">
        <v>2471.94</v>
      </c>
    </row>
    <row r="540" spans="1:5" x14ac:dyDescent="0.25">
      <c r="A540" s="130" t="s">
        <v>4</v>
      </c>
      <c r="B540" s="130" t="s">
        <v>574</v>
      </c>
      <c r="C540" s="130" t="s">
        <v>608</v>
      </c>
      <c r="D540" s="130" t="s">
        <v>427</v>
      </c>
      <c r="E540" s="132">
        <v>4071.23</v>
      </c>
    </row>
    <row r="541" spans="1:5" x14ac:dyDescent="0.25">
      <c r="A541" s="130" t="s">
        <v>4</v>
      </c>
      <c r="B541" s="130" t="s">
        <v>574</v>
      </c>
      <c r="C541" s="130" t="s">
        <v>608</v>
      </c>
      <c r="D541" s="130" t="s">
        <v>429</v>
      </c>
      <c r="E541" s="132">
        <v>4326.82</v>
      </c>
    </row>
    <row r="542" spans="1:5" x14ac:dyDescent="0.25">
      <c r="A542" s="130" t="s">
        <v>4</v>
      </c>
      <c r="B542" s="130" t="s">
        <v>574</v>
      </c>
      <c r="C542" s="130" t="s">
        <v>608</v>
      </c>
      <c r="D542" s="130" t="s">
        <v>269</v>
      </c>
      <c r="E542" s="132">
        <v>10040.33</v>
      </c>
    </row>
    <row r="543" spans="1:5" x14ac:dyDescent="0.25">
      <c r="A543" s="130" t="s">
        <v>4</v>
      </c>
      <c r="B543" s="130" t="s">
        <v>574</v>
      </c>
      <c r="C543" s="130" t="s">
        <v>608</v>
      </c>
      <c r="D543" s="130" t="s">
        <v>377</v>
      </c>
      <c r="E543" s="132">
        <v>5713.5</v>
      </c>
    </row>
    <row r="544" spans="1:5" x14ac:dyDescent="0.25">
      <c r="A544" s="130" t="s">
        <v>4</v>
      </c>
      <c r="B544" s="130" t="s">
        <v>574</v>
      </c>
      <c r="C544" s="130" t="s">
        <v>608</v>
      </c>
      <c r="D544" s="130" t="s">
        <v>560</v>
      </c>
      <c r="E544" s="132">
        <v>6405.27</v>
      </c>
    </row>
    <row r="545" spans="1:5" x14ac:dyDescent="0.25">
      <c r="A545" s="130" t="s">
        <v>4</v>
      </c>
      <c r="B545" s="130" t="s">
        <v>574</v>
      </c>
      <c r="C545" s="130" t="s">
        <v>608</v>
      </c>
      <c r="D545" s="130" t="s">
        <v>430</v>
      </c>
      <c r="E545" s="132">
        <v>10509.93</v>
      </c>
    </row>
    <row r="546" spans="1:5" x14ac:dyDescent="0.25">
      <c r="A546" s="130" t="s">
        <v>4</v>
      </c>
      <c r="B546" s="130" t="s">
        <v>574</v>
      </c>
      <c r="C546" s="130" t="s">
        <v>608</v>
      </c>
      <c r="D546" s="130" t="s">
        <v>302</v>
      </c>
      <c r="E546" s="132">
        <v>7589.22</v>
      </c>
    </row>
    <row r="547" spans="1:5" x14ac:dyDescent="0.25">
      <c r="A547" s="130" t="s">
        <v>4</v>
      </c>
      <c r="B547" s="130" t="s">
        <v>574</v>
      </c>
      <c r="C547" s="130" t="s">
        <v>608</v>
      </c>
      <c r="D547" s="130" t="s">
        <v>677</v>
      </c>
      <c r="E547" s="132">
        <v>8733.66</v>
      </c>
    </row>
    <row r="548" spans="1:5" x14ac:dyDescent="0.25">
      <c r="A548" s="130" t="s">
        <v>4</v>
      </c>
      <c r="B548" s="130" t="s">
        <v>574</v>
      </c>
      <c r="C548" s="130" t="s">
        <v>608</v>
      </c>
      <c r="D548" s="130" t="s">
        <v>673</v>
      </c>
      <c r="E548" s="132">
        <v>8270.99</v>
      </c>
    </row>
    <row r="549" spans="1:5" x14ac:dyDescent="0.25">
      <c r="A549" s="130" t="s">
        <v>4</v>
      </c>
      <c r="B549" s="130" t="s">
        <v>574</v>
      </c>
      <c r="C549" s="130" t="s">
        <v>608</v>
      </c>
      <c r="D549" s="130" t="s">
        <v>678</v>
      </c>
      <c r="E549" s="132">
        <v>5113.71</v>
      </c>
    </row>
    <row r="550" spans="1:5" x14ac:dyDescent="0.25">
      <c r="A550" s="130" t="s">
        <v>4</v>
      </c>
      <c r="B550" s="130" t="s">
        <v>574</v>
      </c>
      <c r="C550" s="130" t="s">
        <v>608</v>
      </c>
      <c r="D550" s="130" t="s">
        <v>319</v>
      </c>
      <c r="E550" s="132">
        <v>3126.41</v>
      </c>
    </row>
    <row r="551" spans="1:5" x14ac:dyDescent="0.25">
      <c r="A551" s="130" t="s">
        <v>4</v>
      </c>
      <c r="B551" s="130" t="s">
        <v>574</v>
      </c>
      <c r="C551" s="130" t="s">
        <v>608</v>
      </c>
      <c r="D551" s="130" t="s">
        <v>311</v>
      </c>
      <c r="E551" s="132">
        <v>2125.73</v>
      </c>
    </row>
    <row r="552" spans="1:5" x14ac:dyDescent="0.25">
      <c r="A552" s="130" t="s">
        <v>4</v>
      </c>
      <c r="B552" s="130" t="s">
        <v>574</v>
      </c>
      <c r="C552" s="130" t="s">
        <v>608</v>
      </c>
      <c r="D552" s="130" t="s">
        <v>658</v>
      </c>
      <c r="E552" s="132">
        <v>2199.64</v>
      </c>
    </row>
    <row r="553" spans="1:5" x14ac:dyDescent="0.25">
      <c r="A553" s="130" t="s">
        <v>4</v>
      </c>
      <c r="B553" s="130" t="s">
        <v>574</v>
      </c>
      <c r="C553" s="130" t="s">
        <v>608</v>
      </c>
      <c r="D553" s="130" t="s">
        <v>393</v>
      </c>
      <c r="E553" s="132">
        <v>2291.71</v>
      </c>
    </row>
    <row r="554" spans="1:5" x14ac:dyDescent="0.25">
      <c r="A554" s="130" t="s">
        <v>4</v>
      </c>
      <c r="B554" s="130" t="s">
        <v>574</v>
      </c>
      <c r="C554" s="130" t="s">
        <v>608</v>
      </c>
      <c r="D554" s="130" t="s">
        <v>987</v>
      </c>
      <c r="E554" s="132">
        <v>1555.33</v>
      </c>
    </row>
    <row r="555" spans="1:5" x14ac:dyDescent="0.25">
      <c r="A555" s="130" t="s">
        <v>4</v>
      </c>
      <c r="B555" s="130" t="s">
        <v>574</v>
      </c>
      <c r="C555" s="130" t="s">
        <v>608</v>
      </c>
      <c r="D555" s="130" t="s">
        <v>344</v>
      </c>
      <c r="E555" s="132">
        <v>1134.48</v>
      </c>
    </row>
    <row r="556" spans="1:5" x14ac:dyDescent="0.25">
      <c r="A556" s="130" t="s">
        <v>4</v>
      </c>
      <c r="B556" s="130" t="s">
        <v>574</v>
      </c>
      <c r="C556" s="130" t="s">
        <v>608</v>
      </c>
      <c r="D556" s="130" t="s">
        <v>294</v>
      </c>
      <c r="E556" s="132">
        <v>657.7</v>
      </c>
    </row>
    <row r="557" spans="1:5" x14ac:dyDescent="0.25">
      <c r="A557" s="130" t="s">
        <v>4</v>
      </c>
      <c r="B557" s="130" t="s">
        <v>574</v>
      </c>
      <c r="C557" s="130" t="s">
        <v>608</v>
      </c>
      <c r="D557" s="130" t="s">
        <v>295</v>
      </c>
      <c r="E557" s="132">
        <v>546.78</v>
      </c>
    </row>
    <row r="558" spans="1:5" x14ac:dyDescent="0.25">
      <c r="A558" s="130" t="s">
        <v>4</v>
      </c>
      <c r="B558" s="130" t="s">
        <v>574</v>
      </c>
      <c r="C558" s="130" t="s">
        <v>608</v>
      </c>
      <c r="D558" s="130" t="s">
        <v>474</v>
      </c>
      <c r="E558" s="132">
        <v>1084.8800000000001</v>
      </c>
    </row>
    <row r="559" spans="1:5" x14ac:dyDescent="0.25">
      <c r="A559" s="130" t="s">
        <v>4</v>
      </c>
      <c r="B559" s="130" t="s">
        <v>574</v>
      </c>
      <c r="C559" s="130" t="s">
        <v>608</v>
      </c>
      <c r="D559" s="130" t="s">
        <v>463</v>
      </c>
      <c r="E559" s="132">
        <v>1746.54</v>
      </c>
    </row>
    <row r="560" spans="1:5" x14ac:dyDescent="0.25">
      <c r="A560" s="130" t="s">
        <v>4</v>
      </c>
      <c r="B560" s="130" t="s">
        <v>574</v>
      </c>
      <c r="C560" s="130" t="s">
        <v>608</v>
      </c>
      <c r="D560" s="130" t="s">
        <v>339</v>
      </c>
      <c r="E560" s="132">
        <v>785.17</v>
      </c>
    </row>
    <row r="561" spans="1:5" x14ac:dyDescent="0.25">
      <c r="A561" s="130" t="s">
        <v>4</v>
      </c>
      <c r="B561" s="130" t="s">
        <v>574</v>
      </c>
      <c r="C561" s="130" t="s">
        <v>608</v>
      </c>
      <c r="D561" s="130" t="s">
        <v>451</v>
      </c>
      <c r="E561" s="132">
        <v>783.56</v>
      </c>
    </row>
    <row r="562" spans="1:5" x14ac:dyDescent="0.25">
      <c r="A562" s="130" t="s">
        <v>4</v>
      </c>
      <c r="B562" s="130" t="s">
        <v>574</v>
      </c>
      <c r="C562" s="130" t="s">
        <v>608</v>
      </c>
      <c r="D562" s="130" t="s">
        <v>312</v>
      </c>
      <c r="E562" s="132">
        <v>716.72</v>
      </c>
    </row>
    <row r="563" spans="1:5" x14ac:dyDescent="0.25">
      <c r="A563" s="130" t="s">
        <v>4</v>
      </c>
      <c r="B563" s="130" t="s">
        <v>574</v>
      </c>
      <c r="C563" s="130" t="s">
        <v>608</v>
      </c>
      <c r="D563" s="130" t="s">
        <v>298</v>
      </c>
      <c r="E563" s="132">
        <v>562.53</v>
      </c>
    </row>
    <row r="564" spans="1:5" x14ac:dyDescent="0.25">
      <c r="A564" s="130" t="s">
        <v>4</v>
      </c>
      <c r="B564" s="130" t="s">
        <v>574</v>
      </c>
      <c r="C564" s="130" t="s">
        <v>608</v>
      </c>
      <c r="D564" s="130" t="s">
        <v>526</v>
      </c>
      <c r="E564" s="132">
        <v>640.34</v>
      </c>
    </row>
    <row r="565" spans="1:5" x14ac:dyDescent="0.25">
      <c r="A565" s="130" t="s">
        <v>4</v>
      </c>
      <c r="B565" s="130" t="s">
        <v>574</v>
      </c>
      <c r="C565" s="130" t="s">
        <v>608</v>
      </c>
      <c r="D565" s="130" t="s">
        <v>242</v>
      </c>
      <c r="E565" s="132">
        <v>868.62</v>
      </c>
    </row>
    <row r="566" spans="1:5" x14ac:dyDescent="0.25">
      <c r="A566" s="130" t="s">
        <v>4</v>
      </c>
      <c r="B566" s="130" t="s">
        <v>574</v>
      </c>
      <c r="C566" s="130" t="s">
        <v>608</v>
      </c>
      <c r="D566" s="130" t="s">
        <v>243</v>
      </c>
      <c r="E566" s="132">
        <v>496.43</v>
      </c>
    </row>
    <row r="567" spans="1:5" x14ac:dyDescent="0.25">
      <c r="A567" s="130" t="s">
        <v>4</v>
      </c>
      <c r="B567" s="130" t="s">
        <v>574</v>
      </c>
      <c r="C567" s="130" t="s">
        <v>608</v>
      </c>
      <c r="D567" s="130" t="s">
        <v>752</v>
      </c>
      <c r="E567" s="132">
        <v>2041.54</v>
      </c>
    </row>
    <row r="568" spans="1:5" x14ac:dyDescent="0.25">
      <c r="A568" s="130" t="s">
        <v>4</v>
      </c>
      <c r="B568" s="130" t="s">
        <v>574</v>
      </c>
      <c r="C568" s="130" t="s">
        <v>608</v>
      </c>
      <c r="D568" s="130" t="s">
        <v>518</v>
      </c>
      <c r="E568" s="132">
        <v>1530.16</v>
      </c>
    </row>
    <row r="569" spans="1:5" x14ac:dyDescent="0.25">
      <c r="A569" s="130" t="s">
        <v>4</v>
      </c>
      <c r="B569" s="130" t="s">
        <v>574</v>
      </c>
      <c r="C569" s="130" t="s">
        <v>608</v>
      </c>
      <c r="D569" s="130" t="s">
        <v>681</v>
      </c>
      <c r="E569" s="132">
        <v>1801.6</v>
      </c>
    </row>
    <row r="570" spans="1:5" x14ac:dyDescent="0.25">
      <c r="A570" s="130" t="s">
        <v>4</v>
      </c>
      <c r="B570" s="130" t="s">
        <v>574</v>
      </c>
      <c r="C570" s="130" t="s">
        <v>608</v>
      </c>
      <c r="D570" s="130" t="s">
        <v>828</v>
      </c>
      <c r="E570" s="132">
        <v>2242.9699999999998</v>
      </c>
    </row>
    <row r="571" spans="1:5" x14ac:dyDescent="0.25">
      <c r="A571" s="130" t="s">
        <v>4</v>
      </c>
      <c r="B571" s="130" t="s">
        <v>574</v>
      </c>
      <c r="C571" s="130" t="s">
        <v>608</v>
      </c>
      <c r="D571" s="130" t="s">
        <v>460</v>
      </c>
      <c r="E571" s="132">
        <v>2422.17</v>
      </c>
    </row>
    <row r="572" spans="1:5" x14ac:dyDescent="0.25">
      <c r="A572" s="130" t="s">
        <v>4</v>
      </c>
      <c r="B572" s="130" t="s">
        <v>574</v>
      </c>
      <c r="C572" s="130" t="s">
        <v>608</v>
      </c>
      <c r="D572" s="130" t="s">
        <v>359</v>
      </c>
      <c r="E572" s="132">
        <v>733.65</v>
      </c>
    </row>
    <row r="573" spans="1:5" x14ac:dyDescent="0.25">
      <c r="A573" s="130" t="s">
        <v>4</v>
      </c>
      <c r="B573" s="130" t="s">
        <v>574</v>
      </c>
      <c r="C573" s="130" t="s">
        <v>608</v>
      </c>
      <c r="D573" s="130" t="s">
        <v>488</v>
      </c>
      <c r="E573" s="132">
        <v>572.72</v>
      </c>
    </row>
    <row r="574" spans="1:5" x14ac:dyDescent="0.25">
      <c r="A574" s="130" t="s">
        <v>4</v>
      </c>
      <c r="B574" s="130" t="s">
        <v>574</v>
      </c>
      <c r="C574" s="130" t="s">
        <v>608</v>
      </c>
      <c r="D574" s="130" t="s">
        <v>959</v>
      </c>
      <c r="E574" s="132">
        <v>723.35</v>
      </c>
    </row>
    <row r="575" spans="1:5" x14ac:dyDescent="0.25">
      <c r="A575" s="130" t="s">
        <v>4</v>
      </c>
      <c r="B575" s="130" t="s">
        <v>574</v>
      </c>
      <c r="C575" s="130" t="s">
        <v>608</v>
      </c>
      <c r="D575" s="130" t="s">
        <v>988</v>
      </c>
      <c r="E575" s="132">
        <v>304.67</v>
      </c>
    </row>
    <row r="576" spans="1:5" x14ac:dyDescent="0.25">
      <c r="A576" s="130" t="s">
        <v>4</v>
      </c>
      <c r="B576" s="130" t="s">
        <v>574</v>
      </c>
      <c r="C576" s="130" t="s">
        <v>608</v>
      </c>
      <c r="D576" s="130" t="s">
        <v>246</v>
      </c>
      <c r="E576" s="132">
        <v>36882.559999999998</v>
      </c>
    </row>
    <row r="577" spans="1:5" x14ac:dyDescent="0.25">
      <c r="A577" s="130" t="s">
        <v>4</v>
      </c>
      <c r="B577" s="130" t="s">
        <v>574</v>
      </c>
      <c r="C577" s="130" t="s">
        <v>608</v>
      </c>
      <c r="D577" s="130" t="s">
        <v>247</v>
      </c>
      <c r="E577" s="132">
        <v>2350.54</v>
      </c>
    </row>
    <row r="578" spans="1:5" x14ac:dyDescent="0.25">
      <c r="A578" s="130" t="s">
        <v>4</v>
      </c>
      <c r="B578" s="130" t="s">
        <v>574</v>
      </c>
      <c r="C578" s="130" t="s">
        <v>608</v>
      </c>
      <c r="D578" s="130" t="s">
        <v>248</v>
      </c>
      <c r="E578" s="132">
        <v>2625.51</v>
      </c>
    </row>
    <row r="579" spans="1:5" x14ac:dyDescent="0.25">
      <c r="A579" s="130" t="s">
        <v>4</v>
      </c>
      <c r="B579" s="130" t="s">
        <v>574</v>
      </c>
      <c r="C579" s="130" t="s">
        <v>608</v>
      </c>
      <c r="D579" s="130" t="s">
        <v>469</v>
      </c>
      <c r="E579" s="132">
        <v>6855.22</v>
      </c>
    </row>
    <row r="580" spans="1:5" x14ac:dyDescent="0.25">
      <c r="A580" s="130" t="s">
        <v>4</v>
      </c>
      <c r="B580" s="130" t="s">
        <v>574</v>
      </c>
      <c r="C580" s="130" t="s">
        <v>608</v>
      </c>
      <c r="D580" s="130" t="s">
        <v>482</v>
      </c>
      <c r="E580" s="132">
        <v>3498.71</v>
      </c>
    </row>
    <row r="581" spans="1:5" x14ac:dyDescent="0.25">
      <c r="A581" s="130" t="s">
        <v>4</v>
      </c>
      <c r="B581" s="130" t="s">
        <v>574</v>
      </c>
      <c r="C581" s="130" t="s">
        <v>608</v>
      </c>
      <c r="D581" s="130" t="s">
        <v>637</v>
      </c>
      <c r="E581" s="132">
        <v>2350.1</v>
      </c>
    </row>
    <row r="582" spans="1:5" x14ac:dyDescent="0.25">
      <c r="A582" s="130" t="s">
        <v>4</v>
      </c>
      <c r="B582" s="130" t="s">
        <v>574</v>
      </c>
      <c r="C582" s="130" t="s">
        <v>608</v>
      </c>
      <c r="D582" s="130" t="s">
        <v>520</v>
      </c>
      <c r="E582" s="132">
        <v>2626.1</v>
      </c>
    </row>
    <row r="583" spans="1:5" x14ac:dyDescent="0.25">
      <c r="A583" s="130" t="s">
        <v>4</v>
      </c>
      <c r="B583" s="130" t="s">
        <v>574</v>
      </c>
      <c r="C583" s="130" t="s">
        <v>608</v>
      </c>
      <c r="D583" s="130" t="s">
        <v>232</v>
      </c>
      <c r="E583" s="132">
        <v>4248.24</v>
      </c>
    </row>
    <row r="584" spans="1:5" x14ac:dyDescent="0.25">
      <c r="A584" s="130" t="s">
        <v>4</v>
      </c>
      <c r="B584" s="130" t="s">
        <v>574</v>
      </c>
      <c r="C584" s="130" t="s">
        <v>608</v>
      </c>
      <c r="D584" s="130" t="s">
        <v>233</v>
      </c>
      <c r="E584" s="132">
        <v>2759.87</v>
      </c>
    </row>
    <row r="585" spans="1:5" x14ac:dyDescent="0.25">
      <c r="A585" s="130" t="s">
        <v>4</v>
      </c>
      <c r="B585" s="130" t="s">
        <v>574</v>
      </c>
      <c r="C585" s="130" t="s">
        <v>608</v>
      </c>
      <c r="D585" s="130" t="s">
        <v>421</v>
      </c>
      <c r="E585" s="132">
        <v>2267.34</v>
      </c>
    </row>
    <row r="586" spans="1:5" x14ac:dyDescent="0.25">
      <c r="A586" s="130" t="s">
        <v>4</v>
      </c>
      <c r="B586" s="130" t="s">
        <v>574</v>
      </c>
      <c r="C586" s="130" t="s">
        <v>608</v>
      </c>
      <c r="D586" s="130" t="s">
        <v>557</v>
      </c>
      <c r="E586" s="132">
        <v>2489.98</v>
      </c>
    </row>
    <row r="587" spans="1:5" x14ac:dyDescent="0.25">
      <c r="A587" s="130" t="s">
        <v>4</v>
      </c>
      <c r="B587" s="130" t="s">
        <v>574</v>
      </c>
      <c r="C587" s="130" t="s">
        <v>608</v>
      </c>
      <c r="D587" s="130" t="s">
        <v>524</v>
      </c>
      <c r="E587" s="132">
        <v>2541.13</v>
      </c>
    </row>
    <row r="588" spans="1:5" x14ac:dyDescent="0.25">
      <c r="A588" s="130" t="s">
        <v>4</v>
      </c>
      <c r="B588" s="130" t="s">
        <v>574</v>
      </c>
      <c r="C588" s="130" t="s">
        <v>608</v>
      </c>
      <c r="D588" s="130" t="s">
        <v>283</v>
      </c>
      <c r="E588" s="132">
        <v>897.83</v>
      </c>
    </row>
    <row r="589" spans="1:5" x14ac:dyDescent="0.25">
      <c r="A589" s="130" t="s">
        <v>4</v>
      </c>
      <c r="B589" s="130" t="s">
        <v>574</v>
      </c>
      <c r="C589" s="130" t="s">
        <v>608</v>
      </c>
      <c r="D589" s="130" t="s">
        <v>674</v>
      </c>
      <c r="E589" s="132">
        <v>1011.02</v>
      </c>
    </row>
    <row r="590" spans="1:5" x14ac:dyDescent="0.25">
      <c r="A590" s="130" t="s">
        <v>4</v>
      </c>
      <c r="B590" s="130" t="s">
        <v>574</v>
      </c>
      <c r="C590" s="130" t="s">
        <v>608</v>
      </c>
      <c r="D590" s="130" t="s">
        <v>723</v>
      </c>
      <c r="E590" s="132">
        <v>1434.19</v>
      </c>
    </row>
    <row r="591" spans="1:5" x14ac:dyDescent="0.25">
      <c r="A591" s="130" t="s">
        <v>4</v>
      </c>
      <c r="B591" s="130" t="s">
        <v>574</v>
      </c>
      <c r="C591" s="130" t="s">
        <v>608</v>
      </c>
      <c r="D591" s="130" t="s">
        <v>614</v>
      </c>
      <c r="E591" s="132">
        <v>1529.19</v>
      </c>
    </row>
    <row r="592" spans="1:5" x14ac:dyDescent="0.25">
      <c r="A592" s="130" t="s">
        <v>4</v>
      </c>
      <c r="B592" s="130" t="s">
        <v>574</v>
      </c>
      <c r="C592" s="130" t="s">
        <v>608</v>
      </c>
      <c r="D592" s="130" t="s">
        <v>264</v>
      </c>
      <c r="E592" s="132">
        <v>1631.56</v>
      </c>
    </row>
    <row r="593" spans="1:5" x14ac:dyDescent="0.25">
      <c r="A593" s="130" t="s">
        <v>4</v>
      </c>
      <c r="B593" s="130" t="s">
        <v>574</v>
      </c>
      <c r="C593" s="130" t="s">
        <v>608</v>
      </c>
      <c r="D593" s="130" t="s">
        <v>382</v>
      </c>
      <c r="E593" s="132">
        <v>1153.56</v>
      </c>
    </row>
    <row r="594" spans="1:5" x14ac:dyDescent="0.25">
      <c r="A594" s="130" t="s">
        <v>4</v>
      </c>
      <c r="B594" s="130" t="s">
        <v>574</v>
      </c>
      <c r="C594" s="130" t="s">
        <v>608</v>
      </c>
      <c r="D594" s="130" t="s">
        <v>707</v>
      </c>
      <c r="E594" s="132">
        <v>1537.32</v>
      </c>
    </row>
    <row r="595" spans="1:5" x14ac:dyDescent="0.25">
      <c r="A595" s="130" t="s">
        <v>4</v>
      </c>
      <c r="B595" s="130" t="s">
        <v>574</v>
      </c>
      <c r="C595" s="130" t="s">
        <v>608</v>
      </c>
      <c r="D595" s="130" t="s">
        <v>367</v>
      </c>
      <c r="E595" s="132">
        <v>1044.46</v>
      </c>
    </row>
    <row r="596" spans="1:5" x14ac:dyDescent="0.25">
      <c r="A596" s="130" t="s">
        <v>4</v>
      </c>
      <c r="B596" s="130" t="s">
        <v>574</v>
      </c>
      <c r="C596" s="130" t="s">
        <v>608</v>
      </c>
      <c r="D596" s="130" t="s">
        <v>989</v>
      </c>
      <c r="E596" s="132">
        <v>1843.89</v>
      </c>
    </row>
    <row r="597" spans="1:5" x14ac:dyDescent="0.25">
      <c r="A597" s="130" t="s">
        <v>4</v>
      </c>
      <c r="B597" s="130" t="s">
        <v>574</v>
      </c>
      <c r="C597" s="130" t="s">
        <v>608</v>
      </c>
      <c r="D597" s="130" t="s">
        <v>703</v>
      </c>
      <c r="E597" s="132">
        <v>6628.93</v>
      </c>
    </row>
    <row r="598" spans="1:5" x14ac:dyDescent="0.25">
      <c r="A598" s="130" t="s">
        <v>4</v>
      </c>
      <c r="B598" s="130" t="s">
        <v>574</v>
      </c>
      <c r="C598" s="130" t="s">
        <v>608</v>
      </c>
      <c r="D598" s="130" t="s">
        <v>440</v>
      </c>
      <c r="E598" s="132">
        <v>3101.44</v>
      </c>
    </row>
    <row r="599" spans="1:5" x14ac:dyDescent="0.25">
      <c r="A599" s="130" t="s">
        <v>4</v>
      </c>
      <c r="B599" s="130" t="s">
        <v>574</v>
      </c>
      <c r="C599" s="130" t="s">
        <v>608</v>
      </c>
      <c r="D599" s="130" t="s">
        <v>665</v>
      </c>
      <c r="E599" s="132">
        <v>994.7</v>
      </c>
    </row>
    <row r="600" spans="1:5" x14ac:dyDescent="0.25">
      <c r="A600" s="130" t="s">
        <v>4</v>
      </c>
      <c r="B600" s="130" t="s">
        <v>574</v>
      </c>
      <c r="C600" s="130" t="s">
        <v>608</v>
      </c>
      <c r="D600" s="130" t="s">
        <v>692</v>
      </c>
      <c r="E600" s="132">
        <v>1143.9100000000001</v>
      </c>
    </row>
    <row r="601" spans="1:5" x14ac:dyDescent="0.25">
      <c r="A601" s="130" t="s">
        <v>4</v>
      </c>
      <c r="B601" s="130" t="s">
        <v>574</v>
      </c>
      <c r="C601" s="130" t="s">
        <v>608</v>
      </c>
      <c r="D601" s="130" t="s">
        <v>990</v>
      </c>
      <c r="E601" s="132">
        <v>5536.21</v>
      </c>
    </row>
    <row r="602" spans="1:5" x14ac:dyDescent="0.25">
      <c r="A602" s="130" t="s">
        <v>4</v>
      </c>
      <c r="B602" s="130" t="s">
        <v>574</v>
      </c>
      <c r="C602" s="130" t="s">
        <v>608</v>
      </c>
      <c r="D602" s="130" t="s">
        <v>576</v>
      </c>
      <c r="E602" s="132">
        <v>11372.11</v>
      </c>
    </row>
    <row r="603" spans="1:5" x14ac:dyDescent="0.25">
      <c r="A603" s="130" t="s">
        <v>4</v>
      </c>
      <c r="B603" s="130" t="s">
        <v>574</v>
      </c>
      <c r="C603" s="130" t="s">
        <v>608</v>
      </c>
      <c r="D603" s="130" t="s">
        <v>257</v>
      </c>
      <c r="E603" s="132">
        <v>8004.06</v>
      </c>
    </row>
    <row r="604" spans="1:5" x14ac:dyDescent="0.25">
      <c r="A604" s="130" t="s">
        <v>4</v>
      </c>
      <c r="B604" s="130" t="s">
        <v>574</v>
      </c>
      <c r="C604" s="130" t="s">
        <v>608</v>
      </c>
      <c r="D604" s="130" t="s">
        <v>570</v>
      </c>
      <c r="E604" s="132">
        <v>8657.74</v>
      </c>
    </row>
    <row r="605" spans="1:5" x14ac:dyDescent="0.25">
      <c r="A605" s="130" t="s">
        <v>4</v>
      </c>
      <c r="B605" s="130" t="s">
        <v>574</v>
      </c>
      <c r="C605" s="130" t="s">
        <v>608</v>
      </c>
      <c r="D605" s="130" t="s">
        <v>307</v>
      </c>
      <c r="E605" s="132">
        <v>2776.54</v>
      </c>
    </row>
    <row r="606" spans="1:5" x14ac:dyDescent="0.25">
      <c r="A606" s="130" t="s">
        <v>4</v>
      </c>
      <c r="B606" s="130" t="s">
        <v>574</v>
      </c>
      <c r="C606" s="130" t="s">
        <v>608</v>
      </c>
      <c r="D606" s="130" t="s">
        <v>429</v>
      </c>
      <c r="E606" s="132">
        <v>8165.14</v>
      </c>
    </row>
    <row r="607" spans="1:5" x14ac:dyDescent="0.25">
      <c r="A607" s="130" t="s">
        <v>4</v>
      </c>
      <c r="B607" s="130" t="s">
        <v>574</v>
      </c>
      <c r="C607" s="130" t="s">
        <v>608</v>
      </c>
      <c r="D607" s="130" t="s">
        <v>269</v>
      </c>
      <c r="E607" s="132">
        <v>14210.31</v>
      </c>
    </row>
    <row r="608" spans="1:5" x14ac:dyDescent="0.25">
      <c r="A608" s="130" t="s">
        <v>4</v>
      </c>
      <c r="B608" s="130" t="s">
        <v>574</v>
      </c>
      <c r="C608" s="130" t="s">
        <v>608</v>
      </c>
      <c r="D608" s="130" t="s">
        <v>560</v>
      </c>
      <c r="E608" s="132">
        <v>18131.05</v>
      </c>
    </row>
    <row r="609" spans="1:5" x14ac:dyDescent="0.25">
      <c r="A609" s="130" t="s">
        <v>4</v>
      </c>
      <c r="B609" s="130" t="s">
        <v>574</v>
      </c>
      <c r="C609" s="130" t="s">
        <v>608</v>
      </c>
      <c r="D609" s="130" t="s">
        <v>991</v>
      </c>
      <c r="E609" s="132">
        <v>1074.8800000000001</v>
      </c>
    </row>
    <row r="610" spans="1:5" x14ac:dyDescent="0.25">
      <c r="A610" s="130" t="s">
        <v>4</v>
      </c>
      <c r="B610" s="130" t="s">
        <v>574</v>
      </c>
      <c r="C610" s="130" t="s">
        <v>608</v>
      </c>
      <c r="D610" s="130" t="s">
        <v>992</v>
      </c>
      <c r="E610" s="132">
        <v>1404.47</v>
      </c>
    </row>
    <row r="611" spans="1:5" x14ac:dyDescent="0.25">
      <c r="A611" s="130" t="s">
        <v>4</v>
      </c>
      <c r="B611" s="130" t="s">
        <v>574</v>
      </c>
      <c r="C611" s="130" t="s">
        <v>608</v>
      </c>
      <c r="D611" s="130" t="s">
        <v>310</v>
      </c>
      <c r="E611" s="132">
        <v>2252.13</v>
      </c>
    </row>
    <row r="612" spans="1:5" x14ac:dyDescent="0.25">
      <c r="A612" s="130" t="s">
        <v>4</v>
      </c>
      <c r="B612" s="130" t="s">
        <v>574</v>
      </c>
      <c r="C612" s="130" t="s">
        <v>608</v>
      </c>
      <c r="D612" s="130" t="s">
        <v>275</v>
      </c>
      <c r="E612" s="132">
        <v>2572.13</v>
      </c>
    </row>
    <row r="613" spans="1:5" x14ac:dyDescent="0.25">
      <c r="A613" s="130" t="s">
        <v>4</v>
      </c>
      <c r="B613" s="130" t="s">
        <v>574</v>
      </c>
      <c r="C613" s="130" t="s">
        <v>608</v>
      </c>
      <c r="D613" s="130" t="s">
        <v>829</v>
      </c>
      <c r="E613" s="132">
        <v>287.82</v>
      </c>
    </row>
    <row r="614" spans="1:5" x14ac:dyDescent="0.25">
      <c r="A614" s="130" t="s">
        <v>4</v>
      </c>
      <c r="B614" s="130" t="s">
        <v>574</v>
      </c>
      <c r="C614" s="130" t="s">
        <v>608</v>
      </c>
      <c r="D614" s="130" t="s">
        <v>262</v>
      </c>
      <c r="E614" s="132">
        <v>574.17999999999995</v>
      </c>
    </row>
    <row r="615" spans="1:5" x14ac:dyDescent="0.25">
      <c r="A615" s="130" t="s">
        <v>4</v>
      </c>
      <c r="B615" s="130" t="s">
        <v>574</v>
      </c>
      <c r="C615" s="130" t="s">
        <v>608</v>
      </c>
      <c r="D615" s="130" t="s">
        <v>357</v>
      </c>
      <c r="E615" s="132">
        <v>515.15</v>
      </c>
    </row>
    <row r="616" spans="1:5" x14ac:dyDescent="0.25">
      <c r="A616" s="130" t="s">
        <v>4</v>
      </c>
      <c r="B616" s="130" t="s">
        <v>574</v>
      </c>
      <c r="C616" s="130" t="s">
        <v>608</v>
      </c>
      <c r="D616" s="130" t="s">
        <v>259</v>
      </c>
      <c r="E616" s="132">
        <v>11055.41</v>
      </c>
    </row>
    <row r="617" spans="1:5" x14ac:dyDescent="0.25">
      <c r="A617" s="130" t="s">
        <v>4</v>
      </c>
      <c r="B617" s="130" t="s">
        <v>574</v>
      </c>
      <c r="C617" s="130" t="s">
        <v>608</v>
      </c>
      <c r="D617" s="130" t="s">
        <v>277</v>
      </c>
      <c r="E617" s="132">
        <v>697.03</v>
      </c>
    </row>
    <row r="618" spans="1:5" x14ac:dyDescent="0.25">
      <c r="A618" s="130" t="s">
        <v>4</v>
      </c>
      <c r="B618" s="130" t="s">
        <v>574</v>
      </c>
      <c r="C618" s="130" t="s">
        <v>608</v>
      </c>
      <c r="D618" s="130" t="s">
        <v>234</v>
      </c>
      <c r="E618" s="132">
        <v>1230.72</v>
      </c>
    </row>
    <row r="619" spans="1:5" x14ac:dyDescent="0.25">
      <c r="A619" s="130" t="s">
        <v>4</v>
      </c>
      <c r="B619" s="130" t="s">
        <v>574</v>
      </c>
      <c r="C619" s="130" t="s">
        <v>608</v>
      </c>
      <c r="D619" s="130" t="s">
        <v>656</v>
      </c>
      <c r="E619" s="132">
        <v>2326.4299999999998</v>
      </c>
    </row>
    <row r="620" spans="1:5" x14ac:dyDescent="0.25">
      <c r="A620" s="130" t="s">
        <v>4</v>
      </c>
      <c r="B620" s="130" t="s">
        <v>574</v>
      </c>
      <c r="C620" s="130" t="s">
        <v>608</v>
      </c>
      <c r="D620" s="130" t="s">
        <v>522</v>
      </c>
      <c r="E620" s="132">
        <v>885.57</v>
      </c>
    </row>
    <row r="621" spans="1:5" x14ac:dyDescent="0.25">
      <c r="A621" s="130" t="s">
        <v>4</v>
      </c>
      <c r="B621" s="130" t="s">
        <v>574</v>
      </c>
      <c r="C621" s="130" t="s">
        <v>608</v>
      </c>
      <c r="D621" s="130" t="s">
        <v>279</v>
      </c>
      <c r="E621" s="132">
        <v>1076.3399999999999</v>
      </c>
    </row>
    <row r="622" spans="1:5" x14ac:dyDescent="0.25">
      <c r="A622" s="130" t="s">
        <v>4</v>
      </c>
      <c r="B622" s="130" t="s">
        <v>574</v>
      </c>
      <c r="C622" s="130" t="s">
        <v>608</v>
      </c>
      <c r="D622" s="130" t="s">
        <v>319</v>
      </c>
      <c r="E622" s="132">
        <v>8849.76</v>
      </c>
    </row>
    <row r="623" spans="1:5" x14ac:dyDescent="0.25">
      <c r="A623" s="130" t="s">
        <v>4</v>
      </c>
      <c r="B623" s="130" t="s">
        <v>574</v>
      </c>
      <c r="C623" s="130" t="s">
        <v>608</v>
      </c>
      <c r="D623" s="130" t="s">
        <v>265</v>
      </c>
      <c r="E623" s="132">
        <v>6640.74</v>
      </c>
    </row>
    <row r="624" spans="1:5" x14ac:dyDescent="0.25">
      <c r="A624" s="130" t="s">
        <v>4</v>
      </c>
      <c r="B624" s="130" t="s">
        <v>574</v>
      </c>
      <c r="C624" s="130" t="s">
        <v>608</v>
      </c>
      <c r="D624" s="130" t="s">
        <v>363</v>
      </c>
      <c r="E624" s="132">
        <v>6349.71</v>
      </c>
    </row>
    <row r="625" spans="1:5" x14ac:dyDescent="0.25">
      <c r="A625" s="130" t="s">
        <v>4</v>
      </c>
      <c r="B625" s="130" t="s">
        <v>574</v>
      </c>
      <c r="C625" s="130" t="s">
        <v>608</v>
      </c>
      <c r="D625" s="130" t="s">
        <v>286</v>
      </c>
      <c r="E625" s="132">
        <v>1650.93</v>
      </c>
    </row>
    <row r="626" spans="1:5" x14ac:dyDescent="0.25">
      <c r="A626" s="130" t="s">
        <v>4</v>
      </c>
      <c r="B626" s="130" t="s">
        <v>574</v>
      </c>
      <c r="C626" s="130" t="s">
        <v>608</v>
      </c>
      <c r="D626" s="130" t="s">
        <v>668</v>
      </c>
      <c r="E626" s="132">
        <v>318.01</v>
      </c>
    </row>
    <row r="627" spans="1:5" x14ac:dyDescent="0.25">
      <c r="A627" s="130" t="s">
        <v>4</v>
      </c>
      <c r="B627" s="130" t="s">
        <v>574</v>
      </c>
      <c r="C627" s="130" t="s">
        <v>608</v>
      </c>
      <c r="D627" s="130" t="s">
        <v>669</v>
      </c>
      <c r="E627" s="132">
        <v>476.72</v>
      </c>
    </row>
    <row r="628" spans="1:5" x14ac:dyDescent="0.25">
      <c r="A628" s="130" t="s">
        <v>4</v>
      </c>
      <c r="B628" s="130" t="s">
        <v>574</v>
      </c>
      <c r="C628" s="130" t="s">
        <v>608</v>
      </c>
      <c r="D628" s="130" t="s">
        <v>670</v>
      </c>
      <c r="E628" s="132">
        <v>635.72</v>
      </c>
    </row>
    <row r="629" spans="1:5" x14ac:dyDescent="0.25">
      <c r="A629" s="130" t="s">
        <v>4</v>
      </c>
      <c r="B629" s="130" t="s">
        <v>574</v>
      </c>
      <c r="C629" s="130" t="s">
        <v>608</v>
      </c>
      <c r="D629" s="130" t="s">
        <v>671</v>
      </c>
      <c r="E629" s="132">
        <v>794.72</v>
      </c>
    </row>
    <row r="630" spans="1:5" x14ac:dyDescent="0.25">
      <c r="A630" s="130" t="s">
        <v>4</v>
      </c>
      <c r="B630" s="130" t="s">
        <v>574</v>
      </c>
      <c r="C630" s="130" t="s">
        <v>608</v>
      </c>
      <c r="D630" s="130" t="s">
        <v>679</v>
      </c>
      <c r="E630" s="132">
        <v>2675.67</v>
      </c>
    </row>
    <row r="631" spans="1:5" x14ac:dyDescent="0.25">
      <c r="A631" s="130" t="s">
        <v>4</v>
      </c>
      <c r="B631" s="130" t="s">
        <v>574</v>
      </c>
      <c r="C631" s="130" t="s">
        <v>608</v>
      </c>
      <c r="D631" s="130" t="s">
        <v>779</v>
      </c>
      <c r="E631" s="132">
        <v>3164.47</v>
      </c>
    </row>
    <row r="632" spans="1:5" x14ac:dyDescent="0.25">
      <c r="A632" s="130" t="s">
        <v>4</v>
      </c>
      <c r="B632" s="130" t="s">
        <v>574</v>
      </c>
      <c r="C632" s="130" t="s">
        <v>608</v>
      </c>
      <c r="D632" s="130" t="s">
        <v>556</v>
      </c>
      <c r="E632" s="132">
        <v>4137.7</v>
      </c>
    </row>
    <row r="633" spans="1:5" x14ac:dyDescent="0.25">
      <c r="A633" s="130" t="s">
        <v>4</v>
      </c>
      <c r="B633" s="130" t="s">
        <v>574</v>
      </c>
      <c r="C633" s="130" t="s">
        <v>608</v>
      </c>
      <c r="D633" s="130" t="s">
        <v>338</v>
      </c>
      <c r="E633" s="132">
        <v>1247.0999999999999</v>
      </c>
    </row>
    <row r="634" spans="1:5" x14ac:dyDescent="0.25">
      <c r="A634" s="130" t="s">
        <v>4</v>
      </c>
      <c r="B634" s="130" t="s">
        <v>574</v>
      </c>
      <c r="C634" s="130" t="s">
        <v>608</v>
      </c>
      <c r="D634" s="130" t="s">
        <v>303</v>
      </c>
      <c r="E634" s="132">
        <v>585.64</v>
      </c>
    </row>
    <row r="635" spans="1:5" x14ac:dyDescent="0.25">
      <c r="A635" s="130" t="s">
        <v>4</v>
      </c>
      <c r="B635" s="130" t="s">
        <v>574</v>
      </c>
      <c r="C635" s="130" t="s">
        <v>608</v>
      </c>
      <c r="D635" s="130" t="s">
        <v>403</v>
      </c>
      <c r="E635" s="132">
        <v>657.66</v>
      </c>
    </row>
    <row r="636" spans="1:5" x14ac:dyDescent="0.25">
      <c r="A636" s="130" t="s">
        <v>4</v>
      </c>
      <c r="B636" s="130" t="s">
        <v>574</v>
      </c>
      <c r="C636" s="130" t="s">
        <v>608</v>
      </c>
      <c r="D636" s="130" t="s">
        <v>615</v>
      </c>
      <c r="E636" s="132">
        <v>1136.8599999999999</v>
      </c>
    </row>
    <row r="637" spans="1:5" x14ac:dyDescent="0.25">
      <c r="A637" s="130" t="s">
        <v>4</v>
      </c>
      <c r="B637" s="130" t="s">
        <v>574</v>
      </c>
      <c r="C637" s="130" t="s">
        <v>608</v>
      </c>
      <c r="D637" s="130" t="s">
        <v>474</v>
      </c>
      <c r="E637" s="132">
        <v>3070.9</v>
      </c>
    </row>
    <row r="638" spans="1:5" x14ac:dyDescent="0.25">
      <c r="A638" s="130" t="s">
        <v>4</v>
      </c>
      <c r="B638" s="130" t="s">
        <v>574</v>
      </c>
      <c r="C638" s="130" t="s">
        <v>608</v>
      </c>
      <c r="D638" s="130" t="s">
        <v>239</v>
      </c>
      <c r="E638" s="132">
        <v>2104.42</v>
      </c>
    </row>
    <row r="639" spans="1:5" x14ac:dyDescent="0.25">
      <c r="A639" s="130" t="s">
        <v>4</v>
      </c>
      <c r="B639" s="130" t="s">
        <v>574</v>
      </c>
      <c r="C639" s="130" t="s">
        <v>608</v>
      </c>
      <c r="D639" s="130" t="s">
        <v>780</v>
      </c>
      <c r="E639" s="132">
        <v>668.07</v>
      </c>
    </row>
    <row r="640" spans="1:5" x14ac:dyDescent="0.25">
      <c r="A640" s="130" t="s">
        <v>4</v>
      </c>
      <c r="B640" s="130" t="s">
        <v>574</v>
      </c>
      <c r="C640" s="130" t="s">
        <v>608</v>
      </c>
      <c r="D640" s="130" t="s">
        <v>282</v>
      </c>
      <c r="E640" s="132">
        <v>696.27</v>
      </c>
    </row>
    <row r="641" spans="1:5" x14ac:dyDescent="0.25">
      <c r="A641" s="130" t="s">
        <v>4</v>
      </c>
      <c r="B641" s="130" t="s">
        <v>574</v>
      </c>
      <c r="C641" s="130" t="s">
        <v>608</v>
      </c>
      <c r="D641" s="130" t="s">
        <v>446</v>
      </c>
      <c r="E641" s="132">
        <v>772.76</v>
      </c>
    </row>
    <row r="642" spans="1:5" x14ac:dyDescent="0.25">
      <c r="A642" s="130" t="s">
        <v>4</v>
      </c>
      <c r="B642" s="130" t="s">
        <v>574</v>
      </c>
      <c r="C642" s="130" t="s">
        <v>608</v>
      </c>
      <c r="D642" s="130" t="s">
        <v>451</v>
      </c>
      <c r="E642" s="132">
        <v>739.32</v>
      </c>
    </row>
    <row r="643" spans="1:5" x14ac:dyDescent="0.25">
      <c r="A643" s="130" t="s">
        <v>4</v>
      </c>
      <c r="B643" s="130" t="s">
        <v>574</v>
      </c>
      <c r="C643" s="130" t="s">
        <v>608</v>
      </c>
      <c r="D643" s="130" t="s">
        <v>298</v>
      </c>
      <c r="E643" s="132">
        <v>1592.31</v>
      </c>
    </row>
    <row r="644" spans="1:5" x14ac:dyDescent="0.25">
      <c r="A644" s="130" t="s">
        <v>4</v>
      </c>
      <c r="B644" s="130" t="s">
        <v>574</v>
      </c>
      <c r="C644" s="130" t="s">
        <v>608</v>
      </c>
      <c r="D644" s="130" t="s">
        <v>455</v>
      </c>
      <c r="E644" s="132">
        <v>1748.92</v>
      </c>
    </row>
    <row r="645" spans="1:5" x14ac:dyDescent="0.25">
      <c r="A645" s="130" t="s">
        <v>4</v>
      </c>
      <c r="B645" s="130" t="s">
        <v>574</v>
      </c>
      <c r="C645" s="130" t="s">
        <v>608</v>
      </c>
      <c r="D645" s="130" t="s">
        <v>464</v>
      </c>
      <c r="E645" s="132">
        <v>538.9</v>
      </c>
    </row>
    <row r="646" spans="1:5" x14ac:dyDescent="0.25">
      <c r="A646" s="130" t="s">
        <v>4</v>
      </c>
      <c r="B646" s="130" t="s">
        <v>574</v>
      </c>
      <c r="C646" s="130" t="s">
        <v>608</v>
      </c>
      <c r="D646" s="130" t="s">
        <v>347</v>
      </c>
      <c r="E646" s="132">
        <v>368.9</v>
      </c>
    </row>
    <row r="647" spans="1:5" x14ac:dyDescent="0.25">
      <c r="A647" s="130" t="s">
        <v>4</v>
      </c>
      <c r="B647" s="130" t="s">
        <v>574</v>
      </c>
      <c r="C647" s="130" t="s">
        <v>608</v>
      </c>
      <c r="D647" s="130" t="s">
        <v>527</v>
      </c>
      <c r="E647" s="132">
        <v>711.89</v>
      </c>
    </row>
    <row r="648" spans="1:5" x14ac:dyDescent="0.25">
      <c r="A648" s="130" t="s">
        <v>4</v>
      </c>
      <c r="B648" s="130" t="s">
        <v>574</v>
      </c>
      <c r="C648" s="130" t="s">
        <v>608</v>
      </c>
      <c r="D648" s="130" t="s">
        <v>681</v>
      </c>
      <c r="E648" s="132">
        <v>849.95</v>
      </c>
    </row>
    <row r="649" spans="1:5" x14ac:dyDescent="0.25">
      <c r="A649" s="130" t="s">
        <v>4</v>
      </c>
      <c r="B649" s="130" t="s">
        <v>574</v>
      </c>
      <c r="C649" s="130" t="s">
        <v>608</v>
      </c>
      <c r="D649" s="130" t="s">
        <v>686</v>
      </c>
      <c r="E649" s="132">
        <v>350.36</v>
      </c>
    </row>
    <row r="650" spans="1:5" x14ac:dyDescent="0.25">
      <c r="A650" s="130" t="s">
        <v>4</v>
      </c>
      <c r="B650" s="130" t="s">
        <v>574</v>
      </c>
      <c r="C650" s="130" t="s">
        <v>608</v>
      </c>
      <c r="D650" s="130" t="s">
        <v>412</v>
      </c>
      <c r="E650" s="132">
        <v>303.61</v>
      </c>
    </row>
    <row r="651" spans="1:5" x14ac:dyDescent="0.25">
      <c r="A651" s="130" t="s">
        <v>4</v>
      </c>
      <c r="B651" s="130" t="s">
        <v>574</v>
      </c>
      <c r="C651" s="130" t="s">
        <v>608</v>
      </c>
      <c r="D651" s="130" t="s">
        <v>458</v>
      </c>
      <c r="E651" s="132">
        <v>728.91</v>
      </c>
    </row>
    <row r="652" spans="1:5" x14ac:dyDescent="0.25">
      <c r="A652" s="130" t="s">
        <v>4</v>
      </c>
      <c r="B652" s="130" t="s">
        <v>574</v>
      </c>
      <c r="C652" s="130" t="s">
        <v>608</v>
      </c>
      <c r="D652" s="130" t="s">
        <v>395</v>
      </c>
      <c r="E652" s="132">
        <v>931.61</v>
      </c>
    </row>
    <row r="653" spans="1:5" x14ac:dyDescent="0.25">
      <c r="A653" s="130" t="s">
        <v>4</v>
      </c>
      <c r="B653" s="130" t="s">
        <v>574</v>
      </c>
      <c r="C653" s="130" t="s">
        <v>608</v>
      </c>
      <c r="D653" s="130" t="s">
        <v>340</v>
      </c>
      <c r="E653" s="132">
        <v>1538.67</v>
      </c>
    </row>
    <row r="654" spans="1:5" x14ac:dyDescent="0.25">
      <c r="A654" s="130" t="s">
        <v>4</v>
      </c>
      <c r="B654" s="130" t="s">
        <v>574</v>
      </c>
      <c r="C654" s="130" t="s">
        <v>608</v>
      </c>
      <c r="D654" s="130" t="s">
        <v>460</v>
      </c>
      <c r="E654" s="132">
        <v>1142.72</v>
      </c>
    </row>
    <row r="655" spans="1:5" x14ac:dyDescent="0.25">
      <c r="A655" s="130" t="s">
        <v>4</v>
      </c>
      <c r="B655" s="130" t="s">
        <v>574</v>
      </c>
      <c r="C655" s="130" t="s">
        <v>608</v>
      </c>
      <c r="D655" s="130" t="s">
        <v>507</v>
      </c>
      <c r="E655" s="132">
        <v>2190.42</v>
      </c>
    </row>
    <row r="656" spans="1:5" x14ac:dyDescent="0.25">
      <c r="A656" s="130" t="s">
        <v>4</v>
      </c>
      <c r="B656" s="130" t="s">
        <v>574</v>
      </c>
      <c r="C656" s="130" t="s">
        <v>608</v>
      </c>
      <c r="D656" s="130" t="s">
        <v>384</v>
      </c>
      <c r="E656" s="132">
        <v>3095.23</v>
      </c>
    </row>
    <row r="657" spans="1:5" x14ac:dyDescent="0.25">
      <c r="A657" s="130" t="s">
        <v>4</v>
      </c>
      <c r="B657" s="130" t="s">
        <v>574</v>
      </c>
      <c r="C657" s="130" t="s">
        <v>608</v>
      </c>
      <c r="D657" s="130" t="s">
        <v>515</v>
      </c>
      <c r="E657" s="132">
        <v>1008.07</v>
      </c>
    </row>
    <row r="658" spans="1:5" x14ac:dyDescent="0.25">
      <c r="A658" s="130" t="s">
        <v>4</v>
      </c>
      <c r="B658" s="130" t="s">
        <v>574</v>
      </c>
      <c r="C658" s="130" t="s">
        <v>608</v>
      </c>
      <c r="D658" s="130" t="s">
        <v>993</v>
      </c>
      <c r="E658" s="132">
        <v>1387.77</v>
      </c>
    </row>
    <row r="659" spans="1:5" x14ac:dyDescent="0.25">
      <c r="A659" s="130" t="s">
        <v>4</v>
      </c>
      <c r="B659" s="130" t="s">
        <v>574</v>
      </c>
      <c r="C659" s="130" t="s">
        <v>608</v>
      </c>
      <c r="D659" s="130" t="s">
        <v>709</v>
      </c>
      <c r="E659" s="132">
        <v>2778.46</v>
      </c>
    </row>
    <row r="660" spans="1:5" x14ac:dyDescent="0.25">
      <c r="A660" s="130" t="s">
        <v>4</v>
      </c>
      <c r="B660" s="130" t="s">
        <v>574</v>
      </c>
      <c r="C660" s="130" t="s">
        <v>608</v>
      </c>
      <c r="D660" s="130" t="s">
        <v>438</v>
      </c>
      <c r="E660" s="132">
        <v>1557.39</v>
      </c>
    </row>
    <row r="661" spans="1:5" x14ac:dyDescent="0.25">
      <c r="A661" s="130" t="s">
        <v>4</v>
      </c>
      <c r="B661" s="130" t="s">
        <v>574</v>
      </c>
      <c r="C661" s="130" t="s">
        <v>608</v>
      </c>
      <c r="D661" s="130" t="s">
        <v>701</v>
      </c>
      <c r="E661" s="132">
        <v>4834.29</v>
      </c>
    </row>
    <row r="662" spans="1:5" x14ac:dyDescent="0.25">
      <c r="A662" s="130" t="s">
        <v>4</v>
      </c>
      <c r="B662" s="130" t="s">
        <v>574</v>
      </c>
      <c r="C662" s="130" t="s">
        <v>608</v>
      </c>
      <c r="D662" s="130" t="s">
        <v>702</v>
      </c>
      <c r="E662" s="132">
        <v>4287.58</v>
      </c>
    </row>
    <row r="663" spans="1:5" x14ac:dyDescent="0.25">
      <c r="A663" s="130" t="s">
        <v>4</v>
      </c>
      <c r="B663" s="130" t="s">
        <v>574</v>
      </c>
      <c r="C663" s="130" t="s">
        <v>608</v>
      </c>
      <c r="D663" s="130" t="s">
        <v>738</v>
      </c>
      <c r="E663" s="132">
        <v>6593.54</v>
      </c>
    </row>
    <row r="664" spans="1:5" x14ac:dyDescent="0.25">
      <c r="A664" s="130" t="s">
        <v>4</v>
      </c>
      <c r="B664" s="130" t="s">
        <v>574</v>
      </c>
      <c r="C664" s="130" t="s">
        <v>608</v>
      </c>
      <c r="D664" s="130" t="s">
        <v>810</v>
      </c>
      <c r="E664" s="132">
        <v>4235.6000000000004</v>
      </c>
    </row>
    <row r="665" spans="1:5" x14ac:dyDescent="0.25">
      <c r="A665" s="130" t="s">
        <v>4</v>
      </c>
      <c r="B665" s="130" t="s">
        <v>574</v>
      </c>
      <c r="C665" s="130" t="s">
        <v>608</v>
      </c>
      <c r="D665" s="130" t="s">
        <v>739</v>
      </c>
      <c r="E665" s="132">
        <v>4505.08</v>
      </c>
    </row>
    <row r="666" spans="1:5" x14ac:dyDescent="0.25">
      <c r="A666" s="130" t="s">
        <v>4</v>
      </c>
      <c r="B666" s="130" t="s">
        <v>574</v>
      </c>
      <c r="C666" s="130" t="s">
        <v>608</v>
      </c>
      <c r="D666" s="130" t="s">
        <v>341</v>
      </c>
      <c r="E666" s="132">
        <v>1264.24</v>
      </c>
    </row>
    <row r="667" spans="1:5" x14ac:dyDescent="0.25">
      <c r="A667" s="130" t="s">
        <v>4</v>
      </c>
      <c r="B667" s="130" t="s">
        <v>574</v>
      </c>
      <c r="C667" s="130" t="s">
        <v>608</v>
      </c>
      <c r="D667" s="130" t="s">
        <v>305</v>
      </c>
      <c r="E667" s="132">
        <v>1642.59</v>
      </c>
    </row>
    <row r="668" spans="1:5" x14ac:dyDescent="0.25">
      <c r="A668" s="130" t="s">
        <v>4</v>
      </c>
      <c r="B668" s="130" t="s">
        <v>574</v>
      </c>
      <c r="C668" s="130" t="s">
        <v>608</v>
      </c>
      <c r="D668" s="130" t="s">
        <v>511</v>
      </c>
      <c r="E668" s="132">
        <v>4516.43</v>
      </c>
    </row>
    <row r="669" spans="1:5" x14ac:dyDescent="0.25">
      <c r="A669" s="130" t="s">
        <v>4</v>
      </c>
      <c r="B669" s="130" t="s">
        <v>574</v>
      </c>
      <c r="C669" s="130" t="s">
        <v>608</v>
      </c>
      <c r="D669" s="130" t="s">
        <v>690</v>
      </c>
      <c r="E669" s="132">
        <v>1326.31</v>
      </c>
    </row>
    <row r="670" spans="1:5" x14ac:dyDescent="0.25">
      <c r="A670" s="130" t="s">
        <v>4</v>
      </c>
      <c r="B670" s="130" t="s">
        <v>574</v>
      </c>
      <c r="C670" s="130" t="s">
        <v>608</v>
      </c>
      <c r="D670" s="130" t="s">
        <v>723</v>
      </c>
      <c r="E670" s="132">
        <v>2169.1799999999998</v>
      </c>
    </row>
    <row r="671" spans="1:5" x14ac:dyDescent="0.25">
      <c r="A671" s="130" t="s">
        <v>4</v>
      </c>
      <c r="B671" s="130" t="s">
        <v>574</v>
      </c>
      <c r="C671" s="130" t="s">
        <v>608</v>
      </c>
      <c r="D671" s="130" t="s">
        <v>614</v>
      </c>
      <c r="E671" s="132">
        <v>3854.86</v>
      </c>
    </row>
    <row r="672" spans="1:5" x14ac:dyDescent="0.25">
      <c r="A672" s="130" t="s">
        <v>4</v>
      </c>
      <c r="B672" s="130" t="s">
        <v>574</v>
      </c>
      <c r="C672" s="130" t="s">
        <v>608</v>
      </c>
      <c r="D672" s="130" t="s">
        <v>264</v>
      </c>
      <c r="E672" s="132">
        <v>16452.54</v>
      </c>
    </row>
    <row r="673" spans="1:5" x14ac:dyDescent="0.25">
      <c r="A673" s="130" t="s">
        <v>4</v>
      </c>
      <c r="B673" s="130" t="s">
        <v>574</v>
      </c>
      <c r="C673" s="130" t="s">
        <v>608</v>
      </c>
      <c r="D673" s="130" t="s">
        <v>381</v>
      </c>
      <c r="E673" s="132">
        <v>1889.2</v>
      </c>
    </row>
    <row r="674" spans="1:5" x14ac:dyDescent="0.25">
      <c r="A674" s="130" t="s">
        <v>4</v>
      </c>
      <c r="B674" s="130" t="s">
        <v>574</v>
      </c>
      <c r="C674" s="130" t="s">
        <v>608</v>
      </c>
      <c r="D674" s="130" t="s">
        <v>343</v>
      </c>
      <c r="E674" s="132">
        <v>2080.84</v>
      </c>
    </row>
    <row r="675" spans="1:5" x14ac:dyDescent="0.25">
      <c r="A675" s="130" t="s">
        <v>4</v>
      </c>
      <c r="B675" s="130" t="s">
        <v>574</v>
      </c>
      <c r="C675" s="130" t="s">
        <v>608</v>
      </c>
      <c r="D675" s="130" t="s">
        <v>382</v>
      </c>
      <c r="E675" s="132">
        <v>1163.1600000000001</v>
      </c>
    </row>
    <row r="676" spans="1:5" x14ac:dyDescent="0.25">
      <c r="A676" s="130" t="s">
        <v>4</v>
      </c>
      <c r="B676" s="130" t="s">
        <v>574</v>
      </c>
      <c r="C676" s="130" t="s">
        <v>608</v>
      </c>
      <c r="D676" s="130" t="s">
        <v>706</v>
      </c>
      <c r="E676" s="132">
        <v>2723.06</v>
      </c>
    </row>
    <row r="677" spans="1:5" x14ac:dyDescent="0.25">
      <c r="A677" s="130" t="s">
        <v>4</v>
      </c>
      <c r="B677" s="130" t="s">
        <v>574</v>
      </c>
      <c r="C677" s="130" t="s">
        <v>608</v>
      </c>
      <c r="D677" s="130" t="s">
        <v>707</v>
      </c>
      <c r="E677" s="132">
        <v>1550.13</v>
      </c>
    </row>
    <row r="678" spans="1:5" x14ac:dyDescent="0.25">
      <c r="A678" s="130" t="s">
        <v>4</v>
      </c>
      <c r="B678" s="130" t="s">
        <v>574</v>
      </c>
      <c r="C678" s="130" t="s">
        <v>608</v>
      </c>
      <c r="D678" s="130" t="s">
        <v>703</v>
      </c>
      <c r="E678" s="132">
        <v>1336.84</v>
      </c>
    </row>
    <row r="679" spans="1:5" x14ac:dyDescent="0.25">
      <c r="A679" s="130" t="s">
        <v>4</v>
      </c>
      <c r="B679" s="130" t="s">
        <v>574</v>
      </c>
      <c r="C679" s="130" t="s">
        <v>608</v>
      </c>
      <c r="D679" s="130" t="s">
        <v>704</v>
      </c>
      <c r="E679" s="132">
        <v>11568.96</v>
      </c>
    </row>
    <row r="680" spans="1:5" x14ac:dyDescent="0.25">
      <c r="A680" s="130" t="s">
        <v>4</v>
      </c>
      <c r="B680" s="130" t="s">
        <v>574</v>
      </c>
      <c r="C680" s="130" t="s">
        <v>608</v>
      </c>
      <c r="D680" s="130" t="s">
        <v>440</v>
      </c>
      <c r="E680" s="132">
        <v>23454.7</v>
      </c>
    </row>
    <row r="681" spans="1:5" x14ac:dyDescent="0.25">
      <c r="A681" s="130" t="s">
        <v>4</v>
      </c>
      <c r="B681" s="130" t="s">
        <v>574</v>
      </c>
      <c r="C681" s="130" t="s">
        <v>608</v>
      </c>
      <c r="D681" s="130" t="s">
        <v>691</v>
      </c>
      <c r="E681" s="132">
        <v>5461.03</v>
      </c>
    </row>
    <row r="682" spans="1:5" x14ac:dyDescent="0.25">
      <c r="A682" s="130" t="s">
        <v>4</v>
      </c>
      <c r="B682" s="130" t="s">
        <v>574</v>
      </c>
      <c r="C682" s="130" t="s">
        <v>608</v>
      </c>
      <c r="D682" s="130" t="s">
        <v>665</v>
      </c>
      <c r="E682" s="132">
        <v>8023.86</v>
      </c>
    </row>
    <row r="683" spans="1:5" x14ac:dyDescent="0.25">
      <c r="A683" s="130" t="s">
        <v>4</v>
      </c>
      <c r="B683" s="130" t="s">
        <v>574</v>
      </c>
      <c r="C683" s="130" t="s">
        <v>608</v>
      </c>
      <c r="D683" s="130" t="s">
        <v>692</v>
      </c>
      <c r="E683" s="132">
        <v>2306.89</v>
      </c>
    </row>
    <row r="684" spans="1:5" x14ac:dyDescent="0.25">
      <c r="A684" s="130" t="s">
        <v>4</v>
      </c>
      <c r="B684" s="130" t="s">
        <v>574</v>
      </c>
      <c r="C684" s="130" t="s">
        <v>608</v>
      </c>
      <c r="D684" s="130" t="s">
        <v>693</v>
      </c>
      <c r="E684" s="132">
        <v>1337.19</v>
      </c>
    </row>
    <row r="685" spans="1:5" x14ac:dyDescent="0.25">
      <c r="A685" s="130" t="s">
        <v>4</v>
      </c>
      <c r="B685" s="130" t="s">
        <v>574</v>
      </c>
      <c r="C685" s="130" t="s">
        <v>608</v>
      </c>
      <c r="D685" s="130" t="s">
        <v>572</v>
      </c>
      <c r="E685" s="132">
        <v>2669.88</v>
      </c>
    </row>
    <row r="686" spans="1:5" x14ac:dyDescent="0.25">
      <c r="A686" s="130" t="s">
        <v>4</v>
      </c>
      <c r="B686" s="130" t="s">
        <v>574</v>
      </c>
      <c r="C686" s="130" t="s">
        <v>608</v>
      </c>
      <c r="D686" s="130" t="s">
        <v>543</v>
      </c>
      <c r="E686" s="132">
        <v>7272.49</v>
      </c>
    </row>
    <row r="687" spans="1:5" x14ac:dyDescent="0.25">
      <c r="A687" s="130" t="s">
        <v>4</v>
      </c>
      <c r="B687" s="130" t="s">
        <v>574</v>
      </c>
      <c r="C687" s="130" t="s">
        <v>608</v>
      </c>
      <c r="D687" s="130" t="s">
        <v>532</v>
      </c>
      <c r="E687" s="132">
        <v>49793.74</v>
      </c>
    </row>
    <row r="688" spans="1:5" x14ac:dyDescent="0.25">
      <c r="A688" s="130" t="s">
        <v>4</v>
      </c>
      <c r="B688" s="130" t="s">
        <v>574</v>
      </c>
      <c r="C688" s="130" t="s">
        <v>608</v>
      </c>
      <c r="D688" s="130" t="s">
        <v>936</v>
      </c>
      <c r="E688" s="132">
        <v>3323.33</v>
      </c>
    </row>
    <row r="689" spans="1:5" x14ac:dyDescent="0.25">
      <c r="A689" s="130" t="s">
        <v>4</v>
      </c>
      <c r="B689" s="130" t="s">
        <v>574</v>
      </c>
      <c r="C689" s="130" t="s">
        <v>608</v>
      </c>
      <c r="D689" s="130" t="s">
        <v>257</v>
      </c>
      <c r="E689" s="132">
        <v>24212.38</v>
      </c>
    </row>
    <row r="690" spans="1:5" x14ac:dyDescent="0.25">
      <c r="A690" s="130" t="s">
        <v>4</v>
      </c>
      <c r="B690" s="130" t="s">
        <v>574</v>
      </c>
      <c r="C690" s="130" t="s">
        <v>608</v>
      </c>
      <c r="D690" s="130" t="s">
        <v>570</v>
      </c>
      <c r="E690" s="132">
        <v>34919.699999999997</v>
      </c>
    </row>
    <row r="691" spans="1:5" x14ac:dyDescent="0.25">
      <c r="A691" s="130" t="s">
        <v>4</v>
      </c>
      <c r="B691" s="130" t="s">
        <v>574</v>
      </c>
      <c r="C691" s="130" t="s">
        <v>608</v>
      </c>
      <c r="D691" s="130" t="s">
        <v>428</v>
      </c>
      <c r="E691" s="132">
        <v>6916.9</v>
      </c>
    </row>
    <row r="692" spans="1:5" x14ac:dyDescent="0.25">
      <c r="A692" s="130" t="s">
        <v>4</v>
      </c>
      <c r="B692" s="130" t="s">
        <v>574</v>
      </c>
      <c r="C692" s="130" t="s">
        <v>608</v>
      </c>
      <c r="D692" s="130" t="s">
        <v>377</v>
      </c>
      <c r="E692" s="132">
        <v>5435.92</v>
      </c>
    </row>
    <row r="693" spans="1:5" x14ac:dyDescent="0.25">
      <c r="A693" s="130" t="s">
        <v>4</v>
      </c>
      <c r="B693" s="130" t="s">
        <v>574</v>
      </c>
      <c r="C693" s="130" t="s">
        <v>608</v>
      </c>
      <c r="D693" s="130" t="s">
        <v>258</v>
      </c>
      <c r="E693" s="132">
        <v>20260.740000000002</v>
      </c>
    </row>
    <row r="694" spans="1:5" x14ac:dyDescent="0.25">
      <c r="A694" s="130" t="s">
        <v>4</v>
      </c>
      <c r="B694" s="130" t="s">
        <v>574</v>
      </c>
      <c r="C694" s="130" t="s">
        <v>608</v>
      </c>
      <c r="D694" s="130" t="s">
        <v>337</v>
      </c>
      <c r="E694" s="132">
        <v>2507.31</v>
      </c>
    </row>
    <row r="695" spans="1:5" x14ac:dyDescent="0.25">
      <c r="A695" s="130" t="s">
        <v>4</v>
      </c>
      <c r="B695" s="130" t="s">
        <v>574</v>
      </c>
      <c r="C695" s="130" t="s">
        <v>608</v>
      </c>
      <c r="D695" s="130" t="s">
        <v>334</v>
      </c>
      <c r="E695" s="132">
        <v>7170.64</v>
      </c>
    </row>
    <row r="696" spans="1:5" x14ac:dyDescent="0.25">
      <c r="A696" s="130" t="s">
        <v>4</v>
      </c>
      <c r="B696" s="130" t="s">
        <v>574</v>
      </c>
      <c r="C696" s="130" t="s">
        <v>608</v>
      </c>
      <c r="D696" s="130" t="s">
        <v>994</v>
      </c>
      <c r="E696" s="132">
        <v>2907.22</v>
      </c>
    </row>
    <row r="697" spans="1:5" x14ac:dyDescent="0.25">
      <c r="A697" s="130" t="s">
        <v>4</v>
      </c>
      <c r="B697" s="130" t="s">
        <v>574</v>
      </c>
      <c r="C697" s="130" t="s">
        <v>608</v>
      </c>
      <c r="D697" s="130" t="s">
        <v>335</v>
      </c>
      <c r="E697" s="132">
        <v>1530.71</v>
      </c>
    </row>
    <row r="698" spans="1:5" x14ac:dyDescent="0.25">
      <c r="A698" s="130" t="s">
        <v>4</v>
      </c>
      <c r="B698" s="130" t="s">
        <v>574</v>
      </c>
      <c r="C698" s="130" t="s">
        <v>608</v>
      </c>
      <c r="D698" s="130" t="s">
        <v>995</v>
      </c>
      <c r="E698" s="132">
        <v>6281.5</v>
      </c>
    </row>
    <row r="699" spans="1:5" x14ac:dyDescent="0.25">
      <c r="A699" s="130" t="s">
        <v>4</v>
      </c>
      <c r="B699" s="130" t="s">
        <v>574</v>
      </c>
      <c r="C699" s="130" t="s">
        <v>608</v>
      </c>
      <c r="D699" s="130" t="s">
        <v>273</v>
      </c>
      <c r="E699" s="132">
        <v>3517.96</v>
      </c>
    </row>
    <row r="700" spans="1:5" x14ac:dyDescent="0.25">
      <c r="A700" s="130" t="s">
        <v>4</v>
      </c>
      <c r="B700" s="130" t="s">
        <v>574</v>
      </c>
      <c r="C700" s="130" t="s">
        <v>608</v>
      </c>
      <c r="D700" s="130" t="s">
        <v>275</v>
      </c>
      <c r="E700" s="132">
        <v>12967.69</v>
      </c>
    </row>
    <row r="701" spans="1:5" x14ac:dyDescent="0.25">
      <c r="A701" s="130" t="s">
        <v>4</v>
      </c>
      <c r="B701" s="130" t="s">
        <v>574</v>
      </c>
      <c r="C701" s="130" t="s">
        <v>608</v>
      </c>
      <c r="D701" s="130" t="s">
        <v>629</v>
      </c>
      <c r="E701" s="132">
        <v>2575.23</v>
      </c>
    </row>
    <row r="702" spans="1:5" x14ac:dyDescent="0.25">
      <c r="A702" s="130" t="s">
        <v>4</v>
      </c>
      <c r="B702" s="130" t="s">
        <v>574</v>
      </c>
      <c r="C702" s="130" t="s">
        <v>608</v>
      </c>
      <c r="D702" s="130" t="s">
        <v>829</v>
      </c>
      <c r="E702" s="132">
        <v>287.82</v>
      </c>
    </row>
    <row r="703" spans="1:5" x14ac:dyDescent="0.25">
      <c r="A703" s="130" t="s">
        <v>4</v>
      </c>
      <c r="B703" s="130" t="s">
        <v>574</v>
      </c>
      <c r="C703" s="130" t="s">
        <v>608</v>
      </c>
      <c r="D703" s="130" t="s">
        <v>694</v>
      </c>
      <c r="E703" s="132">
        <v>459.81</v>
      </c>
    </row>
    <row r="704" spans="1:5" x14ac:dyDescent="0.25">
      <c r="A704" s="130" t="s">
        <v>4</v>
      </c>
      <c r="B704" s="130" t="s">
        <v>574</v>
      </c>
      <c r="C704" s="130" t="s">
        <v>608</v>
      </c>
      <c r="D704" s="130" t="s">
        <v>619</v>
      </c>
      <c r="E704" s="132">
        <v>1502.28</v>
      </c>
    </row>
    <row r="705" spans="1:5" x14ac:dyDescent="0.25">
      <c r="A705" s="130" t="s">
        <v>4</v>
      </c>
      <c r="B705" s="130" t="s">
        <v>574</v>
      </c>
      <c r="C705" s="130" t="s">
        <v>608</v>
      </c>
      <c r="D705" s="130" t="s">
        <v>262</v>
      </c>
      <c r="E705" s="132">
        <v>3445.06</v>
      </c>
    </row>
    <row r="706" spans="1:5" x14ac:dyDescent="0.25">
      <c r="A706" s="130" t="s">
        <v>4</v>
      </c>
      <c r="B706" s="130" t="s">
        <v>574</v>
      </c>
      <c r="C706" s="130" t="s">
        <v>608</v>
      </c>
      <c r="D706" s="130" t="s">
        <v>319</v>
      </c>
      <c r="E706" s="132">
        <v>2974.49</v>
      </c>
    </row>
    <row r="707" spans="1:5" x14ac:dyDescent="0.25">
      <c r="A707" s="130" t="s">
        <v>4</v>
      </c>
      <c r="B707" s="130" t="s">
        <v>574</v>
      </c>
      <c r="C707" s="130" t="s">
        <v>608</v>
      </c>
      <c r="D707" s="130" t="s">
        <v>632</v>
      </c>
      <c r="E707" s="132">
        <v>4454.3100000000004</v>
      </c>
    </row>
    <row r="708" spans="1:5" x14ac:dyDescent="0.25">
      <c r="A708" s="130" t="s">
        <v>4</v>
      </c>
      <c r="B708" s="130" t="s">
        <v>574</v>
      </c>
      <c r="C708" s="130" t="s">
        <v>608</v>
      </c>
      <c r="D708" s="130" t="s">
        <v>497</v>
      </c>
      <c r="E708" s="132">
        <v>1788.55</v>
      </c>
    </row>
    <row r="709" spans="1:5" x14ac:dyDescent="0.25">
      <c r="A709" s="130" t="s">
        <v>4</v>
      </c>
      <c r="B709" s="130" t="s">
        <v>574</v>
      </c>
      <c r="C709" s="130" t="s">
        <v>608</v>
      </c>
      <c r="D709" s="130" t="s">
        <v>498</v>
      </c>
      <c r="E709" s="132">
        <v>1263.83</v>
      </c>
    </row>
    <row r="710" spans="1:5" x14ac:dyDescent="0.25">
      <c r="A710" s="130" t="s">
        <v>4</v>
      </c>
      <c r="B710" s="130" t="s">
        <v>574</v>
      </c>
      <c r="C710" s="130" t="s">
        <v>608</v>
      </c>
      <c r="D710" s="130" t="s">
        <v>716</v>
      </c>
      <c r="E710" s="132">
        <v>749.24</v>
      </c>
    </row>
    <row r="711" spans="1:5" x14ac:dyDescent="0.25">
      <c r="A711" s="130" t="s">
        <v>4</v>
      </c>
      <c r="B711" s="130" t="s">
        <v>574</v>
      </c>
      <c r="C711" s="130" t="s">
        <v>608</v>
      </c>
      <c r="D711" s="130" t="s">
        <v>474</v>
      </c>
      <c r="E711" s="132">
        <v>1032.17</v>
      </c>
    </row>
    <row r="712" spans="1:5" x14ac:dyDescent="0.25">
      <c r="A712" s="130" t="s">
        <v>4</v>
      </c>
      <c r="B712" s="130" t="s">
        <v>574</v>
      </c>
      <c r="C712" s="130" t="s">
        <v>608</v>
      </c>
      <c r="D712" s="130" t="s">
        <v>346</v>
      </c>
      <c r="E712" s="132">
        <v>1949.1</v>
      </c>
    </row>
    <row r="713" spans="1:5" x14ac:dyDescent="0.25">
      <c r="A713" s="130" t="s">
        <v>4</v>
      </c>
      <c r="B713" s="130" t="s">
        <v>574</v>
      </c>
      <c r="C713" s="130" t="s">
        <v>608</v>
      </c>
      <c r="D713" s="130" t="s">
        <v>280</v>
      </c>
      <c r="E713" s="132">
        <v>308.35000000000002</v>
      </c>
    </row>
    <row r="714" spans="1:5" x14ac:dyDescent="0.25">
      <c r="A714" s="130" t="s">
        <v>4</v>
      </c>
      <c r="B714" s="130" t="s">
        <v>574</v>
      </c>
      <c r="C714" s="130" t="s">
        <v>608</v>
      </c>
      <c r="D714" s="130" t="s">
        <v>475</v>
      </c>
      <c r="E714" s="132">
        <v>339.83</v>
      </c>
    </row>
    <row r="715" spans="1:5" x14ac:dyDescent="0.25">
      <c r="A715" s="130" t="s">
        <v>4</v>
      </c>
      <c r="B715" s="130" t="s">
        <v>574</v>
      </c>
      <c r="C715" s="130" t="s">
        <v>608</v>
      </c>
      <c r="D715" s="130" t="s">
        <v>411</v>
      </c>
      <c r="E715" s="132">
        <v>530.71</v>
      </c>
    </row>
    <row r="716" spans="1:5" x14ac:dyDescent="0.25">
      <c r="A716" s="130" t="s">
        <v>4</v>
      </c>
      <c r="B716" s="130" t="s">
        <v>574</v>
      </c>
      <c r="C716" s="130" t="s">
        <v>608</v>
      </c>
      <c r="D716" s="130" t="s">
        <v>340</v>
      </c>
      <c r="E716" s="132">
        <v>775.75</v>
      </c>
    </row>
    <row r="717" spans="1:5" x14ac:dyDescent="0.25">
      <c r="A717" s="130" t="s">
        <v>4</v>
      </c>
      <c r="B717" s="130" t="s">
        <v>574</v>
      </c>
      <c r="C717" s="130" t="s">
        <v>608</v>
      </c>
      <c r="D717" s="130" t="s">
        <v>507</v>
      </c>
      <c r="E717" s="132">
        <v>6626.04</v>
      </c>
    </row>
    <row r="718" spans="1:5" x14ac:dyDescent="0.25">
      <c r="A718" s="130" t="s">
        <v>4</v>
      </c>
      <c r="B718" s="130" t="s">
        <v>574</v>
      </c>
      <c r="C718" s="130" t="s">
        <v>608</v>
      </c>
      <c r="D718" s="130" t="s">
        <v>916</v>
      </c>
      <c r="E718" s="132">
        <v>6762.56</v>
      </c>
    </row>
    <row r="719" spans="1:5" x14ac:dyDescent="0.25">
      <c r="A719" s="130" t="s">
        <v>4</v>
      </c>
      <c r="B719" s="130" t="s">
        <v>574</v>
      </c>
      <c r="C719" s="130" t="s">
        <v>608</v>
      </c>
      <c r="D719" s="130" t="s">
        <v>384</v>
      </c>
      <c r="E719" s="132">
        <v>624.19000000000005</v>
      </c>
    </row>
    <row r="720" spans="1:5" x14ac:dyDescent="0.25">
      <c r="A720" s="130" t="s">
        <v>4</v>
      </c>
      <c r="B720" s="130" t="s">
        <v>574</v>
      </c>
      <c r="C720" s="130" t="s">
        <v>608</v>
      </c>
      <c r="D720" s="130" t="s">
        <v>244</v>
      </c>
      <c r="E720" s="132">
        <v>6383.21</v>
      </c>
    </row>
    <row r="721" spans="1:5" x14ac:dyDescent="0.25">
      <c r="A721" s="130" t="s">
        <v>4</v>
      </c>
      <c r="B721" s="130" t="s">
        <v>574</v>
      </c>
      <c r="C721" s="130" t="s">
        <v>608</v>
      </c>
      <c r="D721" s="130" t="s">
        <v>245</v>
      </c>
      <c r="E721" s="132">
        <v>10085.4</v>
      </c>
    </row>
    <row r="722" spans="1:5" x14ac:dyDescent="0.25">
      <c r="A722" s="130" t="s">
        <v>4</v>
      </c>
      <c r="B722" s="130" t="s">
        <v>574</v>
      </c>
      <c r="C722" s="130" t="s">
        <v>608</v>
      </c>
      <c r="D722" s="130" t="s">
        <v>246</v>
      </c>
      <c r="E722" s="132">
        <v>8030.88</v>
      </c>
    </row>
    <row r="723" spans="1:5" x14ac:dyDescent="0.25">
      <c r="A723" s="130" t="s">
        <v>4</v>
      </c>
      <c r="B723" s="130" t="s">
        <v>574</v>
      </c>
      <c r="C723" s="130" t="s">
        <v>608</v>
      </c>
      <c r="D723" s="130" t="s">
        <v>247</v>
      </c>
      <c r="E723" s="132">
        <v>11775.59</v>
      </c>
    </row>
    <row r="724" spans="1:5" x14ac:dyDescent="0.25">
      <c r="A724" s="130" t="s">
        <v>4</v>
      </c>
      <c r="B724" s="130" t="s">
        <v>574</v>
      </c>
      <c r="C724" s="130" t="s">
        <v>608</v>
      </c>
      <c r="D724" s="130" t="s">
        <v>248</v>
      </c>
      <c r="E724" s="132">
        <v>7291.83</v>
      </c>
    </row>
    <row r="725" spans="1:5" x14ac:dyDescent="0.25">
      <c r="A725" s="130" t="s">
        <v>4</v>
      </c>
      <c r="B725" s="130" t="s">
        <v>574</v>
      </c>
      <c r="C725" s="130" t="s">
        <v>608</v>
      </c>
      <c r="D725" s="130" t="s">
        <v>469</v>
      </c>
      <c r="E725" s="132">
        <v>19107.63</v>
      </c>
    </row>
    <row r="726" spans="1:5" x14ac:dyDescent="0.25">
      <c r="A726" s="130" t="s">
        <v>4</v>
      </c>
      <c r="B726" s="130" t="s">
        <v>574</v>
      </c>
      <c r="C726" s="130" t="s">
        <v>608</v>
      </c>
      <c r="D726" s="130" t="s">
        <v>396</v>
      </c>
      <c r="E726" s="132">
        <v>2074.12</v>
      </c>
    </row>
    <row r="727" spans="1:5" x14ac:dyDescent="0.25">
      <c r="A727" s="130" t="s">
        <v>4</v>
      </c>
      <c r="B727" s="130" t="s">
        <v>574</v>
      </c>
      <c r="C727" s="130" t="s">
        <v>608</v>
      </c>
      <c r="D727" s="130" t="s">
        <v>996</v>
      </c>
      <c r="E727" s="132">
        <v>2169.1799999999998</v>
      </c>
    </row>
    <row r="728" spans="1:5" x14ac:dyDescent="0.25">
      <c r="A728" s="130" t="s">
        <v>4</v>
      </c>
      <c r="B728" s="130" t="s">
        <v>574</v>
      </c>
      <c r="C728" s="130" t="s">
        <v>608</v>
      </c>
      <c r="D728" s="130" t="s">
        <v>304</v>
      </c>
      <c r="E728" s="132">
        <v>774.69</v>
      </c>
    </row>
    <row r="729" spans="1:5" x14ac:dyDescent="0.25">
      <c r="A729" s="130" t="s">
        <v>4</v>
      </c>
      <c r="B729" s="130" t="s">
        <v>574</v>
      </c>
      <c r="C729" s="130" t="s">
        <v>608</v>
      </c>
      <c r="D729" s="130" t="s">
        <v>291</v>
      </c>
      <c r="E729" s="132">
        <v>556.66999999999996</v>
      </c>
    </row>
    <row r="730" spans="1:5" x14ac:dyDescent="0.25">
      <c r="A730" s="130" t="s">
        <v>4</v>
      </c>
      <c r="B730" s="130" t="s">
        <v>574</v>
      </c>
      <c r="C730" s="130" t="s">
        <v>608</v>
      </c>
      <c r="D730" s="130" t="s">
        <v>934</v>
      </c>
      <c r="E730" s="132">
        <v>910.93</v>
      </c>
    </row>
    <row r="731" spans="1:5" x14ac:dyDescent="0.25">
      <c r="A731" s="130" t="s">
        <v>4</v>
      </c>
      <c r="B731" s="130" t="s">
        <v>574</v>
      </c>
      <c r="C731" s="130" t="s">
        <v>608</v>
      </c>
      <c r="D731" s="130" t="s">
        <v>374</v>
      </c>
      <c r="E731" s="132">
        <v>1220.81</v>
      </c>
    </row>
    <row r="732" spans="1:5" x14ac:dyDescent="0.25">
      <c r="A732" s="130" t="s">
        <v>4</v>
      </c>
      <c r="B732" s="130" t="s">
        <v>574</v>
      </c>
      <c r="C732" s="130" t="s">
        <v>608</v>
      </c>
      <c r="D732" s="130" t="s">
        <v>920</v>
      </c>
      <c r="E732" s="132">
        <v>1462.94</v>
      </c>
    </row>
    <row r="733" spans="1:5" x14ac:dyDescent="0.25">
      <c r="A733" s="130" t="s">
        <v>4</v>
      </c>
      <c r="B733" s="130" t="s">
        <v>574</v>
      </c>
      <c r="C733" s="130" t="s">
        <v>608</v>
      </c>
      <c r="D733" s="130" t="s">
        <v>723</v>
      </c>
      <c r="E733" s="132">
        <v>7230.6</v>
      </c>
    </row>
    <row r="734" spans="1:5" x14ac:dyDescent="0.25">
      <c r="A734" s="130" t="s">
        <v>4</v>
      </c>
      <c r="B734" s="130" t="s">
        <v>574</v>
      </c>
      <c r="C734" s="130" t="s">
        <v>608</v>
      </c>
      <c r="D734" s="130" t="s">
        <v>614</v>
      </c>
      <c r="E734" s="132">
        <v>7709.71</v>
      </c>
    </row>
    <row r="735" spans="1:5" x14ac:dyDescent="0.25">
      <c r="A735" s="130" t="s">
        <v>4</v>
      </c>
      <c r="B735" s="130" t="s">
        <v>574</v>
      </c>
      <c r="C735" s="130" t="s">
        <v>608</v>
      </c>
      <c r="D735" s="130" t="s">
        <v>264</v>
      </c>
      <c r="E735" s="132">
        <v>8226.27</v>
      </c>
    </row>
    <row r="736" spans="1:5" x14ac:dyDescent="0.25">
      <c r="A736" s="130" t="s">
        <v>4</v>
      </c>
      <c r="B736" s="130" t="s">
        <v>574</v>
      </c>
      <c r="C736" s="130" t="s">
        <v>608</v>
      </c>
      <c r="D736" s="130" t="s">
        <v>381</v>
      </c>
      <c r="E736" s="132">
        <v>4723</v>
      </c>
    </row>
    <row r="737" spans="1:5" x14ac:dyDescent="0.25">
      <c r="A737" s="130" t="s">
        <v>4</v>
      </c>
      <c r="B737" s="130" t="s">
        <v>574</v>
      </c>
      <c r="C737" s="130" t="s">
        <v>608</v>
      </c>
      <c r="D737" s="130" t="s">
        <v>343</v>
      </c>
      <c r="E737" s="132">
        <v>5202.1099999999997</v>
      </c>
    </row>
    <row r="738" spans="1:5" x14ac:dyDescent="0.25">
      <c r="A738" s="130" t="s">
        <v>4</v>
      </c>
      <c r="B738" s="130" t="s">
        <v>574</v>
      </c>
      <c r="C738" s="130" t="s">
        <v>608</v>
      </c>
      <c r="D738" s="130" t="s">
        <v>382</v>
      </c>
      <c r="E738" s="132">
        <v>2326.31</v>
      </c>
    </row>
    <row r="739" spans="1:5" x14ac:dyDescent="0.25">
      <c r="A739" s="130" t="s">
        <v>4</v>
      </c>
      <c r="B739" s="130" t="s">
        <v>574</v>
      </c>
      <c r="C739" s="130" t="s">
        <v>608</v>
      </c>
      <c r="D739" s="130" t="s">
        <v>706</v>
      </c>
      <c r="E739" s="132">
        <v>2723.06</v>
      </c>
    </row>
    <row r="740" spans="1:5" x14ac:dyDescent="0.25">
      <c r="A740" s="130" t="s">
        <v>4</v>
      </c>
      <c r="B740" s="130" t="s">
        <v>574</v>
      </c>
      <c r="C740" s="130" t="s">
        <v>608</v>
      </c>
      <c r="D740" s="130" t="s">
        <v>675</v>
      </c>
      <c r="E740" s="132">
        <v>3306.89</v>
      </c>
    </row>
    <row r="741" spans="1:5" x14ac:dyDescent="0.25">
      <c r="A741" s="130" t="s">
        <v>4</v>
      </c>
      <c r="B741" s="130" t="s">
        <v>574</v>
      </c>
      <c r="C741" s="130" t="s">
        <v>608</v>
      </c>
      <c r="D741" s="130" t="s">
        <v>997</v>
      </c>
      <c r="E741" s="132">
        <v>4597.28</v>
      </c>
    </row>
    <row r="742" spans="1:5" x14ac:dyDescent="0.25">
      <c r="A742" s="130" t="s">
        <v>4</v>
      </c>
      <c r="B742" s="130" t="s">
        <v>574</v>
      </c>
      <c r="C742" s="130" t="s">
        <v>608</v>
      </c>
      <c r="D742" s="130" t="s">
        <v>703</v>
      </c>
      <c r="E742" s="132">
        <v>13368.42</v>
      </c>
    </row>
    <row r="743" spans="1:5" x14ac:dyDescent="0.25">
      <c r="A743" s="130" t="s">
        <v>4</v>
      </c>
      <c r="B743" s="130" t="s">
        <v>574</v>
      </c>
      <c r="C743" s="130" t="s">
        <v>608</v>
      </c>
      <c r="D743" s="130" t="s">
        <v>704</v>
      </c>
      <c r="E743" s="132">
        <v>14461.2</v>
      </c>
    </row>
    <row r="744" spans="1:5" x14ac:dyDescent="0.25">
      <c r="A744" s="130" t="s">
        <v>4</v>
      </c>
      <c r="B744" s="130" t="s">
        <v>574</v>
      </c>
      <c r="C744" s="130" t="s">
        <v>608</v>
      </c>
      <c r="D744" s="130" t="s">
        <v>440</v>
      </c>
      <c r="E744" s="132">
        <v>15636.46</v>
      </c>
    </row>
    <row r="745" spans="1:5" x14ac:dyDescent="0.25">
      <c r="A745" s="130" t="s">
        <v>4</v>
      </c>
      <c r="B745" s="130" t="s">
        <v>574</v>
      </c>
      <c r="C745" s="130" t="s">
        <v>608</v>
      </c>
      <c r="D745" s="130" t="s">
        <v>691</v>
      </c>
      <c r="E745" s="132">
        <v>9101.7199999999993</v>
      </c>
    </row>
    <row r="746" spans="1:5" x14ac:dyDescent="0.25">
      <c r="A746" s="130" t="s">
        <v>4</v>
      </c>
      <c r="B746" s="130" t="s">
        <v>574</v>
      </c>
      <c r="C746" s="130" t="s">
        <v>608</v>
      </c>
      <c r="D746" s="130" t="s">
        <v>665</v>
      </c>
      <c r="E746" s="132">
        <v>10029.82</v>
      </c>
    </row>
    <row r="747" spans="1:5" x14ac:dyDescent="0.25">
      <c r="A747" s="130" t="s">
        <v>4</v>
      </c>
      <c r="B747" s="130" t="s">
        <v>574</v>
      </c>
      <c r="C747" s="130" t="s">
        <v>608</v>
      </c>
      <c r="D747" s="130" t="s">
        <v>693</v>
      </c>
      <c r="E747" s="132">
        <v>5348.77</v>
      </c>
    </row>
    <row r="748" spans="1:5" x14ac:dyDescent="0.25">
      <c r="A748" s="130" t="s">
        <v>4</v>
      </c>
      <c r="B748" s="130" t="s">
        <v>574</v>
      </c>
      <c r="C748" s="130" t="s">
        <v>608</v>
      </c>
      <c r="D748" s="130" t="s">
        <v>925</v>
      </c>
      <c r="E748" s="132">
        <v>7028.42</v>
      </c>
    </row>
    <row r="749" spans="1:5" x14ac:dyDescent="0.25">
      <c r="A749" s="130" t="s">
        <v>4</v>
      </c>
      <c r="B749" s="130" t="s">
        <v>574</v>
      </c>
      <c r="C749" s="130" t="s">
        <v>608</v>
      </c>
      <c r="D749" s="130" t="s">
        <v>509</v>
      </c>
      <c r="E749" s="132">
        <v>334.86</v>
      </c>
    </row>
    <row r="750" spans="1:5" x14ac:dyDescent="0.25">
      <c r="A750" s="130" t="s">
        <v>4</v>
      </c>
      <c r="B750" s="130" t="s">
        <v>574</v>
      </c>
      <c r="C750" s="130" t="s">
        <v>608</v>
      </c>
      <c r="D750" s="130" t="s">
        <v>310</v>
      </c>
      <c r="E750" s="132">
        <v>1135.48</v>
      </c>
    </row>
    <row r="751" spans="1:5" x14ac:dyDescent="0.25">
      <c r="A751" s="130" t="s">
        <v>4</v>
      </c>
      <c r="B751" s="130" t="s">
        <v>574</v>
      </c>
      <c r="C751" s="130" t="s">
        <v>608</v>
      </c>
      <c r="D751" s="130" t="s">
        <v>277</v>
      </c>
      <c r="E751" s="132">
        <v>3514.09</v>
      </c>
    </row>
    <row r="752" spans="1:5" x14ac:dyDescent="0.25">
      <c r="A752" s="130" t="s">
        <v>4</v>
      </c>
      <c r="B752" s="130" t="s">
        <v>574</v>
      </c>
      <c r="C752" s="130" t="s">
        <v>608</v>
      </c>
      <c r="D752" s="130" t="s">
        <v>234</v>
      </c>
      <c r="E752" s="132">
        <v>1861.53</v>
      </c>
    </row>
    <row r="753" spans="1:5" x14ac:dyDescent="0.25">
      <c r="A753" s="130" t="s">
        <v>4</v>
      </c>
      <c r="B753" s="130" t="s">
        <v>574</v>
      </c>
      <c r="C753" s="130" t="s">
        <v>608</v>
      </c>
      <c r="D753" s="130" t="s">
        <v>390</v>
      </c>
      <c r="E753" s="132">
        <v>5123.43</v>
      </c>
    </row>
    <row r="754" spans="1:5" x14ac:dyDescent="0.25">
      <c r="A754" s="130" t="s">
        <v>4</v>
      </c>
      <c r="B754" s="130" t="s">
        <v>574</v>
      </c>
      <c r="C754" s="130" t="s">
        <v>608</v>
      </c>
      <c r="D754" s="130" t="s">
        <v>235</v>
      </c>
      <c r="E754" s="132">
        <v>5333.15</v>
      </c>
    </row>
    <row r="755" spans="1:5" x14ac:dyDescent="0.25">
      <c r="A755" s="130" t="s">
        <v>4</v>
      </c>
      <c r="B755" s="130" t="s">
        <v>574</v>
      </c>
      <c r="C755" s="130" t="s">
        <v>608</v>
      </c>
      <c r="D755" s="130" t="s">
        <v>656</v>
      </c>
      <c r="E755" s="132">
        <v>2345.85</v>
      </c>
    </row>
    <row r="756" spans="1:5" x14ac:dyDescent="0.25">
      <c r="A756" s="130" t="s">
        <v>4</v>
      </c>
      <c r="B756" s="130" t="s">
        <v>574</v>
      </c>
      <c r="C756" s="130" t="s">
        <v>608</v>
      </c>
      <c r="D756" s="130" t="s">
        <v>279</v>
      </c>
      <c r="E756" s="132">
        <v>1085.3499999999999</v>
      </c>
    </row>
    <row r="757" spans="1:5" x14ac:dyDescent="0.25">
      <c r="A757" s="130" t="s">
        <v>4</v>
      </c>
      <c r="B757" s="130" t="s">
        <v>574</v>
      </c>
      <c r="C757" s="130" t="s">
        <v>608</v>
      </c>
      <c r="D757" s="130" t="s">
        <v>263</v>
      </c>
      <c r="E757" s="132">
        <v>1827.89</v>
      </c>
    </row>
    <row r="758" spans="1:5" x14ac:dyDescent="0.25">
      <c r="A758" s="130" t="s">
        <v>4</v>
      </c>
      <c r="B758" s="130" t="s">
        <v>574</v>
      </c>
      <c r="C758" s="130" t="s">
        <v>608</v>
      </c>
      <c r="D758" s="130" t="s">
        <v>496</v>
      </c>
      <c r="E758" s="132">
        <v>2613.7800000000002</v>
      </c>
    </row>
    <row r="759" spans="1:5" x14ac:dyDescent="0.25">
      <c r="A759" s="130" t="s">
        <v>4</v>
      </c>
      <c r="B759" s="130" t="s">
        <v>574</v>
      </c>
      <c r="C759" s="130" t="s">
        <v>608</v>
      </c>
      <c r="D759" s="130" t="s">
        <v>726</v>
      </c>
      <c r="E759" s="132">
        <v>2354.42</v>
      </c>
    </row>
    <row r="760" spans="1:5" x14ac:dyDescent="0.25">
      <c r="A760" s="130" t="s">
        <v>4</v>
      </c>
      <c r="B760" s="130" t="s">
        <v>574</v>
      </c>
      <c r="C760" s="130" t="s">
        <v>608</v>
      </c>
      <c r="D760" s="130" t="s">
        <v>497</v>
      </c>
      <c r="E760" s="132">
        <v>1788.55</v>
      </c>
    </row>
    <row r="761" spans="1:5" x14ac:dyDescent="0.25">
      <c r="A761" s="130" t="s">
        <v>4</v>
      </c>
      <c r="B761" s="130" t="s">
        <v>574</v>
      </c>
      <c r="C761" s="130" t="s">
        <v>608</v>
      </c>
      <c r="D761" s="130" t="s">
        <v>498</v>
      </c>
      <c r="E761" s="132">
        <v>2527.67</v>
      </c>
    </row>
    <row r="762" spans="1:5" x14ac:dyDescent="0.25">
      <c r="A762" s="130" t="s">
        <v>4</v>
      </c>
      <c r="B762" s="130" t="s">
        <v>574</v>
      </c>
      <c r="C762" s="130" t="s">
        <v>608</v>
      </c>
      <c r="D762" s="130" t="s">
        <v>338</v>
      </c>
      <c r="E762" s="132">
        <v>2096.0500000000002</v>
      </c>
    </row>
    <row r="763" spans="1:5" x14ac:dyDescent="0.25">
      <c r="A763" s="130" t="s">
        <v>4</v>
      </c>
      <c r="B763" s="130" t="s">
        <v>574</v>
      </c>
      <c r="C763" s="130" t="s">
        <v>608</v>
      </c>
      <c r="D763" s="130" t="s">
        <v>294</v>
      </c>
      <c r="E763" s="132">
        <v>625.72</v>
      </c>
    </row>
    <row r="764" spans="1:5" x14ac:dyDescent="0.25">
      <c r="A764" s="130" t="s">
        <v>4</v>
      </c>
      <c r="B764" s="130" t="s">
        <v>574</v>
      </c>
      <c r="C764" s="130" t="s">
        <v>608</v>
      </c>
      <c r="D764" s="130" t="s">
        <v>500</v>
      </c>
      <c r="E764" s="132">
        <v>941.62</v>
      </c>
    </row>
    <row r="765" spans="1:5" x14ac:dyDescent="0.25">
      <c r="A765" s="130" t="s">
        <v>4</v>
      </c>
      <c r="B765" s="130" t="s">
        <v>574</v>
      </c>
      <c r="C765" s="130" t="s">
        <v>608</v>
      </c>
      <c r="D765" s="130" t="s">
        <v>281</v>
      </c>
      <c r="E765" s="132">
        <v>940.09</v>
      </c>
    </row>
    <row r="766" spans="1:5" x14ac:dyDescent="0.25">
      <c r="A766" s="130" t="s">
        <v>4</v>
      </c>
      <c r="B766" s="130" t="s">
        <v>574</v>
      </c>
      <c r="C766" s="130" t="s">
        <v>608</v>
      </c>
      <c r="D766" s="130" t="s">
        <v>383</v>
      </c>
      <c r="E766" s="132">
        <v>779.92</v>
      </c>
    </row>
    <row r="767" spans="1:5" x14ac:dyDescent="0.25">
      <c r="A767" s="130" t="s">
        <v>4</v>
      </c>
      <c r="B767" s="130" t="s">
        <v>574</v>
      </c>
      <c r="C767" s="130" t="s">
        <v>608</v>
      </c>
      <c r="D767" s="130" t="s">
        <v>474</v>
      </c>
      <c r="E767" s="132">
        <v>1032.17</v>
      </c>
    </row>
    <row r="768" spans="1:5" x14ac:dyDescent="0.25">
      <c r="A768" s="130" t="s">
        <v>4</v>
      </c>
      <c r="B768" s="130" t="s">
        <v>574</v>
      </c>
      <c r="C768" s="130" t="s">
        <v>608</v>
      </c>
      <c r="D768" s="130" t="s">
        <v>406</v>
      </c>
      <c r="E768" s="132">
        <v>1115.6500000000001</v>
      </c>
    </row>
    <row r="769" spans="1:5" x14ac:dyDescent="0.25">
      <c r="A769" s="130" t="s">
        <v>4</v>
      </c>
      <c r="B769" s="130" t="s">
        <v>574</v>
      </c>
      <c r="C769" s="130" t="s">
        <v>608</v>
      </c>
      <c r="D769" s="130" t="s">
        <v>512</v>
      </c>
      <c r="E769" s="132">
        <v>1342.05</v>
      </c>
    </row>
    <row r="770" spans="1:5" x14ac:dyDescent="0.25">
      <c r="A770" s="130" t="s">
        <v>4</v>
      </c>
      <c r="B770" s="130" t="s">
        <v>574</v>
      </c>
      <c r="C770" s="130" t="s">
        <v>608</v>
      </c>
      <c r="D770" s="130" t="s">
        <v>633</v>
      </c>
      <c r="E770" s="132">
        <v>1495.52</v>
      </c>
    </row>
    <row r="771" spans="1:5" x14ac:dyDescent="0.25">
      <c r="A771" s="130" t="s">
        <v>4</v>
      </c>
      <c r="B771" s="130" t="s">
        <v>574</v>
      </c>
      <c r="C771" s="130" t="s">
        <v>608</v>
      </c>
      <c r="D771" s="130" t="s">
        <v>241</v>
      </c>
      <c r="E771" s="132">
        <v>316.76</v>
      </c>
    </row>
    <row r="772" spans="1:5" x14ac:dyDescent="0.25">
      <c r="A772" s="130" t="s">
        <v>4</v>
      </c>
      <c r="B772" s="130" t="s">
        <v>574</v>
      </c>
      <c r="C772" s="130" t="s">
        <v>608</v>
      </c>
      <c r="D772" s="130" t="s">
        <v>660</v>
      </c>
      <c r="E772" s="132">
        <v>2208.84</v>
      </c>
    </row>
    <row r="773" spans="1:5" x14ac:dyDescent="0.25">
      <c r="A773" s="130" t="s">
        <v>4</v>
      </c>
      <c r="B773" s="130" t="s">
        <v>574</v>
      </c>
      <c r="C773" s="130" t="s">
        <v>608</v>
      </c>
      <c r="D773" s="130" t="s">
        <v>616</v>
      </c>
      <c r="E773" s="132">
        <v>510.47</v>
      </c>
    </row>
    <row r="774" spans="1:5" x14ac:dyDescent="0.25">
      <c r="A774" s="130" t="s">
        <v>4</v>
      </c>
      <c r="B774" s="130" t="s">
        <v>574</v>
      </c>
      <c r="C774" s="130" t="s">
        <v>608</v>
      </c>
      <c r="D774" s="130" t="s">
        <v>998</v>
      </c>
      <c r="E774" s="132">
        <v>997.02</v>
      </c>
    </row>
    <row r="775" spans="1:5" x14ac:dyDescent="0.25">
      <c r="A775" s="130" t="s">
        <v>4</v>
      </c>
      <c r="B775" s="130" t="s">
        <v>574</v>
      </c>
      <c r="C775" s="130" t="s">
        <v>608</v>
      </c>
      <c r="D775" s="130" t="s">
        <v>282</v>
      </c>
      <c r="E775" s="132">
        <v>702.12</v>
      </c>
    </row>
    <row r="776" spans="1:5" x14ac:dyDescent="0.25">
      <c r="A776" s="130" t="s">
        <v>4</v>
      </c>
      <c r="B776" s="130" t="s">
        <v>574</v>
      </c>
      <c r="C776" s="130" t="s">
        <v>608</v>
      </c>
      <c r="D776" s="130" t="s">
        <v>446</v>
      </c>
      <c r="E776" s="132">
        <v>1558.38</v>
      </c>
    </row>
    <row r="777" spans="1:5" x14ac:dyDescent="0.25">
      <c r="A777" s="130" t="s">
        <v>4</v>
      </c>
      <c r="B777" s="130" t="s">
        <v>574</v>
      </c>
      <c r="C777" s="130" t="s">
        <v>608</v>
      </c>
      <c r="D777" s="130" t="s">
        <v>697</v>
      </c>
      <c r="E777" s="132">
        <v>1068.0899999999999</v>
      </c>
    </row>
    <row r="778" spans="1:5" x14ac:dyDescent="0.25">
      <c r="A778" s="130" t="s">
        <v>4</v>
      </c>
      <c r="B778" s="130" t="s">
        <v>574</v>
      </c>
      <c r="C778" s="130" t="s">
        <v>608</v>
      </c>
      <c r="D778" s="130" t="s">
        <v>447</v>
      </c>
      <c r="E778" s="132">
        <v>2277.6999999999998</v>
      </c>
    </row>
    <row r="779" spans="1:5" x14ac:dyDescent="0.25">
      <c r="A779" s="130" t="s">
        <v>4</v>
      </c>
      <c r="B779" s="130" t="s">
        <v>574</v>
      </c>
      <c r="C779" s="130" t="s">
        <v>608</v>
      </c>
      <c r="D779" s="130" t="s">
        <v>463</v>
      </c>
      <c r="E779" s="132">
        <v>830.82</v>
      </c>
    </row>
    <row r="780" spans="1:5" x14ac:dyDescent="0.25">
      <c r="A780" s="130" t="s">
        <v>4</v>
      </c>
      <c r="B780" s="130" t="s">
        <v>574</v>
      </c>
      <c r="C780" s="130" t="s">
        <v>608</v>
      </c>
      <c r="D780" s="130" t="s">
        <v>312</v>
      </c>
      <c r="E780" s="132">
        <v>1363.75</v>
      </c>
    </row>
    <row r="781" spans="1:5" x14ac:dyDescent="0.25">
      <c r="A781" s="130" t="s">
        <v>4</v>
      </c>
      <c r="B781" s="130" t="s">
        <v>574</v>
      </c>
      <c r="C781" s="130" t="s">
        <v>608</v>
      </c>
      <c r="D781" s="130" t="s">
        <v>454</v>
      </c>
      <c r="E781" s="132">
        <v>811.39</v>
      </c>
    </row>
    <row r="782" spans="1:5" x14ac:dyDescent="0.25">
      <c r="A782" s="130" t="s">
        <v>4</v>
      </c>
      <c r="B782" s="130" t="s">
        <v>574</v>
      </c>
      <c r="C782" s="130" t="s">
        <v>608</v>
      </c>
      <c r="D782" s="130" t="s">
        <v>298</v>
      </c>
      <c r="E782" s="132">
        <v>1605.47</v>
      </c>
    </row>
    <row r="783" spans="1:5" x14ac:dyDescent="0.25">
      <c r="A783" s="130" t="s">
        <v>4</v>
      </c>
      <c r="B783" s="130" t="s">
        <v>574</v>
      </c>
      <c r="C783" s="130" t="s">
        <v>608</v>
      </c>
      <c r="D783" s="130" t="s">
        <v>299</v>
      </c>
      <c r="E783" s="132">
        <v>1604.01</v>
      </c>
    </row>
    <row r="784" spans="1:5" x14ac:dyDescent="0.25">
      <c r="A784" s="130" t="s">
        <v>4</v>
      </c>
      <c r="B784" s="130" t="s">
        <v>574</v>
      </c>
      <c r="C784" s="130" t="s">
        <v>608</v>
      </c>
      <c r="D784" s="130" t="s">
        <v>464</v>
      </c>
      <c r="E784" s="132">
        <v>1630.22</v>
      </c>
    </row>
    <row r="785" spans="1:5" x14ac:dyDescent="0.25">
      <c r="A785" s="130" t="s">
        <v>4</v>
      </c>
      <c r="B785" s="130" t="s">
        <v>574</v>
      </c>
      <c r="C785" s="130" t="s">
        <v>608</v>
      </c>
      <c r="D785" s="130" t="s">
        <v>347</v>
      </c>
      <c r="E785" s="132">
        <v>1116</v>
      </c>
    </row>
    <row r="786" spans="1:5" x14ac:dyDescent="0.25">
      <c r="A786" s="130" t="s">
        <v>4</v>
      </c>
      <c r="B786" s="130" t="s">
        <v>574</v>
      </c>
      <c r="C786" s="130" t="s">
        <v>608</v>
      </c>
      <c r="D786" s="130" t="s">
        <v>348</v>
      </c>
      <c r="E786" s="132">
        <v>875.74</v>
      </c>
    </row>
    <row r="787" spans="1:5" x14ac:dyDescent="0.25">
      <c r="A787" s="130" t="s">
        <v>4</v>
      </c>
      <c r="B787" s="130" t="s">
        <v>574</v>
      </c>
      <c r="C787" s="130" t="s">
        <v>608</v>
      </c>
      <c r="D787" s="130" t="s">
        <v>549</v>
      </c>
      <c r="E787" s="132">
        <v>1089.8499999999999</v>
      </c>
    </row>
    <row r="788" spans="1:5" x14ac:dyDescent="0.25">
      <c r="A788" s="130" t="s">
        <v>4</v>
      </c>
      <c r="B788" s="130" t="s">
        <v>574</v>
      </c>
      <c r="C788" s="130" t="s">
        <v>608</v>
      </c>
      <c r="D788" s="130" t="s">
        <v>349</v>
      </c>
      <c r="E788" s="132">
        <v>1161.69</v>
      </c>
    </row>
    <row r="789" spans="1:5" x14ac:dyDescent="0.25">
      <c r="A789" s="130" t="s">
        <v>4</v>
      </c>
      <c r="B789" s="130" t="s">
        <v>574</v>
      </c>
      <c r="C789" s="130" t="s">
        <v>608</v>
      </c>
      <c r="D789" s="130" t="s">
        <v>527</v>
      </c>
      <c r="E789" s="132">
        <v>717.79</v>
      </c>
    </row>
    <row r="790" spans="1:5" x14ac:dyDescent="0.25">
      <c r="A790" s="130" t="s">
        <v>4</v>
      </c>
      <c r="B790" s="130" t="s">
        <v>574</v>
      </c>
      <c r="C790" s="130" t="s">
        <v>608</v>
      </c>
      <c r="D790" s="130" t="s">
        <v>528</v>
      </c>
      <c r="E790" s="132">
        <v>861.53</v>
      </c>
    </row>
    <row r="791" spans="1:5" x14ac:dyDescent="0.25">
      <c r="A791" s="130" t="s">
        <v>4</v>
      </c>
      <c r="B791" s="130" t="s">
        <v>574</v>
      </c>
      <c r="C791" s="130" t="s">
        <v>608</v>
      </c>
      <c r="D791" s="130" t="s">
        <v>529</v>
      </c>
      <c r="E791" s="132">
        <v>2018.02</v>
      </c>
    </row>
    <row r="792" spans="1:5" x14ac:dyDescent="0.25">
      <c r="A792" s="130" t="s">
        <v>4</v>
      </c>
      <c r="B792" s="130" t="s">
        <v>574</v>
      </c>
      <c r="C792" s="130" t="s">
        <v>608</v>
      </c>
      <c r="D792" s="130" t="s">
        <v>540</v>
      </c>
      <c r="E792" s="132">
        <v>904.18</v>
      </c>
    </row>
    <row r="793" spans="1:5" x14ac:dyDescent="0.25">
      <c r="A793" s="130" t="s">
        <v>4</v>
      </c>
      <c r="B793" s="130" t="s">
        <v>574</v>
      </c>
      <c r="C793" s="130" t="s">
        <v>608</v>
      </c>
      <c r="D793" s="130" t="s">
        <v>541</v>
      </c>
      <c r="E793" s="132">
        <v>702.12</v>
      </c>
    </row>
    <row r="794" spans="1:5" x14ac:dyDescent="0.25">
      <c r="A794" s="130" t="s">
        <v>4</v>
      </c>
      <c r="B794" s="130" t="s">
        <v>574</v>
      </c>
      <c r="C794" s="130" t="s">
        <v>608</v>
      </c>
      <c r="D794" s="130" t="s">
        <v>542</v>
      </c>
      <c r="E794" s="132">
        <v>807.65</v>
      </c>
    </row>
    <row r="795" spans="1:5" x14ac:dyDescent="0.25">
      <c r="A795" s="130" t="s">
        <v>4</v>
      </c>
      <c r="B795" s="130" t="s">
        <v>574</v>
      </c>
      <c r="C795" s="130" t="s">
        <v>608</v>
      </c>
      <c r="D795" s="130" t="s">
        <v>550</v>
      </c>
      <c r="E795" s="132">
        <v>929.62</v>
      </c>
    </row>
    <row r="796" spans="1:5" x14ac:dyDescent="0.25">
      <c r="A796" s="130" t="s">
        <v>4</v>
      </c>
      <c r="B796" s="130" t="s">
        <v>574</v>
      </c>
      <c r="C796" s="130" t="s">
        <v>608</v>
      </c>
      <c r="D796" s="130" t="s">
        <v>634</v>
      </c>
      <c r="E796" s="132">
        <v>467.82</v>
      </c>
    </row>
    <row r="797" spans="1:5" x14ac:dyDescent="0.25">
      <c r="A797" s="130" t="s">
        <v>4</v>
      </c>
      <c r="B797" s="130" t="s">
        <v>574</v>
      </c>
      <c r="C797" s="130" t="s">
        <v>608</v>
      </c>
      <c r="D797" s="130" t="s">
        <v>957</v>
      </c>
      <c r="E797" s="132">
        <v>650.46</v>
      </c>
    </row>
    <row r="798" spans="1:5" x14ac:dyDescent="0.25">
      <c r="A798" s="130" t="s">
        <v>4</v>
      </c>
      <c r="B798" s="130" t="s">
        <v>574</v>
      </c>
      <c r="C798" s="130" t="s">
        <v>608</v>
      </c>
      <c r="D798" s="130" t="s">
        <v>698</v>
      </c>
      <c r="E798" s="132">
        <v>956.59</v>
      </c>
    </row>
    <row r="799" spans="1:5" x14ac:dyDescent="0.25">
      <c r="A799" s="130" t="s">
        <v>4</v>
      </c>
      <c r="B799" s="130" t="s">
        <v>574</v>
      </c>
      <c r="C799" s="130" t="s">
        <v>608</v>
      </c>
      <c r="D799" s="130" t="s">
        <v>434</v>
      </c>
      <c r="E799" s="132">
        <v>1284.4000000000001</v>
      </c>
    </row>
    <row r="800" spans="1:5" x14ac:dyDescent="0.25">
      <c r="A800" s="130" t="s">
        <v>4</v>
      </c>
      <c r="B800" s="130" t="s">
        <v>574</v>
      </c>
      <c r="C800" s="130" t="s">
        <v>608</v>
      </c>
      <c r="D800" s="130" t="s">
        <v>518</v>
      </c>
      <c r="E800" s="132">
        <v>727.92</v>
      </c>
    </row>
    <row r="801" spans="1:5" x14ac:dyDescent="0.25">
      <c r="A801" s="130" t="s">
        <v>4</v>
      </c>
      <c r="B801" s="130" t="s">
        <v>574</v>
      </c>
      <c r="C801" s="130" t="s">
        <v>608</v>
      </c>
      <c r="D801" s="130" t="s">
        <v>681</v>
      </c>
      <c r="E801" s="132">
        <v>857.02</v>
      </c>
    </row>
    <row r="802" spans="1:5" x14ac:dyDescent="0.25">
      <c r="A802" s="130" t="s">
        <v>4</v>
      </c>
      <c r="B802" s="130" t="s">
        <v>574</v>
      </c>
      <c r="C802" s="130" t="s">
        <v>608</v>
      </c>
      <c r="D802" s="130" t="s">
        <v>828</v>
      </c>
      <c r="E802" s="132">
        <v>1066.98</v>
      </c>
    </row>
    <row r="803" spans="1:5" x14ac:dyDescent="0.25">
      <c r="A803" s="130" t="s">
        <v>4</v>
      </c>
      <c r="B803" s="130" t="s">
        <v>574</v>
      </c>
      <c r="C803" s="130" t="s">
        <v>608</v>
      </c>
      <c r="D803" s="130" t="s">
        <v>475</v>
      </c>
      <c r="E803" s="132">
        <v>679.65</v>
      </c>
    </row>
    <row r="804" spans="1:5" x14ac:dyDescent="0.25">
      <c r="A804" s="130" t="s">
        <v>4</v>
      </c>
      <c r="B804" s="130" t="s">
        <v>574</v>
      </c>
      <c r="C804" s="130" t="s">
        <v>608</v>
      </c>
      <c r="D804" s="130" t="s">
        <v>411</v>
      </c>
      <c r="E804" s="132">
        <v>1061.42</v>
      </c>
    </row>
    <row r="805" spans="1:5" x14ac:dyDescent="0.25">
      <c r="A805" s="130" t="s">
        <v>4</v>
      </c>
      <c r="B805" s="130" t="s">
        <v>574</v>
      </c>
      <c r="C805" s="130" t="s">
        <v>608</v>
      </c>
      <c r="D805" s="130" t="s">
        <v>412</v>
      </c>
      <c r="E805" s="132">
        <v>612.26</v>
      </c>
    </row>
    <row r="806" spans="1:5" x14ac:dyDescent="0.25">
      <c r="A806" s="130" t="s">
        <v>4</v>
      </c>
      <c r="B806" s="130" t="s">
        <v>574</v>
      </c>
      <c r="C806" s="130" t="s">
        <v>608</v>
      </c>
      <c r="D806" s="130" t="s">
        <v>458</v>
      </c>
      <c r="E806" s="132">
        <v>734.99</v>
      </c>
    </row>
    <row r="807" spans="1:5" x14ac:dyDescent="0.25">
      <c r="A807" s="130" t="s">
        <v>4</v>
      </c>
      <c r="B807" s="130" t="s">
        <v>574</v>
      </c>
      <c r="C807" s="130" t="s">
        <v>608</v>
      </c>
      <c r="D807" s="130" t="s">
        <v>459</v>
      </c>
      <c r="E807" s="132">
        <v>464.84</v>
      </c>
    </row>
    <row r="808" spans="1:5" x14ac:dyDescent="0.25">
      <c r="A808" s="130" t="s">
        <v>4</v>
      </c>
      <c r="B808" s="130" t="s">
        <v>574</v>
      </c>
      <c r="C808" s="130" t="s">
        <v>608</v>
      </c>
      <c r="D808" s="130" t="s">
        <v>413</v>
      </c>
      <c r="E808" s="132">
        <v>1089.8499999999999</v>
      </c>
    </row>
    <row r="809" spans="1:5" x14ac:dyDescent="0.25">
      <c r="A809" s="130" t="s">
        <v>4</v>
      </c>
      <c r="B809" s="130" t="s">
        <v>574</v>
      </c>
      <c r="C809" s="130" t="s">
        <v>608</v>
      </c>
      <c r="D809" s="130" t="s">
        <v>300</v>
      </c>
      <c r="E809" s="132">
        <v>922.14</v>
      </c>
    </row>
    <row r="810" spans="1:5" x14ac:dyDescent="0.25">
      <c r="A810" s="130" t="s">
        <v>4</v>
      </c>
      <c r="B810" s="130" t="s">
        <v>574</v>
      </c>
      <c r="C810" s="130" t="s">
        <v>608</v>
      </c>
      <c r="D810" s="130" t="s">
        <v>395</v>
      </c>
      <c r="E810" s="132">
        <v>939.39</v>
      </c>
    </row>
    <row r="811" spans="1:5" x14ac:dyDescent="0.25">
      <c r="A811" s="130" t="s">
        <v>4</v>
      </c>
      <c r="B811" s="130" t="s">
        <v>574</v>
      </c>
      <c r="C811" s="130" t="s">
        <v>608</v>
      </c>
      <c r="D811" s="130" t="s">
        <v>514</v>
      </c>
      <c r="E811" s="132">
        <v>1221.5999999999999</v>
      </c>
    </row>
    <row r="812" spans="1:5" x14ac:dyDescent="0.25">
      <c r="A812" s="130" t="s">
        <v>4</v>
      </c>
      <c r="B812" s="130" t="s">
        <v>574</v>
      </c>
      <c r="C812" s="130" t="s">
        <v>608</v>
      </c>
      <c r="D812" s="130" t="s">
        <v>340</v>
      </c>
      <c r="E812" s="132">
        <v>3878.73</v>
      </c>
    </row>
    <row r="813" spans="1:5" x14ac:dyDescent="0.25">
      <c r="A813" s="130" t="s">
        <v>4</v>
      </c>
      <c r="B813" s="130" t="s">
        <v>574</v>
      </c>
      <c r="C813" s="130" t="s">
        <v>608</v>
      </c>
      <c r="D813" s="130" t="s">
        <v>460</v>
      </c>
      <c r="E813" s="132">
        <v>2880.6</v>
      </c>
    </row>
    <row r="814" spans="1:5" x14ac:dyDescent="0.25">
      <c r="A814" s="130" t="s">
        <v>4</v>
      </c>
      <c r="B814" s="130" t="s">
        <v>574</v>
      </c>
      <c r="C814" s="130" t="s">
        <v>608</v>
      </c>
      <c r="D814" s="130" t="s">
        <v>436</v>
      </c>
      <c r="E814" s="132">
        <v>3601.34</v>
      </c>
    </row>
    <row r="815" spans="1:5" x14ac:dyDescent="0.25">
      <c r="A815" s="130" t="s">
        <v>4</v>
      </c>
      <c r="B815" s="130" t="s">
        <v>574</v>
      </c>
      <c r="C815" s="130" t="s">
        <v>608</v>
      </c>
      <c r="D815" s="130" t="s">
        <v>251</v>
      </c>
      <c r="E815" s="132">
        <v>18376.96</v>
      </c>
    </row>
    <row r="816" spans="1:5" x14ac:dyDescent="0.25">
      <c r="A816" s="130" t="s">
        <v>4</v>
      </c>
      <c r="B816" s="130" t="s">
        <v>574</v>
      </c>
      <c r="C816" s="130" t="s">
        <v>608</v>
      </c>
      <c r="D816" s="130" t="s">
        <v>637</v>
      </c>
      <c r="E816" s="132">
        <v>5589.79</v>
      </c>
    </row>
    <row r="817" spans="1:5" x14ac:dyDescent="0.25">
      <c r="A817" s="130" t="s">
        <v>4</v>
      </c>
      <c r="B817" s="130" t="s">
        <v>574</v>
      </c>
      <c r="C817" s="130" t="s">
        <v>608</v>
      </c>
      <c r="D817" s="130" t="s">
        <v>638</v>
      </c>
      <c r="E817" s="132">
        <v>11350.99</v>
      </c>
    </row>
    <row r="818" spans="1:5" x14ac:dyDescent="0.25">
      <c r="A818" s="130" t="s">
        <v>4</v>
      </c>
      <c r="B818" s="130" t="s">
        <v>574</v>
      </c>
      <c r="C818" s="130" t="s">
        <v>608</v>
      </c>
      <c r="D818" s="130" t="s">
        <v>525</v>
      </c>
      <c r="E818" s="132">
        <v>1630.98</v>
      </c>
    </row>
    <row r="819" spans="1:5" x14ac:dyDescent="0.25">
      <c r="A819" s="130" t="s">
        <v>4</v>
      </c>
      <c r="B819" s="130" t="s">
        <v>574</v>
      </c>
      <c r="C819" s="130" t="s">
        <v>608</v>
      </c>
      <c r="D819" s="130" t="s">
        <v>700</v>
      </c>
      <c r="E819" s="132">
        <v>2313.62</v>
      </c>
    </row>
    <row r="820" spans="1:5" x14ac:dyDescent="0.25">
      <c r="A820" s="130" t="s">
        <v>4</v>
      </c>
      <c r="B820" s="130" t="s">
        <v>574</v>
      </c>
      <c r="C820" s="130" t="s">
        <v>608</v>
      </c>
      <c r="D820" s="130" t="s">
        <v>555</v>
      </c>
      <c r="E820" s="132">
        <v>3859.24</v>
      </c>
    </row>
    <row r="821" spans="1:5" x14ac:dyDescent="0.25">
      <c r="A821" s="130" t="s">
        <v>4</v>
      </c>
      <c r="B821" s="130" t="s">
        <v>574</v>
      </c>
      <c r="C821" s="130" t="s">
        <v>608</v>
      </c>
      <c r="D821" s="130" t="s">
        <v>566</v>
      </c>
      <c r="E821" s="132">
        <v>2446.88</v>
      </c>
    </row>
    <row r="822" spans="1:5" x14ac:dyDescent="0.25">
      <c r="A822" s="130" t="s">
        <v>4</v>
      </c>
      <c r="B822" s="130" t="s">
        <v>574</v>
      </c>
      <c r="C822" s="130" t="s">
        <v>608</v>
      </c>
      <c r="D822" s="130" t="s">
        <v>709</v>
      </c>
      <c r="E822" s="132">
        <v>2801.62</v>
      </c>
    </row>
    <row r="823" spans="1:5" x14ac:dyDescent="0.25">
      <c r="A823" s="130" t="s">
        <v>4</v>
      </c>
      <c r="B823" s="130" t="s">
        <v>574</v>
      </c>
      <c r="C823" s="130" t="s">
        <v>608</v>
      </c>
      <c r="D823" s="130" t="s">
        <v>252</v>
      </c>
      <c r="E823" s="132">
        <v>6408.73</v>
      </c>
    </row>
    <row r="824" spans="1:5" x14ac:dyDescent="0.25">
      <c r="A824" s="130" t="s">
        <v>4</v>
      </c>
      <c r="B824" s="130" t="s">
        <v>574</v>
      </c>
      <c r="C824" s="130" t="s">
        <v>608</v>
      </c>
      <c r="D824" s="130" t="s">
        <v>853</v>
      </c>
      <c r="E824" s="132">
        <v>4697.55</v>
      </c>
    </row>
    <row r="825" spans="1:5" x14ac:dyDescent="0.25">
      <c r="A825" s="130" t="s">
        <v>4</v>
      </c>
      <c r="B825" s="130" t="s">
        <v>574</v>
      </c>
      <c r="C825" s="130" t="s">
        <v>608</v>
      </c>
      <c r="D825" s="130" t="s">
        <v>342</v>
      </c>
      <c r="E825" s="132">
        <v>2142.21</v>
      </c>
    </row>
    <row r="826" spans="1:5" x14ac:dyDescent="0.25">
      <c r="A826" s="130" t="s">
        <v>4</v>
      </c>
      <c r="B826" s="130" t="s">
        <v>574</v>
      </c>
      <c r="C826" s="130" t="s">
        <v>608</v>
      </c>
      <c r="D826" s="130" t="s">
        <v>999</v>
      </c>
      <c r="E826" s="132">
        <v>3141.1</v>
      </c>
    </row>
    <row r="827" spans="1:5" x14ac:dyDescent="0.25">
      <c r="A827" s="130" t="s">
        <v>4</v>
      </c>
      <c r="B827" s="130" t="s">
        <v>574</v>
      </c>
      <c r="C827" s="130" t="s">
        <v>608</v>
      </c>
      <c r="D827" s="130" t="s">
        <v>323</v>
      </c>
      <c r="E827" s="132">
        <v>2943.02</v>
      </c>
    </row>
    <row r="828" spans="1:5" x14ac:dyDescent="0.25">
      <c r="A828" s="130" t="s">
        <v>4</v>
      </c>
      <c r="B828" s="130" t="s">
        <v>574</v>
      </c>
      <c r="C828" s="130" t="s">
        <v>608</v>
      </c>
      <c r="D828" s="130" t="s">
        <v>324</v>
      </c>
      <c r="E828" s="132">
        <v>2101.79</v>
      </c>
    </row>
    <row r="829" spans="1:5" x14ac:dyDescent="0.25">
      <c r="A829" s="130" t="s">
        <v>4</v>
      </c>
      <c r="B829" s="130" t="s">
        <v>574</v>
      </c>
      <c r="C829" s="130" t="s">
        <v>608</v>
      </c>
      <c r="D829" s="130" t="s">
        <v>310</v>
      </c>
      <c r="E829" s="132">
        <v>39829.32</v>
      </c>
    </row>
    <row r="830" spans="1:5" x14ac:dyDescent="0.25">
      <c r="A830" s="130" t="s">
        <v>4</v>
      </c>
      <c r="B830" s="130" t="s">
        <v>574</v>
      </c>
      <c r="C830" s="130" t="s">
        <v>608</v>
      </c>
      <c r="D830" s="130" t="s">
        <v>261</v>
      </c>
      <c r="E830" s="132">
        <v>36354.6</v>
      </c>
    </row>
    <row r="831" spans="1:5" x14ac:dyDescent="0.25">
      <c r="A831" s="130" t="s">
        <v>4</v>
      </c>
      <c r="B831" s="130" t="s">
        <v>574</v>
      </c>
      <c r="C831" s="130" t="s">
        <v>608</v>
      </c>
      <c r="D831" s="130" t="s">
        <v>674</v>
      </c>
      <c r="E831" s="132">
        <v>1327.64</v>
      </c>
    </row>
    <row r="832" spans="1:5" x14ac:dyDescent="0.25">
      <c r="A832" s="130" t="s">
        <v>4</v>
      </c>
      <c r="B832" s="130" t="s">
        <v>574</v>
      </c>
      <c r="C832" s="130" t="s">
        <v>608</v>
      </c>
      <c r="D832" s="130" t="s">
        <v>690</v>
      </c>
      <c r="E832" s="132">
        <v>6905.85</v>
      </c>
    </row>
    <row r="833" spans="1:5" x14ac:dyDescent="0.25">
      <c r="A833" s="130" t="s">
        <v>4</v>
      </c>
      <c r="B833" s="130" t="s">
        <v>574</v>
      </c>
      <c r="C833" s="130" t="s">
        <v>608</v>
      </c>
      <c r="D833" s="130" t="s">
        <v>614</v>
      </c>
      <c r="E833" s="132">
        <v>8031.03</v>
      </c>
    </row>
    <row r="834" spans="1:5" x14ac:dyDescent="0.25">
      <c r="A834" s="130" t="s">
        <v>4</v>
      </c>
      <c r="B834" s="130" t="s">
        <v>574</v>
      </c>
      <c r="C834" s="130" t="s">
        <v>608</v>
      </c>
      <c r="D834" s="130" t="s">
        <v>264</v>
      </c>
      <c r="E834" s="132">
        <v>8566.4500000000007</v>
      </c>
    </row>
    <row r="835" spans="1:5" x14ac:dyDescent="0.25">
      <c r="A835" s="130" t="s">
        <v>4</v>
      </c>
      <c r="B835" s="130" t="s">
        <v>574</v>
      </c>
      <c r="C835" s="130" t="s">
        <v>608</v>
      </c>
      <c r="D835" s="130" t="s">
        <v>343</v>
      </c>
      <c r="E835" s="132">
        <v>5419.99</v>
      </c>
    </row>
    <row r="836" spans="1:5" x14ac:dyDescent="0.25">
      <c r="A836" s="130" t="s">
        <v>4</v>
      </c>
      <c r="B836" s="130" t="s">
        <v>574</v>
      </c>
      <c r="C836" s="130" t="s">
        <v>608</v>
      </c>
      <c r="D836" s="130" t="s">
        <v>707</v>
      </c>
      <c r="E836" s="132">
        <v>8073.72</v>
      </c>
    </row>
    <row r="837" spans="1:5" x14ac:dyDescent="0.25">
      <c r="A837" s="130" t="s">
        <v>4</v>
      </c>
      <c r="B837" s="130" t="s">
        <v>574</v>
      </c>
      <c r="C837" s="130" t="s">
        <v>608</v>
      </c>
      <c r="D837" s="130" t="s">
        <v>428</v>
      </c>
      <c r="E837" s="132">
        <v>3603.18</v>
      </c>
    </row>
    <row r="838" spans="1:5" x14ac:dyDescent="0.25">
      <c r="A838" s="130" t="s">
        <v>4</v>
      </c>
      <c r="B838" s="130" t="s">
        <v>574</v>
      </c>
      <c r="C838" s="130" t="s">
        <v>608</v>
      </c>
      <c r="D838" s="130" t="s">
        <v>429</v>
      </c>
      <c r="E838" s="132">
        <v>8577.77</v>
      </c>
    </row>
    <row r="839" spans="1:5" x14ac:dyDescent="0.25">
      <c r="A839" s="130" t="s">
        <v>4</v>
      </c>
      <c r="B839" s="130" t="s">
        <v>574</v>
      </c>
      <c r="C839" s="130" t="s">
        <v>608</v>
      </c>
      <c r="D839" s="130" t="s">
        <v>377</v>
      </c>
      <c r="E839" s="132">
        <v>5663.39</v>
      </c>
    </row>
    <row r="840" spans="1:5" x14ac:dyDescent="0.25">
      <c r="A840" s="130" t="s">
        <v>4</v>
      </c>
      <c r="B840" s="130" t="s">
        <v>574</v>
      </c>
      <c r="C840" s="130" t="s">
        <v>608</v>
      </c>
      <c r="D840" s="130" t="s">
        <v>431</v>
      </c>
      <c r="E840" s="132">
        <v>5524.69</v>
      </c>
    </row>
    <row r="841" spans="1:5" x14ac:dyDescent="0.25">
      <c r="A841" s="130" t="s">
        <v>4</v>
      </c>
      <c r="B841" s="130" t="s">
        <v>574</v>
      </c>
      <c r="C841" s="130" t="s">
        <v>608</v>
      </c>
      <c r="D841" s="130" t="s">
        <v>630</v>
      </c>
      <c r="E841" s="132">
        <v>10560.56</v>
      </c>
    </row>
    <row r="842" spans="1:5" x14ac:dyDescent="0.25">
      <c r="A842" s="130" t="s">
        <v>4</v>
      </c>
      <c r="B842" s="130" t="s">
        <v>574</v>
      </c>
      <c r="C842" s="130" t="s">
        <v>608</v>
      </c>
      <c r="D842" s="130" t="s">
        <v>461</v>
      </c>
      <c r="E842" s="132">
        <v>7054.51</v>
      </c>
    </row>
    <row r="843" spans="1:5" x14ac:dyDescent="0.25">
      <c r="A843" s="130" t="s">
        <v>4</v>
      </c>
      <c r="B843" s="130" t="s">
        <v>574</v>
      </c>
      <c r="C843" s="130" t="s">
        <v>608</v>
      </c>
      <c r="D843" s="130" t="s">
        <v>676</v>
      </c>
      <c r="E843" s="132">
        <v>7287.75</v>
      </c>
    </row>
    <row r="844" spans="1:5" x14ac:dyDescent="0.25">
      <c r="A844" s="130" t="s">
        <v>4</v>
      </c>
      <c r="B844" s="130" t="s">
        <v>574</v>
      </c>
      <c r="C844" s="130" t="s">
        <v>608</v>
      </c>
      <c r="D844" s="130" t="s">
        <v>302</v>
      </c>
      <c r="E844" s="132">
        <v>15045.27</v>
      </c>
    </row>
    <row r="845" spans="1:5" x14ac:dyDescent="0.25">
      <c r="A845" s="130" t="s">
        <v>4</v>
      </c>
      <c r="B845" s="130" t="s">
        <v>574</v>
      </c>
      <c r="C845" s="130" t="s">
        <v>608</v>
      </c>
      <c r="D845" s="130" t="s">
        <v>939</v>
      </c>
      <c r="E845" s="132">
        <v>38569.440000000002</v>
      </c>
    </row>
    <row r="846" spans="1:5" x14ac:dyDescent="0.25">
      <c r="A846" s="130" t="s">
        <v>4</v>
      </c>
      <c r="B846" s="130" t="s">
        <v>574</v>
      </c>
      <c r="C846" s="130" t="s">
        <v>608</v>
      </c>
      <c r="D846" s="130" t="s">
        <v>236</v>
      </c>
      <c r="E846" s="132">
        <v>1179.44</v>
      </c>
    </row>
    <row r="847" spans="1:5" x14ac:dyDescent="0.25">
      <c r="A847" s="130" t="s">
        <v>4</v>
      </c>
      <c r="B847" s="130" t="s">
        <v>574</v>
      </c>
      <c r="C847" s="130" t="s">
        <v>608</v>
      </c>
      <c r="D847" s="130" t="s">
        <v>303</v>
      </c>
      <c r="E847" s="132">
        <v>3072.67</v>
      </c>
    </row>
    <row r="848" spans="1:5" x14ac:dyDescent="0.25">
      <c r="A848" s="130" t="s">
        <v>4</v>
      </c>
      <c r="B848" s="130" t="s">
        <v>574</v>
      </c>
      <c r="C848" s="130" t="s">
        <v>608</v>
      </c>
      <c r="D848" s="130" t="s">
        <v>242</v>
      </c>
      <c r="E848" s="132">
        <v>2871.02</v>
      </c>
    </row>
    <row r="849" spans="1:5" x14ac:dyDescent="0.25">
      <c r="A849" s="130" t="s">
        <v>4</v>
      </c>
      <c r="B849" s="130" t="s">
        <v>574</v>
      </c>
      <c r="C849" s="130" t="s">
        <v>608</v>
      </c>
      <c r="D849" s="130" t="s">
        <v>475</v>
      </c>
      <c r="E849" s="132">
        <v>353.83</v>
      </c>
    </row>
    <row r="850" spans="1:5" x14ac:dyDescent="0.25">
      <c r="A850" s="130" t="s">
        <v>4</v>
      </c>
      <c r="B850" s="130" t="s">
        <v>574</v>
      </c>
      <c r="C850" s="130" t="s">
        <v>608</v>
      </c>
      <c r="D850" s="130" t="s">
        <v>412</v>
      </c>
      <c r="E850" s="132">
        <v>637.82000000000005</v>
      </c>
    </row>
    <row r="851" spans="1:5" x14ac:dyDescent="0.25">
      <c r="A851" s="130" t="s">
        <v>4</v>
      </c>
      <c r="B851" s="130" t="s">
        <v>574</v>
      </c>
      <c r="C851" s="130" t="s">
        <v>608</v>
      </c>
      <c r="D851" s="130" t="s">
        <v>371</v>
      </c>
      <c r="E851" s="132">
        <v>12947.11</v>
      </c>
    </row>
    <row r="852" spans="1:5" x14ac:dyDescent="0.25">
      <c r="A852" s="130" t="s">
        <v>4</v>
      </c>
      <c r="B852" s="130" t="s">
        <v>574</v>
      </c>
      <c r="C852" s="130" t="s">
        <v>608</v>
      </c>
      <c r="D852" s="130" t="s">
        <v>288</v>
      </c>
      <c r="E852" s="132">
        <v>13100.43</v>
      </c>
    </row>
    <row r="853" spans="1:5" x14ac:dyDescent="0.25">
      <c r="A853" s="130" t="s">
        <v>4</v>
      </c>
      <c r="B853" s="130" t="s">
        <v>574</v>
      </c>
      <c r="C853" s="130" t="s">
        <v>608</v>
      </c>
      <c r="D853" s="130" t="s">
        <v>251</v>
      </c>
      <c r="E853" s="132">
        <v>19144.060000000001</v>
      </c>
    </row>
    <row r="854" spans="1:5" x14ac:dyDescent="0.25">
      <c r="A854" s="130" t="s">
        <v>4</v>
      </c>
      <c r="B854" s="130" t="s">
        <v>574</v>
      </c>
      <c r="C854" s="130" t="s">
        <v>608</v>
      </c>
      <c r="D854" s="130" t="s">
        <v>687</v>
      </c>
      <c r="E854" s="132">
        <v>22789.55</v>
      </c>
    </row>
    <row r="855" spans="1:5" x14ac:dyDescent="0.25">
      <c r="A855" s="130" t="s">
        <v>4</v>
      </c>
      <c r="B855" s="130" t="s">
        <v>574</v>
      </c>
      <c r="C855" s="130" t="s">
        <v>608</v>
      </c>
      <c r="D855" s="130" t="s">
        <v>366</v>
      </c>
      <c r="E855" s="132">
        <v>23706.71</v>
      </c>
    </row>
    <row r="856" spans="1:5" x14ac:dyDescent="0.25">
      <c r="A856" s="130" t="s">
        <v>4</v>
      </c>
      <c r="B856" s="130" t="s">
        <v>574</v>
      </c>
      <c r="C856" s="130" t="s">
        <v>608</v>
      </c>
      <c r="D856" s="130" t="s">
        <v>638</v>
      </c>
      <c r="E856" s="132">
        <v>7883.59</v>
      </c>
    </row>
    <row r="857" spans="1:5" x14ac:dyDescent="0.25">
      <c r="A857" s="130" t="s">
        <v>4</v>
      </c>
      <c r="B857" s="130" t="s">
        <v>574</v>
      </c>
      <c r="C857" s="130" t="s">
        <v>608</v>
      </c>
      <c r="D857" s="130" t="s">
        <v>520</v>
      </c>
      <c r="E857" s="132">
        <v>13015.71</v>
      </c>
    </row>
    <row r="858" spans="1:5" x14ac:dyDescent="0.25">
      <c r="A858" s="130" t="s">
        <v>4</v>
      </c>
      <c r="B858" s="130" t="s">
        <v>574</v>
      </c>
      <c r="C858" s="130" t="s">
        <v>608</v>
      </c>
      <c r="D858" s="130" t="s">
        <v>525</v>
      </c>
      <c r="E858" s="132">
        <v>1699.32</v>
      </c>
    </row>
    <row r="859" spans="1:5" x14ac:dyDescent="0.25">
      <c r="A859" s="130" t="s">
        <v>4</v>
      </c>
      <c r="B859" s="130" t="s">
        <v>574</v>
      </c>
      <c r="C859" s="130" t="s">
        <v>608</v>
      </c>
      <c r="D859" s="130" t="s">
        <v>569</v>
      </c>
      <c r="E859" s="132">
        <v>21350.13</v>
      </c>
    </row>
    <row r="860" spans="1:5" x14ac:dyDescent="0.25">
      <c r="A860" s="130" t="s">
        <v>4</v>
      </c>
      <c r="B860" s="130" t="s">
        <v>574</v>
      </c>
      <c r="C860" s="130" t="s">
        <v>608</v>
      </c>
      <c r="D860" s="130" t="s">
        <v>362</v>
      </c>
      <c r="E860" s="132">
        <v>8591.7199999999993</v>
      </c>
    </row>
    <row r="861" spans="1:5" x14ac:dyDescent="0.25">
      <c r="A861" s="130" t="s">
        <v>4</v>
      </c>
      <c r="B861" s="130" t="s">
        <v>574</v>
      </c>
      <c r="C861" s="130" t="s">
        <v>608</v>
      </c>
      <c r="D861" s="130" t="s">
        <v>559</v>
      </c>
      <c r="E861" s="132">
        <v>2152</v>
      </c>
    </row>
    <row r="862" spans="1:5" x14ac:dyDescent="0.25">
      <c r="A862" s="130" t="s">
        <v>4</v>
      </c>
      <c r="B862" s="130" t="s">
        <v>574</v>
      </c>
      <c r="C862" s="130" t="s">
        <v>608</v>
      </c>
      <c r="D862" s="130" t="s">
        <v>531</v>
      </c>
      <c r="E862" s="132">
        <v>2086.19</v>
      </c>
    </row>
    <row r="863" spans="1:5" x14ac:dyDescent="0.25">
      <c r="A863" s="130" t="s">
        <v>4</v>
      </c>
      <c r="B863" s="130" t="s">
        <v>574</v>
      </c>
      <c r="C863" s="130" t="s">
        <v>608</v>
      </c>
      <c r="D863" s="130" t="s">
        <v>1000</v>
      </c>
      <c r="E863" s="132">
        <v>2887.65</v>
      </c>
    </row>
    <row r="864" spans="1:5" x14ac:dyDescent="0.25">
      <c r="A864" s="130" t="s">
        <v>4</v>
      </c>
      <c r="B864" s="130" t="s">
        <v>574</v>
      </c>
      <c r="C864" s="130" t="s">
        <v>608</v>
      </c>
      <c r="D864" s="130" t="s">
        <v>931</v>
      </c>
      <c r="E864" s="132">
        <v>5005.26</v>
      </c>
    </row>
    <row r="865" spans="1:5" x14ac:dyDescent="0.25">
      <c r="A865" s="130" t="s">
        <v>4</v>
      </c>
      <c r="B865" s="130" t="s">
        <v>574</v>
      </c>
      <c r="C865" s="130" t="s">
        <v>608</v>
      </c>
      <c r="D865" s="130" t="s">
        <v>1001</v>
      </c>
      <c r="E865" s="132">
        <v>989.25</v>
      </c>
    </row>
    <row r="866" spans="1:5" x14ac:dyDescent="0.25">
      <c r="A866" s="130" t="s">
        <v>4</v>
      </c>
      <c r="B866" s="130" t="s">
        <v>574</v>
      </c>
      <c r="C866" s="130" t="s">
        <v>608</v>
      </c>
      <c r="D866" s="130" t="s">
        <v>820</v>
      </c>
      <c r="E866" s="132">
        <v>1113.7</v>
      </c>
    </row>
    <row r="867" spans="1:5" x14ac:dyDescent="0.25">
      <c r="A867" s="130" t="s">
        <v>4</v>
      </c>
      <c r="B867" s="130" t="s">
        <v>574</v>
      </c>
      <c r="C867" s="130" t="s">
        <v>608</v>
      </c>
      <c r="D867" s="130" t="s">
        <v>732</v>
      </c>
      <c r="E867" s="132">
        <v>904.64</v>
      </c>
    </row>
    <row r="868" spans="1:5" x14ac:dyDescent="0.25">
      <c r="A868" s="130" t="s">
        <v>4</v>
      </c>
      <c r="B868" s="130" t="s">
        <v>574</v>
      </c>
      <c r="C868" s="130" t="s">
        <v>608</v>
      </c>
      <c r="D868" s="130" t="s">
        <v>372</v>
      </c>
      <c r="E868" s="132">
        <v>994.76</v>
      </c>
    </row>
    <row r="869" spans="1:5" x14ac:dyDescent="0.25">
      <c r="A869" s="130" t="s">
        <v>4</v>
      </c>
      <c r="B869" s="130" t="s">
        <v>574</v>
      </c>
      <c r="C869" s="130" t="s">
        <v>608</v>
      </c>
      <c r="D869" s="130" t="s">
        <v>1002</v>
      </c>
      <c r="E869" s="132">
        <v>649.96</v>
      </c>
    </row>
    <row r="870" spans="1:5" x14ac:dyDescent="0.25">
      <c r="A870" s="130" t="s">
        <v>4</v>
      </c>
      <c r="B870" s="130" t="s">
        <v>574</v>
      </c>
      <c r="C870" s="130" t="s">
        <v>608</v>
      </c>
      <c r="D870" s="130" t="s">
        <v>1003</v>
      </c>
      <c r="E870" s="132">
        <v>742.34</v>
      </c>
    </row>
    <row r="871" spans="1:5" x14ac:dyDescent="0.25">
      <c r="A871" s="130" t="s">
        <v>4</v>
      </c>
      <c r="B871" s="130" t="s">
        <v>574</v>
      </c>
      <c r="C871" s="130" t="s">
        <v>608</v>
      </c>
      <c r="D871" s="130" t="s">
        <v>744</v>
      </c>
      <c r="E871" s="132">
        <v>938.31</v>
      </c>
    </row>
    <row r="872" spans="1:5" x14ac:dyDescent="0.25">
      <c r="A872" s="130" t="s">
        <v>4</v>
      </c>
      <c r="B872" s="130" t="s">
        <v>574</v>
      </c>
      <c r="C872" s="130" t="s">
        <v>608</v>
      </c>
      <c r="D872" s="130" t="s">
        <v>745</v>
      </c>
      <c r="E872" s="132">
        <v>1028.43</v>
      </c>
    </row>
    <row r="873" spans="1:5" x14ac:dyDescent="0.25">
      <c r="A873" s="130" t="s">
        <v>4</v>
      </c>
      <c r="B873" s="130" t="s">
        <v>574</v>
      </c>
      <c r="C873" s="130" t="s">
        <v>608</v>
      </c>
      <c r="D873" s="130" t="s">
        <v>571</v>
      </c>
      <c r="E873" s="132">
        <v>1158.94</v>
      </c>
    </row>
    <row r="874" spans="1:5" x14ac:dyDescent="0.25">
      <c r="A874" s="130" t="s">
        <v>4</v>
      </c>
      <c r="B874" s="130" t="s">
        <v>574</v>
      </c>
      <c r="C874" s="130" t="s">
        <v>608</v>
      </c>
      <c r="D874" s="130" t="s">
        <v>343</v>
      </c>
      <c r="E874" s="132">
        <v>5198.3100000000004</v>
      </c>
    </row>
    <row r="875" spans="1:5" x14ac:dyDescent="0.25">
      <c r="A875" s="130" t="s">
        <v>4</v>
      </c>
      <c r="B875" s="130" t="s">
        <v>574</v>
      </c>
      <c r="C875" s="130" t="s">
        <v>608</v>
      </c>
      <c r="D875" s="130" t="s">
        <v>576</v>
      </c>
      <c r="E875" s="132">
        <v>11458.69</v>
      </c>
    </row>
    <row r="876" spans="1:5" x14ac:dyDescent="0.25">
      <c r="A876" s="130" t="s">
        <v>4</v>
      </c>
      <c r="B876" s="130" t="s">
        <v>574</v>
      </c>
      <c r="C876" s="130" t="s">
        <v>608</v>
      </c>
      <c r="D876" s="130" t="s">
        <v>277</v>
      </c>
      <c r="E876" s="132">
        <v>1404.7</v>
      </c>
    </row>
    <row r="877" spans="1:5" x14ac:dyDescent="0.25">
      <c r="A877" s="130" t="s">
        <v>4</v>
      </c>
      <c r="B877" s="130" t="s">
        <v>574</v>
      </c>
      <c r="C877" s="130" t="s">
        <v>608</v>
      </c>
      <c r="D877" s="130" t="s">
        <v>234</v>
      </c>
      <c r="E877" s="132">
        <v>1240.08</v>
      </c>
    </row>
    <row r="878" spans="1:5" x14ac:dyDescent="0.25">
      <c r="A878" s="130" t="s">
        <v>4</v>
      </c>
      <c r="B878" s="130" t="s">
        <v>574</v>
      </c>
      <c r="C878" s="130" t="s">
        <v>608</v>
      </c>
      <c r="D878" s="130" t="s">
        <v>390</v>
      </c>
      <c r="E878" s="132">
        <v>1023.93</v>
      </c>
    </row>
    <row r="879" spans="1:5" x14ac:dyDescent="0.25">
      <c r="A879" s="130" t="s">
        <v>4</v>
      </c>
      <c r="B879" s="130" t="s">
        <v>574</v>
      </c>
      <c r="C879" s="130" t="s">
        <v>608</v>
      </c>
      <c r="D879" s="130" t="s">
        <v>536</v>
      </c>
      <c r="E879" s="132">
        <v>818.24</v>
      </c>
    </row>
    <row r="880" spans="1:5" x14ac:dyDescent="0.25">
      <c r="A880" s="130" t="s">
        <v>4</v>
      </c>
      <c r="B880" s="130" t="s">
        <v>574</v>
      </c>
      <c r="C880" s="130" t="s">
        <v>608</v>
      </c>
      <c r="D880" s="130" t="s">
        <v>319</v>
      </c>
      <c r="E880" s="132">
        <v>2972.38</v>
      </c>
    </row>
    <row r="881" spans="1:5" x14ac:dyDescent="0.25">
      <c r="A881" s="130" t="s">
        <v>4</v>
      </c>
      <c r="B881" s="130" t="s">
        <v>574</v>
      </c>
      <c r="C881" s="130" t="s">
        <v>608</v>
      </c>
      <c r="D881" s="130" t="s">
        <v>265</v>
      </c>
      <c r="E881" s="132">
        <v>2230.37</v>
      </c>
    </row>
    <row r="882" spans="1:5" x14ac:dyDescent="0.25">
      <c r="A882" s="130" t="s">
        <v>4</v>
      </c>
      <c r="B882" s="130" t="s">
        <v>574</v>
      </c>
      <c r="C882" s="130" t="s">
        <v>608</v>
      </c>
      <c r="D882" s="130" t="s">
        <v>363</v>
      </c>
      <c r="E882" s="132">
        <v>3199.01</v>
      </c>
    </row>
    <row r="883" spans="1:5" x14ac:dyDescent="0.25">
      <c r="A883" s="130" t="s">
        <v>4</v>
      </c>
      <c r="B883" s="130" t="s">
        <v>574</v>
      </c>
      <c r="C883" s="130" t="s">
        <v>608</v>
      </c>
      <c r="D883" s="130" t="s">
        <v>535</v>
      </c>
      <c r="E883" s="132">
        <v>3937.06</v>
      </c>
    </row>
    <row r="884" spans="1:5" x14ac:dyDescent="0.25">
      <c r="A884" s="130" t="s">
        <v>4</v>
      </c>
      <c r="B884" s="130" t="s">
        <v>574</v>
      </c>
      <c r="C884" s="130" t="s">
        <v>608</v>
      </c>
      <c r="D884" s="130" t="s">
        <v>632</v>
      </c>
      <c r="E884" s="132">
        <v>2225.54</v>
      </c>
    </row>
    <row r="885" spans="1:5" x14ac:dyDescent="0.25">
      <c r="A885" s="130" t="s">
        <v>4</v>
      </c>
      <c r="B885" s="130" t="s">
        <v>574</v>
      </c>
      <c r="C885" s="130" t="s">
        <v>608</v>
      </c>
      <c r="D885" s="130" t="s">
        <v>521</v>
      </c>
      <c r="E885" s="132">
        <v>7603.97</v>
      </c>
    </row>
    <row r="886" spans="1:5" x14ac:dyDescent="0.25">
      <c r="A886" s="130" t="s">
        <v>4</v>
      </c>
      <c r="B886" s="130" t="s">
        <v>574</v>
      </c>
      <c r="C886" s="130" t="s">
        <v>608</v>
      </c>
      <c r="D886" s="130" t="s">
        <v>311</v>
      </c>
      <c r="E886" s="132">
        <v>2020.94</v>
      </c>
    </row>
    <row r="887" spans="1:5" x14ac:dyDescent="0.25">
      <c r="A887" s="130" t="s">
        <v>4</v>
      </c>
      <c r="B887" s="130" t="s">
        <v>574</v>
      </c>
      <c r="C887" s="130" t="s">
        <v>608</v>
      </c>
      <c r="D887" s="130" t="s">
        <v>393</v>
      </c>
      <c r="E887" s="132">
        <v>4357.55</v>
      </c>
    </row>
    <row r="888" spans="1:5" x14ac:dyDescent="0.25">
      <c r="A888" s="130" t="s">
        <v>4</v>
      </c>
      <c r="B888" s="130" t="s">
        <v>574</v>
      </c>
      <c r="C888" s="130" t="s">
        <v>608</v>
      </c>
      <c r="D888" s="130" t="s">
        <v>941</v>
      </c>
      <c r="E888" s="132">
        <v>1323.15</v>
      </c>
    </row>
    <row r="889" spans="1:5" x14ac:dyDescent="0.25">
      <c r="A889" s="130" t="s">
        <v>4</v>
      </c>
      <c r="B889" s="130" t="s">
        <v>574</v>
      </c>
      <c r="C889" s="130" t="s">
        <v>608</v>
      </c>
      <c r="D889" s="130" t="s">
        <v>556</v>
      </c>
      <c r="E889" s="132">
        <v>2084.5300000000002</v>
      </c>
    </row>
    <row r="890" spans="1:5" x14ac:dyDescent="0.25">
      <c r="A890" s="130" t="s">
        <v>4</v>
      </c>
      <c r="B890" s="130" t="s">
        <v>574</v>
      </c>
      <c r="C890" s="130" t="s">
        <v>608</v>
      </c>
      <c r="D890" s="130" t="s">
        <v>338</v>
      </c>
      <c r="E890" s="132">
        <v>1047.1500000000001</v>
      </c>
    </row>
    <row r="891" spans="1:5" x14ac:dyDescent="0.25">
      <c r="A891" s="130" t="s">
        <v>4</v>
      </c>
      <c r="B891" s="130" t="s">
        <v>574</v>
      </c>
      <c r="C891" s="130" t="s">
        <v>608</v>
      </c>
      <c r="D891" s="130" t="s">
        <v>293</v>
      </c>
      <c r="E891" s="132">
        <v>673.1</v>
      </c>
    </row>
    <row r="892" spans="1:5" x14ac:dyDescent="0.25">
      <c r="A892" s="130" t="s">
        <v>4</v>
      </c>
      <c r="B892" s="130" t="s">
        <v>574</v>
      </c>
      <c r="C892" s="130" t="s">
        <v>608</v>
      </c>
      <c r="D892" s="130" t="s">
        <v>696</v>
      </c>
      <c r="E892" s="132">
        <v>928.95</v>
      </c>
    </row>
    <row r="893" spans="1:5" x14ac:dyDescent="0.25">
      <c r="A893" s="130" t="s">
        <v>4</v>
      </c>
      <c r="B893" s="130" t="s">
        <v>574</v>
      </c>
      <c r="C893" s="130" t="s">
        <v>608</v>
      </c>
      <c r="D893" s="130" t="s">
        <v>627</v>
      </c>
      <c r="E893" s="132">
        <v>636.13</v>
      </c>
    </row>
    <row r="894" spans="1:5" x14ac:dyDescent="0.25">
      <c r="A894" s="130" t="s">
        <v>4</v>
      </c>
      <c r="B894" s="130" t="s">
        <v>574</v>
      </c>
      <c r="C894" s="130" t="s">
        <v>608</v>
      </c>
      <c r="D894" s="130" t="s">
        <v>344</v>
      </c>
      <c r="E894" s="132">
        <v>1078.51</v>
      </c>
    </row>
    <row r="895" spans="1:5" x14ac:dyDescent="0.25">
      <c r="A895" s="130" t="s">
        <v>4</v>
      </c>
      <c r="B895" s="130" t="s">
        <v>574</v>
      </c>
      <c r="C895" s="130" t="s">
        <v>608</v>
      </c>
      <c r="D895" s="130" t="s">
        <v>1004</v>
      </c>
      <c r="E895" s="132">
        <v>489.18</v>
      </c>
    </row>
    <row r="896" spans="1:5" x14ac:dyDescent="0.25">
      <c r="A896" s="130" t="s">
        <v>4</v>
      </c>
      <c r="B896" s="130" t="s">
        <v>574</v>
      </c>
      <c r="C896" s="130" t="s">
        <v>608</v>
      </c>
      <c r="D896" s="130" t="s">
        <v>1005</v>
      </c>
      <c r="E896" s="132">
        <v>797.3</v>
      </c>
    </row>
    <row r="897" spans="1:5" x14ac:dyDescent="0.25">
      <c r="A897" s="130" t="s">
        <v>4</v>
      </c>
      <c r="B897" s="130" t="s">
        <v>574</v>
      </c>
      <c r="C897" s="130" t="s">
        <v>608</v>
      </c>
      <c r="D897" s="130" t="s">
        <v>441</v>
      </c>
      <c r="E897" s="132">
        <v>925.24</v>
      </c>
    </row>
    <row r="898" spans="1:5" x14ac:dyDescent="0.25">
      <c r="A898" s="130" t="s">
        <v>4</v>
      </c>
      <c r="B898" s="130" t="s">
        <v>574</v>
      </c>
      <c r="C898" s="130" t="s">
        <v>608</v>
      </c>
      <c r="D898" s="130" t="s">
        <v>294</v>
      </c>
      <c r="E898" s="132">
        <v>625.25</v>
      </c>
    </row>
    <row r="899" spans="1:5" x14ac:dyDescent="0.25">
      <c r="A899" s="130" t="s">
        <v>4</v>
      </c>
      <c r="B899" s="130" t="s">
        <v>574</v>
      </c>
      <c r="C899" s="130" t="s">
        <v>608</v>
      </c>
      <c r="D899" s="130" t="s">
        <v>404</v>
      </c>
      <c r="E899" s="132">
        <v>1186.26</v>
      </c>
    </row>
    <row r="900" spans="1:5" x14ac:dyDescent="0.25">
      <c r="A900" s="130" t="s">
        <v>4</v>
      </c>
      <c r="B900" s="130" t="s">
        <v>574</v>
      </c>
      <c r="C900" s="130" t="s">
        <v>608</v>
      </c>
      <c r="D900" s="130" t="s">
        <v>405</v>
      </c>
      <c r="E900" s="132">
        <v>681.41</v>
      </c>
    </row>
    <row r="901" spans="1:5" x14ac:dyDescent="0.25">
      <c r="A901" s="130" t="s">
        <v>4</v>
      </c>
      <c r="B901" s="130" t="s">
        <v>574</v>
      </c>
      <c r="C901" s="130" t="s">
        <v>608</v>
      </c>
      <c r="D901" s="130" t="s">
        <v>724</v>
      </c>
      <c r="E901" s="132">
        <v>1043.03</v>
      </c>
    </row>
    <row r="902" spans="1:5" x14ac:dyDescent="0.25">
      <c r="A902" s="130" t="s">
        <v>4</v>
      </c>
      <c r="B902" s="130" t="s">
        <v>574</v>
      </c>
      <c r="C902" s="130" t="s">
        <v>608</v>
      </c>
      <c r="D902" s="130" t="s">
        <v>680</v>
      </c>
      <c r="E902" s="132">
        <v>1018.34</v>
      </c>
    </row>
    <row r="903" spans="1:5" x14ac:dyDescent="0.25">
      <c r="A903" s="130" t="s">
        <v>4</v>
      </c>
      <c r="B903" s="130" t="s">
        <v>574</v>
      </c>
      <c r="C903" s="130" t="s">
        <v>608</v>
      </c>
      <c r="D903" s="130" t="s">
        <v>615</v>
      </c>
      <c r="E903" s="132">
        <v>1145.49</v>
      </c>
    </row>
    <row r="904" spans="1:5" x14ac:dyDescent="0.25">
      <c r="A904" s="130" t="s">
        <v>4</v>
      </c>
      <c r="B904" s="130" t="s">
        <v>574</v>
      </c>
      <c r="C904" s="130" t="s">
        <v>608</v>
      </c>
      <c r="D904" s="130" t="s">
        <v>237</v>
      </c>
      <c r="E904" s="132">
        <v>1271.5</v>
      </c>
    </row>
    <row r="905" spans="1:5" x14ac:dyDescent="0.25">
      <c r="A905" s="130" t="s">
        <v>4</v>
      </c>
      <c r="B905" s="130" t="s">
        <v>574</v>
      </c>
      <c r="C905" s="130" t="s">
        <v>608</v>
      </c>
      <c r="D905" s="130" t="s">
        <v>474</v>
      </c>
      <c r="E905" s="132">
        <v>2062.83</v>
      </c>
    </row>
    <row r="906" spans="1:5" x14ac:dyDescent="0.25">
      <c r="A906" s="130" t="s">
        <v>4</v>
      </c>
      <c r="B906" s="130" t="s">
        <v>574</v>
      </c>
      <c r="C906" s="130" t="s">
        <v>608</v>
      </c>
      <c r="D906" s="130" t="s">
        <v>239</v>
      </c>
      <c r="E906" s="132">
        <v>1413.59</v>
      </c>
    </row>
    <row r="907" spans="1:5" x14ac:dyDescent="0.25">
      <c r="A907" s="130" t="s">
        <v>4</v>
      </c>
      <c r="B907" s="130" t="s">
        <v>574</v>
      </c>
      <c r="C907" s="130" t="s">
        <v>608</v>
      </c>
      <c r="D907" s="130" t="s">
        <v>710</v>
      </c>
      <c r="E907" s="132">
        <v>1053.5</v>
      </c>
    </row>
    <row r="908" spans="1:5" x14ac:dyDescent="0.25">
      <c r="A908" s="130" t="s">
        <v>4</v>
      </c>
      <c r="B908" s="130" t="s">
        <v>574</v>
      </c>
      <c r="C908" s="130" t="s">
        <v>608</v>
      </c>
      <c r="D908" s="130" t="s">
        <v>407</v>
      </c>
      <c r="E908" s="132">
        <v>1545.28</v>
      </c>
    </row>
    <row r="909" spans="1:5" x14ac:dyDescent="0.25">
      <c r="A909" s="130" t="s">
        <v>4</v>
      </c>
      <c r="B909" s="130" t="s">
        <v>574</v>
      </c>
      <c r="C909" s="130" t="s">
        <v>608</v>
      </c>
      <c r="D909" s="130" t="s">
        <v>409</v>
      </c>
      <c r="E909" s="132">
        <v>2190.0100000000002</v>
      </c>
    </row>
    <row r="910" spans="1:5" x14ac:dyDescent="0.25">
      <c r="A910" s="130" t="s">
        <v>4</v>
      </c>
      <c r="B910" s="130" t="s">
        <v>574</v>
      </c>
      <c r="C910" s="130" t="s">
        <v>608</v>
      </c>
      <c r="D910" s="130" t="s">
        <v>463</v>
      </c>
      <c r="E910" s="132">
        <v>830.23</v>
      </c>
    </row>
    <row r="911" spans="1:5" x14ac:dyDescent="0.25">
      <c r="A911" s="130" t="s">
        <v>4</v>
      </c>
      <c r="B911" s="130" t="s">
        <v>574</v>
      </c>
      <c r="C911" s="130" t="s">
        <v>608</v>
      </c>
      <c r="D911" s="130" t="s">
        <v>449</v>
      </c>
      <c r="E911" s="132">
        <v>1353.81</v>
      </c>
    </row>
    <row r="912" spans="1:5" x14ac:dyDescent="0.25">
      <c r="A912" s="130" t="s">
        <v>4</v>
      </c>
      <c r="B912" s="130" t="s">
        <v>574</v>
      </c>
      <c r="C912" s="130" t="s">
        <v>608</v>
      </c>
      <c r="D912" s="130" t="s">
        <v>513</v>
      </c>
      <c r="E912" s="132">
        <v>774.13</v>
      </c>
    </row>
    <row r="913" spans="1:5" x14ac:dyDescent="0.25">
      <c r="A913" s="130" t="s">
        <v>4</v>
      </c>
      <c r="B913" s="130" t="s">
        <v>574</v>
      </c>
      <c r="C913" s="130" t="s">
        <v>608</v>
      </c>
      <c r="D913" s="130" t="s">
        <v>312</v>
      </c>
      <c r="E913" s="132">
        <v>681.41</v>
      </c>
    </row>
    <row r="914" spans="1:5" x14ac:dyDescent="0.25">
      <c r="A914" s="130" t="s">
        <v>4</v>
      </c>
      <c r="B914" s="130" t="s">
        <v>574</v>
      </c>
      <c r="C914" s="130" t="s">
        <v>608</v>
      </c>
      <c r="D914" s="130" t="s">
        <v>454</v>
      </c>
      <c r="E914" s="132">
        <v>810.75</v>
      </c>
    </row>
    <row r="915" spans="1:5" x14ac:dyDescent="0.25">
      <c r="A915" s="130" t="s">
        <v>4</v>
      </c>
      <c r="B915" s="130" t="s">
        <v>574</v>
      </c>
      <c r="C915" s="130" t="s">
        <v>608</v>
      </c>
      <c r="D915" s="130" t="s">
        <v>545</v>
      </c>
      <c r="E915" s="132">
        <v>1776.38</v>
      </c>
    </row>
    <row r="916" spans="1:5" x14ac:dyDescent="0.25">
      <c r="A916" s="130" t="s">
        <v>4</v>
      </c>
      <c r="B916" s="130" t="s">
        <v>574</v>
      </c>
      <c r="C916" s="130" t="s">
        <v>608</v>
      </c>
      <c r="D916" s="130" t="s">
        <v>546</v>
      </c>
      <c r="E916" s="132">
        <v>1190.3599999999999</v>
      </c>
    </row>
    <row r="917" spans="1:5" x14ac:dyDescent="0.25">
      <c r="A917" s="130" t="s">
        <v>4</v>
      </c>
      <c r="B917" s="130" t="s">
        <v>574</v>
      </c>
      <c r="C917" s="130" t="s">
        <v>608</v>
      </c>
      <c r="D917" s="130" t="s">
        <v>734</v>
      </c>
      <c r="E917" s="132">
        <v>823.5</v>
      </c>
    </row>
    <row r="918" spans="1:5" x14ac:dyDescent="0.25">
      <c r="A918" s="130" t="s">
        <v>4</v>
      </c>
      <c r="B918" s="130" t="s">
        <v>574</v>
      </c>
      <c r="C918" s="130" t="s">
        <v>608</v>
      </c>
      <c r="D918" s="130" t="s">
        <v>464</v>
      </c>
      <c r="E918" s="132">
        <v>1085.99</v>
      </c>
    </row>
    <row r="919" spans="1:5" x14ac:dyDescent="0.25">
      <c r="A919" s="130" t="s">
        <v>4</v>
      </c>
      <c r="B919" s="130" t="s">
        <v>574</v>
      </c>
      <c r="C919" s="130" t="s">
        <v>608</v>
      </c>
      <c r="D919" s="130" t="s">
        <v>526</v>
      </c>
      <c r="E919" s="132">
        <v>608.87</v>
      </c>
    </row>
    <row r="920" spans="1:5" x14ac:dyDescent="0.25">
      <c r="A920" s="130" t="s">
        <v>4</v>
      </c>
      <c r="B920" s="130" t="s">
        <v>574</v>
      </c>
      <c r="C920" s="130" t="s">
        <v>608</v>
      </c>
      <c r="D920" s="130" t="s">
        <v>347</v>
      </c>
      <c r="E920" s="132">
        <v>743.42</v>
      </c>
    </row>
    <row r="921" spans="1:5" x14ac:dyDescent="0.25">
      <c r="A921" s="130" t="s">
        <v>4</v>
      </c>
      <c r="B921" s="130" t="s">
        <v>574</v>
      </c>
      <c r="C921" s="130" t="s">
        <v>608</v>
      </c>
      <c r="D921" s="130" t="s">
        <v>348</v>
      </c>
      <c r="E921" s="132">
        <v>437.58</v>
      </c>
    </row>
    <row r="922" spans="1:5" x14ac:dyDescent="0.25">
      <c r="A922" s="130" t="s">
        <v>4</v>
      </c>
      <c r="B922" s="130" t="s">
        <v>574</v>
      </c>
      <c r="C922" s="130" t="s">
        <v>608</v>
      </c>
      <c r="D922" s="130" t="s">
        <v>527</v>
      </c>
      <c r="E922" s="132">
        <v>717.27</v>
      </c>
    </row>
    <row r="923" spans="1:5" x14ac:dyDescent="0.25">
      <c r="A923" s="130" t="s">
        <v>4</v>
      </c>
      <c r="B923" s="130" t="s">
        <v>574</v>
      </c>
      <c r="C923" s="130" t="s">
        <v>608</v>
      </c>
      <c r="D923" s="130" t="s">
        <v>528</v>
      </c>
      <c r="E923" s="132">
        <v>860.89</v>
      </c>
    </row>
    <row r="924" spans="1:5" x14ac:dyDescent="0.25">
      <c r="A924" s="130" t="s">
        <v>4</v>
      </c>
      <c r="B924" s="130" t="s">
        <v>574</v>
      </c>
      <c r="C924" s="130" t="s">
        <v>608</v>
      </c>
      <c r="D924" s="130" t="s">
        <v>958</v>
      </c>
      <c r="E924" s="132">
        <v>723.64</v>
      </c>
    </row>
    <row r="925" spans="1:5" x14ac:dyDescent="0.25">
      <c r="A925" s="130" t="s">
        <v>4</v>
      </c>
      <c r="B925" s="130" t="s">
        <v>574</v>
      </c>
      <c r="C925" s="130" t="s">
        <v>608</v>
      </c>
      <c r="D925" s="130" t="s">
        <v>243</v>
      </c>
      <c r="E925" s="132">
        <v>471.98</v>
      </c>
    </row>
    <row r="926" spans="1:5" x14ac:dyDescent="0.25">
      <c r="A926" s="130" t="s">
        <v>4</v>
      </c>
      <c r="B926" s="130" t="s">
        <v>574</v>
      </c>
      <c r="C926" s="130" t="s">
        <v>608</v>
      </c>
      <c r="D926" s="130" t="s">
        <v>518</v>
      </c>
      <c r="E926" s="132">
        <v>727.39</v>
      </c>
    </row>
    <row r="927" spans="1:5" x14ac:dyDescent="0.25">
      <c r="A927" s="130" t="s">
        <v>4</v>
      </c>
      <c r="B927" s="130" t="s">
        <v>574</v>
      </c>
      <c r="C927" s="130" t="s">
        <v>608</v>
      </c>
      <c r="D927" s="130" t="s">
        <v>280</v>
      </c>
      <c r="E927" s="132">
        <v>616.36</v>
      </c>
    </row>
    <row r="928" spans="1:5" x14ac:dyDescent="0.25">
      <c r="A928" s="130" t="s">
        <v>4</v>
      </c>
      <c r="B928" s="130" t="s">
        <v>574</v>
      </c>
      <c r="C928" s="130" t="s">
        <v>608</v>
      </c>
      <c r="D928" s="130" t="s">
        <v>475</v>
      </c>
      <c r="E928" s="132">
        <v>339.59</v>
      </c>
    </row>
    <row r="929" spans="1:5" x14ac:dyDescent="0.25">
      <c r="A929" s="130" t="s">
        <v>4</v>
      </c>
      <c r="B929" s="130" t="s">
        <v>574</v>
      </c>
      <c r="C929" s="130" t="s">
        <v>608</v>
      </c>
      <c r="D929" s="130" t="s">
        <v>411</v>
      </c>
      <c r="E929" s="132">
        <v>530.29999999999995</v>
      </c>
    </row>
    <row r="930" spans="1:5" x14ac:dyDescent="0.25">
      <c r="A930" s="130" t="s">
        <v>4</v>
      </c>
      <c r="B930" s="130" t="s">
        <v>574</v>
      </c>
      <c r="C930" s="130" t="s">
        <v>608</v>
      </c>
      <c r="D930" s="130" t="s">
        <v>466</v>
      </c>
      <c r="E930" s="132">
        <v>904.99</v>
      </c>
    </row>
    <row r="931" spans="1:5" x14ac:dyDescent="0.25">
      <c r="A931" s="130" t="s">
        <v>4</v>
      </c>
      <c r="B931" s="130" t="s">
        <v>574</v>
      </c>
      <c r="C931" s="130" t="s">
        <v>608</v>
      </c>
      <c r="D931" s="130" t="s">
        <v>467</v>
      </c>
      <c r="E931" s="132">
        <v>988.77</v>
      </c>
    </row>
    <row r="932" spans="1:5" x14ac:dyDescent="0.25">
      <c r="A932" s="130" t="s">
        <v>4</v>
      </c>
      <c r="B932" s="130" t="s">
        <v>574</v>
      </c>
      <c r="C932" s="130" t="s">
        <v>608</v>
      </c>
      <c r="D932" s="130" t="s">
        <v>412</v>
      </c>
      <c r="E932" s="132">
        <v>611.79</v>
      </c>
    </row>
    <row r="933" spans="1:5" x14ac:dyDescent="0.25">
      <c r="A933" s="130" t="s">
        <v>4</v>
      </c>
      <c r="B933" s="130" t="s">
        <v>574</v>
      </c>
      <c r="C933" s="130" t="s">
        <v>608</v>
      </c>
      <c r="D933" s="130" t="s">
        <v>635</v>
      </c>
      <c r="E933" s="132">
        <v>325.38</v>
      </c>
    </row>
    <row r="934" spans="1:5" x14ac:dyDescent="0.25">
      <c r="A934" s="130" t="s">
        <v>4</v>
      </c>
      <c r="B934" s="130" t="s">
        <v>574</v>
      </c>
      <c r="C934" s="130" t="s">
        <v>608</v>
      </c>
      <c r="D934" s="130" t="s">
        <v>468</v>
      </c>
      <c r="E934" s="132">
        <v>349.3</v>
      </c>
    </row>
    <row r="935" spans="1:5" x14ac:dyDescent="0.25">
      <c r="A935" s="130" t="s">
        <v>4</v>
      </c>
      <c r="B935" s="130" t="s">
        <v>574</v>
      </c>
      <c r="C935" s="130" t="s">
        <v>608</v>
      </c>
      <c r="D935" s="130" t="s">
        <v>458</v>
      </c>
      <c r="E935" s="132">
        <v>367.26</v>
      </c>
    </row>
    <row r="936" spans="1:5" x14ac:dyDescent="0.25">
      <c r="A936" s="130" t="s">
        <v>4</v>
      </c>
      <c r="B936" s="130" t="s">
        <v>574</v>
      </c>
      <c r="C936" s="130" t="s">
        <v>608</v>
      </c>
      <c r="D936" s="130" t="s">
        <v>413</v>
      </c>
      <c r="E936" s="132">
        <v>544.52</v>
      </c>
    </row>
    <row r="937" spans="1:5" x14ac:dyDescent="0.25">
      <c r="A937" s="130" t="s">
        <v>4</v>
      </c>
      <c r="B937" s="130" t="s">
        <v>574</v>
      </c>
      <c r="C937" s="130" t="s">
        <v>608</v>
      </c>
      <c r="D937" s="130" t="s">
        <v>300</v>
      </c>
      <c r="E937" s="132">
        <v>921.49</v>
      </c>
    </row>
    <row r="938" spans="1:5" x14ac:dyDescent="0.25">
      <c r="A938" s="130" t="s">
        <v>4</v>
      </c>
      <c r="B938" s="130" t="s">
        <v>574</v>
      </c>
      <c r="C938" s="130" t="s">
        <v>608</v>
      </c>
      <c r="D938" s="130" t="s">
        <v>395</v>
      </c>
      <c r="E938" s="132">
        <v>938.69</v>
      </c>
    </row>
    <row r="939" spans="1:5" x14ac:dyDescent="0.25">
      <c r="A939" s="130" t="s">
        <v>4</v>
      </c>
      <c r="B939" s="130" t="s">
        <v>574</v>
      </c>
      <c r="C939" s="130" t="s">
        <v>608</v>
      </c>
      <c r="D939" s="130" t="s">
        <v>251</v>
      </c>
      <c r="E939" s="132">
        <v>7651.51</v>
      </c>
    </row>
    <row r="940" spans="1:5" x14ac:dyDescent="0.25">
      <c r="A940" s="130" t="s">
        <v>4</v>
      </c>
      <c r="B940" s="130" t="s">
        <v>574</v>
      </c>
      <c r="C940" s="130" t="s">
        <v>608</v>
      </c>
      <c r="D940" s="130" t="s">
        <v>1006</v>
      </c>
      <c r="E940" s="132">
        <v>9724.1200000000008</v>
      </c>
    </row>
    <row r="941" spans="1:5" x14ac:dyDescent="0.25">
      <c r="A941" s="130" t="s">
        <v>4</v>
      </c>
      <c r="B941" s="130" t="s">
        <v>574</v>
      </c>
      <c r="C941" s="130" t="s">
        <v>608</v>
      </c>
      <c r="D941" s="130" t="s">
        <v>261</v>
      </c>
      <c r="E941" s="132">
        <v>15534.67</v>
      </c>
    </row>
    <row r="942" spans="1:5" x14ac:dyDescent="0.25">
      <c r="A942" s="130" t="s">
        <v>4</v>
      </c>
      <c r="B942" s="130" t="s">
        <v>574</v>
      </c>
      <c r="C942" s="130" t="s">
        <v>608</v>
      </c>
      <c r="D942" s="130" t="s">
        <v>396</v>
      </c>
      <c r="E942" s="132">
        <v>2072.6</v>
      </c>
    </row>
    <row r="943" spans="1:5" x14ac:dyDescent="0.25">
      <c r="A943" s="130" t="s">
        <v>4</v>
      </c>
      <c r="B943" s="130" t="s">
        <v>574</v>
      </c>
      <c r="C943" s="130" t="s">
        <v>608</v>
      </c>
      <c r="D943" s="130" t="s">
        <v>515</v>
      </c>
      <c r="E943" s="132">
        <v>2031.41</v>
      </c>
    </row>
    <row r="944" spans="1:5" x14ac:dyDescent="0.25">
      <c r="A944" s="130" t="s">
        <v>4</v>
      </c>
      <c r="B944" s="130" t="s">
        <v>574</v>
      </c>
      <c r="C944" s="130" t="s">
        <v>608</v>
      </c>
      <c r="D944" s="130" t="s">
        <v>683</v>
      </c>
      <c r="E944" s="132">
        <v>2802.56</v>
      </c>
    </row>
    <row r="945" spans="1:5" x14ac:dyDescent="0.25">
      <c r="A945" s="130" t="s">
        <v>4</v>
      </c>
      <c r="B945" s="130" t="s">
        <v>574</v>
      </c>
      <c r="C945" s="130" t="s">
        <v>608</v>
      </c>
      <c r="D945" s="130" t="s">
        <v>1007</v>
      </c>
      <c r="E945" s="132">
        <v>1710.5</v>
      </c>
    </row>
    <row r="946" spans="1:5" x14ac:dyDescent="0.25">
      <c r="A946" s="130" t="s">
        <v>4</v>
      </c>
      <c r="B946" s="130" t="s">
        <v>574</v>
      </c>
      <c r="C946" s="130" t="s">
        <v>608</v>
      </c>
      <c r="D946" s="130" t="s">
        <v>552</v>
      </c>
      <c r="E946" s="132">
        <v>3403.94</v>
      </c>
    </row>
    <row r="947" spans="1:5" x14ac:dyDescent="0.25">
      <c r="A947" s="130" t="s">
        <v>4</v>
      </c>
      <c r="B947" s="130" t="s">
        <v>574</v>
      </c>
      <c r="C947" s="130" t="s">
        <v>608</v>
      </c>
      <c r="D947" s="130" t="s">
        <v>252</v>
      </c>
      <c r="E947" s="132">
        <v>2134.66</v>
      </c>
    </row>
    <row r="948" spans="1:5" x14ac:dyDescent="0.25">
      <c r="A948" s="130" t="s">
        <v>4</v>
      </c>
      <c r="B948" s="130" t="s">
        <v>574</v>
      </c>
      <c r="C948" s="130" t="s">
        <v>608</v>
      </c>
      <c r="D948" s="130" t="s">
        <v>508</v>
      </c>
      <c r="E948" s="132">
        <v>1860.88</v>
      </c>
    </row>
    <row r="949" spans="1:5" x14ac:dyDescent="0.25">
      <c r="A949" s="130" t="s">
        <v>4</v>
      </c>
      <c r="B949" s="130" t="s">
        <v>574</v>
      </c>
      <c r="C949" s="130" t="s">
        <v>608</v>
      </c>
      <c r="D949" s="130" t="s">
        <v>330</v>
      </c>
      <c r="E949" s="132">
        <v>4154.08</v>
      </c>
    </row>
    <row r="950" spans="1:5" x14ac:dyDescent="0.25">
      <c r="A950" s="130" t="s">
        <v>4</v>
      </c>
      <c r="B950" s="130" t="s">
        <v>574</v>
      </c>
      <c r="C950" s="130" t="s">
        <v>608</v>
      </c>
      <c r="D950" s="130" t="s">
        <v>289</v>
      </c>
      <c r="E950" s="132">
        <v>2964.9</v>
      </c>
    </row>
    <row r="951" spans="1:5" x14ac:dyDescent="0.25">
      <c r="A951" s="130" t="s">
        <v>4</v>
      </c>
      <c r="B951" s="130" t="s">
        <v>574</v>
      </c>
      <c r="C951" s="130" t="s">
        <v>608</v>
      </c>
      <c r="D951" s="130" t="s">
        <v>257</v>
      </c>
      <c r="E951" s="132">
        <v>24194.59</v>
      </c>
    </row>
    <row r="952" spans="1:5" x14ac:dyDescent="0.25">
      <c r="A952" s="130" t="s">
        <v>4</v>
      </c>
      <c r="B952" s="130" t="s">
        <v>574</v>
      </c>
      <c r="C952" s="130" t="s">
        <v>608</v>
      </c>
      <c r="D952" s="130" t="s">
        <v>560</v>
      </c>
      <c r="E952" s="132">
        <v>12179.2</v>
      </c>
    </row>
    <row r="953" spans="1:5" x14ac:dyDescent="0.25">
      <c r="A953" s="130" t="s">
        <v>4</v>
      </c>
      <c r="B953" s="130" t="s">
        <v>574</v>
      </c>
      <c r="C953" s="130" t="s">
        <v>608</v>
      </c>
      <c r="D953" s="130" t="s">
        <v>309</v>
      </c>
      <c r="E953" s="132">
        <v>12531.58</v>
      </c>
    </row>
    <row r="954" spans="1:5" x14ac:dyDescent="0.25">
      <c r="A954" s="130" t="s">
        <v>4</v>
      </c>
      <c r="B954" s="130" t="s">
        <v>574</v>
      </c>
      <c r="C954" s="130" t="s">
        <v>608</v>
      </c>
      <c r="D954" s="130" t="s">
        <v>510</v>
      </c>
      <c r="E954" s="132">
        <v>77337</v>
      </c>
    </row>
    <row r="955" spans="1:5" x14ac:dyDescent="0.25">
      <c r="A955" s="130" t="s">
        <v>4</v>
      </c>
      <c r="B955" s="130" t="s">
        <v>574</v>
      </c>
      <c r="C955" s="130" t="s">
        <v>608</v>
      </c>
      <c r="D955" s="130" t="s">
        <v>430</v>
      </c>
      <c r="E955" s="132">
        <v>84886.33</v>
      </c>
    </row>
    <row r="956" spans="1:5" x14ac:dyDescent="0.25">
      <c r="A956" s="130" t="s">
        <v>4</v>
      </c>
      <c r="B956" s="130" t="s">
        <v>574</v>
      </c>
      <c r="C956" s="130" t="s">
        <v>608</v>
      </c>
      <c r="D956" s="130" t="s">
        <v>264</v>
      </c>
      <c r="E956" s="132">
        <v>4275.24</v>
      </c>
    </row>
    <row r="957" spans="1:5" x14ac:dyDescent="0.25">
      <c r="A957" s="130" t="s">
        <v>4</v>
      </c>
      <c r="B957" s="130" t="s">
        <v>574</v>
      </c>
      <c r="C957" s="130" t="s">
        <v>608</v>
      </c>
      <c r="D957" s="130" t="s">
        <v>381</v>
      </c>
      <c r="E957" s="132">
        <v>9820.74</v>
      </c>
    </row>
    <row r="958" spans="1:5" x14ac:dyDescent="0.25">
      <c r="A958" s="130" t="s">
        <v>4</v>
      </c>
      <c r="B958" s="130" t="s">
        <v>574</v>
      </c>
      <c r="C958" s="130" t="s">
        <v>608</v>
      </c>
      <c r="D958" s="130" t="s">
        <v>703</v>
      </c>
      <c r="E958" s="132">
        <v>6951.16</v>
      </c>
    </row>
    <row r="959" spans="1:5" x14ac:dyDescent="0.25">
      <c r="A959" s="130" t="s">
        <v>4</v>
      </c>
      <c r="B959" s="130" t="s">
        <v>574</v>
      </c>
      <c r="C959" s="130" t="s">
        <v>608</v>
      </c>
      <c r="D959" s="130" t="s">
        <v>704</v>
      </c>
      <c r="E959" s="132">
        <v>15040.82</v>
      </c>
    </row>
    <row r="960" spans="1:5" x14ac:dyDescent="0.25">
      <c r="A960" s="130" t="s">
        <v>4</v>
      </c>
      <c r="B960" s="130" t="s">
        <v>574</v>
      </c>
      <c r="C960" s="130" t="s">
        <v>608</v>
      </c>
      <c r="D960" s="130" t="s">
        <v>440</v>
      </c>
      <c r="E960" s="132">
        <v>16256.87</v>
      </c>
    </row>
    <row r="961" spans="1:5" x14ac:dyDescent="0.25">
      <c r="A961" s="130" t="s">
        <v>4</v>
      </c>
      <c r="B961" s="130" t="s">
        <v>574</v>
      </c>
      <c r="C961" s="130" t="s">
        <v>608</v>
      </c>
      <c r="D961" s="130" t="s">
        <v>691</v>
      </c>
      <c r="E961" s="132">
        <v>9464.42</v>
      </c>
    </row>
    <row r="962" spans="1:5" x14ac:dyDescent="0.25">
      <c r="A962" s="130" t="s">
        <v>4</v>
      </c>
      <c r="B962" s="130" t="s">
        <v>574</v>
      </c>
      <c r="C962" s="130" t="s">
        <v>608</v>
      </c>
      <c r="D962" s="130" t="s">
        <v>665</v>
      </c>
      <c r="E962" s="132">
        <v>5214.3500000000004</v>
      </c>
    </row>
    <row r="963" spans="1:5" x14ac:dyDescent="0.25">
      <c r="A963" s="130" t="s">
        <v>4</v>
      </c>
      <c r="B963" s="130" t="s">
        <v>574</v>
      </c>
      <c r="C963" s="130" t="s">
        <v>608</v>
      </c>
      <c r="D963" s="130" t="s">
        <v>273</v>
      </c>
      <c r="E963" s="132">
        <v>3658.77</v>
      </c>
    </row>
    <row r="964" spans="1:5" x14ac:dyDescent="0.25">
      <c r="A964" s="130" t="s">
        <v>4</v>
      </c>
      <c r="B964" s="130" t="s">
        <v>574</v>
      </c>
      <c r="C964" s="130" t="s">
        <v>608</v>
      </c>
      <c r="D964" s="130" t="s">
        <v>431</v>
      </c>
      <c r="E964" s="132">
        <v>5514.47</v>
      </c>
    </row>
    <row r="965" spans="1:5" x14ac:dyDescent="0.25">
      <c r="A965" s="130" t="s">
        <v>4</v>
      </c>
      <c r="B965" s="130" t="s">
        <v>574</v>
      </c>
      <c r="C965" s="130" t="s">
        <v>608</v>
      </c>
      <c r="D965" s="130" t="s">
        <v>302</v>
      </c>
      <c r="E965" s="132">
        <v>7508.67</v>
      </c>
    </row>
    <row r="966" spans="1:5" x14ac:dyDescent="0.25">
      <c r="A966" s="130" t="s">
        <v>4</v>
      </c>
      <c r="B966" s="130" t="s">
        <v>574</v>
      </c>
      <c r="C966" s="130" t="s">
        <v>608</v>
      </c>
      <c r="D966" s="130" t="s">
        <v>277</v>
      </c>
      <c r="E966" s="132">
        <v>2193.38</v>
      </c>
    </row>
    <row r="967" spans="1:5" x14ac:dyDescent="0.25">
      <c r="A967" s="130" t="s">
        <v>4</v>
      </c>
      <c r="B967" s="130" t="s">
        <v>574</v>
      </c>
      <c r="C967" s="130" t="s">
        <v>608</v>
      </c>
      <c r="D967" s="130" t="s">
        <v>522</v>
      </c>
      <c r="E967" s="132">
        <v>928.63</v>
      </c>
    </row>
    <row r="968" spans="1:5" x14ac:dyDescent="0.25">
      <c r="A968" s="130" t="s">
        <v>4</v>
      </c>
      <c r="B968" s="130" t="s">
        <v>574</v>
      </c>
      <c r="C968" s="130" t="s">
        <v>608</v>
      </c>
      <c r="D968" s="130" t="s">
        <v>393</v>
      </c>
      <c r="E968" s="132">
        <v>2267.75</v>
      </c>
    </row>
    <row r="969" spans="1:5" x14ac:dyDescent="0.25">
      <c r="A969" s="130" t="s">
        <v>4</v>
      </c>
      <c r="B969" s="130" t="s">
        <v>574</v>
      </c>
      <c r="C969" s="130" t="s">
        <v>608</v>
      </c>
      <c r="D969" s="130" t="s">
        <v>497</v>
      </c>
      <c r="E969" s="132">
        <v>3719.95</v>
      </c>
    </row>
    <row r="970" spans="1:5" x14ac:dyDescent="0.25">
      <c r="A970" s="130" t="s">
        <v>4</v>
      </c>
      <c r="B970" s="130" t="s">
        <v>574</v>
      </c>
      <c r="C970" s="130" t="s">
        <v>608</v>
      </c>
      <c r="D970" s="130" t="s">
        <v>498</v>
      </c>
      <c r="E970" s="132">
        <v>2628.68</v>
      </c>
    </row>
    <row r="971" spans="1:5" x14ac:dyDescent="0.25">
      <c r="A971" s="130" t="s">
        <v>4</v>
      </c>
      <c r="B971" s="130" t="s">
        <v>574</v>
      </c>
      <c r="C971" s="130" t="s">
        <v>608</v>
      </c>
      <c r="D971" s="130" t="s">
        <v>338</v>
      </c>
      <c r="E971" s="132">
        <v>2176.33</v>
      </c>
    </row>
    <row r="972" spans="1:5" x14ac:dyDescent="0.25">
      <c r="A972" s="130" t="s">
        <v>4</v>
      </c>
      <c r="B972" s="130" t="s">
        <v>574</v>
      </c>
      <c r="C972" s="130" t="s">
        <v>608</v>
      </c>
      <c r="D972" s="130" t="s">
        <v>293</v>
      </c>
      <c r="E972" s="132">
        <v>1750.39</v>
      </c>
    </row>
    <row r="973" spans="1:5" x14ac:dyDescent="0.25">
      <c r="A973" s="130" t="s">
        <v>4</v>
      </c>
      <c r="B973" s="130" t="s">
        <v>574</v>
      </c>
      <c r="C973" s="130" t="s">
        <v>608</v>
      </c>
      <c r="D973" s="130" t="s">
        <v>303</v>
      </c>
      <c r="E973" s="132">
        <v>1022.36</v>
      </c>
    </row>
    <row r="974" spans="1:5" x14ac:dyDescent="0.25">
      <c r="A974" s="130" t="s">
        <v>4</v>
      </c>
      <c r="B974" s="130" t="s">
        <v>574</v>
      </c>
      <c r="C974" s="130" t="s">
        <v>608</v>
      </c>
      <c r="D974" s="130" t="s">
        <v>403</v>
      </c>
      <c r="E974" s="132">
        <v>1033.97</v>
      </c>
    </row>
    <row r="975" spans="1:5" x14ac:dyDescent="0.25">
      <c r="A975" s="130" t="s">
        <v>4</v>
      </c>
      <c r="B975" s="130" t="s">
        <v>574</v>
      </c>
      <c r="C975" s="130" t="s">
        <v>608</v>
      </c>
      <c r="D975" s="130" t="s">
        <v>680</v>
      </c>
      <c r="E975" s="132">
        <v>1059.9100000000001</v>
      </c>
    </row>
    <row r="976" spans="1:5" x14ac:dyDescent="0.25">
      <c r="A976" s="130" t="s">
        <v>4</v>
      </c>
      <c r="B976" s="130" t="s">
        <v>574</v>
      </c>
      <c r="C976" s="130" t="s">
        <v>608</v>
      </c>
      <c r="D976" s="130" t="s">
        <v>443</v>
      </c>
      <c r="E976" s="132">
        <v>1613.3</v>
      </c>
    </row>
    <row r="977" spans="1:5" x14ac:dyDescent="0.25">
      <c r="A977" s="130" t="s">
        <v>4</v>
      </c>
      <c r="B977" s="130" t="s">
        <v>574</v>
      </c>
      <c r="C977" s="130" t="s">
        <v>608</v>
      </c>
      <c r="D977" s="130" t="s">
        <v>715</v>
      </c>
      <c r="E977" s="132">
        <v>1271.73</v>
      </c>
    </row>
    <row r="978" spans="1:5" x14ac:dyDescent="0.25">
      <c r="A978" s="130" t="s">
        <v>4</v>
      </c>
      <c r="B978" s="130" t="s">
        <v>574</v>
      </c>
      <c r="C978" s="130" t="s">
        <v>608</v>
      </c>
      <c r="D978" s="130" t="s">
        <v>365</v>
      </c>
      <c r="E978" s="132">
        <v>659.88</v>
      </c>
    </row>
    <row r="979" spans="1:5" x14ac:dyDescent="0.25">
      <c r="A979" s="130" t="s">
        <v>4</v>
      </c>
      <c r="B979" s="130" t="s">
        <v>574</v>
      </c>
      <c r="C979" s="130" t="s">
        <v>608</v>
      </c>
      <c r="D979" s="130" t="s">
        <v>635</v>
      </c>
      <c r="E979" s="132">
        <v>338.46</v>
      </c>
    </row>
    <row r="980" spans="1:5" x14ac:dyDescent="0.25">
      <c r="A980" s="130" t="s">
        <v>4</v>
      </c>
      <c r="B980" s="130" t="s">
        <v>574</v>
      </c>
      <c r="C980" s="130" t="s">
        <v>608</v>
      </c>
      <c r="D980" s="130" t="s">
        <v>245</v>
      </c>
      <c r="E980" s="132">
        <v>2610.79</v>
      </c>
    </row>
    <row r="981" spans="1:5" x14ac:dyDescent="0.25">
      <c r="A981" s="130" t="s">
        <v>4</v>
      </c>
      <c r="B981" s="130" t="s">
        <v>574</v>
      </c>
      <c r="C981" s="130" t="s">
        <v>608</v>
      </c>
      <c r="D981" s="130" t="s">
        <v>246</v>
      </c>
      <c r="E981" s="132">
        <v>2772.06</v>
      </c>
    </row>
    <row r="982" spans="1:5" x14ac:dyDescent="0.25">
      <c r="A982" s="130" t="s">
        <v>4</v>
      </c>
      <c r="B982" s="130" t="s">
        <v>574</v>
      </c>
      <c r="C982" s="130" t="s">
        <v>608</v>
      </c>
      <c r="D982" s="130" t="s">
        <v>249</v>
      </c>
      <c r="E982" s="132">
        <v>3721.76</v>
      </c>
    </row>
    <row r="983" spans="1:5" x14ac:dyDescent="0.25">
      <c r="A983" s="130" t="s">
        <v>4</v>
      </c>
      <c r="B983" s="130" t="s">
        <v>574</v>
      </c>
      <c r="C983" s="130" t="s">
        <v>608</v>
      </c>
      <c r="D983" s="130" t="s">
        <v>469</v>
      </c>
      <c r="E983" s="132">
        <v>6697.82</v>
      </c>
    </row>
    <row r="984" spans="1:5" x14ac:dyDescent="0.25">
      <c r="A984" s="130" t="s">
        <v>4</v>
      </c>
      <c r="B984" s="130" t="s">
        <v>574</v>
      </c>
      <c r="C984" s="130" t="s">
        <v>608</v>
      </c>
      <c r="D984" s="130" t="s">
        <v>288</v>
      </c>
      <c r="E984" s="132">
        <v>1634.51</v>
      </c>
    </row>
    <row r="985" spans="1:5" x14ac:dyDescent="0.25">
      <c r="A985" s="130" t="s">
        <v>4</v>
      </c>
      <c r="B985" s="130" t="s">
        <v>574</v>
      </c>
      <c r="C985" s="130" t="s">
        <v>608</v>
      </c>
      <c r="D985" s="130" t="s">
        <v>379</v>
      </c>
      <c r="E985" s="132">
        <v>1680.52</v>
      </c>
    </row>
    <row r="986" spans="1:5" x14ac:dyDescent="0.25">
      <c r="A986" s="130" t="s">
        <v>4</v>
      </c>
      <c r="B986" s="130" t="s">
        <v>574</v>
      </c>
      <c r="C986" s="130" t="s">
        <v>608</v>
      </c>
      <c r="D986" s="130" t="s">
        <v>714</v>
      </c>
      <c r="E986" s="132">
        <v>3586.26</v>
      </c>
    </row>
    <row r="987" spans="1:5" x14ac:dyDescent="0.25">
      <c r="A987" s="130" t="s">
        <v>4</v>
      </c>
      <c r="B987" s="130" t="s">
        <v>574</v>
      </c>
      <c r="C987" s="130" t="s">
        <v>608</v>
      </c>
      <c r="D987" s="130" t="s">
        <v>481</v>
      </c>
      <c r="E987" s="132">
        <v>3788.87</v>
      </c>
    </row>
    <row r="988" spans="1:5" x14ac:dyDescent="0.25">
      <c r="A988" s="130" t="s">
        <v>4</v>
      </c>
      <c r="B988" s="130" t="s">
        <v>574</v>
      </c>
      <c r="C988" s="130" t="s">
        <v>608</v>
      </c>
      <c r="D988" s="130" t="s">
        <v>637</v>
      </c>
      <c r="E988" s="132">
        <v>5812.66</v>
      </c>
    </row>
    <row r="989" spans="1:5" x14ac:dyDescent="0.25">
      <c r="A989" s="130" t="s">
        <v>4</v>
      </c>
      <c r="B989" s="130" t="s">
        <v>574</v>
      </c>
      <c r="C989" s="130" t="s">
        <v>608</v>
      </c>
      <c r="D989" s="130" t="s">
        <v>261</v>
      </c>
      <c r="E989" s="132">
        <v>19396.66</v>
      </c>
    </row>
    <row r="990" spans="1:5" x14ac:dyDescent="0.25">
      <c r="A990" s="130" t="s">
        <v>4</v>
      </c>
      <c r="B990" s="130" t="s">
        <v>574</v>
      </c>
      <c r="C990" s="130" t="s">
        <v>608</v>
      </c>
      <c r="D990" s="130" t="s">
        <v>638</v>
      </c>
      <c r="E990" s="132">
        <v>3934.48</v>
      </c>
    </row>
    <row r="991" spans="1:5" x14ac:dyDescent="0.25">
      <c r="A991" s="130" t="s">
        <v>4</v>
      </c>
      <c r="B991" s="130" t="s">
        <v>574</v>
      </c>
      <c r="C991" s="130" t="s">
        <v>608</v>
      </c>
      <c r="D991" s="130" t="s">
        <v>520</v>
      </c>
      <c r="E991" s="132">
        <v>6495.76</v>
      </c>
    </row>
    <row r="992" spans="1:5" x14ac:dyDescent="0.25">
      <c r="A992" s="130" t="s">
        <v>4</v>
      </c>
      <c r="B992" s="130" t="s">
        <v>574</v>
      </c>
      <c r="C992" s="130" t="s">
        <v>608</v>
      </c>
      <c r="D992" s="130" t="s">
        <v>396</v>
      </c>
      <c r="E992" s="132">
        <v>2156.9899999999998</v>
      </c>
    </row>
    <row r="993" spans="1:5" x14ac:dyDescent="0.25">
      <c r="A993" s="130" t="s">
        <v>4</v>
      </c>
      <c r="B993" s="130" t="s">
        <v>574</v>
      </c>
      <c r="C993" s="130" t="s">
        <v>608</v>
      </c>
      <c r="D993" s="130" t="s">
        <v>683</v>
      </c>
      <c r="E993" s="132">
        <v>1458.39</v>
      </c>
    </row>
    <row r="994" spans="1:5" x14ac:dyDescent="0.25">
      <c r="A994" s="130" t="s">
        <v>4</v>
      </c>
      <c r="B994" s="130" t="s">
        <v>574</v>
      </c>
      <c r="C994" s="130" t="s">
        <v>608</v>
      </c>
      <c r="D994" s="130" t="s">
        <v>555</v>
      </c>
      <c r="E994" s="132">
        <v>2006.74</v>
      </c>
    </row>
    <row r="995" spans="1:5" x14ac:dyDescent="0.25">
      <c r="A995" s="130" t="s">
        <v>4</v>
      </c>
      <c r="B995" s="130" t="s">
        <v>574</v>
      </c>
      <c r="C995" s="130" t="s">
        <v>608</v>
      </c>
      <c r="D995" s="130" t="s">
        <v>566</v>
      </c>
      <c r="E995" s="132">
        <v>2544.25</v>
      </c>
    </row>
    <row r="996" spans="1:5" x14ac:dyDescent="0.25">
      <c r="A996" s="130" t="s">
        <v>4</v>
      </c>
      <c r="B996" s="130" t="s">
        <v>574</v>
      </c>
      <c r="C996" s="130" t="s">
        <v>608</v>
      </c>
      <c r="D996" s="130" t="s">
        <v>329</v>
      </c>
      <c r="E996" s="132">
        <v>3945.33</v>
      </c>
    </row>
    <row r="997" spans="1:5" x14ac:dyDescent="0.25">
      <c r="A997" s="130" t="s">
        <v>4</v>
      </c>
      <c r="B997" s="130" t="s">
        <v>574</v>
      </c>
      <c r="C997" s="130" t="s">
        <v>608</v>
      </c>
      <c r="D997" s="130" t="s">
        <v>252</v>
      </c>
      <c r="E997" s="132">
        <v>11106.39</v>
      </c>
    </row>
    <row r="998" spans="1:5" x14ac:dyDescent="0.25">
      <c r="A998" s="130" t="s">
        <v>4</v>
      </c>
      <c r="B998" s="130" t="s">
        <v>574</v>
      </c>
      <c r="C998" s="130" t="s">
        <v>608</v>
      </c>
      <c r="D998" s="130" t="s">
        <v>351</v>
      </c>
      <c r="E998" s="132">
        <v>5687.95</v>
      </c>
    </row>
    <row r="999" spans="1:5" x14ac:dyDescent="0.25">
      <c r="A999" s="130" t="s">
        <v>4</v>
      </c>
      <c r="B999" s="130" t="s">
        <v>574</v>
      </c>
      <c r="C999" s="130" t="s">
        <v>608</v>
      </c>
      <c r="D999" s="130" t="s">
        <v>569</v>
      </c>
      <c r="E999" s="132">
        <v>8524.2000000000007</v>
      </c>
    </row>
    <row r="1000" spans="1:5" x14ac:dyDescent="0.25">
      <c r="A1000" s="130" t="s">
        <v>4</v>
      </c>
      <c r="B1000" s="130" t="s">
        <v>574</v>
      </c>
      <c r="C1000" s="130" t="s">
        <v>608</v>
      </c>
      <c r="D1000" s="130" t="s">
        <v>502</v>
      </c>
      <c r="E1000" s="132">
        <v>14051.96</v>
      </c>
    </row>
    <row r="1001" spans="1:5" x14ac:dyDescent="0.25">
      <c r="A1001" s="130" t="s">
        <v>4</v>
      </c>
      <c r="B1001" s="130" t="s">
        <v>574</v>
      </c>
      <c r="C1001" s="130" t="s">
        <v>608</v>
      </c>
      <c r="D1001" s="130" t="s">
        <v>305</v>
      </c>
      <c r="E1001" s="132">
        <v>41828.050000000003</v>
      </c>
    </row>
    <row r="1002" spans="1:5" x14ac:dyDescent="0.25">
      <c r="A1002" s="130" t="s">
        <v>4</v>
      </c>
      <c r="B1002" s="130" t="s">
        <v>574</v>
      </c>
      <c r="C1002" s="130" t="s">
        <v>608</v>
      </c>
      <c r="D1002" s="130" t="s">
        <v>440</v>
      </c>
      <c r="E1002" s="132">
        <v>15927.05</v>
      </c>
    </row>
    <row r="1003" spans="1:5" x14ac:dyDescent="0.25">
      <c r="A1003" s="130" t="s">
        <v>4</v>
      </c>
      <c r="B1003" s="130" t="s">
        <v>574</v>
      </c>
      <c r="C1003" s="130" t="s">
        <v>608</v>
      </c>
      <c r="D1003" s="130" t="s">
        <v>691</v>
      </c>
      <c r="E1003" s="132">
        <v>9270.9599999999991</v>
      </c>
    </row>
    <row r="1004" spans="1:5" x14ac:dyDescent="0.25">
      <c r="A1004" s="130" t="s">
        <v>4</v>
      </c>
      <c r="B1004" s="130" t="s">
        <v>574</v>
      </c>
      <c r="C1004" s="130" t="s">
        <v>608</v>
      </c>
      <c r="D1004" s="130" t="s">
        <v>310</v>
      </c>
      <c r="E1004" s="132">
        <v>27757.85</v>
      </c>
    </row>
    <row r="1005" spans="1:5" x14ac:dyDescent="0.25">
      <c r="A1005" s="130" t="s">
        <v>4</v>
      </c>
      <c r="B1005" s="130" t="s">
        <v>574</v>
      </c>
      <c r="C1005" s="130" t="s">
        <v>608</v>
      </c>
      <c r="D1005" s="130" t="s">
        <v>430</v>
      </c>
      <c r="E1005" s="132">
        <v>2000.28</v>
      </c>
    </row>
    <row r="1006" spans="1:5" x14ac:dyDescent="0.25">
      <c r="A1006" s="130" t="s">
        <v>4</v>
      </c>
      <c r="B1006" s="130" t="s">
        <v>574</v>
      </c>
      <c r="C1006" s="130" t="s">
        <v>608</v>
      </c>
      <c r="D1006" s="130" t="s">
        <v>1008</v>
      </c>
      <c r="E1006" s="132">
        <v>3286</v>
      </c>
    </row>
    <row r="1007" spans="1:5" x14ac:dyDescent="0.25">
      <c r="A1007" s="130" t="s">
        <v>4</v>
      </c>
      <c r="B1007" s="130" t="s">
        <v>574</v>
      </c>
      <c r="C1007" s="130" t="s">
        <v>608</v>
      </c>
      <c r="D1007" s="130" t="s">
        <v>1009</v>
      </c>
      <c r="E1007" s="132">
        <v>1919.74</v>
      </c>
    </row>
    <row r="1008" spans="1:5" x14ac:dyDescent="0.25">
      <c r="A1008" s="130" t="s">
        <v>4</v>
      </c>
      <c r="B1008" s="130" t="s">
        <v>574</v>
      </c>
      <c r="C1008" s="130" t="s">
        <v>608</v>
      </c>
      <c r="D1008" s="130" t="s">
        <v>1010</v>
      </c>
      <c r="E1008" s="132">
        <v>1755.84</v>
      </c>
    </row>
    <row r="1009" spans="1:5" x14ac:dyDescent="0.25">
      <c r="A1009" s="130" t="s">
        <v>4</v>
      </c>
      <c r="B1009" s="130" t="s">
        <v>574</v>
      </c>
      <c r="C1009" s="130" t="s">
        <v>608</v>
      </c>
      <c r="D1009" s="130" t="s">
        <v>1011</v>
      </c>
      <c r="E1009" s="132">
        <v>1677.46</v>
      </c>
    </row>
    <row r="1010" spans="1:5" x14ac:dyDescent="0.25">
      <c r="A1010" s="130" t="s">
        <v>4</v>
      </c>
      <c r="B1010" s="130" t="s">
        <v>574</v>
      </c>
      <c r="C1010" s="130" t="s">
        <v>608</v>
      </c>
      <c r="D1010" s="130" t="s">
        <v>1012</v>
      </c>
      <c r="E1010" s="132">
        <v>1944.45</v>
      </c>
    </row>
    <row r="1011" spans="1:5" x14ac:dyDescent="0.25">
      <c r="A1011" s="130" t="s">
        <v>4</v>
      </c>
      <c r="B1011" s="130" t="s">
        <v>574</v>
      </c>
      <c r="C1011" s="130" t="s">
        <v>608</v>
      </c>
      <c r="D1011" s="130" t="s">
        <v>1013</v>
      </c>
      <c r="E1011" s="132">
        <v>2055.4699999999998</v>
      </c>
    </row>
    <row r="1012" spans="1:5" x14ac:dyDescent="0.25">
      <c r="A1012" s="130" t="s">
        <v>4</v>
      </c>
      <c r="B1012" s="130" t="s">
        <v>574</v>
      </c>
      <c r="C1012" s="130" t="s">
        <v>608</v>
      </c>
      <c r="D1012" s="130" t="s">
        <v>1014</v>
      </c>
      <c r="E1012" s="132">
        <v>1542.83</v>
      </c>
    </row>
    <row r="1013" spans="1:5" x14ac:dyDescent="0.25">
      <c r="A1013" s="130" t="s">
        <v>4</v>
      </c>
      <c r="B1013" s="130" t="s">
        <v>574</v>
      </c>
      <c r="C1013" s="130" t="s">
        <v>608</v>
      </c>
      <c r="D1013" s="130" t="s">
        <v>1015</v>
      </c>
      <c r="E1013" s="132">
        <v>3243.96</v>
      </c>
    </row>
    <row r="1014" spans="1:5" x14ac:dyDescent="0.25">
      <c r="A1014" s="130" t="s">
        <v>4</v>
      </c>
      <c r="B1014" s="130" t="s">
        <v>574</v>
      </c>
      <c r="C1014" s="130" t="s">
        <v>608</v>
      </c>
      <c r="D1014" s="130" t="s">
        <v>1016</v>
      </c>
      <c r="E1014" s="132">
        <v>2624.97</v>
      </c>
    </row>
    <row r="1015" spans="1:5" x14ac:dyDescent="0.25">
      <c r="A1015" s="130" t="s">
        <v>4</v>
      </c>
      <c r="B1015" s="130" t="s">
        <v>574</v>
      </c>
      <c r="C1015" s="130" t="s">
        <v>608</v>
      </c>
      <c r="D1015" s="130" t="s">
        <v>818</v>
      </c>
      <c r="E1015" s="132">
        <v>6018.5</v>
      </c>
    </row>
    <row r="1016" spans="1:5" x14ac:dyDescent="0.25">
      <c r="A1016" s="130" t="s">
        <v>4</v>
      </c>
      <c r="B1016" s="130" t="s">
        <v>574</v>
      </c>
      <c r="C1016" s="130" t="s">
        <v>608</v>
      </c>
      <c r="D1016" s="130" t="s">
        <v>726</v>
      </c>
      <c r="E1016" s="132">
        <v>6714.88</v>
      </c>
    </row>
    <row r="1017" spans="1:5" x14ac:dyDescent="0.25">
      <c r="A1017" s="130" t="s">
        <v>4</v>
      </c>
      <c r="B1017" s="130" t="s">
        <v>574</v>
      </c>
      <c r="C1017" s="130" t="s">
        <v>608</v>
      </c>
      <c r="D1017" s="130" t="s">
        <v>497</v>
      </c>
      <c r="E1017" s="132">
        <v>10930.81</v>
      </c>
    </row>
    <row r="1018" spans="1:5" x14ac:dyDescent="0.25">
      <c r="A1018" s="130" t="s">
        <v>4</v>
      </c>
      <c r="B1018" s="130" t="s">
        <v>574</v>
      </c>
      <c r="C1018" s="130" t="s">
        <v>608</v>
      </c>
      <c r="D1018" s="130" t="s">
        <v>498</v>
      </c>
      <c r="E1018" s="132">
        <v>20597.61</v>
      </c>
    </row>
    <row r="1019" spans="1:5" x14ac:dyDescent="0.25">
      <c r="A1019" s="130" t="s">
        <v>4</v>
      </c>
      <c r="B1019" s="130" t="s">
        <v>574</v>
      </c>
      <c r="C1019" s="130" t="s">
        <v>608</v>
      </c>
      <c r="D1019" s="130" t="s">
        <v>299</v>
      </c>
      <c r="E1019" s="132">
        <v>9802.9699999999993</v>
      </c>
    </row>
    <row r="1020" spans="1:5" x14ac:dyDescent="0.25">
      <c r="A1020" s="130" t="s">
        <v>4</v>
      </c>
      <c r="B1020" s="130" t="s">
        <v>574</v>
      </c>
      <c r="C1020" s="130" t="s">
        <v>608</v>
      </c>
      <c r="D1020" s="130" t="s">
        <v>752</v>
      </c>
      <c r="E1020" s="132">
        <v>7913.79</v>
      </c>
    </row>
    <row r="1021" spans="1:5" x14ac:dyDescent="0.25">
      <c r="A1021" s="130" t="s">
        <v>4</v>
      </c>
      <c r="B1021" s="130" t="s">
        <v>574</v>
      </c>
      <c r="C1021" s="130" t="s">
        <v>608</v>
      </c>
      <c r="D1021" s="130" t="s">
        <v>434</v>
      </c>
      <c r="E1021" s="132">
        <v>6105.38</v>
      </c>
    </row>
    <row r="1022" spans="1:5" x14ac:dyDescent="0.25">
      <c r="A1022" s="130" t="s">
        <v>4</v>
      </c>
      <c r="B1022" s="130" t="s">
        <v>574</v>
      </c>
      <c r="C1022" s="130" t="s">
        <v>608</v>
      </c>
      <c r="D1022" s="130" t="s">
        <v>435</v>
      </c>
      <c r="E1022" s="132">
        <v>4184.16</v>
      </c>
    </row>
    <row r="1023" spans="1:5" x14ac:dyDescent="0.25">
      <c r="A1023" s="130" t="s">
        <v>4</v>
      </c>
      <c r="B1023" s="130" t="s">
        <v>574</v>
      </c>
      <c r="C1023" s="130" t="s">
        <v>608</v>
      </c>
      <c r="D1023" s="130" t="s">
        <v>251</v>
      </c>
      <c r="E1023" s="132">
        <v>77995.05</v>
      </c>
    </row>
    <row r="1024" spans="1:5" x14ac:dyDescent="0.25">
      <c r="A1024" s="130" t="s">
        <v>4</v>
      </c>
      <c r="B1024" s="130" t="s">
        <v>574</v>
      </c>
      <c r="C1024" s="130" t="s">
        <v>608</v>
      </c>
      <c r="D1024" s="130" t="s">
        <v>636</v>
      </c>
      <c r="E1024" s="132">
        <v>43595.1</v>
      </c>
    </row>
    <row r="1025" spans="1:5" x14ac:dyDescent="0.25">
      <c r="A1025" s="130" t="s">
        <v>4</v>
      </c>
      <c r="B1025" s="130" t="s">
        <v>574</v>
      </c>
      <c r="C1025" s="130" t="s">
        <v>608</v>
      </c>
      <c r="D1025" s="130" t="s">
        <v>481</v>
      </c>
      <c r="E1025" s="132">
        <v>44537.45</v>
      </c>
    </row>
    <row r="1026" spans="1:5" x14ac:dyDescent="0.25">
      <c r="A1026" s="130" t="s">
        <v>4</v>
      </c>
      <c r="B1026" s="130" t="s">
        <v>574</v>
      </c>
      <c r="C1026" s="130" t="s">
        <v>608</v>
      </c>
      <c r="D1026" s="130" t="s">
        <v>482</v>
      </c>
      <c r="E1026" s="132">
        <v>25429.59</v>
      </c>
    </row>
    <row r="1027" spans="1:5" x14ac:dyDescent="0.25">
      <c r="A1027" s="130" t="s">
        <v>4</v>
      </c>
      <c r="B1027" s="130" t="s">
        <v>574</v>
      </c>
      <c r="C1027" s="130" t="s">
        <v>608</v>
      </c>
      <c r="D1027" s="130" t="s">
        <v>637</v>
      </c>
      <c r="E1027" s="132">
        <v>17081.21</v>
      </c>
    </row>
    <row r="1028" spans="1:5" x14ac:dyDescent="0.25">
      <c r="A1028" s="130" t="s">
        <v>4</v>
      </c>
      <c r="B1028" s="130" t="s">
        <v>574</v>
      </c>
      <c r="C1028" s="130" t="s">
        <v>608</v>
      </c>
      <c r="D1028" s="130" t="s">
        <v>332</v>
      </c>
      <c r="E1028" s="132">
        <v>16359.33</v>
      </c>
    </row>
    <row r="1029" spans="1:5" x14ac:dyDescent="0.25">
      <c r="A1029" s="130" t="s">
        <v>4</v>
      </c>
      <c r="B1029" s="130" t="s">
        <v>574</v>
      </c>
      <c r="C1029" s="130" t="s">
        <v>608</v>
      </c>
      <c r="D1029" s="130" t="s">
        <v>737</v>
      </c>
      <c r="E1029" s="132">
        <v>52462.71</v>
      </c>
    </row>
    <row r="1030" spans="1:5" x14ac:dyDescent="0.25">
      <c r="A1030" s="130" t="s">
        <v>4</v>
      </c>
      <c r="B1030" s="130" t="s">
        <v>574</v>
      </c>
      <c r="C1030" s="130" t="s">
        <v>608</v>
      </c>
      <c r="D1030" s="130" t="s">
        <v>1006</v>
      </c>
      <c r="E1030" s="132">
        <v>19824.330000000002</v>
      </c>
    </row>
    <row r="1031" spans="1:5" x14ac:dyDescent="0.25">
      <c r="A1031" s="130" t="s">
        <v>4</v>
      </c>
      <c r="B1031" s="130" t="s">
        <v>574</v>
      </c>
      <c r="C1031" s="130" t="s">
        <v>608</v>
      </c>
      <c r="D1031" s="130" t="s">
        <v>778</v>
      </c>
      <c r="E1031" s="132">
        <v>34229.11</v>
      </c>
    </row>
    <row r="1032" spans="1:5" x14ac:dyDescent="0.25">
      <c r="A1032" s="130" t="s">
        <v>4</v>
      </c>
      <c r="B1032" s="130" t="s">
        <v>574</v>
      </c>
      <c r="C1032" s="130" t="s">
        <v>608</v>
      </c>
      <c r="D1032" s="130" t="s">
        <v>261</v>
      </c>
      <c r="E1032" s="132">
        <v>114016.32000000001</v>
      </c>
    </row>
    <row r="1033" spans="1:5" x14ac:dyDescent="0.25">
      <c r="A1033" s="130" t="s">
        <v>4</v>
      </c>
      <c r="B1033" s="130" t="s">
        <v>574</v>
      </c>
      <c r="C1033" s="130" t="s">
        <v>608</v>
      </c>
      <c r="D1033" s="130" t="s">
        <v>688</v>
      </c>
      <c r="E1033" s="132">
        <v>22437.7</v>
      </c>
    </row>
    <row r="1034" spans="1:5" x14ac:dyDescent="0.25">
      <c r="A1034" s="130" t="s">
        <v>4</v>
      </c>
      <c r="B1034" s="130" t="s">
        <v>574</v>
      </c>
      <c r="C1034" s="130" t="s">
        <v>608</v>
      </c>
      <c r="D1034" s="130" t="s">
        <v>638</v>
      </c>
      <c r="E1034" s="132">
        <v>46247.98</v>
      </c>
    </row>
    <row r="1035" spans="1:5" x14ac:dyDescent="0.25">
      <c r="A1035" s="130" t="s">
        <v>4</v>
      </c>
      <c r="B1035" s="130" t="s">
        <v>574</v>
      </c>
      <c r="C1035" s="130" t="s">
        <v>608</v>
      </c>
      <c r="D1035" s="130" t="s">
        <v>252</v>
      </c>
      <c r="E1035" s="132">
        <v>43518.400000000001</v>
      </c>
    </row>
    <row r="1036" spans="1:5" x14ac:dyDescent="0.25">
      <c r="A1036" s="130" t="s">
        <v>4</v>
      </c>
      <c r="B1036" s="130" t="s">
        <v>574</v>
      </c>
      <c r="C1036" s="130" t="s">
        <v>608</v>
      </c>
      <c r="D1036" s="130" t="s">
        <v>253</v>
      </c>
      <c r="E1036" s="132">
        <v>19194.59</v>
      </c>
    </row>
    <row r="1037" spans="1:5" x14ac:dyDescent="0.25">
      <c r="A1037" s="130" t="s">
        <v>4</v>
      </c>
      <c r="B1037" s="130" t="s">
        <v>574</v>
      </c>
      <c r="C1037" s="130" t="s">
        <v>608</v>
      </c>
      <c r="D1037" s="130" t="s">
        <v>1017</v>
      </c>
      <c r="E1037" s="132">
        <v>36877.24</v>
      </c>
    </row>
    <row r="1038" spans="1:5" x14ac:dyDescent="0.25">
      <c r="A1038" s="130" t="s">
        <v>4</v>
      </c>
      <c r="B1038" s="130" t="s">
        <v>574</v>
      </c>
      <c r="C1038" s="130" t="s">
        <v>608</v>
      </c>
      <c r="D1038" s="130" t="s">
        <v>233</v>
      </c>
      <c r="E1038" s="132">
        <v>13372.94</v>
      </c>
    </row>
    <row r="1039" spans="1:5" x14ac:dyDescent="0.25">
      <c r="A1039" s="130" t="s">
        <v>4</v>
      </c>
      <c r="B1039" s="130" t="s">
        <v>574</v>
      </c>
      <c r="C1039" s="130" t="s">
        <v>608</v>
      </c>
      <c r="D1039" s="130" t="s">
        <v>423</v>
      </c>
      <c r="E1039" s="132">
        <v>17828.38</v>
      </c>
    </row>
    <row r="1040" spans="1:5" x14ac:dyDescent="0.25">
      <c r="A1040" s="130" t="s">
        <v>4</v>
      </c>
      <c r="B1040" s="130" t="s">
        <v>574</v>
      </c>
      <c r="C1040" s="130" t="s">
        <v>608</v>
      </c>
      <c r="D1040" s="130" t="s">
        <v>505</v>
      </c>
      <c r="E1040" s="132">
        <v>12597.97</v>
      </c>
    </row>
    <row r="1041" spans="1:5" x14ac:dyDescent="0.25">
      <c r="A1041" s="130" t="s">
        <v>4</v>
      </c>
      <c r="B1041" s="130" t="s">
        <v>574</v>
      </c>
      <c r="C1041" s="130" t="s">
        <v>608</v>
      </c>
      <c r="D1041" s="130" t="s">
        <v>524</v>
      </c>
      <c r="E1041" s="132">
        <v>12313</v>
      </c>
    </row>
    <row r="1042" spans="1:5" x14ac:dyDescent="0.25">
      <c r="A1042" s="130" t="s">
        <v>4</v>
      </c>
      <c r="B1042" s="130" t="s">
        <v>574</v>
      </c>
      <c r="C1042" s="130" t="s">
        <v>608</v>
      </c>
      <c r="D1042" s="130" t="s">
        <v>1018</v>
      </c>
      <c r="E1042" s="132">
        <v>9399.41</v>
      </c>
    </row>
    <row r="1043" spans="1:5" x14ac:dyDescent="0.25">
      <c r="A1043" s="130" t="s">
        <v>4</v>
      </c>
      <c r="B1043" s="130" t="s">
        <v>574</v>
      </c>
      <c r="C1043" s="130" t="s">
        <v>608</v>
      </c>
      <c r="D1043" s="130" t="s">
        <v>758</v>
      </c>
      <c r="E1043" s="132">
        <v>18895.689999999999</v>
      </c>
    </row>
    <row r="1044" spans="1:5" x14ac:dyDescent="0.25">
      <c r="A1044" s="130" t="s">
        <v>4</v>
      </c>
      <c r="B1044" s="130" t="s">
        <v>574</v>
      </c>
      <c r="C1044" s="130" t="s">
        <v>608</v>
      </c>
      <c r="D1044" s="130" t="s">
        <v>430</v>
      </c>
      <c r="E1044" s="132">
        <v>38005.26</v>
      </c>
    </row>
    <row r="1045" spans="1:5" x14ac:dyDescent="0.25">
      <c r="A1045" s="130" t="s">
        <v>4</v>
      </c>
      <c r="B1045" s="130" t="s">
        <v>574</v>
      </c>
      <c r="C1045" s="130" t="s">
        <v>608</v>
      </c>
      <c r="D1045" s="130" t="s">
        <v>1019</v>
      </c>
      <c r="E1045" s="132">
        <v>482.28</v>
      </c>
    </row>
    <row r="1046" spans="1:5" x14ac:dyDescent="0.25">
      <c r="A1046" s="130" t="s">
        <v>4</v>
      </c>
      <c r="B1046" s="130" t="s">
        <v>574</v>
      </c>
      <c r="C1046" s="130" t="s">
        <v>608</v>
      </c>
      <c r="D1046" s="130" t="s">
        <v>1012</v>
      </c>
      <c r="E1046" s="132">
        <v>972.23</v>
      </c>
    </row>
    <row r="1047" spans="1:5" x14ac:dyDescent="0.25">
      <c r="A1047" s="130" t="s">
        <v>4</v>
      </c>
      <c r="B1047" s="130" t="s">
        <v>574</v>
      </c>
      <c r="C1047" s="130" t="s">
        <v>608</v>
      </c>
      <c r="D1047" s="130" t="s">
        <v>1015</v>
      </c>
      <c r="E1047" s="132">
        <v>8552.26</v>
      </c>
    </row>
    <row r="1048" spans="1:5" x14ac:dyDescent="0.25">
      <c r="A1048" s="130" t="s">
        <v>4</v>
      </c>
      <c r="B1048" s="130" t="s">
        <v>574</v>
      </c>
      <c r="C1048" s="130" t="s">
        <v>608</v>
      </c>
      <c r="D1048" s="130" t="s">
        <v>726</v>
      </c>
      <c r="E1048" s="132">
        <v>2877.81</v>
      </c>
    </row>
    <row r="1049" spans="1:5" x14ac:dyDescent="0.25">
      <c r="A1049" s="130" t="s">
        <v>4</v>
      </c>
      <c r="B1049" s="130" t="s">
        <v>574</v>
      </c>
      <c r="C1049" s="130" t="s">
        <v>608</v>
      </c>
      <c r="D1049" s="130" t="s">
        <v>435</v>
      </c>
      <c r="E1049" s="132">
        <v>4184.16</v>
      </c>
    </row>
    <row r="1050" spans="1:5" x14ac:dyDescent="0.25">
      <c r="A1050" s="130" t="s">
        <v>4</v>
      </c>
      <c r="B1050" s="130" t="s">
        <v>574</v>
      </c>
      <c r="C1050" s="130" t="s">
        <v>608</v>
      </c>
      <c r="D1050" s="130" t="s">
        <v>251</v>
      </c>
      <c r="E1050" s="132">
        <v>174708.91</v>
      </c>
    </row>
    <row r="1051" spans="1:5" x14ac:dyDescent="0.25">
      <c r="A1051" s="130" t="s">
        <v>4</v>
      </c>
      <c r="B1051" s="130" t="s">
        <v>574</v>
      </c>
      <c r="C1051" s="130" t="s">
        <v>608</v>
      </c>
      <c r="D1051" s="130" t="s">
        <v>264</v>
      </c>
      <c r="E1051" s="132">
        <v>2008.62</v>
      </c>
    </row>
    <row r="1052" spans="1:5" x14ac:dyDescent="0.25">
      <c r="A1052" s="130" t="s">
        <v>4</v>
      </c>
      <c r="B1052" s="130" t="s">
        <v>574</v>
      </c>
      <c r="C1052" s="130" t="s">
        <v>608</v>
      </c>
      <c r="D1052" s="130" t="s">
        <v>302</v>
      </c>
      <c r="E1052" s="132">
        <v>35277.550000000003</v>
      </c>
    </row>
    <row r="1053" spans="1:5" x14ac:dyDescent="0.25">
      <c r="A1053" s="130" t="s">
        <v>4</v>
      </c>
      <c r="B1053" s="130" t="s">
        <v>574</v>
      </c>
      <c r="C1053" s="130" t="s">
        <v>608</v>
      </c>
      <c r="D1053" s="130" t="s">
        <v>346</v>
      </c>
      <c r="E1053" s="132">
        <v>2380.69</v>
      </c>
    </row>
    <row r="1054" spans="1:5" x14ac:dyDescent="0.25">
      <c r="A1054" s="130" t="s">
        <v>4</v>
      </c>
      <c r="B1054" s="130" t="s">
        <v>574</v>
      </c>
      <c r="C1054" s="130" t="s">
        <v>608</v>
      </c>
      <c r="D1054" s="130" t="s">
        <v>288</v>
      </c>
      <c r="E1054" s="132">
        <v>15358.7</v>
      </c>
    </row>
    <row r="1055" spans="1:5" x14ac:dyDescent="0.25">
      <c r="A1055" s="130" t="s">
        <v>4</v>
      </c>
      <c r="B1055" s="130" t="s">
        <v>574</v>
      </c>
      <c r="C1055" s="130" t="s">
        <v>608</v>
      </c>
      <c r="D1055" s="130" t="s">
        <v>270</v>
      </c>
      <c r="E1055" s="132">
        <v>14559.98</v>
      </c>
    </row>
    <row r="1056" spans="1:5" x14ac:dyDescent="0.25">
      <c r="A1056" s="130" t="s">
        <v>4</v>
      </c>
      <c r="B1056" s="130" t="s">
        <v>574</v>
      </c>
      <c r="C1056" s="130" t="s">
        <v>608</v>
      </c>
      <c r="D1056" s="130" t="s">
        <v>263</v>
      </c>
      <c r="E1056" s="132">
        <v>4378.2700000000004</v>
      </c>
    </row>
    <row r="1057" spans="1:5" x14ac:dyDescent="0.25">
      <c r="A1057" s="130" t="s">
        <v>4</v>
      </c>
      <c r="B1057" s="130" t="s">
        <v>574</v>
      </c>
      <c r="C1057" s="130" t="s">
        <v>608</v>
      </c>
      <c r="D1057" s="130" t="s">
        <v>496</v>
      </c>
      <c r="E1057" s="132">
        <v>6260.92</v>
      </c>
    </row>
    <row r="1058" spans="1:5" x14ac:dyDescent="0.25">
      <c r="A1058" s="130" t="s">
        <v>4</v>
      </c>
      <c r="B1058" s="130" t="s">
        <v>574</v>
      </c>
      <c r="C1058" s="130" t="s">
        <v>608</v>
      </c>
      <c r="D1058" s="130" t="s">
        <v>497</v>
      </c>
      <c r="E1058" s="132">
        <v>10282.14</v>
      </c>
    </row>
    <row r="1059" spans="1:5" x14ac:dyDescent="0.25">
      <c r="A1059" s="130" t="s">
        <v>4</v>
      </c>
      <c r="B1059" s="130" t="s">
        <v>574</v>
      </c>
      <c r="C1059" s="130" t="s">
        <v>608</v>
      </c>
      <c r="D1059" s="130" t="s">
        <v>498</v>
      </c>
      <c r="E1059" s="132">
        <v>12109.35</v>
      </c>
    </row>
    <row r="1060" spans="1:5" x14ac:dyDescent="0.25">
      <c r="A1060" s="130" t="s">
        <v>4</v>
      </c>
      <c r="B1060" s="130" t="s">
        <v>574</v>
      </c>
      <c r="C1060" s="130" t="s">
        <v>608</v>
      </c>
      <c r="D1060" s="130" t="s">
        <v>941</v>
      </c>
      <c r="E1060" s="132">
        <v>5074.74</v>
      </c>
    </row>
    <row r="1061" spans="1:5" x14ac:dyDescent="0.25">
      <c r="A1061" s="130" t="s">
        <v>4</v>
      </c>
      <c r="B1061" s="130" t="s">
        <v>574</v>
      </c>
      <c r="C1061" s="130" t="s">
        <v>608</v>
      </c>
      <c r="D1061" s="130" t="s">
        <v>293</v>
      </c>
      <c r="E1061" s="132">
        <v>9682.2000000000007</v>
      </c>
    </row>
    <row r="1062" spans="1:5" x14ac:dyDescent="0.25">
      <c r="A1062" s="130" t="s">
        <v>4</v>
      </c>
      <c r="B1062" s="130" t="s">
        <v>574</v>
      </c>
      <c r="C1062" s="130" t="s">
        <v>608</v>
      </c>
      <c r="D1062" s="130" t="s">
        <v>499</v>
      </c>
      <c r="E1062" s="132">
        <v>2333.65</v>
      </c>
    </row>
    <row r="1063" spans="1:5" x14ac:dyDescent="0.25">
      <c r="A1063" s="130" t="s">
        <v>4</v>
      </c>
      <c r="B1063" s="130" t="s">
        <v>574</v>
      </c>
      <c r="C1063" s="130" t="s">
        <v>608</v>
      </c>
      <c r="D1063" s="130" t="s">
        <v>705</v>
      </c>
      <c r="E1063" s="132">
        <v>4152.5</v>
      </c>
    </row>
    <row r="1064" spans="1:5" x14ac:dyDescent="0.25">
      <c r="A1064" s="130" t="s">
        <v>4</v>
      </c>
      <c r="B1064" s="130" t="s">
        <v>574</v>
      </c>
      <c r="C1064" s="130" t="s">
        <v>608</v>
      </c>
      <c r="D1064" s="130" t="s">
        <v>303</v>
      </c>
      <c r="E1064" s="132">
        <v>9429.75</v>
      </c>
    </row>
    <row r="1065" spans="1:5" x14ac:dyDescent="0.25">
      <c r="A1065" s="130" t="s">
        <v>4</v>
      </c>
      <c r="B1065" s="130" t="s">
        <v>574</v>
      </c>
      <c r="C1065" s="130" t="s">
        <v>608</v>
      </c>
      <c r="D1065" s="130" t="s">
        <v>294</v>
      </c>
      <c r="E1065" s="132">
        <v>2998.05</v>
      </c>
    </row>
    <row r="1066" spans="1:5" x14ac:dyDescent="0.25">
      <c r="A1066" s="130" t="s">
        <v>4</v>
      </c>
      <c r="B1066" s="130" t="s">
        <v>574</v>
      </c>
      <c r="C1066" s="130" t="s">
        <v>608</v>
      </c>
      <c r="D1066" s="130" t="s">
        <v>295</v>
      </c>
      <c r="E1066" s="132">
        <v>2492.0500000000002</v>
      </c>
    </row>
    <row r="1067" spans="1:5" x14ac:dyDescent="0.25">
      <c r="A1067" s="130" t="s">
        <v>4</v>
      </c>
      <c r="B1067" s="130" t="s">
        <v>574</v>
      </c>
      <c r="C1067" s="130" t="s">
        <v>608</v>
      </c>
      <c r="D1067" s="130" t="s">
        <v>748</v>
      </c>
      <c r="E1067" s="132">
        <v>2534.5100000000002</v>
      </c>
    </row>
    <row r="1068" spans="1:5" x14ac:dyDescent="0.25">
      <c r="A1068" s="130" t="s">
        <v>4</v>
      </c>
      <c r="B1068" s="130" t="s">
        <v>574</v>
      </c>
      <c r="C1068" s="130" t="s">
        <v>608</v>
      </c>
      <c r="D1068" s="130" t="s">
        <v>500</v>
      </c>
      <c r="E1068" s="132">
        <v>1804.44</v>
      </c>
    </row>
    <row r="1069" spans="1:5" x14ac:dyDescent="0.25">
      <c r="A1069" s="130" t="s">
        <v>4</v>
      </c>
      <c r="B1069" s="130" t="s">
        <v>574</v>
      </c>
      <c r="C1069" s="130" t="s">
        <v>608</v>
      </c>
      <c r="D1069" s="130" t="s">
        <v>237</v>
      </c>
      <c r="E1069" s="132">
        <v>12190.75</v>
      </c>
    </row>
    <row r="1070" spans="1:5" x14ac:dyDescent="0.25">
      <c r="A1070" s="130" t="s">
        <v>4</v>
      </c>
      <c r="B1070" s="130" t="s">
        <v>574</v>
      </c>
      <c r="C1070" s="130" t="s">
        <v>608</v>
      </c>
      <c r="D1070" s="130" t="s">
        <v>716</v>
      </c>
      <c r="E1070" s="132">
        <v>7178.87</v>
      </c>
    </row>
    <row r="1071" spans="1:5" x14ac:dyDescent="0.25">
      <c r="A1071" s="130" t="s">
        <v>4</v>
      </c>
      <c r="B1071" s="130" t="s">
        <v>574</v>
      </c>
      <c r="C1071" s="130" t="s">
        <v>608</v>
      </c>
      <c r="D1071" s="130" t="s">
        <v>239</v>
      </c>
      <c r="E1071" s="132">
        <v>10165.65</v>
      </c>
    </row>
    <row r="1072" spans="1:5" x14ac:dyDescent="0.25">
      <c r="A1072" s="130" t="s">
        <v>4</v>
      </c>
      <c r="B1072" s="130" t="s">
        <v>574</v>
      </c>
      <c r="C1072" s="130" t="s">
        <v>608</v>
      </c>
      <c r="D1072" s="130" t="s">
        <v>406</v>
      </c>
      <c r="E1072" s="132">
        <v>18172.189999999999</v>
      </c>
    </row>
    <row r="1073" spans="1:5" x14ac:dyDescent="0.25">
      <c r="A1073" s="130" t="s">
        <v>4</v>
      </c>
      <c r="B1073" s="130" t="s">
        <v>574</v>
      </c>
      <c r="C1073" s="130" t="s">
        <v>608</v>
      </c>
      <c r="D1073" s="130" t="s">
        <v>266</v>
      </c>
      <c r="E1073" s="132">
        <v>1130.25</v>
      </c>
    </row>
    <row r="1074" spans="1:5" x14ac:dyDescent="0.25">
      <c r="A1074" s="130" t="s">
        <v>4</v>
      </c>
      <c r="B1074" s="130" t="s">
        <v>574</v>
      </c>
      <c r="C1074" s="130" t="s">
        <v>608</v>
      </c>
      <c r="D1074" s="130" t="s">
        <v>240</v>
      </c>
      <c r="E1074" s="132">
        <v>10327.35</v>
      </c>
    </row>
    <row r="1075" spans="1:5" x14ac:dyDescent="0.25">
      <c r="A1075" s="130" t="s">
        <v>4</v>
      </c>
      <c r="B1075" s="130" t="s">
        <v>574</v>
      </c>
      <c r="C1075" s="130" t="s">
        <v>608</v>
      </c>
      <c r="D1075" s="130" t="s">
        <v>407</v>
      </c>
      <c r="E1075" s="132">
        <v>2963.4</v>
      </c>
    </row>
    <row r="1076" spans="1:5" x14ac:dyDescent="0.25">
      <c r="A1076" s="130" t="s">
        <v>4</v>
      </c>
      <c r="B1076" s="130" t="s">
        <v>574</v>
      </c>
      <c r="C1076" s="130" t="s">
        <v>608</v>
      </c>
      <c r="D1076" s="130" t="s">
        <v>749</v>
      </c>
      <c r="E1076" s="132">
        <v>2669.37</v>
      </c>
    </row>
    <row r="1077" spans="1:5" x14ac:dyDescent="0.25">
      <c r="A1077" s="130" t="s">
        <v>4</v>
      </c>
      <c r="B1077" s="130" t="s">
        <v>574</v>
      </c>
      <c r="C1077" s="130" t="s">
        <v>608</v>
      </c>
      <c r="D1077" s="130" t="s">
        <v>282</v>
      </c>
      <c r="E1077" s="132">
        <v>2018.11</v>
      </c>
    </row>
    <row r="1078" spans="1:5" x14ac:dyDescent="0.25">
      <c r="A1078" s="130" t="s">
        <v>4</v>
      </c>
      <c r="B1078" s="130" t="s">
        <v>574</v>
      </c>
      <c r="C1078" s="130" t="s">
        <v>608</v>
      </c>
      <c r="D1078" s="130" t="s">
        <v>297</v>
      </c>
      <c r="E1078" s="132">
        <v>1492.42</v>
      </c>
    </row>
    <row r="1079" spans="1:5" x14ac:dyDescent="0.25">
      <c r="A1079" s="130" t="s">
        <v>4</v>
      </c>
      <c r="B1079" s="130" t="s">
        <v>574</v>
      </c>
      <c r="C1079" s="130" t="s">
        <v>608</v>
      </c>
      <c r="D1079" s="130" t="s">
        <v>463</v>
      </c>
      <c r="E1079" s="132">
        <v>7960.7</v>
      </c>
    </row>
    <row r="1080" spans="1:5" x14ac:dyDescent="0.25">
      <c r="A1080" s="130" t="s">
        <v>4</v>
      </c>
      <c r="B1080" s="130" t="s">
        <v>574</v>
      </c>
      <c r="C1080" s="130" t="s">
        <v>608</v>
      </c>
      <c r="D1080" s="130" t="s">
        <v>339</v>
      </c>
      <c r="E1080" s="132">
        <v>3578.57</v>
      </c>
    </row>
    <row r="1081" spans="1:5" x14ac:dyDescent="0.25">
      <c r="A1081" s="130" t="s">
        <v>4</v>
      </c>
      <c r="B1081" s="130" t="s">
        <v>574</v>
      </c>
      <c r="C1081" s="130" t="s">
        <v>608</v>
      </c>
      <c r="D1081" s="130" t="s">
        <v>513</v>
      </c>
      <c r="E1081" s="132">
        <v>3711.4</v>
      </c>
    </row>
    <row r="1082" spans="1:5" x14ac:dyDescent="0.25">
      <c r="A1082" s="130" t="s">
        <v>4</v>
      </c>
      <c r="B1082" s="130" t="s">
        <v>574</v>
      </c>
      <c r="C1082" s="130" t="s">
        <v>608</v>
      </c>
      <c r="D1082" s="130" t="s">
        <v>312</v>
      </c>
      <c r="E1082" s="132">
        <v>6533.45</v>
      </c>
    </row>
    <row r="1083" spans="1:5" x14ac:dyDescent="0.25">
      <c r="A1083" s="130" t="s">
        <v>4</v>
      </c>
      <c r="B1083" s="130" t="s">
        <v>574</v>
      </c>
      <c r="C1083" s="130" t="s">
        <v>608</v>
      </c>
      <c r="D1083" s="130" t="s">
        <v>394</v>
      </c>
      <c r="E1083" s="132">
        <v>2607</v>
      </c>
    </row>
    <row r="1084" spans="1:5" x14ac:dyDescent="0.25">
      <c r="A1084" s="130" t="s">
        <v>4</v>
      </c>
      <c r="B1084" s="130" t="s">
        <v>574</v>
      </c>
      <c r="C1084" s="130" t="s">
        <v>608</v>
      </c>
      <c r="D1084" s="130" t="s">
        <v>734</v>
      </c>
      <c r="E1084" s="132">
        <v>3158.43</v>
      </c>
    </row>
    <row r="1085" spans="1:5" x14ac:dyDescent="0.25">
      <c r="A1085" s="130" t="s">
        <v>4</v>
      </c>
      <c r="B1085" s="130" t="s">
        <v>574</v>
      </c>
      <c r="C1085" s="130" t="s">
        <v>608</v>
      </c>
      <c r="D1085" s="130" t="s">
        <v>298</v>
      </c>
      <c r="E1085" s="132">
        <v>2563.8200000000002</v>
      </c>
    </row>
    <row r="1086" spans="1:5" x14ac:dyDescent="0.25">
      <c r="A1086" s="130" t="s">
        <v>4</v>
      </c>
      <c r="B1086" s="130" t="s">
        <v>574</v>
      </c>
      <c r="C1086" s="130" t="s">
        <v>608</v>
      </c>
      <c r="D1086" s="130" t="s">
        <v>455</v>
      </c>
      <c r="E1086" s="132">
        <v>2534.56</v>
      </c>
    </row>
    <row r="1087" spans="1:5" x14ac:dyDescent="0.25">
      <c r="A1087" s="130" t="s">
        <v>4</v>
      </c>
      <c r="B1087" s="130" t="s">
        <v>574</v>
      </c>
      <c r="C1087" s="130" t="s">
        <v>608</v>
      </c>
      <c r="D1087" s="130" t="s">
        <v>299</v>
      </c>
      <c r="E1087" s="132">
        <v>7684.6</v>
      </c>
    </row>
    <row r="1088" spans="1:5" x14ac:dyDescent="0.25">
      <c r="A1088" s="130" t="s">
        <v>4</v>
      </c>
      <c r="B1088" s="130" t="s">
        <v>574</v>
      </c>
      <c r="C1088" s="130" t="s">
        <v>608</v>
      </c>
      <c r="D1088" s="130" t="s">
        <v>464</v>
      </c>
      <c r="E1088" s="132">
        <v>2603.42</v>
      </c>
    </row>
    <row r="1089" spans="1:5" x14ac:dyDescent="0.25">
      <c r="A1089" s="130" t="s">
        <v>4</v>
      </c>
      <c r="B1089" s="130" t="s">
        <v>574</v>
      </c>
      <c r="C1089" s="130" t="s">
        <v>608</v>
      </c>
      <c r="D1089" s="130" t="s">
        <v>410</v>
      </c>
      <c r="E1089" s="132">
        <v>1295.25</v>
      </c>
    </row>
    <row r="1090" spans="1:5" x14ac:dyDescent="0.25">
      <c r="A1090" s="130" t="s">
        <v>4</v>
      </c>
      <c r="B1090" s="130" t="s">
        <v>574</v>
      </c>
      <c r="C1090" s="130" t="s">
        <v>608</v>
      </c>
      <c r="D1090" s="130" t="s">
        <v>242</v>
      </c>
      <c r="E1090" s="132">
        <v>2639.45</v>
      </c>
    </row>
    <row r="1091" spans="1:5" x14ac:dyDescent="0.25">
      <c r="A1091" s="130" t="s">
        <v>4</v>
      </c>
      <c r="B1091" s="130" t="s">
        <v>574</v>
      </c>
      <c r="C1091" s="130" t="s">
        <v>608</v>
      </c>
      <c r="D1091" s="130" t="s">
        <v>243</v>
      </c>
      <c r="E1091" s="132">
        <v>4525.3999999999996</v>
      </c>
    </row>
    <row r="1092" spans="1:5" x14ac:dyDescent="0.25">
      <c r="A1092" s="130" t="s">
        <v>4</v>
      </c>
      <c r="B1092" s="130" t="s">
        <v>574</v>
      </c>
      <c r="C1092" s="130" t="s">
        <v>608</v>
      </c>
      <c r="D1092" s="130" t="s">
        <v>434</v>
      </c>
      <c r="E1092" s="132">
        <v>1640.87</v>
      </c>
    </row>
    <row r="1093" spans="1:5" x14ac:dyDescent="0.25">
      <c r="A1093" s="130" t="s">
        <v>4</v>
      </c>
      <c r="B1093" s="130" t="s">
        <v>574</v>
      </c>
      <c r="C1093" s="130" t="s">
        <v>608</v>
      </c>
      <c r="D1093" s="130" t="s">
        <v>518</v>
      </c>
      <c r="E1093" s="132">
        <v>2789.82</v>
      </c>
    </row>
    <row r="1094" spans="1:5" x14ac:dyDescent="0.25">
      <c r="A1094" s="130" t="s">
        <v>4</v>
      </c>
      <c r="B1094" s="130" t="s">
        <v>574</v>
      </c>
      <c r="C1094" s="130" t="s">
        <v>608</v>
      </c>
      <c r="D1094" s="130" t="s">
        <v>303</v>
      </c>
      <c r="E1094" s="132">
        <v>1885.95</v>
      </c>
    </row>
    <row r="1095" spans="1:5" x14ac:dyDescent="0.25">
      <c r="A1095" s="130" t="s">
        <v>4</v>
      </c>
      <c r="B1095" s="130" t="s">
        <v>574</v>
      </c>
      <c r="C1095" s="130" t="s">
        <v>608</v>
      </c>
      <c r="D1095" s="130" t="s">
        <v>294</v>
      </c>
      <c r="E1095" s="132">
        <v>5996.1</v>
      </c>
    </row>
    <row r="1096" spans="1:5" x14ac:dyDescent="0.25">
      <c r="A1096" s="130" t="s">
        <v>4</v>
      </c>
      <c r="B1096" s="130" t="s">
        <v>574</v>
      </c>
      <c r="C1096" s="130" t="s">
        <v>608</v>
      </c>
      <c r="D1096" s="130" t="s">
        <v>295</v>
      </c>
      <c r="E1096" s="132">
        <v>4984.1000000000004</v>
      </c>
    </row>
    <row r="1097" spans="1:5" x14ac:dyDescent="0.25">
      <c r="A1097" s="130" t="s">
        <v>4</v>
      </c>
      <c r="B1097" s="130" t="s">
        <v>574</v>
      </c>
      <c r="C1097" s="130" t="s">
        <v>608</v>
      </c>
      <c r="D1097" s="130" t="s">
        <v>242</v>
      </c>
      <c r="E1097" s="132">
        <v>13197.25</v>
      </c>
    </row>
    <row r="1098" spans="1:5" x14ac:dyDescent="0.25">
      <c r="A1098" s="130" t="s">
        <v>4</v>
      </c>
      <c r="B1098" s="130" t="s">
        <v>574</v>
      </c>
      <c r="C1098" s="130" t="s">
        <v>608</v>
      </c>
      <c r="D1098" s="130" t="s">
        <v>263</v>
      </c>
      <c r="E1098" s="132">
        <v>4378.2700000000004</v>
      </c>
    </row>
    <row r="1099" spans="1:5" x14ac:dyDescent="0.25">
      <c r="A1099" s="130" t="s">
        <v>4</v>
      </c>
      <c r="B1099" s="130" t="s">
        <v>574</v>
      </c>
      <c r="C1099" s="130" t="s">
        <v>608</v>
      </c>
      <c r="D1099" s="130" t="s">
        <v>496</v>
      </c>
      <c r="E1099" s="132">
        <v>6260.92</v>
      </c>
    </row>
    <row r="1100" spans="1:5" x14ac:dyDescent="0.25">
      <c r="A1100" s="130" t="s">
        <v>4</v>
      </c>
      <c r="B1100" s="130" t="s">
        <v>574</v>
      </c>
      <c r="C1100" s="130" t="s">
        <v>608</v>
      </c>
      <c r="D1100" s="130" t="s">
        <v>303</v>
      </c>
      <c r="E1100" s="132">
        <v>3771.9</v>
      </c>
    </row>
    <row r="1101" spans="1:5" x14ac:dyDescent="0.25">
      <c r="A1101" s="130" t="s">
        <v>4</v>
      </c>
      <c r="B1101" s="130" t="s">
        <v>574</v>
      </c>
      <c r="C1101" s="130" t="s">
        <v>608</v>
      </c>
      <c r="D1101" s="130" t="s">
        <v>294</v>
      </c>
      <c r="E1101" s="132">
        <v>2998.05</v>
      </c>
    </row>
    <row r="1102" spans="1:5" x14ac:dyDescent="0.25">
      <c r="A1102" s="130" t="s">
        <v>4</v>
      </c>
      <c r="B1102" s="130" t="s">
        <v>574</v>
      </c>
      <c r="C1102" s="130" t="s">
        <v>608</v>
      </c>
      <c r="D1102" s="130" t="s">
        <v>405</v>
      </c>
      <c r="E1102" s="132">
        <v>6533.45</v>
      </c>
    </row>
    <row r="1103" spans="1:5" x14ac:dyDescent="0.25">
      <c r="A1103" s="130" t="s">
        <v>4</v>
      </c>
      <c r="B1103" s="130" t="s">
        <v>574</v>
      </c>
      <c r="C1103" s="130" t="s">
        <v>608</v>
      </c>
      <c r="D1103" s="130" t="s">
        <v>724</v>
      </c>
      <c r="E1103" s="132">
        <v>6000.55</v>
      </c>
    </row>
    <row r="1104" spans="1:5" x14ac:dyDescent="0.25">
      <c r="A1104" s="130" t="s">
        <v>4</v>
      </c>
      <c r="B1104" s="130" t="s">
        <v>574</v>
      </c>
      <c r="C1104" s="130" t="s">
        <v>608</v>
      </c>
      <c r="D1104" s="130" t="s">
        <v>680</v>
      </c>
      <c r="E1104" s="132">
        <v>9764.42</v>
      </c>
    </row>
    <row r="1105" spans="1:5" x14ac:dyDescent="0.25">
      <c r="A1105" s="130" t="s">
        <v>4</v>
      </c>
      <c r="B1105" s="130" t="s">
        <v>574</v>
      </c>
      <c r="C1105" s="130" t="s">
        <v>608</v>
      </c>
      <c r="D1105" s="130" t="s">
        <v>615</v>
      </c>
      <c r="E1105" s="132">
        <v>10983.5</v>
      </c>
    </row>
    <row r="1106" spans="1:5" x14ac:dyDescent="0.25">
      <c r="A1106" s="130" t="s">
        <v>4</v>
      </c>
      <c r="B1106" s="130" t="s">
        <v>574</v>
      </c>
      <c r="C1106" s="130" t="s">
        <v>608</v>
      </c>
      <c r="D1106" s="130" t="s">
        <v>237</v>
      </c>
      <c r="E1106" s="132">
        <v>7314.45</v>
      </c>
    </row>
    <row r="1107" spans="1:5" x14ac:dyDescent="0.25">
      <c r="A1107" s="130" t="s">
        <v>4</v>
      </c>
      <c r="B1107" s="130" t="s">
        <v>574</v>
      </c>
      <c r="C1107" s="130" t="s">
        <v>608</v>
      </c>
      <c r="D1107" s="130" t="s">
        <v>239</v>
      </c>
      <c r="E1107" s="132">
        <v>6777.1</v>
      </c>
    </row>
    <row r="1108" spans="1:5" x14ac:dyDescent="0.25">
      <c r="A1108" s="130" t="s">
        <v>4</v>
      </c>
      <c r="B1108" s="130" t="s">
        <v>574</v>
      </c>
      <c r="C1108" s="130" t="s">
        <v>608</v>
      </c>
      <c r="D1108" s="130" t="s">
        <v>296</v>
      </c>
      <c r="E1108" s="132">
        <v>3729.55</v>
      </c>
    </row>
    <row r="1109" spans="1:5" x14ac:dyDescent="0.25">
      <c r="A1109" s="130" t="s">
        <v>4</v>
      </c>
      <c r="B1109" s="130" t="s">
        <v>574</v>
      </c>
      <c r="C1109" s="130" t="s">
        <v>608</v>
      </c>
      <c r="D1109" s="130" t="s">
        <v>312</v>
      </c>
      <c r="E1109" s="132">
        <v>13066.9</v>
      </c>
    </row>
    <row r="1110" spans="1:5" x14ac:dyDescent="0.25">
      <c r="A1110" s="130" t="s">
        <v>4</v>
      </c>
      <c r="B1110" s="130" t="s">
        <v>574</v>
      </c>
      <c r="C1110" s="130" t="s">
        <v>608</v>
      </c>
      <c r="D1110" s="130" t="s">
        <v>298</v>
      </c>
      <c r="E1110" s="132">
        <v>10255.299999999999</v>
      </c>
    </row>
    <row r="1111" spans="1:5" x14ac:dyDescent="0.25">
      <c r="A1111" s="130" t="s">
        <v>4</v>
      </c>
      <c r="B1111" s="130" t="s">
        <v>574</v>
      </c>
      <c r="C1111" s="130" t="s">
        <v>608</v>
      </c>
      <c r="D1111" s="130" t="s">
        <v>705</v>
      </c>
      <c r="E1111" s="132">
        <v>5606.5</v>
      </c>
    </row>
    <row r="1112" spans="1:5" x14ac:dyDescent="0.25">
      <c r="A1112" s="130" t="s">
        <v>4</v>
      </c>
      <c r="B1112" s="130" t="s">
        <v>574</v>
      </c>
      <c r="C1112" s="130" t="s">
        <v>608</v>
      </c>
      <c r="D1112" s="130" t="s">
        <v>274</v>
      </c>
      <c r="E1112" s="132">
        <v>11331.1</v>
      </c>
    </row>
    <row r="1113" spans="1:5" x14ac:dyDescent="0.25">
      <c r="A1113" s="130" t="s">
        <v>4</v>
      </c>
      <c r="B1113" s="130" t="s">
        <v>574</v>
      </c>
      <c r="C1113" s="130" t="s">
        <v>608</v>
      </c>
      <c r="D1113" s="130" t="s">
        <v>303</v>
      </c>
      <c r="E1113" s="132">
        <v>1885.95</v>
      </c>
    </row>
    <row r="1114" spans="1:5" x14ac:dyDescent="0.25">
      <c r="A1114" s="130" t="s">
        <v>4</v>
      </c>
      <c r="B1114" s="130" t="s">
        <v>574</v>
      </c>
      <c r="C1114" s="130" t="s">
        <v>608</v>
      </c>
      <c r="D1114" s="130" t="s">
        <v>294</v>
      </c>
      <c r="E1114" s="132">
        <v>5996.1</v>
      </c>
    </row>
    <row r="1115" spans="1:5" x14ac:dyDescent="0.25">
      <c r="A1115" s="130" t="s">
        <v>4</v>
      </c>
      <c r="B1115" s="130" t="s">
        <v>574</v>
      </c>
      <c r="C1115" s="130" t="s">
        <v>608</v>
      </c>
      <c r="D1115" s="130" t="s">
        <v>295</v>
      </c>
      <c r="E1115" s="132">
        <v>4984.1000000000004</v>
      </c>
    </row>
    <row r="1116" spans="1:5" x14ac:dyDescent="0.25">
      <c r="A1116" s="130" t="s">
        <v>4</v>
      </c>
      <c r="B1116" s="130" t="s">
        <v>574</v>
      </c>
      <c r="C1116" s="130" t="s">
        <v>608</v>
      </c>
      <c r="D1116" s="130" t="s">
        <v>239</v>
      </c>
      <c r="E1116" s="132">
        <v>6777.1</v>
      </c>
    </row>
    <row r="1117" spans="1:5" x14ac:dyDescent="0.25">
      <c r="A1117" s="130" t="s">
        <v>4</v>
      </c>
      <c r="B1117" s="130" t="s">
        <v>574</v>
      </c>
      <c r="C1117" s="130" t="s">
        <v>608</v>
      </c>
      <c r="D1117" s="130" t="s">
        <v>296</v>
      </c>
      <c r="E1117" s="132">
        <v>3729.55</v>
      </c>
    </row>
    <row r="1118" spans="1:5" x14ac:dyDescent="0.25">
      <c r="A1118" s="130" t="s">
        <v>4</v>
      </c>
      <c r="B1118" s="130" t="s">
        <v>574</v>
      </c>
      <c r="C1118" s="130" t="s">
        <v>608</v>
      </c>
      <c r="D1118" s="130" t="s">
        <v>365</v>
      </c>
      <c r="E1118" s="132">
        <v>3040.67</v>
      </c>
    </row>
    <row r="1119" spans="1:5" x14ac:dyDescent="0.25">
      <c r="A1119" s="130" t="s">
        <v>4</v>
      </c>
      <c r="B1119" s="130" t="s">
        <v>574</v>
      </c>
      <c r="C1119" s="130" t="s">
        <v>608</v>
      </c>
      <c r="D1119" s="130" t="s">
        <v>345</v>
      </c>
      <c r="E1119" s="132">
        <v>4847.97</v>
      </c>
    </row>
    <row r="1120" spans="1:5" x14ac:dyDescent="0.25">
      <c r="A1120" s="130" t="s">
        <v>4</v>
      </c>
      <c r="B1120" s="130" t="s">
        <v>574</v>
      </c>
      <c r="C1120" s="130" t="s">
        <v>608</v>
      </c>
      <c r="D1120" s="130" t="s">
        <v>806</v>
      </c>
      <c r="E1120" s="132">
        <v>577.48</v>
      </c>
    </row>
    <row r="1121" spans="1:5" x14ac:dyDescent="0.25">
      <c r="A1121" s="130" t="s">
        <v>4</v>
      </c>
      <c r="B1121" s="130" t="s">
        <v>574</v>
      </c>
      <c r="C1121" s="130" t="s">
        <v>608</v>
      </c>
      <c r="D1121" s="130" t="s">
        <v>454</v>
      </c>
      <c r="E1121" s="132">
        <v>7774.25</v>
      </c>
    </row>
    <row r="1122" spans="1:5" x14ac:dyDescent="0.25">
      <c r="A1122" s="130" t="s">
        <v>4</v>
      </c>
      <c r="B1122" s="130" t="s">
        <v>574</v>
      </c>
      <c r="C1122" s="130" t="s">
        <v>608</v>
      </c>
      <c r="D1122" s="130" t="s">
        <v>734</v>
      </c>
      <c r="E1122" s="132">
        <v>14212.93</v>
      </c>
    </row>
    <row r="1123" spans="1:5" x14ac:dyDescent="0.25">
      <c r="A1123" s="130" t="s">
        <v>4</v>
      </c>
      <c r="B1123" s="130" t="s">
        <v>574</v>
      </c>
      <c r="C1123" s="130" t="s">
        <v>608</v>
      </c>
      <c r="D1123" s="130" t="s">
        <v>298</v>
      </c>
      <c r="E1123" s="132">
        <v>5127.6499999999996</v>
      </c>
    </row>
    <row r="1124" spans="1:5" x14ac:dyDescent="0.25">
      <c r="A1124" s="130" t="s">
        <v>4</v>
      </c>
      <c r="B1124" s="130" t="s">
        <v>574</v>
      </c>
      <c r="C1124" s="130" t="s">
        <v>608</v>
      </c>
      <c r="D1124" s="130" t="s">
        <v>455</v>
      </c>
      <c r="E1124" s="132">
        <v>8448.5499999999993</v>
      </c>
    </row>
    <row r="1125" spans="1:5" x14ac:dyDescent="0.25">
      <c r="A1125" s="130" t="s">
        <v>4</v>
      </c>
      <c r="B1125" s="130" t="s">
        <v>574</v>
      </c>
      <c r="C1125" s="130" t="s">
        <v>608</v>
      </c>
      <c r="D1125" s="130" t="s">
        <v>464</v>
      </c>
      <c r="E1125" s="132">
        <v>5206.8500000000004</v>
      </c>
    </row>
    <row r="1126" spans="1:5" x14ac:dyDescent="0.25">
      <c r="A1126" s="130" t="s">
        <v>4</v>
      </c>
      <c r="B1126" s="130" t="s">
        <v>574</v>
      </c>
      <c r="C1126" s="130" t="s">
        <v>608</v>
      </c>
      <c r="D1126" s="130" t="s">
        <v>456</v>
      </c>
      <c r="E1126" s="132">
        <v>4270.75</v>
      </c>
    </row>
    <row r="1127" spans="1:5" x14ac:dyDescent="0.25">
      <c r="A1127" s="130" t="s">
        <v>4</v>
      </c>
      <c r="B1127" s="130" t="s">
        <v>574</v>
      </c>
      <c r="C1127" s="130" t="s">
        <v>608</v>
      </c>
      <c r="D1127" s="130" t="s">
        <v>243</v>
      </c>
      <c r="E1127" s="132">
        <v>2262.6999999999998</v>
      </c>
    </row>
    <row r="1128" spans="1:5" x14ac:dyDescent="0.25">
      <c r="A1128" s="130" t="s">
        <v>4</v>
      </c>
      <c r="B1128" s="130" t="s">
        <v>574</v>
      </c>
      <c r="C1128" s="130" t="s">
        <v>608</v>
      </c>
      <c r="D1128" s="130" t="s">
        <v>681</v>
      </c>
      <c r="E1128" s="132">
        <v>1642.3</v>
      </c>
    </row>
    <row r="1129" spans="1:5" x14ac:dyDescent="0.25">
      <c r="A1129" s="130" t="s">
        <v>4</v>
      </c>
      <c r="B1129" s="130" t="s">
        <v>574</v>
      </c>
      <c r="C1129" s="130" t="s">
        <v>608</v>
      </c>
      <c r="D1129" s="130" t="s">
        <v>686</v>
      </c>
      <c r="E1129" s="132">
        <v>1692.62</v>
      </c>
    </row>
    <row r="1130" spans="1:5" x14ac:dyDescent="0.25">
      <c r="A1130" s="130" t="s">
        <v>4</v>
      </c>
      <c r="B1130" s="130" t="s">
        <v>574</v>
      </c>
      <c r="C1130" s="130" t="s">
        <v>608</v>
      </c>
      <c r="D1130" s="130" t="s">
        <v>732</v>
      </c>
      <c r="E1130" s="132">
        <v>1816.7</v>
      </c>
    </row>
    <row r="1131" spans="1:5" x14ac:dyDescent="0.25">
      <c r="A1131" s="130" t="s">
        <v>4</v>
      </c>
      <c r="B1131" s="130" t="s">
        <v>574</v>
      </c>
      <c r="C1131" s="130" t="s">
        <v>608</v>
      </c>
      <c r="D1131" s="130" t="s">
        <v>397</v>
      </c>
      <c r="E1131" s="132">
        <v>35118.379999999997</v>
      </c>
    </row>
    <row r="1132" spans="1:5" x14ac:dyDescent="0.25">
      <c r="A1132" s="130" t="s">
        <v>4</v>
      </c>
      <c r="B1132" s="130" t="s">
        <v>574</v>
      </c>
      <c r="C1132" s="130" t="s">
        <v>608</v>
      </c>
      <c r="D1132" s="130" t="s">
        <v>975</v>
      </c>
      <c r="E1132" s="132">
        <v>19766.46</v>
      </c>
    </row>
    <row r="1133" spans="1:5" x14ac:dyDescent="0.25">
      <c r="A1133" s="130" t="s">
        <v>4</v>
      </c>
      <c r="B1133" s="130" t="s">
        <v>574</v>
      </c>
      <c r="C1133" s="130" t="s">
        <v>608</v>
      </c>
      <c r="D1133" s="130" t="s">
        <v>976</v>
      </c>
      <c r="E1133" s="132">
        <v>53357.7</v>
      </c>
    </row>
    <row r="1134" spans="1:5" x14ac:dyDescent="0.25">
      <c r="A1134" s="130" t="s">
        <v>4</v>
      </c>
      <c r="B1134" s="130" t="s">
        <v>574</v>
      </c>
      <c r="C1134" s="130" t="s">
        <v>608</v>
      </c>
      <c r="D1134" s="130" t="s">
        <v>400</v>
      </c>
      <c r="E1134" s="132">
        <v>103210.47</v>
      </c>
    </row>
    <row r="1135" spans="1:5" x14ac:dyDescent="0.25">
      <c r="A1135" s="130" t="s">
        <v>4</v>
      </c>
      <c r="B1135" s="130" t="s">
        <v>574</v>
      </c>
      <c r="C1135" s="130" t="s">
        <v>608</v>
      </c>
      <c r="D1135" s="130" t="s">
        <v>401</v>
      </c>
      <c r="E1135" s="132">
        <v>91367.01</v>
      </c>
    </row>
    <row r="1136" spans="1:5" x14ac:dyDescent="0.25">
      <c r="A1136" s="130" t="s">
        <v>4</v>
      </c>
      <c r="B1136" s="130" t="s">
        <v>574</v>
      </c>
      <c r="C1136" s="130" t="s">
        <v>608</v>
      </c>
      <c r="D1136" s="130" t="s">
        <v>978</v>
      </c>
      <c r="E1136" s="132">
        <v>7513.06</v>
      </c>
    </row>
    <row r="1137" spans="1:5" x14ac:dyDescent="0.25">
      <c r="A1137" s="130" t="s">
        <v>4</v>
      </c>
      <c r="B1137" s="130" t="s">
        <v>574</v>
      </c>
      <c r="C1137" s="130" t="s">
        <v>608</v>
      </c>
      <c r="D1137" s="130" t="s">
        <v>292</v>
      </c>
      <c r="E1137" s="132">
        <v>37343.83</v>
      </c>
    </row>
    <row r="1138" spans="1:5" x14ac:dyDescent="0.25">
      <c r="A1138" s="130" t="s">
        <v>4</v>
      </c>
      <c r="B1138" s="130" t="s">
        <v>574</v>
      </c>
      <c r="C1138" s="130" t="s">
        <v>608</v>
      </c>
      <c r="D1138" s="130" t="s">
        <v>576</v>
      </c>
      <c r="E1138" s="132">
        <v>115054.5</v>
      </c>
    </row>
    <row r="1139" spans="1:5" x14ac:dyDescent="0.25">
      <c r="A1139" s="130" t="s">
        <v>4</v>
      </c>
      <c r="B1139" s="130" t="s">
        <v>574</v>
      </c>
      <c r="C1139" s="130" t="s">
        <v>608</v>
      </c>
      <c r="D1139" s="130" t="s">
        <v>532</v>
      </c>
      <c r="E1139" s="132">
        <v>46629.53</v>
      </c>
    </row>
    <row r="1140" spans="1:5" x14ac:dyDescent="0.25">
      <c r="A1140" s="130" t="s">
        <v>4</v>
      </c>
      <c r="B1140" s="130" t="s">
        <v>574</v>
      </c>
      <c r="C1140" s="130" t="s">
        <v>608</v>
      </c>
      <c r="D1140" s="130" t="s">
        <v>269</v>
      </c>
      <c r="E1140" s="132">
        <v>10425.200000000001</v>
      </c>
    </row>
    <row r="1141" spans="1:5" x14ac:dyDescent="0.25">
      <c r="A1141" s="130" t="s">
        <v>4</v>
      </c>
      <c r="B1141" s="130" t="s">
        <v>574</v>
      </c>
      <c r="C1141" s="130" t="s">
        <v>608</v>
      </c>
      <c r="D1141" s="130" t="s">
        <v>258</v>
      </c>
      <c r="E1141" s="132">
        <v>14741.11</v>
      </c>
    </row>
    <row r="1142" spans="1:5" x14ac:dyDescent="0.25">
      <c r="A1142" s="130" t="s">
        <v>4</v>
      </c>
      <c r="B1142" s="130" t="s">
        <v>574</v>
      </c>
      <c r="C1142" s="130" t="s">
        <v>608</v>
      </c>
      <c r="D1142" s="130" t="s">
        <v>547</v>
      </c>
      <c r="E1142" s="132">
        <v>31215.48</v>
      </c>
    </row>
    <row r="1143" spans="1:5" x14ac:dyDescent="0.25">
      <c r="A1143" s="130" t="s">
        <v>4</v>
      </c>
      <c r="B1143" s="130" t="s">
        <v>574</v>
      </c>
      <c r="C1143" s="130" t="s">
        <v>608</v>
      </c>
      <c r="D1143" s="130" t="s">
        <v>962</v>
      </c>
      <c r="E1143" s="132">
        <v>2823.8</v>
      </c>
    </row>
    <row r="1144" spans="1:5" x14ac:dyDescent="0.25">
      <c r="A1144" s="130" t="s">
        <v>4</v>
      </c>
      <c r="B1144" s="130" t="s">
        <v>574</v>
      </c>
      <c r="C1144" s="130" t="s">
        <v>608</v>
      </c>
      <c r="D1144" s="130" t="s">
        <v>1020</v>
      </c>
      <c r="E1144" s="132">
        <v>2195.5300000000002</v>
      </c>
    </row>
    <row r="1145" spans="1:5" x14ac:dyDescent="0.25">
      <c r="A1145" s="130" t="s">
        <v>4</v>
      </c>
      <c r="B1145" s="130" t="s">
        <v>574</v>
      </c>
      <c r="C1145" s="130" t="s">
        <v>608</v>
      </c>
      <c r="D1145" s="130" t="s">
        <v>736</v>
      </c>
      <c r="E1145" s="132">
        <v>9070.98</v>
      </c>
    </row>
    <row r="1146" spans="1:5" x14ac:dyDescent="0.25">
      <c r="A1146" s="130" t="s">
        <v>4</v>
      </c>
      <c r="B1146" s="130" t="s">
        <v>574</v>
      </c>
      <c r="C1146" s="130" t="s">
        <v>608</v>
      </c>
      <c r="D1146" s="130" t="s">
        <v>1021</v>
      </c>
      <c r="E1146" s="132">
        <v>1093.2</v>
      </c>
    </row>
    <row r="1147" spans="1:5" x14ac:dyDescent="0.25">
      <c r="A1147" s="130" t="s">
        <v>4</v>
      </c>
      <c r="B1147" s="130" t="s">
        <v>574</v>
      </c>
      <c r="C1147" s="130" t="s">
        <v>608</v>
      </c>
      <c r="D1147" s="130" t="s">
        <v>928</v>
      </c>
      <c r="E1147" s="132">
        <v>1330.13</v>
      </c>
    </row>
    <row r="1148" spans="1:5" x14ac:dyDescent="0.25">
      <c r="A1148" s="130" t="s">
        <v>4</v>
      </c>
      <c r="B1148" s="130" t="s">
        <v>574</v>
      </c>
      <c r="C1148" s="130" t="s">
        <v>608</v>
      </c>
      <c r="D1148" s="130" t="s">
        <v>929</v>
      </c>
      <c r="E1148" s="132">
        <v>1560.83</v>
      </c>
    </row>
    <row r="1149" spans="1:5" x14ac:dyDescent="0.25">
      <c r="A1149" s="130" t="s">
        <v>4</v>
      </c>
      <c r="B1149" s="130" t="s">
        <v>574</v>
      </c>
      <c r="C1149" s="130" t="s">
        <v>608</v>
      </c>
      <c r="D1149" s="130" t="s">
        <v>292</v>
      </c>
      <c r="E1149" s="132">
        <v>1277.55</v>
      </c>
    </row>
    <row r="1150" spans="1:5" x14ac:dyDescent="0.25">
      <c r="A1150" s="130" t="s">
        <v>4</v>
      </c>
      <c r="B1150" s="130" t="s">
        <v>574</v>
      </c>
      <c r="C1150" s="130" t="s">
        <v>608</v>
      </c>
      <c r="D1150" s="130" t="s">
        <v>723</v>
      </c>
      <c r="E1150" s="132">
        <v>2978.35</v>
      </c>
    </row>
    <row r="1151" spans="1:5" x14ac:dyDescent="0.25">
      <c r="A1151" s="130" t="s">
        <v>4</v>
      </c>
      <c r="B1151" s="130" t="s">
        <v>574</v>
      </c>
      <c r="C1151" s="130" t="s">
        <v>608</v>
      </c>
      <c r="D1151" s="130" t="s">
        <v>264</v>
      </c>
      <c r="E1151" s="132">
        <v>3388.32</v>
      </c>
    </row>
    <row r="1152" spans="1:5" x14ac:dyDescent="0.25">
      <c r="A1152" s="130" t="s">
        <v>4</v>
      </c>
      <c r="B1152" s="130" t="s">
        <v>574</v>
      </c>
      <c r="C1152" s="130" t="s">
        <v>608</v>
      </c>
      <c r="D1152" s="130" t="s">
        <v>665</v>
      </c>
      <c r="E1152" s="132">
        <v>5164.09</v>
      </c>
    </row>
    <row r="1153" spans="1:5" x14ac:dyDescent="0.25">
      <c r="A1153" s="130" t="s">
        <v>4</v>
      </c>
      <c r="B1153" s="130" t="s">
        <v>574</v>
      </c>
      <c r="C1153" s="130" t="s">
        <v>608</v>
      </c>
      <c r="D1153" s="130" t="s">
        <v>653</v>
      </c>
      <c r="E1153" s="132">
        <v>4105.0600000000004</v>
      </c>
    </row>
    <row r="1154" spans="1:5" x14ac:dyDescent="0.25">
      <c r="A1154" s="130" t="s">
        <v>4</v>
      </c>
      <c r="B1154" s="130" t="s">
        <v>574</v>
      </c>
      <c r="C1154" s="130" t="s">
        <v>608</v>
      </c>
      <c r="D1154" s="130" t="s">
        <v>721</v>
      </c>
      <c r="E1154" s="132">
        <v>8778.98</v>
      </c>
    </row>
    <row r="1155" spans="1:5" x14ac:dyDescent="0.25">
      <c r="A1155" s="130" t="s">
        <v>4</v>
      </c>
      <c r="B1155" s="130" t="s">
        <v>574</v>
      </c>
      <c r="C1155" s="130" t="s">
        <v>608</v>
      </c>
      <c r="D1155" s="130" t="s">
        <v>429</v>
      </c>
      <c r="E1155" s="132">
        <v>16956.25</v>
      </c>
    </row>
    <row r="1156" spans="1:5" x14ac:dyDescent="0.25">
      <c r="A1156" s="130" t="s">
        <v>4</v>
      </c>
      <c r="B1156" s="130" t="s">
        <v>574</v>
      </c>
      <c r="C1156" s="130" t="s">
        <v>608</v>
      </c>
      <c r="D1156" s="130" t="s">
        <v>269</v>
      </c>
      <c r="E1156" s="132">
        <v>9836.68</v>
      </c>
    </row>
    <row r="1157" spans="1:5" x14ac:dyDescent="0.25">
      <c r="A1157" s="130" t="s">
        <v>4</v>
      </c>
      <c r="B1157" s="130" t="s">
        <v>574</v>
      </c>
      <c r="C1157" s="130" t="s">
        <v>608</v>
      </c>
      <c r="D1157" s="130" t="s">
        <v>310</v>
      </c>
      <c r="E1157" s="132">
        <v>14030.87</v>
      </c>
    </row>
    <row r="1158" spans="1:5" x14ac:dyDescent="0.25">
      <c r="A1158" s="130" t="s">
        <v>4</v>
      </c>
      <c r="B1158" s="130" t="s">
        <v>574</v>
      </c>
      <c r="C1158" s="130" t="s">
        <v>608</v>
      </c>
      <c r="D1158" s="130" t="s">
        <v>336</v>
      </c>
      <c r="E1158" s="132">
        <v>2584.35</v>
      </c>
    </row>
    <row r="1159" spans="1:5" x14ac:dyDescent="0.25">
      <c r="A1159" s="130" t="s">
        <v>4</v>
      </c>
      <c r="B1159" s="130" t="s">
        <v>574</v>
      </c>
      <c r="C1159" s="130" t="s">
        <v>608</v>
      </c>
      <c r="D1159" s="130" t="s">
        <v>320</v>
      </c>
      <c r="E1159" s="132">
        <v>19925.099999999999</v>
      </c>
    </row>
    <row r="1160" spans="1:5" x14ac:dyDescent="0.25">
      <c r="A1160" s="130" t="s">
        <v>4</v>
      </c>
      <c r="B1160" s="130" t="s">
        <v>574</v>
      </c>
      <c r="C1160" s="130" t="s">
        <v>608</v>
      </c>
      <c r="D1160" s="130" t="s">
        <v>431</v>
      </c>
      <c r="E1160" s="132">
        <v>16370.64</v>
      </c>
    </row>
    <row r="1161" spans="1:5" x14ac:dyDescent="0.25">
      <c r="A1161" s="130" t="s">
        <v>4</v>
      </c>
      <c r="B1161" s="130" t="s">
        <v>574</v>
      </c>
      <c r="C1161" s="130" t="s">
        <v>608</v>
      </c>
      <c r="D1161" s="130" t="s">
        <v>939</v>
      </c>
      <c r="E1161" s="132">
        <v>19060.759999999998</v>
      </c>
    </row>
    <row r="1162" spans="1:5" x14ac:dyDescent="0.25">
      <c r="A1162" s="130" t="s">
        <v>4</v>
      </c>
      <c r="B1162" s="130" t="s">
        <v>574</v>
      </c>
      <c r="C1162" s="130" t="s">
        <v>608</v>
      </c>
      <c r="D1162" s="130" t="s">
        <v>277</v>
      </c>
      <c r="E1162" s="132">
        <v>2171.29</v>
      </c>
    </row>
    <row r="1163" spans="1:5" x14ac:dyDescent="0.25">
      <c r="A1163" s="130" t="s">
        <v>4</v>
      </c>
      <c r="B1163" s="130" t="s">
        <v>574</v>
      </c>
      <c r="C1163" s="130" t="s">
        <v>608</v>
      </c>
      <c r="D1163" s="130" t="s">
        <v>612</v>
      </c>
      <c r="E1163" s="132">
        <v>9128.81</v>
      </c>
    </row>
    <row r="1164" spans="1:5" x14ac:dyDescent="0.25">
      <c r="A1164" s="130" t="s">
        <v>4</v>
      </c>
      <c r="B1164" s="130" t="s">
        <v>574</v>
      </c>
      <c r="C1164" s="130" t="s">
        <v>608</v>
      </c>
      <c r="D1164" s="130" t="s">
        <v>263</v>
      </c>
      <c r="E1164" s="132">
        <v>3764.36</v>
      </c>
    </row>
    <row r="1165" spans="1:5" x14ac:dyDescent="0.25">
      <c r="A1165" s="130" t="s">
        <v>4</v>
      </c>
      <c r="B1165" s="130" t="s">
        <v>574</v>
      </c>
      <c r="C1165" s="130" t="s">
        <v>608</v>
      </c>
      <c r="D1165" s="130" t="s">
        <v>496</v>
      </c>
      <c r="E1165" s="132">
        <v>2691.47</v>
      </c>
    </row>
    <row r="1166" spans="1:5" x14ac:dyDescent="0.25">
      <c r="A1166" s="130" t="s">
        <v>4</v>
      </c>
      <c r="B1166" s="130" t="s">
        <v>574</v>
      </c>
      <c r="C1166" s="130" t="s">
        <v>608</v>
      </c>
      <c r="D1166" s="130" t="s">
        <v>338</v>
      </c>
      <c r="E1166" s="132">
        <v>4316.13</v>
      </c>
    </row>
    <row r="1167" spans="1:5" x14ac:dyDescent="0.25">
      <c r="A1167" s="130" t="s">
        <v>4</v>
      </c>
      <c r="B1167" s="130" t="s">
        <v>574</v>
      </c>
      <c r="C1167" s="130" t="s">
        <v>608</v>
      </c>
      <c r="D1167" s="130" t="s">
        <v>237</v>
      </c>
      <c r="E1167" s="132">
        <v>5241.6000000000004</v>
      </c>
    </row>
    <row r="1168" spans="1:5" x14ac:dyDescent="0.25">
      <c r="A1168" s="130" t="s">
        <v>4</v>
      </c>
      <c r="B1168" s="130" t="s">
        <v>574</v>
      </c>
      <c r="C1168" s="130" t="s">
        <v>608</v>
      </c>
      <c r="D1168" s="130" t="s">
        <v>282</v>
      </c>
      <c r="E1168" s="132">
        <v>2169</v>
      </c>
    </row>
    <row r="1169" spans="1:5" x14ac:dyDescent="0.25">
      <c r="A1169" s="130" t="s">
        <v>4</v>
      </c>
      <c r="B1169" s="130" t="s">
        <v>574</v>
      </c>
      <c r="C1169" s="130" t="s">
        <v>608</v>
      </c>
      <c r="D1169" s="130" t="s">
        <v>365</v>
      </c>
      <c r="E1169" s="132">
        <v>653.62</v>
      </c>
    </row>
    <row r="1170" spans="1:5" x14ac:dyDescent="0.25">
      <c r="A1170" s="130" t="s">
        <v>4</v>
      </c>
      <c r="B1170" s="130" t="s">
        <v>574</v>
      </c>
      <c r="C1170" s="130" t="s">
        <v>608</v>
      </c>
      <c r="D1170" s="130" t="s">
        <v>513</v>
      </c>
      <c r="E1170" s="132">
        <v>797.76</v>
      </c>
    </row>
    <row r="1171" spans="1:5" x14ac:dyDescent="0.25">
      <c r="A1171" s="130" t="s">
        <v>4</v>
      </c>
      <c r="B1171" s="130" t="s">
        <v>574</v>
      </c>
      <c r="C1171" s="130" t="s">
        <v>608</v>
      </c>
      <c r="D1171" s="130" t="s">
        <v>242</v>
      </c>
      <c r="E1171" s="132">
        <v>1418.33</v>
      </c>
    </row>
    <row r="1172" spans="1:5" x14ac:dyDescent="0.25">
      <c r="A1172" s="130" t="s">
        <v>4</v>
      </c>
      <c r="B1172" s="130" t="s">
        <v>574</v>
      </c>
      <c r="C1172" s="130" t="s">
        <v>608</v>
      </c>
      <c r="D1172" s="130" t="s">
        <v>413</v>
      </c>
      <c r="E1172" s="132">
        <v>561.13</v>
      </c>
    </row>
    <row r="1173" spans="1:5" x14ac:dyDescent="0.25">
      <c r="A1173" s="130" t="s">
        <v>4</v>
      </c>
      <c r="B1173" s="130" t="s">
        <v>574</v>
      </c>
      <c r="C1173" s="130" t="s">
        <v>608</v>
      </c>
      <c r="D1173" s="130" t="s">
        <v>370</v>
      </c>
      <c r="E1173" s="132">
        <v>11017.66</v>
      </c>
    </row>
    <row r="1174" spans="1:5" x14ac:dyDescent="0.25">
      <c r="A1174" s="130" t="s">
        <v>4</v>
      </c>
      <c r="B1174" s="130" t="s">
        <v>574</v>
      </c>
      <c r="C1174" s="130" t="s">
        <v>608</v>
      </c>
      <c r="D1174" s="130" t="s">
        <v>287</v>
      </c>
      <c r="E1174" s="132">
        <v>11189.08</v>
      </c>
    </row>
    <row r="1175" spans="1:5" x14ac:dyDescent="0.25">
      <c r="A1175" s="130" t="s">
        <v>4</v>
      </c>
      <c r="B1175" s="130" t="s">
        <v>574</v>
      </c>
      <c r="C1175" s="130" t="s">
        <v>608</v>
      </c>
      <c r="D1175" s="130" t="s">
        <v>371</v>
      </c>
      <c r="E1175" s="132">
        <v>25593.14</v>
      </c>
    </row>
    <row r="1176" spans="1:5" x14ac:dyDescent="0.25">
      <c r="A1176" s="130" t="s">
        <v>4</v>
      </c>
      <c r="B1176" s="130" t="s">
        <v>574</v>
      </c>
      <c r="C1176" s="130" t="s">
        <v>608</v>
      </c>
      <c r="D1176" s="130" t="s">
        <v>288</v>
      </c>
      <c r="E1176" s="132">
        <v>12948.25</v>
      </c>
    </row>
    <row r="1177" spans="1:5" x14ac:dyDescent="0.25">
      <c r="A1177" s="130" t="s">
        <v>4</v>
      </c>
      <c r="B1177" s="130" t="s">
        <v>574</v>
      </c>
      <c r="C1177" s="130" t="s">
        <v>608</v>
      </c>
      <c r="D1177" s="130" t="s">
        <v>380</v>
      </c>
      <c r="E1177" s="132">
        <v>12624.23</v>
      </c>
    </row>
    <row r="1178" spans="1:5" x14ac:dyDescent="0.25">
      <c r="A1178" s="130" t="s">
        <v>4</v>
      </c>
      <c r="B1178" s="130" t="s">
        <v>574</v>
      </c>
      <c r="C1178" s="130" t="s">
        <v>608</v>
      </c>
      <c r="D1178" s="130" t="s">
        <v>480</v>
      </c>
      <c r="E1178" s="132">
        <v>4724.1099999999997</v>
      </c>
    </row>
    <row r="1179" spans="1:5" x14ac:dyDescent="0.25">
      <c r="A1179" s="130" t="s">
        <v>4</v>
      </c>
      <c r="B1179" s="130" t="s">
        <v>574</v>
      </c>
      <c r="C1179" s="130" t="s">
        <v>608</v>
      </c>
      <c r="D1179" s="130" t="s">
        <v>481</v>
      </c>
      <c r="E1179" s="132">
        <v>11256.22</v>
      </c>
    </row>
    <row r="1180" spans="1:5" x14ac:dyDescent="0.25">
      <c r="A1180" s="130" t="s">
        <v>4</v>
      </c>
      <c r="B1180" s="130" t="s">
        <v>574</v>
      </c>
      <c r="C1180" s="130" t="s">
        <v>608</v>
      </c>
      <c r="D1180" s="130" t="s">
        <v>261</v>
      </c>
      <c r="E1180" s="132">
        <v>76523.55</v>
      </c>
    </row>
    <row r="1181" spans="1:5" x14ac:dyDescent="0.25">
      <c r="A1181" s="130" t="s">
        <v>4</v>
      </c>
      <c r="B1181" s="130" t="s">
        <v>574</v>
      </c>
      <c r="C1181" s="130" t="s">
        <v>608</v>
      </c>
      <c r="D1181" s="130" t="s">
        <v>366</v>
      </c>
      <c r="E1181" s="132">
        <v>11716.38</v>
      </c>
    </row>
    <row r="1182" spans="1:5" x14ac:dyDescent="0.25">
      <c r="A1182" s="130" t="s">
        <v>4</v>
      </c>
      <c r="B1182" s="130" t="s">
        <v>574</v>
      </c>
      <c r="C1182" s="130" t="s">
        <v>608</v>
      </c>
      <c r="D1182" s="130" t="s">
        <v>638</v>
      </c>
      <c r="E1182" s="132">
        <v>23377.3</v>
      </c>
    </row>
    <row r="1183" spans="1:5" x14ac:dyDescent="0.25">
      <c r="A1183" s="130" t="s">
        <v>4</v>
      </c>
      <c r="B1183" s="130" t="s">
        <v>574</v>
      </c>
      <c r="C1183" s="130" t="s">
        <v>608</v>
      </c>
      <c r="D1183" s="130" t="s">
        <v>396</v>
      </c>
      <c r="E1183" s="132">
        <v>6407.33</v>
      </c>
    </row>
    <row r="1184" spans="1:5" x14ac:dyDescent="0.25">
      <c r="A1184" s="130" t="s">
        <v>4</v>
      </c>
      <c r="B1184" s="130" t="s">
        <v>574</v>
      </c>
      <c r="C1184" s="130" t="s">
        <v>608</v>
      </c>
      <c r="D1184" s="130" t="s">
        <v>555</v>
      </c>
      <c r="E1184" s="132">
        <v>5961.03</v>
      </c>
    </row>
    <row r="1185" spans="1:5" x14ac:dyDescent="0.25">
      <c r="A1185" s="130" t="s">
        <v>4</v>
      </c>
      <c r="B1185" s="130" t="s">
        <v>574</v>
      </c>
      <c r="C1185" s="130" t="s">
        <v>608</v>
      </c>
      <c r="D1185" s="130" t="s">
        <v>330</v>
      </c>
      <c r="E1185" s="132">
        <v>4280.8</v>
      </c>
    </row>
    <row r="1186" spans="1:5" x14ac:dyDescent="0.25">
      <c r="A1186" s="130" t="s">
        <v>4</v>
      </c>
      <c r="B1186" s="130" t="s">
        <v>574</v>
      </c>
      <c r="C1186" s="130" t="s">
        <v>608</v>
      </c>
      <c r="D1186" s="130" t="s">
        <v>342</v>
      </c>
      <c r="E1186" s="132">
        <v>11029.59</v>
      </c>
    </row>
    <row r="1187" spans="1:5" x14ac:dyDescent="0.25">
      <c r="A1187" s="130" t="s">
        <v>4</v>
      </c>
      <c r="B1187" s="130" t="s">
        <v>574</v>
      </c>
      <c r="C1187" s="130" t="s">
        <v>608</v>
      </c>
      <c r="D1187" s="130" t="s">
        <v>929</v>
      </c>
      <c r="E1187" s="132">
        <v>2402.86</v>
      </c>
    </row>
    <row r="1188" spans="1:5" x14ac:dyDescent="0.25">
      <c r="A1188" s="130" t="s">
        <v>4</v>
      </c>
      <c r="B1188" s="130" t="s">
        <v>574</v>
      </c>
      <c r="C1188" s="130" t="s">
        <v>608</v>
      </c>
      <c r="D1188" s="130" t="s">
        <v>690</v>
      </c>
      <c r="E1188" s="132">
        <v>1390.08</v>
      </c>
    </row>
    <row r="1189" spans="1:5" x14ac:dyDescent="0.25">
      <c r="A1189" s="130" t="s">
        <v>4</v>
      </c>
      <c r="B1189" s="130" t="s">
        <v>574</v>
      </c>
      <c r="C1189" s="130" t="s">
        <v>608</v>
      </c>
      <c r="D1189" s="130" t="s">
        <v>723</v>
      </c>
      <c r="E1189" s="132">
        <v>3789.04</v>
      </c>
    </row>
    <row r="1190" spans="1:5" x14ac:dyDescent="0.25">
      <c r="A1190" s="130" t="s">
        <v>4</v>
      </c>
      <c r="B1190" s="130" t="s">
        <v>574</v>
      </c>
      <c r="C1190" s="130" t="s">
        <v>608</v>
      </c>
      <c r="D1190" s="130" t="s">
        <v>614</v>
      </c>
      <c r="E1190" s="132">
        <v>808</v>
      </c>
    </row>
    <row r="1191" spans="1:5" x14ac:dyDescent="0.25">
      <c r="A1191" s="130" t="s">
        <v>4</v>
      </c>
      <c r="B1191" s="130" t="s">
        <v>574</v>
      </c>
      <c r="C1191" s="130" t="s">
        <v>608</v>
      </c>
      <c r="D1191" s="130" t="s">
        <v>264</v>
      </c>
      <c r="E1191" s="132">
        <v>4310.8599999999997</v>
      </c>
    </row>
    <row r="1192" spans="1:5" x14ac:dyDescent="0.25">
      <c r="A1192" s="130" t="s">
        <v>4</v>
      </c>
      <c r="B1192" s="130" t="s">
        <v>574</v>
      </c>
      <c r="C1192" s="130" t="s">
        <v>608</v>
      </c>
      <c r="D1192" s="130" t="s">
        <v>381</v>
      </c>
      <c r="E1192" s="132">
        <v>990</v>
      </c>
    </row>
    <row r="1193" spans="1:5" x14ac:dyDescent="0.25">
      <c r="A1193" s="130" t="s">
        <v>4</v>
      </c>
      <c r="B1193" s="130" t="s">
        <v>574</v>
      </c>
      <c r="C1193" s="130" t="s">
        <v>608</v>
      </c>
      <c r="D1193" s="130" t="s">
        <v>343</v>
      </c>
      <c r="E1193" s="132">
        <v>1090.44</v>
      </c>
    </row>
    <row r="1194" spans="1:5" x14ac:dyDescent="0.25">
      <c r="A1194" s="130" t="s">
        <v>4</v>
      </c>
      <c r="B1194" s="130" t="s">
        <v>574</v>
      </c>
      <c r="C1194" s="130" t="s">
        <v>608</v>
      </c>
      <c r="D1194" s="130" t="s">
        <v>382</v>
      </c>
      <c r="E1194" s="132">
        <v>1219.08</v>
      </c>
    </row>
    <row r="1195" spans="1:5" x14ac:dyDescent="0.25">
      <c r="A1195" s="130" t="s">
        <v>4</v>
      </c>
      <c r="B1195" s="130" t="s">
        <v>574</v>
      </c>
      <c r="C1195" s="130" t="s">
        <v>608</v>
      </c>
      <c r="D1195" s="130" t="s">
        <v>706</v>
      </c>
      <c r="E1195" s="132">
        <v>1426.99</v>
      </c>
    </row>
    <row r="1196" spans="1:5" x14ac:dyDescent="0.25">
      <c r="A1196" s="130" t="s">
        <v>4</v>
      </c>
      <c r="B1196" s="130" t="s">
        <v>574</v>
      </c>
      <c r="C1196" s="130" t="s">
        <v>608</v>
      </c>
      <c r="D1196" s="130" t="s">
        <v>707</v>
      </c>
      <c r="E1196" s="132">
        <v>1624.66</v>
      </c>
    </row>
    <row r="1197" spans="1:5" x14ac:dyDescent="0.25">
      <c r="A1197" s="130" t="s">
        <v>4</v>
      </c>
      <c r="B1197" s="130" t="s">
        <v>574</v>
      </c>
      <c r="C1197" s="130" t="s">
        <v>608</v>
      </c>
      <c r="D1197" s="130" t="s">
        <v>675</v>
      </c>
      <c r="E1197" s="132">
        <v>1732.95</v>
      </c>
    </row>
    <row r="1198" spans="1:5" x14ac:dyDescent="0.25">
      <c r="A1198" s="130" t="s">
        <v>4</v>
      </c>
      <c r="B1198" s="130" t="s">
        <v>574</v>
      </c>
      <c r="C1198" s="130" t="s">
        <v>608</v>
      </c>
      <c r="D1198" s="130" t="s">
        <v>703</v>
      </c>
      <c r="E1198" s="132">
        <v>2802.15</v>
      </c>
    </row>
    <row r="1199" spans="1:5" x14ac:dyDescent="0.25">
      <c r="A1199" s="130" t="s">
        <v>4</v>
      </c>
      <c r="B1199" s="130" t="s">
        <v>574</v>
      </c>
      <c r="C1199" s="130" t="s">
        <v>608</v>
      </c>
      <c r="D1199" s="130" t="s">
        <v>704</v>
      </c>
      <c r="E1199" s="132">
        <v>3031.24</v>
      </c>
    </row>
    <row r="1200" spans="1:5" x14ac:dyDescent="0.25">
      <c r="A1200" s="130" t="s">
        <v>4</v>
      </c>
      <c r="B1200" s="130" t="s">
        <v>574</v>
      </c>
      <c r="C1200" s="130" t="s">
        <v>608</v>
      </c>
      <c r="D1200" s="130" t="s">
        <v>440</v>
      </c>
      <c r="E1200" s="132">
        <v>4916.28</v>
      </c>
    </row>
    <row r="1201" spans="1:5" x14ac:dyDescent="0.25">
      <c r="A1201" s="130" t="s">
        <v>4</v>
      </c>
      <c r="B1201" s="130" t="s">
        <v>574</v>
      </c>
      <c r="C1201" s="130" t="s">
        <v>608</v>
      </c>
      <c r="D1201" s="130" t="s">
        <v>691</v>
      </c>
      <c r="E1201" s="132">
        <v>4769.6499999999996</v>
      </c>
    </row>
    <row r="1202" spans="1:5" x14ac:dyDescent="0.25">
      <c r="A1202" s="130" t="s">
        <v>4</v>
      </c>
      <c r="B1202" s="130" t="s">
        <v>574</v>
      </c>
      <c r="C1202" s="130" t="s">
        <v>608</v>
      </c>
      <c r="D1202" s="130" t="s">
        <v>665</v>
      </c>
      <c r="E1202" s="132">
        <v>2102.4299999999998</v>
      </c>
    </row>
    <row r="1203" spans="1:5" x14ac:dyDescent="0.25">
      <c r="A1203" s="130" t="s">
        <v>4</v>
      </c>
      <c r="B1203" s="130" t="s">
        <v>574</v>
      </c>
      <c r="C1203" s="130" t="s">
        <v>608</v>
      </c>
      <c r="D1203" s="130" t="s">
        <v>257</v>
      </c>
      <c r="E1203" s="132">
        <v>16917.580000000002</v>
      </c>
    </row>
    <row r="1204" spans="1:5" x14ac:dyDescent="0.25">
      <c r="A1204" s="130" t="s">
        <v>4</v>
      </c>
      <c r="B1204" s="130" t="s">
        <v>574</v>
      </c>
      <c r="C1204" s="130" t="s">
        <v>608</v>
      </c>
      <c r="D1204" s="130" t="s">
        <v>428</v>
      </c>
      <c r="E1204" s="132">
        <v>10874.14</v>
      </c>
    </row>
    <row r="1205" spans="1:5" x14ac:dyDescent="0.25">
      <c r="A1205" s="130" t="s">
        <v>4</v>
      </c>
      <c r="B1205" s="130" t="s">
        <v>574</v>
      </c>
      <c r="C1205" s="130" t="s">
        <v>608</v>
      </c>
      <c r="D1205" s="130" t="s">
        <v>377</v>
      </c>
      <c r="E1205" s="132">
        <v>11394.49</v>
      </c>
    </row>
    <row r="1206" spans="1:5" x14ac:dyDescent="0.25">
      <c r="A1206" s="130" t="s">
        <v>4</v>
      </c>
      <c r="B1206" s="130" t="s">
        <v>574</v>
      </c>
      <c r="C1206" s="130" t="s">
        <v>608</v>
      </c>
      <c r="D1206" s="130" t="s">
        <v>560</v>
      </c>
      <c r="E1206" s="132">
        <v>6387.04</v>
      </c>
    </row>
    <row r="1207" spans="1:5" x14ac:dyDescent="0.25">
      <c r="A1207" s="130" t="s">
        <v>4</v>
      </c>
      <c r="B1207" s="130" t="s">
        <v>574</v>
      </c>
      <c r="C1207" s="130" t="s">
        <v>608</v>
      </c>
      <c r="D1207" s="130" t="s">
        <v>258</v>
      </c>
      <c r="E1207" s="132">
        <v>21234.75</v>
      </c>
    </row>
    <row r="1208" spans="1:5" x14ac:dyDescent="0.25">
      <c r="A1208" s="130" t="s">
        <v>4</v>
      </c>
      <c r="B1208" s="130" t="s">
        <v>574</v>
      </c>
      <c r="C1208" s="130" t="s">
        <v>608</v>
      </c>
      <c r="D1208" s="130" t="s">
        <v>561</v>
      </c>
      <c r="E1208" s="132">
        <v>15538.29</v>
      </c>
    </row>
    <row r="1209" spans="1:5" x14ac:dyDescent="0.25">
      <c r="A1209" s="130" t="s">
        <v>4</v>
      </c>
      <c r="B1209" s="130" t="s">
        <v>574</v>
      </c>
      <c r="C1209" s="130" t="s">
        <v>608</v>
      </c>
      <c r="D1209" s="130" t="s">
        <v>337</v>
      </c>
      <c r="E1209" s="132">
        <v>2627.82</v>
      </c>
    </row>
    <row r="1210" spans="1:5" x14ac:dyDescent="0.25">
      <c r="A1210" s="130" t="s">
        <v>4</v>
      </c>
      <c r="B1210" s="130" t="s">
        <v>574</v>
      </c>
      <c r="C1210" s="130" t="s">
        <v>608</v>
      </c>
      <c r="D1210" s="130" t="s">
        <v>333</v>
      </c>
      <c r="E1210" s="132">
        <v>3577.27</v>
      </c>
    </row>
    <row r="1211" spans="1:5" x14ac:dyDescent="0.25">
      <c r="A1211" s="130" t="s">
        <v>4</v>
      </c>
      <c r="B1211" s="130" t="s">
        <v>574</v>
      </c>
      <c r="C1211" s="130" t="s">
        <v>608</v>
      </c>
      <c r="D1211" s="130" t="s">
        <v>378</v>
      </c>
      <c r="E1211" s="132">
        <v>2404.4699999999998</v>
      </c>
    </row>
    <row r="1212" spans="1:5" x14ac:dyDescent="0.25">
      <c r="A1212" s="130" t="s">
        <v>4</v>
      </c>
      <c r="B1212" s="130" t="s">
        <v>574</v>
      </c>
      <c r="C1212" s="130" t="s">
        <v>608</v>
      </c>
      <c r="D1212" s="130" t="s">
        <v>509</v>
      </c>
      <c r="E1212" s="132">
        <v>140.19</v>
      </c>
    </row>
    <row r="1213" spans="1:5" x14ac:dyDescent="0.25">
      <c r="A1213" s="130" t="s">
        <v>4</v>
      </c>
      <c r="B1213" s="130" t="s">
        <v>574</v>
      </c>
      <c r="C1213" s="130" t="s">
        <v>608</v>
      </c>
      <c r="D1213" s="130" t="s">
        <v>1022</v>
      </c>
      <c r="E1213" s="132">
        <v>1887.44</v>
      </c>
    </row>
    <row r="1214" spans="1:5" x14ac:dyDescent="0.25">
      <c r="A1214" s="130" t="s">
        <v>4</v>
      </c>
      <c r="B1214" s="130" t="s">
        <v>574</v>
      </c>
      <c r="C1214" s="130" t="s">
        <v>608</v>
      </c>
      <c r="D1214" s="130" t="s">
        <v>992</v>
      </c>
      <c r="E1214" s="132">
        <v>1484.26</v>
      </c>
    </row>
    <row r="1215" spans="1:5" x14ac:dyDescent="0.25">
      <c r="A1215" s="130" t="s">
        <v>4</v>
      </c>
      <c r="B1215" s="130" t="s">
        <v>574</v>
      </c>
      <c r="C1215" s="130" t="s">
        <v>608</v>
      </c>
      <c r="D1215" s="130" t="s">
        <v>310</v>
      </c>
      <c r="E1215" s="132">
        <v>5950.33</v>
      </c>
    </row>
    <row r="1216" spans="1:5" x14ac:dyDescent="0.25">
      <c r="A1216" s="130" t="s">
        <v>4</v>
      </c>
      <c r="B1216" s="130" t="s">
        <v>574</v>
      </c>
      <c r="C1216" s="130" t="s">
        <v>608</v>
      </c>
      <c r="D1216" s="130" t="s">
        <v>273</v>
      </c>
      <c r="E1216" s="132">
        <v>1843.57</v>
      </c>
    </row>
    <row r="1217" spans="1:5" x14ac:dyDescent="0.25">
      <c r="A1217" s="130" t="s">
        <v>4</v>
      </c>
      <c r="B1217" s="130" t="s">
        <v>574</v>
      </c>
      <c r="C1217" s="130" t="s">
        <v>608</v>
      </c>
      <c r="D1217" s="130" t="s">
        <v>829</v>
      </c>
      <c r="E1217" s="132">
        <v>287.82</v>
      </c>
    </row>
    <row r="1218" spans="1:5" x14ac:dyDescent="0.25">
      <c r="A1218" s="130" t="s">
        <v>4</v>
      </c>
      <c r="B1218" s="130" t="s">
        <v>574</v>
      </c>
      <c r="C1218" s="130" t="s">
        <v>608</v>
      </c>
      <c r="D1218" s="130" t="s">
        <v>830</v>
      </c>
      <c r="E1218" s="132">
        <v>277.52</v>
      </c>
    </row>
    <row r="1219" spans="1:5" x14ac:dyDescent="0.25">
      <c r="A1219" s="130" t="s">
        <v>4</v>
      </c>
      <c r="B1219" s="130" t="s">
        <v>574</v>
      </c>
      <c r="C1219" s="130" t="s">
        <v>608</v>
      </c>
      <c r="D1219" s="130" t="s">
        <v>694</v>
      </c>
      <c r="E1219" s="132">
        <v>229.9</v>
      </c>
    </row>
    <row r="1220" spans="1:5" x14ac:dyDescent="0.25">
      <c r="A1220" s="130" t="s">
        <v>4</v>
      </c>
      <c r="B1220" s="130" t="s">
        <v>574</v>
      </c>
      <c r="C1220" s="130" t="s">
        <v>608</v>
      </c>
      <c r="D1220" s="130" t="s">
        <v>695</v>
      </c>
      <c r="E1220" s="132">
        <v>161.46</v>
      </c>
    </row>
    <row r="1221" spans="1:5" x14ac:dyDescent="0.25">
      <c r="A1221" s="130" t="s">
        <v>4</v>
      </c>
      <c r="B1221" s="130" t="s">
        <v>574</v>
      </c>
      <c r="C1221" s="130" t="s">
        <v>608</v>
      </c>
      <c r="D1221" s="130" t="s">
        <v>619</v>
      </c>
      <c r="E1221" s="132">
        <v>936.25</v>
      </c>
    </row>
    <row r="1222" spans="1:5" x14ac:dyDescent="0.25">
      <c r="A1222" s="130" t="s">
        <v>4</v>
      </c>
      <c r="B1222" s="130" t="s">
        <v>574</v>
      </c>
      <c r="C1222" s="130" t="s">
        <v>608</v>
      </c>
      <c r="D1222" s="130" t="s">
        <v>262</v>
      </c>
      <c r="E1222" s="132">
        <v>1148.3499999999999</v>
      </c>
    </row>
    <row r="1223" spans="1:5" x14ac:dyDescent="0.25">
      <c r="A1223" s="130" t="s">
        <v>4</v>
      </c>
      <c r="B1223" s="130" t="s">
        <v>574</v>
      </c>
      <c r="C1223" s="130" t="s">
        <v>608</v>
      </c>
      <c r="D1223" s="130" t="s">
        <v>259</v>
      </c>
      <c r="E1223" s="132">
        <v>19472.490000000002</v>
      </c>
    </row>
    <row r="1224" spans="1:5" x14ac:dyDescent="0.25">
      <c r="A1224" s="130" t="s">
        <v>4</v>
      </c>
      <c r="B1224" s="130" t="s">
        <v>574</v>
      </c>
      <c r="C1224" s="130" t="s">
        <v>608</v>
      </c>
      <c r="D1224" s="130" t="s">
        <v>319</v>
      </c>
      <c r="E1224" s="132">
        <v>15587.91</v>
      </c>
    </row>
    <row r="1225" spans="1:5" x14ac:dyDescent="0.25">
      <c r="A1225" s="130" t="s">
        <v>4</v>
      </c>
      <c r="B1225" s="130" t="s">
        <v>574</v>
      </c>
      <c r="C1225" s="130" t="s">
        <v>608</v>
      </c>
      <c r="D1225" s="130" t="s">
        <v>363</v>
      </c>
      <c r="E1225" s="132">
        <v>3355.27</v>
      </c>
    </row>
    <row r="1226" spans="1:5" x14ac:dyDescent="0.25">
      <c r="A1226" s="130" t="s">
        <v>4</v>
      </c>
      <c r="B1226" s="130" t="s">
        <v>574</v>
      </c>
      <c r="C1226" s="130" t="s">
        <v>608</v>
      </c>
      <c r="D1226" s="130" t="s">
        <v>1023</v>
      </c>
      <c r="E1226" s="132">
        <v>33575.49</v>
      </c>
    </row>
    <row r="1227" spans="1:5" x14ac:dyDescent="0.25">
      <c r="A1227" s="130" t="s">
        <v>4</v>
      </c>
      <c r="B1227" s="130" t="s">
        <v>574</v>
      </c>
      <c r="C1227" s="130" t="s">
        <v>608</v>
      </c>
      <c r="D1227" s="130" t="s">
        <v>742</v>
      </c>
      <c r="E1227" s="132">
        <v>45453.33</v>
      </c>
    </row>
    <row r="1228" spans="1:5" x14ac:dyDescent="0.25">
      <c r="A1228" s="130" t="s">
        <v>4</v>
      </c>
      <c r="B1228" s="130" t="s">
        <v>574</v>
      </c>
      <c r="C1228" s="130" t="s">
        <v>608</v>
      </c>
      <c r="D1228" s="130" t="s">
        <v>649</v>
      </c>
      <c r="E1228" s="132">
        <v>16881.93</v>
      </c>
    </row>
    <row r="1229" spans="1:5" x14ac:dyDescent="0.25">
      <c r="A1229" s="130" t="s">
        <v>4</v>
      </c>
      <c r="B1229" s="130" t="s">
        <v>574</v>
      </c>
      <c r="C1229" s="130" t="s">
        <v>608</v>
      </c>
      <c r="D1229" s="130" t="s">
        <v>672</v>
      </c>
      <c r="E1229" s="132">
        <v>43742.79</v>
      </c>
    </row>
    <row r="1230" spans="1:5" x14ac:dyDescent="0.25">
      <c r="A1230" s="130" t="s">
        <v>4</v>
      </c>
      <c r="B1230" s="130" t="s">
        <v>574</v>
      </c>
      <c r="C1230" s="130" t="s">
        <v>608</v>
      </c>
      <c r="D1230" s="130" t="s">
        <v>679</v>
      </c>
      <c r="E1230" s="132">
        <v>1885.1</v>
      </c>
    </row>
    <row r="1231" spans="1:5" x14ac:dyDescent="0.25">
      <c r="A1231" s="130" t="s">
        <v>4</v>
      </c>
      <c r="B1231" s="130" t="s">
        <v>574</v>
      </c>
      <c r="C1231" s="130" t="s">
        <v>608</v>
      </c>
      <c r="D1231" s="130" t="s">
        <v>263</v>
      </c>
      <c r="E1231" s="132">
        <v>1915.76</v>
      </c>
    </row>
    <row r="1232" spans="1:5" x14ac:dyDescent="0.25">
      <c r="A1232" s="130" t="s">
        <v>4</v>
      </c>
      <c r="B1232" s="130" t="s">
        <v>574</v>
      </c>
      <c r="C1232" s="130" t="s">
        <v>608</v>
      </c>
      <c r="D1232" s="130" t="s">
        <v>496</v>
      </c>
      <c r="E1232" s="132">
        <v>2739.44</v>
      </c>
    </row>
    <row r="1233" spans="1:5" x14ac:dyDescent="0.25">
      <c r="A1233" s="130" t="s">
        <v>4</v>
      </c>
      <c r="B1233" s="130" t="s">
        <v>574</v>
      </c>
      <c r="C1233" s="130" t="s">
        <v>608</v>
      </c>
      <c r="D1233" s="130" t="s">
        <v>498</v>
      </c>
      <c r="E1233" s="132">
        <v>1324.62</v>
      </c>
    </row>
    <row r="1234" spans="1:5" x14ac:dyDescent="0.25">
      <c r="A1234" s="130" t="s">
        <v>4</v>
      </c>
      <c r="B1234" s="130" t="s">
        <v>574</v>
      </c>
      <c r="C1234" s="130" t="s">
        <v>608</v>
      </c>
      <c r="D1234" s="130" t="s">
        <v>941</v>
      </c>
      <c r="E1234" s="132">
        <v>1387.74</v>
      </c>
    </row>
    <row r="1235" spans="1:5" x14ac:dyDescent="0.25">
      <c r="A1235" s="130" t="s">
        <v>4</v>
      </c>
      <c r="B1235" s="130" t="s">
        <v>574</v>
      </c>
      <c r="C1235" s="130" t="s">
        <v>608</v>
      </c>
      <c r="D1235" s="130" t="s">
        <v>556</v>
      </c>
      <c r="E1235" s="132">
        <v>2186.38</v>
      </c>
    </row>
    <row r="1236" spans="1:5" x14ac:dyDescent="0.25">
      <c r="A1236" s="130" t="s">
        <v>4</v>
      </c>
      <c r="B1236" s="130" t="s">
        <v>574</v>
      </c>
      <c r="C1236" s="130" t="s">
        <v>608</v>
      </c>
      <c r="D1236" s="130" t="s">
        <v>364</v>
      </c>
      <c r="E1236" s="132">
        <v>1818.82</v>
      </c>
    </row>
    <row r="1237" spans="1:5" x14ac:dyDescent="0.25">
      <c r="A1237" s="130" t="s">
        <v>4</v>
      </c>
      <c r="B1237" s="130" t="s">
        <v>574</v>
      </c>
      <c r="C1237" s="130" t="s">
        <v>608</v>
      </c>
      <c r="D1237" s="130" t="s">
        <v>338</v>
      </c>
      <c r="E1237" s="132">
        <v>2196.67</v>
      </c>
    </row>
    <row r="1238" spans="1:5" x14ac:dyDescent="0.25">
      <c r="A1238" s="130" t="s">
        <v>4</v>
      </c>
      <c r="B1238" s="130" t="s">
        <v>574</v>
      </c>
      <c r="C1238" s="130" t="s">
        <v>608</v>
      </c>
      <c r="D1238" s="130" t="s">
        <v>293</v>
      </c>
      <c r="E1238" s="132">
        <v>706.09</v>
      </c>
    </row>
    <row r="1239" spans="1:5" x14ac:dyDescent="0.25">
      <c r="A1239" s="130" t="s">
        <v>4</v>
      </c>
      <c r="B1239" s="130" t="s">
        <v>574</v>
      </c>
      <c r="C1239" s="130" t="s">
        <v>608</v>
      </c>
      <c r="D1239" s="130" t="s">
        <v>705</v>
      </c>
      <c r="E1239" s="132">
        <v>454.22</v>
      </c>
    </row>
    <row r="1240" spans="1:5" x14ac:dyDescent="0.25">
      <c r="A1240" s="130" t="s">
        <v>4</v>
      </c>
      <c r="B1240" s="130" t="s">
        <v>574</v>
      </c>
      <c r="C1240" s="130" t="s">
        <v>608</v>
      </c>
      <c r="D1240" s="130" t="s">
        <v>274</v>
      </c>
      <c r="E1240" s="132">
        <v>619.75</v>
      </c>
    </row>
    <row r="1241" spans="1:5" x14ac:dyDescent="0.25">
      <c r="A1241" s="130" t="s">
        <v>4</v>
      </c>
      <c r="B1241" s="130" t="s">
        <v>574</v>
      </c>
      <c r="C1241" s="130" t="s">
        <v>608</v>
      </c>
      <c r="D1241" s="130" t="s">
        <v>303</v>
      </c>
      <c r="E1241" s="132">
        <v>1031.6500000000001</v>
      </c>
    </row>
    <row r="1242" spans="1:5" x14ac:dyDescent="0.25">
      <c r="A1242" s="130" t="s">
        <v>4</v>
      </c>
      <c r="B1242" s="130" t="s">
        <v>574</v>
      </c>
      <c r="C1242" s="130" t="s">
        <v>608</v>
      </c>
      <c r="D1242" s="130" t="s">
        <v>403</v>
      </c>
      <c r="E1242" s="132">
        <v>695.1</v>
      </c>
    </row>
    <row r="1243" spans="1:5" x14ac:dyDescent="0.25">
      <c r="A1243" s="130" t="s">
        <v>4</v>
      </c>
      <c r="B1243" s="130" t="s">
        <v>574</v>
      </c>
      <c r="C1243" s="130" t="s">
        <v>608</v>
      </c>
      <c r="D1243" s="130" t="s">
        <v>627</v>
      </c>
      <c r="E1243" s="132">
        <v>667.19</v>
      </c>
    </row>
    <row r="1244" spans="1:5" x14ac:dyDescent="0.25">
      <c r="A1244" s="130" t="s">
        <v>4</v>
      </c>
      <c r="B1244" s="130" t="s">
        <v>574</v>
      </c>
      <c r="C1244" s="130" t="s">
        <v>608</v>
      </c>
      <c r="D1244" s="130" t="s">
        <v>777</v>
      </c>
      <c r="E1244" s="132">
        <v>489.12</v>
      </c>
    </row>
    <row r="1245" spans="1:5" x14ac:dyDescent="0.25">
      <c r="A1245" s="130" t="s">
        <v>4</v>
      </c>
      <c r="B1245" s="130" t="s">
        <v>574</v>
      </c>
      <c r="C1245" s="130" t="s">
        <v>608</v>
      </c>
      <c r="D1245" s="130" t="s">
        <v>294</v>
      </c>
      <c r="E1245" s="132">
        <v>983.68</v>
      </c>
    </row>
    <row r="1246" spans="1:5" x14ac:dyDescent="0.25">
      <c r="A1246" s="130" t="s">
        <v>4</v>
      </c>
      <c r="B1246" s="130" t="s">
        <v>574</v>
      </c>
      <c r="C1246" s="130" t="s">
        <v>608</v>
      </c>
      <c r="D1246" s="130" t="s">
        <v>295</v>
      </c>
      <c r="E1246" s="132">
        <v>1090.44</v>
      </c>
    </row>
    <row r="1247" spans="1:5" x14ac:dyDescent="0.25">
      <c r="A1247" s="130" t="s">
        <v>4</v>
      </c>
      <c r="B1247" s="130" t="s">
        <v>574</v>
      </c>
      <c r="C1247" s="130" t="s">
        <v>608</v>
      </c>
      <c r="D1247" s="130" t="s">
        <v>748</v>
      </c>
      <c r="E1247" s="132">
        <v>693.08</v>
      </c>
    </row>
    <row r="1248" spans="1:5" x14ac:dyDescent="0.25">
      <c r="A1248" s="130" t="s">
        <v>4</v>
      </c>
      <c r="B1248" s="130" t="s">
        <v>574</v>
      </c>
      <c r="C1248" s="130" t="s">
        <v>608</v>
      </c>
      <c r="D1248" s="130" t="s">
        <v>500</v>
      </c>
      <c r="E1248" s="132">
        <v>1973.79</v>
      </c>
    </row>
    <row r="1249" spans="1:5" x14ac:dyDescent="0.25">
      <c r="A1249" s="130" t="s">
        <v>4</v>
      </c>
      <c r="B1249" s="130" t="s">
        <v>574</v>
      </c>
      <c r="C1249" s="130" t="s">
        <v>608</v>
      </c>
      <c r="D1249" s="130" t="s">
        <v>404</v>
      </c>
      <c r="E1249" s="132">
        <v>1244.21</v>
      </c>
    </row>
    <row r="1250" spans="1:5" x14ac:dyDescent="0.25">
      <c r="A1250" s="130" t="s">
        <v>4</v>
      </c>
      <c r="B1250" s="130" t="s">
        <v>574</v>
      </c>
      <c r="C1250" s="130" t="s">
        <v>608</v>
      </c>
      <c r="D1250" s="130" t="s">
        <v>281</v>
      </c>
      <c r="E1250" s="132">
        <v>985.26</v>
      </c>
    </row>
    <row r="1251" spans="1:5" x14ac:dyDescent="0.25">
      <c r="A1251" s="130" t="s">
        <v>4</v>
      </c>
      <c r="B1251" s="130" t="s">
        <v>574</v>
      </c>
      <c r="C1251" s="130" t="s">
        <v>608</v>
      </c>
      <c r="D1251" s="130" t="s">
        <v>659</v>
      </c>
      <c r="E1251" s="132">
        <v>615.04</v>
      </c>
    </row>
    <row r="1252" spans="1:5" x14ac:dyDescent="0.25">
      <c r="A1252" s="130" t="s">
        <v>4</v>
      </c>
      <c r="B1252" s="130" t="s">
        <v>574</v>
      </c>
      <c r="C1252" s="130" t="s">
        <v>608</v>
      </c>
      <c r="D1252" s="130" t="s">
        <v>383</v>
      </c>
      <c r="E1252" s="132">
        <v>1634.84</v>
      </c>
    </row>
    <row r="1253" spans="1:5" x14ac:dyDescent="0.25">
      <c r="A1253" s="130" t="s">
        <v>4</v>
      </c>
      <c r="B1253" s="130" t="s">
        <v>574</v>
      </c>
      <c r="C1253" s="130" t="s">
        <v>608</v>
      </c>
      <c r="D1253" s="130" t="s">
        <v>237</v>
      </c>
      <c r="E1253" s="132">
        <v>4000.52</v>
      </c>
    </row>
    <row r="1254" spans="1:5" x14ac:dyDescent="0.25">
      <c r="A1254" s="130" t="s">
        <v>4</v>
      </c>
      <c r="B1254" s="130" t="s">
        <v>574</v>
      </c>
      <c r="C1254" s="130" t="s">
        <v>608</v>
      </c>
      <c r="D1254" s="130" t="s">
        <v>238</v>
      </c>
      <c r="E1254" s="132">
        <v>800.16</v>
      </c>
    </row>
    <row r="1255" spans="1:5" x14ac:dyDescent="0.25">
      <c r="A1255" s="130" t="s">
        <v>4</v>
      </c>
      <c r="B1255" s="130" t="s">
        <v>574</v>
      </c>
      <c r="C1255" s="130" t="s">
        <v>608</v>
      </c>
      <c r="D1255" s="130" t="s">
        <v>716</v>
      </c>
      <c r="E1255" s="132">
        <v>785.27</v>
      </c>
    </row>
    <row r="1256" spans="1:5" x14ac:dyDescent="0.25">
      <c r="A1256" s="130" t="s">
        <v>4</v>
      </c>
      <c r="B1256" s="130" t="s">
        <v>574</v>
      </c>
      <c r="C1256" s="130" t="s">
        <v>608</v>
      </c>
      <c r="D1256" s="130" t="s">
        <v>474</v>
      </c>
      <c r="E1256" s="132">
        <v>540.89</v>
      </c>
    </row>
    <row r="1257" spans="1:5" x14ac:dyDescent="0.25">
      <c r="A1257" s="130" t="s">
        <v>4</v>
      </c>
      <c r="B1257" s="130" t="s">
        <v>574</v>
      </c>
      <c r="C1257" s="130" t="s">
        <v>608</v>
      </c>
      <c r="D1257" s="130" t="s">
        <v>239</v>
      </c>
      <c r="E1257" s="132">
        <v>2223.94</v>
      </c>
    </row>
    <row r="1258" spans="1:5" x14ac:dyDescent="0.25">
      <c r="A1258" s="130" t="s">
        <v>4</v>
      </c>
      <c r="B1258" s="130" t="s">
        <v>574</v>
      </c>
      <c r="C1258" s="130" t="s">
        <v>608</v>
      </c>
      <c r="D1258" s="130" t="s">
        <v>406</v>
      </c>
      <c r="E1258" s="132">
        <v>1169.27</v>
      </c>
    </row>
    <row r="1259" spans="1:5" x14ac:dyDescent="0.25">
      <c r="A1259" s="130" t="s">
        <v>4</v>
      </c>
      <c r="B1259" s="130" t="s">
        <v>574</v>
      </c>
      <c r="C1259" s="130" t="s">
        <v>608</v>
      </c>
      <c r="D1259" s="130" t="s">
        <v>266</v>
      </c>
      <c r="E1259" s="132">
        <v>618.16999999999996</v>
      </c>
    </row>
    <row r="1260" spans="1:5" x14ac:dyDescent="0.25">
      <c r="A1260" s="130" t="s">
        <v>4</v>
      </c>
      <c r="B1260" s="130" t="s">
        <v>574</v>
      </c>
      <c r="C1260" s="130" t="s">
        <v>608</v>
      </c>
      <c r="D1260" s="130" t="s">
        <v>240</v>
      </c>
      <c r="E1260" s="132">
        <v>1882.82</v>
      </c>
    </row>
    <row r="1261" spans="1:5" x14ac:dyDescent="0.25">
      <c r="A1261" s="130" t="s">
        <v>4</v>
      </c>
      <c r="B1261" s="130" t="s">
        <v>574</v>
      </c>
      <c r="C1261" s="130" t="s">
        <v>608</v>
      </c>
      <c r="D1261" s="130" t="s">
        <v>501</v>
      </c>
      <c r="E1261" s="132">
        <v>800.1</v>
      </c>
    </row>
    <row r="1262" spans="1:5" x14ac:dyDescent="0.25">
      <c r="A1262" s="130" t="s">
        <v>4</v>
      </c>
      <c r="B1262" s="130" t="s">
        <v>574</v>
      </c>
      <c r="C1262" s="130" t="s">
        <v>608</v>
      </c>
      <c r="D1262" s="130" t="s">
        <v>708</v>
      </c>
      <c r="E1262" s="132">
        <v>1170.8499999999999</v>
      </c>
    </row>
    <row r="1263" spans="1:5" x14ac:dyDescent="0.25">
      <c r="A1263" s="130" t="s">
        <v>4</v>
      </c>
      <c r="B1263" s="130" t="s">
        <v>574</v>
      </c>
      <c r="C1263" s="130" t="s">
        <v>608</v>
      </c>
      <c r="D1263" s="130" t="s">
        <v>407</v>
      </c>
      <c r="E1263" s="132">
        <v>810.37</v>
      </c>
    </row>
    <row r="1264" spans="1:5" x14ac:dyDescent="0.25">
      <c r="A1264" s="130" t="s">
        <v>4</v>
      </c>
      <c r="B1264" s="130" t="s">
        <v>574</v>
      </c>
      <c r="C1264" s="130" t="s">
        <v>608</v>
      </c>
      <c r="D1264" s="130" t="s">
        <v>660</v>
      </c>
      <c r="E1264" s="132">
        <v>1157.51</v>
      </c>
    </row>
    <row r="1265" spans="1:5" x14ac:dyDescent="0.25">
      <c r="A1265" s="130" t="s">
        <v>4</v>
      </c>
      <c r="B1265" s="130" t="s">
        <v>574</v>
      </c>
      <c r="C1265" s="130" t="s">
        <v>608</v>
      </c>
      <c r="D1265" s="130" t="s">
        <v>749</v>
      </c>
      <c r="E1265" s="132">
        <v>729.96</v>
      </c>
    </row>
    <row r="1266" spans="1:5" x14ac:dyDescent="0.25">
      <c r="A1266" s="130" t="s">
        <v>4</v>
      </c>
      <c r="B1266" s="130" t="s">
        <v>574</v>
      </c>
      <c r="C1266" s="130" t="s">
        <v>608</v>
      </c>
      <c r="D1266" s="130" t="s">
        <v>408</v>
      </c>
      <c r="E1266" s="132">
        <v>567.98</v>
      </c>
    </row>
    <row r="1267" spans="1:5" x14ac:dyDescent="0.25">
      <c r="A1267" s="130" t="s">
        <v>4</v>
      </c>
      <c r="B1267" s="130" t="s">
        <v>574</v>
      </c>
      <c r="C1267" s="130" t="s">
        <v>608</v>
      </c>
      <c r="D1267" s="130" t="s">
        <v>365</v>
      </c>
      <c r="E1267" s="132">
        <v>1330.52</v>
      </c>
    </row>
    <row r="1268" spans="1:5" x14ac:dyDescent="0.25">
      <c r="A1268" s="130" t="s">
        <v>4</v>
      </c>
      <c r="B1268" s="130" t="s">
        <v>574</v>
      </c>
      <c r="C1268" s="130" t="s">
        <v>608</v>
      </c>
      <c r="D1268" s="130" t="s">
        <v>345</v>
      </c>
      <c r="E1268" s="132">
        <v>1060.5999999999999</v>
      </c>
    </row>
    <row r="1269" spans="1:5" x14ac:dyDescent="0.25">
      <c r="A1269" s="130" t="s">
        <v>4</v>
      </c>
      <c r="B1269" s="130" t="s">
        <v>574</v>
      </c>
      <c r="C1269" s="130" t="s">
        <v>608</v>
      </c>
      <c r="D1269" s="130" t="s">
        <v>346</v>
      </c>
      <c r="E1269" s="132">
        <v>2042.82</v>
      </c>
    </row>
    <row r="1270" spans="1:5" x14ac:dyDescent="0.25">
      <c r="A1270" s="130" t="s">
        <v>4</v>
      </c>
      <c r="B1270" s="130" t="s">
        <v>574</v>
      </c>
      <c r="C1270" s="130" t="s">
        <v>608</v>
      </c>
      <c r="D1270" s="130" t="s">
        <v>339</v>
      </c>
      <c r="E1270" s="132">
        <v>248.1</v>
      </c>
    </row>
    <row r="1271" spans="1:5" x14ac:dyDescent="0.25">
      <c r="A1271" s="130" t="s">
        <v>4</v>
      </c>
      <c r="B1271" s="130" t="s">
        <v>574</v>
      </c>
      <c r="C1271" s="130" t="s">
        <v>608</v>
      </c>
      <c r="D1271" s="130" t="s">
        <v>451</v>
      </c>
      <c r="E1271" s="132">
        <v>412.68</v>
      </c>
    </row>
    <row r="1272" spans="1:5" x14ac:dyDescent="0.25">
      <c r="A1272" s="130" t="s">
        <v>4</v>
      </c>
      <c r="B1272" s="130" t="s">
        <v>574</v>
      </c>
      <c r="C1272" s="130" t="s">
        <v>608</v>
      </c>
      <c r="D1272" s="130" t="s">
        <v>312</v>
      </c>
      <c r="E1272" s="132">
        <v>714.69</v>
      </c>
    </row>
    <row r="1273" spans="1:5" x14ac:dyDescent="0.25">
      <c r="A1273" s="130" t="s">
        <v>4</v>
      </c>
      <c r="B1273" s="130" t="s">
        <v>574</v>
      </c>
      <c r="C1273" s="130" t="s">
        <v>608</v>
      </c>
      <c r="D1273" s="130" t="s">
        <v>394</v>
      </c>
      <c r="E1273" s="132">
        <v>570.32000000000005</v>
      </c>
    </row>
    <row r="1274" spans="1:5" x14ac:dyDescent="0.25">
      <c r="A1274" s="130" t="s">
        <v>4</v>
      </c>
      <c r="B1274" s="130" t="s">
        <v>574</v>
      </c>
      <c r="C1274" s="130" t="s">
        <v>608</v>
      </c>
      <c r="D1274" s="130" t="s">
        <v>454</v>
      </c>
      <c r="E1274" s="132">
        <v>850.36</v>
      </c>
    </row>
    <row r="1275" spans="1:5" x14ac:dyDescent="0.25">
      <c r="A1275" s="130" t="s">
        <v>4</v>
      </c>
      <c r="B1275" s="130" t="s">
        <v>574</v>
      </c>
      <c r="C1275" s="130" t="s">
        <v>608</v>
      </c>
      <c r="D1275" s="130" t="s">
        <v>734</v>
      </c>
      <c r="E1275" s="132">
        <v>1727.45</v>
      </c>
    </row>
    <row r="1276" spans="1:5" x14ac:dyDescent="0.25">
      <c r="A1276" s="130" t="s">
        <v>4</v>
      </c>
      <c r="B1276" s="130" t="s">
        <v>574</v>
      </c>
      <c r="C1276" s="130" t="s">
        <v>608</v>
      </c>
      <c r="D1276" s="130" t="s">
        <v>298</v>
      </c>
      <c r="E1276" s="132">
        <v>1121.8</v>
      </c>
    </row>
    <row r="1277" spans="1:5" x14ac:dyDescent="0.25">
      <c r="A1277" s="130" t="s">
        <v>4</v>
      </c>
      <c r="B1277" s="130" t="s">
        <v>574</v>
      </c>
      <c r="C1277" s="130" t="s">
        <v>608</v>
      </c>
      <c r="D1277" s="130" t="s">
        <v>243</v>
      </c>
      <c r="E1277" s="132">
        <v>495.03</v>
      </c>
    </row>
    <row r="1278" spans="1:5" x14ac:dyDescent="0.25">
      <c r="A1278" s="130" t="s">
        <v>4</v>
      </c>
      <c r="B1278" s="130" t="s">
        <v>574</v>
      </c>
      <c r="C1278" s="130" t="s">
        <v>608</v>
      </c>
      <c r="D1278" s="130" t="s">
        <v>752</v>
      </c>
      <c r="E1278" s="132">
        <v>1017.87</v>
      </c>
    </row>
    <row r="1279" spans="1:5" x14ac:dyDescent="0.25">
      <c r="A1279" s="130" t="s">
        <v>4</v>
      </c>
      <c r="B1279" s="130" t="s">
        <v>574</v>
      </c>
      <c r="C1279" s="130" t="s">
        <v>608</v>
      </c>
      <c r="D1279" s="130" t="s">
        <v>280</v>
      </c>
      <c r="E1279" s="132">
        <v>646.41999999999996</v>
      </c>
    </row>
    <row r="1280" spans="1:5" x14ac:dyDescent="0.25">
      <c r="A1280" s="130" t="s">
        <v>4</v>
      </c>
      <c r="B1280" s="130" t="s">
        <v>574</v>
      </c>
      <c r="C1280" s="130" t="s">
        <v>608</v>
      </c>
      <c r="D1280" s="130" t="s">
        <v>475</v>
      </c>
      <c r="E1280" s="132">
        <v>712.3</v>
      </c>
    </row>
    <row r="1281" spans="1:5" x14ac:dyDescent="0.25">
      <c r="A1281" s="130" t="s">
        <v>4</v>
      </c>
      <c r="B1281" s="130" t="s">
        <v>574</v>
      </c>
      <c r="C1281" s="130" t="s">
        <v>608</v>
      </c>
      <c r="D1281" s="130" t="s">
        <v>686</v>
      </c>
      <c r="E1281" s="132">
        <v>740.61</v>
      </c>
    </row>
    <row r="1282" spans="1:5" x14ac:dyDescent="0.25">
      <c r="A1282" s="130" t="s">
        <v>4</v>
      </c>
      <c r="B1282" s="130" t="s">
        <v>574</v>
      </c>
      <c r="C1282" s="130" t="s">
        <v>608</v>
      </c>
      <c r="D1282" s="130" t="s">
        <v>313</v>
      </c>
      <c r="E1282" s="132">
        <v>754.65</v>
      </c>
    </row>
    <row r="1283" spans="1:5" x14ac:dyDescent="0.25">
      <c r="A1283" s="130" t="s">
        <v>4</v>
      </c>
      <c r="B1283" s="130" t="s">
        <v>574</v>
      </c>
      <c r="C1283" s="130" t="s">
        <v>608</v>
      </c>
      <c r="D1283" s="130" t="s">
        <v>412</v>
      </c>
      <c r="E1283" s="132">
        <v>641.74</v>
      </c>
    </row>
    <row r="1284" spans="1:5" x14ac:dyDescent="0.25">
      <c r="A1284" s="130" t="s">
        <v>4</v>
      </c>
      <c r="B1284" s="130" t="s">
        <v>574</v>
      </c>
      <c r="C1284" s="130" t="s">
        <v>608</v>
      </c>
      <c r="D1284" s="130" t="s">
        <v>635</v>
      </c>
      <c r="E1284" s="132">
        <v>682.46</v>
      </c>
    </row>
    <row r="1285" spans="1:5" x14ac:dyDescent="0.25">
      <c r="A1285" s="130" t="s">
        <v>4</v>
      </c>
      <c r="B1285" s="130" t="s">
        <v>574</v>
      </c>
      <c r="C1285" s="130" t="s">
        <v>608</v>
      </c>
      <c r="D1285" s="130" t="s">
        <v>468</v>
      </c>
      <c r="E1285" s="132">
        <v>732.65</v>
      </c>
    </row>
    <row r="1286" spans="1:5" x14ac:dyDescent="0.25">
      <c r="A1286" s="130" t="s">
        <v>4</v>
      </c>
      <c r="B1286" s="130" t="s">
        <v>574</v>
      </c>
      <c r="C1286" s="130" t="s">
        <v>608</v>
      </c>
      <c r="D1286" s="130" t="s">
        <v>458</v>
      </c>
      <c r="E1286" s="132">
        <v>385.16</v>
      </c>
    </row>
    <row r="1287" spans="1:5" x14ac:dyDescent="0.25">
      <c r="A1287" s="130" t="s">
        <v>4</v>
      </c>
      <c r="B1287" s="130" t="s">
        <v>574</v>
      </c>
      <c r="C1287" s="130" t="s">
        <v>608</v>
      </c>
      <c r="D1287" s="130" t="s">
        <v>476</v>
      </c>
      <c r="E1287" s="132">
        <v>806.48</v>
      </c>
    </row>
    <row r="1288" spans="1:5" x14ac:dyDescent="0.25">
      <c r="A1288" s="130" t="s">
        <v>4</v>
      </c>
      <c r="B1288" s="130" t="s">
        <v>574</v>
      </c>
      <c r="C1288" s="130" t="s">
        <v>608</v>
      </c>
      <c r="D1288" s="130" t="s">
        <v>459</v>
      </c>
      <c r="E1288" s="132">
        <v>974.38</v>
      </c>
    </row>
    <row r="1289" spans="1:5" x14ac:dyDescent="0.25">
      <c r="A1289" s="130" t="s">
        <v>4</v>
      </c>
      <c r="B1289" s="130" t="s">
        <v>574</v>
      </c>
      <c r="C1289" s="130" t="s">
        <v>608</v>
      </c>
      <c r="D1289" s="130" t="s">
        <v>244</v>
      </c>
      <c r="E1289" s="132">
        <v>6253.65</v>
      </c>
    </row>
    <row r="1290" spans="1:5" x14ac:dyDescent="0.25">
      <c r="A1290" s="130" t="s">
        <v>4</v>
      </c>
      <c r="B1290" s="130" t="s">
        <v>574</v>
      </c>
      <c r="C1290" s="130" t="s">
        <v>608</v>
      </c>
      <c r="D1290" s="130" t="s">
        <v>245</v>
      </c>
      <c r="E1290" s="132">
        <v>2521.35</v>
      </c>
    </row>
    <row r="1291" spans="1:5" x14ac:dyDescent="0.25">
      <c r="A1291" s="130" t="s">
        <v>4</v>
      </c>
      <c r="B1291" s="130" t="s">
        <v>574</v>
      </c>
      <c r="C1291" s="130" t="s">
        <v>608</v>
      </c>
      <c r="D1291" s="130" t="s">
        <v>246</v>
      </c>
      <c r="E1291" s="132">
        <v>5353.92</v>
      </c>
    </row>
    <row r="1292" spans="1:5" x14ac:dyDescent="0.25">
      <c r="A1292" s="130" t="s">
        <v>4</v>
      </c>
      <c r="B1292" s="130" t="s">
        <v>574</v>
      </c>
      <c r="C1292" s="130" t="s">
        <v>608</v>
      </c>
      <c r="D1292" s="130" t="s">
        <v>247</v>
      </c>
      <c r="E1292" s="132">
        <v>4435.7</v>
      </c>
    </row>
    <row r="1293" spans="1:5" x14ac:dyDescent="0.25">
      <c r="A1293" s="130" t="s">
        <v>4</v>
      </c>
      <c r="B1293" s="130" t="s">
        <v>574</v>
      </c>
      <c r="C1293" s="130" t="s">
        <v>608</v>
      </c>
      <c r="D1293" s="130" t="s">
        <v>248</v>
      </c>
      <c r="E1293" s="132">
        <v>2477.3000000000002</v>
      </c>
    </row>
    <row r="1294" spans="1:5" x14ac:dyDescent="0.25">
      <c r="A1294" s="130" t="s">
        <v>4</v>
      </c>
      <c r="B1294" s="130" t="s">
        <v>574</v>
      </c>
      <c r="C1294" s="130" t="s">
        <v>608</v>
      </c>
      <c r="D1294" s="130" t="s">
        <v>249</v>
      </c>
      <c r="E1294" s="132">
        <v>5391.36</v>
      </c>
    </row>
    <row r="1295" spans="1:5" x14ac:dyDescent="0.25">
      <c r="A1295" s="130" t="s">
        <v>4</v>
      </c>
      <c r="B1295" s="130" t="s">
        <v>574</v>
      </c>
      <c r="C1295" s="130" t="s">
        <v>608</v>
      </c>
      <c r="D1295" s="130" t="s">
        <v>469</v>
      </c>
      <c r="E1295" s="132">
        <v>4312.1499999999996</v>
      </c>
    </row>
    <row r="1296" spans="1:5" x14ac:dyDescent="0.25">
      <c r="A1296" s="130" t="s">
        <v>4</v>
      </c>
      <c r="B1296" s="130" t="s">
        <v>574</v>
      </c>
      <c r="C1296" s="130" t="s">
        <v>608</v>
      </c>
      <c r="D1296" s="130" t="s">
        <v>1024</v>
      </c>
      <c r="E1296" s="132">
        <v>25165.34</v>
      </c>
    </row>
    <row r="1297" spans="1:5" x14ac:dyDescent="0.25">
      <c r="A1297" s="130" t="s">
        <v>4</v>
      </c>
      <c r="B1297" s="130" t="s">
        <v>574</v>
      </c>
      <c r="C1297" s="130" t="s">
        <v>608</v>
      </c>
      <c r="D1297" s="130" t="s">
        <v>653</v>
      </c>
      <c r="E1297" s="132">
        <v>34178.79</v>
      </c>
    </row>
    <row r="1298" spans="1:5" x14ac:dyDescent="0.25">
      <c r="A1298" s="130" t="s">
        <v>4</v>
      </c>
      <c r="B1298" s="130" t="s">
        <v>574</v>
      </c>
      <c r="C1298" s="130" t="s">
        <v>608</v>
      </c>
      <c r="D1298" s="130" t="s">
        <v>654</v>
      </c>
      <c r="E1298" s="132">
        <v>28495.03</v>
      </c>
    </row>
    <row r="1299" spans="1:5" x14ac:dyDescent="0.25">
      <c r="A1299" s="130" t="s">
        <v>4</v>
      </c>
      <c r="B1299" s="130" t="s">
        <v>574</v>
      </c>
      <c r="C1299" s="130" t="s">
        <v>608</v>
      </c>
      <c r="D1299" s="130" t="s">
        <v>741</v>
      </c>
      <c r="E1299" s="132">
        <v>27709.62</v>
      </c>
    </row>
    <row r="1300" spans="1:5" x14ac:dyDescent="0.25">
      <c r="A1300" s="130" t="s">
        <v>4</v>
      </c>
      <c r="B1300" s="130" t="s">
        <v>574</v>
      </c>
      <c r="C1300" s="130" t="s">
        <v>608</v>
      </c>
      <c r="D1300" s="130" t="s">
        <v>428</v>
      </c>
      <c r="E1300" s="132">
        <v>7413.7</v>
      </c>
    </row>
    <row r="1301" spans="1:5" x14ac:dyDescent="0.25">
      <c r="A1301" s="130" t="s">
        <v>4</v>
      </c>
      <c r="B1301" s="130" t="s">
        <v>574</v>
      </c>
      <c r="C1301" s="130" t="s">
        <v>608</v>
      </c>
      <c r="D1301" s="130" t="s">
        <v>429</v>
      </c>
      <c r="E1301" s="132">
        <v>4412.28</v>
      </c>
    </row>
    <row r="1302" spans="1:5" x14ac:dyDescent="0.25">
      <c r="A1302" s="130" t="s">
        <v>4</v>
      </c>
      <c r="B1302" s="130" t="s">
        <v>574</v>
      </c>
      <c r="C1302" s="130" t="s">
        <v>608</v>
      </c>
      <c r="D1302" s="130" t="s">
        <v>269</v>
      </c>
      <c r="E1302" s="132">
        <v>5119.3100000000004</v>
      </c>
    </row>
    <row r="1303" spans="1:5" x14ac:dyDescent="0.25">
      <c r="A1303" s="130" t="s">
        <v>4</v>
      </c>
      <c r="B1303" s="130" t="s">
        <v>574</v>
      </c>
      <c r="C1303" s="130" t="s">
        <v>608</v>
      </c>
      <c r="D1303" s="130" t="s">
        <v>258</v>
      </c>
      <c r="E1303" s="132">
        <v>14477.29</v>
      </c>
    </row>
    <row r="1304" spans="1:5" x14ac:dyDescent="0.25">
      <c r="A1304" s="130" t="s">
        <v>4</v>
      </c>
      <c r="B1304" s="130" t="s">
        <v>574</v>
      </c>
      <c r="C1304" s="130" t="s">
        <v>608</v>
      </c>
      <c r="D1304" s="130" t="s">
        <v>335</v>
      </c>
      <c r="E1304" s="132">
        <v>131236.22</v>
      </c>
    </row>
    <row r="1305" spans="1:5" x14ac:dyDescent="0.25">
      <c r="A1305" s="130" t="s">
        <v>4</v>
      </c>
      <c r="B1305" s="130" t="s">
        <v>574</v>
      </c>
      <c r="C1305" s="130" t="s">
        <v>608</v>
      </c>
      <c r="D1305" s="130" t="s">
        <v>309</v>
      </c>
      <c r="E1305" s="132">
        <v>17929.13</v>
      </c>
    </row>
    <row r="1306" spans="1:5" x14ac:dyDescent="0.25">
      <c r="A1306" s="130" t="s">
        <v>4</v>
      </c>
      <c r="B1306" s="130" t="s">
        <v>574</v>
      </c>
      <c r="C1306" s="130" t="s">
        <v>608</v>
      </c>
      <c r="D1306" s="130" t="s">
        <v>275</v>
      </c>
      <c r="E1306" s="132">
        <v>5559.16</v>
      </c>
    </row>
    <row r="1307" spans="1:5" x14ac:dyDescent="0.25">
      <c r="A1307" s="130" t="s">
        <v>4</v>
      </c>
      <c r="B1307" s="130" t="s">
        <v>574</v>
      </c>
      <c r="C1307" s="130" t="s">
        <v>608</v>
      </c>
      <c r="D1307" s="130" t="s">
        <v>259</v>
      </c>
      <c r="E1307" s="132">
        <v>31861.87</v>
      </c>
    </row>
    <row r="1308" spans="1:5" x14ac:dyDescent="0.25">
      <c r="A1308" s="130" t="s">
        <v>4</v>
      </c>
      <c r="B1308" s="130" t="s">
        <v>574</v>
      </c>
      <c r="C1308" s="130" t="s">
        <v>608</v>
      </c>
      <c r="D1308" s="130" t="s">
        <v>277</v>
      </c>
      <c r="E1308" s="132">
        <v>1507.12</v>
      </c>
    </row>
    <row r="1309" spans="1:5" x14ac:dyDescent="0.25">
      <c r="A1309" s="130" t="s">
        <v>4</v>
      </c>
      <c r="B1309" s="130" t="s">
        <v>574</v>
      </c>
      <c r="C1309" s="130" t="s">
        <v>608</v>
      </c>
      <c r="D1309" s="130" t="s">
        <v>234</v>
      </c>
      <c r="E1309" s="132">
        <v>1329.93</v>
      </c>
    </row>
    <row r="1310" spans="1:5" x14ac:dyDescent="0.25">
      <c r="A1310" s="130" t="s">
        <v>4</v>
      </c>
      <c r="B1310" s="130" t="s">
        <v>574</v>
      </c>
      <c r="C1310" s="130" t="s">
        <v>608</v>
      </c>
      <c r="D1310" s="130" t="s">
        <v>278</v>
      </c>
      <c r="E1310" s="132">
        <v>3383.07</v>
      </c>
    </row>
    <row r="1311" spans="1:5" x14ac:dyDescent="0.25">
      <c r="A1311" s="130" t="s">
        <v>4</v>
      </c>
      <c r="B1311" s="130" t="s">
        <v>574</v>
      </c>
      <c r="C1311" s="130" t="s">
        <v>608</v>
      </c>
      <c r="D1311" s="130" t="s">
        <v>393</v>
      </c>
      <c r="E1311" s="132">
        <v>4674.68</v>
      </c>
    </row>
    <row r="1312" spans="1:5" x14ac:dyDescent="0.25">
      <c r="A1312" s="130" t="s">
        <v>4</v>
      </c>
      <c r="B1312" s="130" t="s">
        <v>574</v>
      </c>
      <c r="C1312" s="130" t="s">
        <v>608</v>
      </c>
      <c r="D1312" s="130" t="s">
        <v>263</v>
      </c>
      <c r="E1312" s="132">
        <v>1958.95</v>
      </c>
    </row>
    <row r="1313" spans="1:5" x14ac:dyDescent="0.25">
      <c r="A1313" s="130" t="s">
        <v>4</v>
      </c>
      <c r="B1313" s="130" t="s">
        <v>574</v>
      </c>
      <c r="C1313" s="130" t="s">
        <v>608</v>
      </c>
      <c r="D1313" s="130" t="s">
        <v>496</v>
      </c>
      <c r="E1313" s="132">
        <v>2801.94</v>
      </c>
    </row>
    <row r="1314" spans="1:5" x14ac:dyDescent="0.25">
      <c r="A1314" s="130" t="s">
        <v>4</v>
      </c>
      <c r="B1314" s="130" t="s">
        <v>574</v>
      </c>
      <c r="C1314" s="130" t="s">
        <v>608</v>
      </c>
      <c r="D1314" s="130" t="s">
        <v>338</v>
      </c>
      <c r="E1314" s="132">
        <v>1345.89</v>
      </c>
    </row>
    <row r="1315" spans="1:5" x14ac:dyDescent="0.25">
      <c r="A1315" s="130" t="s">
        <v>4</v>
      </c>
      <c r="B1315" s="130" t="s">
        <v>574</v>
      </c>
      <c r="C1315" s="130" t="s">
        <v>608</v>
      </c>
      <c r="D1315" s="130" t="s">
        <v>293</v>
      </c>
      <c r="E1315" s="132">
        <v>2164.91</v>
      </c>
    </row>
    <row r="1316" spans="1:5" x14ac:dyDescent="0.25">
      <c r="A1316" s="130" t="s">
        <v>4</v>
      </c>
      <c r="B1316" s="130" t="s">
        <v>574</v>
      </c>
      <c r="C1316" s="130" t="s">
        <v>608</v>
      </c>
      <c r="D1316" s="130" t="s">
        <v>303</v>
      </c>
      <c r="E1316" s="132">
        <v>2528.96</v>
      </c>
    </row>
    <row r="1317" spans="1:5" x14ac:dyDescent="0.25">
      <c r="A1317" s="130" t="s">
        <v>4</v>
      </c>
      <c r="B1317" s="130" t="s">
        <v>574</v>
      </c>
      <c r="C1317" s="130" t="s">
        <v>608</v>
      </c>
      <c r="D1317" s="130" t="s">
        <v>777</v>
      </c>
      <c r="E1317" s="132">
        <v>2000.47</v>
      </c>
    </row>
    <row r="1318" spans="1:5" x14ac:dyDescent="0.25">
      <c r="A1318" s="130" t="s">
        <v>4</v>
      </c>
      <c r="B1318" s="130" t="s">
        <v>574</v>
      </c>
      <c r="C1318" s="130" t="s">
        <v>608</v>
      </c>
      <c r="D1318" s="130" t="s">
        <v>724</v>
      </c>
      <c r="E1318" s="132">
        <v>2237.5500000000002</v>
      </c>
    </row>
    <row r="1319" spans="1:5" x14ac:dyDescent="0.25">
      <c r="A1319" s="130" t="s">
        <v>4</v>
      </c>
      <c r="B1319" s="130" t="s">
        <v>574</v>
      </c>
      <c r="C1319" s="130" t="s">
        <v>608</v>
      </c>
      <c r="D1319" s="130" t="s">
        <v>237</v>
      </c>
      <c r="E1319" s="132">
        <v>2730.08</v>
      </c>
    </row>
    <row r="1320" spans="1:5" x14ac:dyDescent="0.25">
      <c r="A1320" s="130" t="s">
        <v>4</v>
      </c>
      <c r="B1320" s="130" t="s">
        <v>574</v>
      </c>
      <c r="C1320" s="130" t="s">
        <v>608</v>
      </c>
      <c r="D1320" s="130" t="s">
        <v>474</v>
      </c>
      <c r="E1320" s="132">
        <v>2212.8000000000002</v>
      </c>
    </row>
    <row r="1321" spans="1:5" x14ac:dyDescent="0.25">
      <c r="A1321" s="130" t="s">
        <v>4</v>
      </c>
      <c r="B1321" s="130" t="s">
        <v>574</v>
      </c>
      <c r="C1321" s="130" t="s">
        <v>608</v>
      </c>
      <c r="D1321" s="130" t="s">
        <v>406</v>
      </c>
      <c r="E1321" s="132">
        <v>2391.61</v>
      </c>
    </row>
    <row r="1322" spans="1:5" x14ac:dyDescent="0.25">
      <c r="A1322" s="130" t="s">
        <v>4</v>
      </c>
      <c r="B1322" s="130" t="s">
        <v>574</v>
      </c>
      <c r="C1322" s="130" t="s">
        <v>608</v>
      </c>
      <c r="D1322" s="130" t="s">
        <v>266</v>
      </c>
      <c r="E1322" s="132">
        <v>1264.45</v>
      </c>
    </row>
    <row r="1323" spans="1:5" x14ac:dyDescent="0.25">
      <c r="A1323" s="130" t="s">
        <v>4</v>
      </c>
      <c r="B1323" s="130" t="s">
        <v>574</v>
      </c>
      <c r="C1323" s="130" t="s">
        <v>608</v>
      </c>
      <c r="D1323" s="130" t="s">
        <v>633</v>
      </c>
      <c r="E1323" s="132">
        <v>1603.33</v>
      </c>
    </row>
    <row r="1324" spans="1:5" x14ac:dyDescent="0.25">
      <c r="A1324" s="130" t="s">
        <v>4</v>
      </c>
      <c r="B1324" s="130" t="s">
        <v>574</v>
      </c>
      <c r="C1324" s="130" t="s">
        <v>608</v>
      </c>
      <c r="D1324" s="130" t="s">
        <v>408</v>
      </c>
      <c r="E1324" s="132">
        <v>2322.98</v>
      </c>
    </row>
    <row r="1325" spans="1:5" x14ac:dyDescent="0.25">
      <c r="A1325" s="130" t="s">
        <v>4</v>
      </c>
      <c r="B1325" s="130" t="s">
        <v>574</v>
      </c>
      <c r="C1325" s="130" t="s">
        <v>608</v>
      </c>
      <c r="D1325" s="130" t="s">
        <v>365</v>
      </c>
      <c r="E1325" s="132">
        <v>680.13</v>
      </c>
    </row>
    <row r="1326" spans="1:5" x14ac:dyDescent="0.25">
      <c r="A1326" s="130" t="s">
        <v>4</v>
      </c>
      <c r="B1326" s="130" t="s">
        <v>574</v>
      </c>
      <c r="C1326" s="130" t="s">
        <v>608</v>
      </c>
      <c r="D1326" s="130" t="s">
        <v>345</v>
      </c>
      <c r="E1326" s="132">
        <v>1084.8499999999999</v>
      </c>
    </row>
    <row r="1327" spans="1:5" x14ac:dyDescent="0.25">
      <c r="A1327" s="130" t="s">
        <v>4</v>
      </c>
      <c r="B1327" s="130" t="s">
        <v>574</v>
      </c>
      <c r="C1327" s="130" t="s">
        <v>608</v>
      </c>
      <c r="D1327" s="130" t="s">
        <v>346</v>
      </c>
      <c r="E1327" s="132">
        <v>2089.09</v>
      </c>
    </row>
    <row r="1328" spans="1:5" x14ac:dyDescent="0.25">
      <c r="A1328" s="130" t="s">
        <v>4</v>
      </c>
      <c r="B1328" s="130" t="s">
        <v>574</v>
      </c>
      <c r="C1328" s="130" t="s">
        <v>608</v>
      </c>
      <c r="D1328" s="130" t="s">
        <v>463</v>
      </c>
      <c r="E1328" s="132">
        <v>890.86</v>
      </c>
    </row>
    <row r="1329" spans="1:5" x14ac:dyDescent="0.25">
      <c r="A1329" s="130" t="s">
        <v>4</v>
      </c>
      <c r="B1329" s="130" t="s">
        <v>574</v>
      </c>
      <c r="C1329" s="130" t="s">
        <v>608</v>
      </c>
      <c r="D1329" s="130" t="s">
        <v>394</v>
      </c>
      <c r="E1329" s="132">
        <v>1167.07</v>
      </c>
    </row>
    <row r="1330" spans="1:5" x14ac:dyDescent="0.25">
      <c r="A1330" s="130" t="s">
        <v>4</v>
      </c>
      <c r="B1330" s="130" t="s">
        <v>574</v>
      </c>
      <c r="C1330" s="130" t="s">
        <v>608</v>
      </c>
      <c r="D1330" s="130" t="s">
        <v>298</v>
      </c>
      <c r="E1330" s="132">
        <v>1147.9000000000001</v>
      </c>
    </row>
    <row r="1331" spans="1:5" x14ac:dyDescent="0.25">
      <c r="A1331" s="130" t="s">
        <v>4</v>
      </c>
      <c r="B1331" s="130" t="s">
        <v>574</v>
      </c>
      <c r="C1331" s="130" t="s">
        <v>608</v>
      </c>
      <c r="D1331" s="130" t="s">
        <v>242</v>
      </c>
      <c r="E1331" s="132">
        <v>886.07</v>
      </c>
    </row>
    <row r="1332" spans="1:5" x14ac:dyDescent="0.25">
      <c r="A1332" s="130" t="s">
        <v>4</v>
      </c>
      <c r="B1332" s="130" t="s">
        <v>574</v>
      </c>
      <c r="C1332" s="130" t="s">
        <v>608</v>
      </c>
      <c r="D1332" s="130" t="s">
        <v>243</v>
      </c>
      <c r="E1332" s="132">
        <v>1518.31</v>
      </c>
    </row>
    <row r="1333" spans="1:5" x14ac:dyDescent="0.25">
      <c r="A1333" s="130" t="s">
        <v>4</v>
      </c>
      <c r="B1333" s="130" t="s">
        <v>574</v>
      </c>
      <c r="C1333" s="130" t="s">
        <v>608</v>
      </c>
      <c r="D1333" s="130" t="s">
        <v>434</v>
      </c>
      <c r="E1333" s="132">
        <v>1377.02</v>
      </c>
    </row>
    <row r="1334" spans="1:5" x14ac:dyDescent="0.25">
      <c r="A1334" s="130" t="s">
        <v>4</v>
      </c>
      <c r="B1334" s="130" t="s">
        <v>574</v>
      </c>
      <c r="C1334" s="130" t="s">
        <v>608</v>
      </c>
      <c r="D1334" s="130" t="s">
        <v>340</v>
      </c>
      <c r="E1334" s="132">
        <v>4157.3999999999996</v>
      </c>
    </row>
    <row r="1335" spans="1:5" x14ac:dyDescent="0.25">
      <c r="A1335" s="130" t="s">
        <v>4</v>
      </c>
      <c r="B1335" s="130" t="s">
        <v>574</v>
      </c>
      <c r="C1335" s="130" t="s">
        <v>608</v>
      </c>
      <c r="D1335" s="130" t="s">
        <v>244</v>
      </c>
      <c r="E1335" s="132">
        <v>6363.7</v>
      </c>
    </row>
    <row r="1336" spans="1:5" x14ac:dyDescent="0.25">
      <c r="A1336" s="130" t="s">
        <v>4</v>
      </c>
      <c r="B1336" s="130" t="s">
        <v>574</v>
      </c>
      <c r="C1336" s="130" t="s">
        <v>608</v>
      </c>
      <c r="D1336" s="130" t="s">
        <v>246</v>
      </c>
      <c r="E1336" s="132">
        <v>5447.78</v>
      </c>
    </row>
    <row r="1337" spans="1:5" x14ac:dyDescent="0.25">
      <c r="A1337" s="130" t="s">
        <v>4</v>
      </c>
      <c r="B1337" s="130" t="s">
        <v>574</v>
      </c>
      <c r="C1337" s="130" t="s">
        <v>608</v>
      </c>
      <c r="D1337" s="130" t="s">
        <v>247</v>
      </c>
      <c r="E1337" s="132">
        <v>6770.4</v>
      </c>
    </row>
    <row r="1338" spans="1:5" x14ac:dyDescent="0.25">
      <c r="A1338" s="130" t="s">
        <v>4</v>
      </c>
      <c r="B1338" s="130" t="s">
        <v>574</v>
      </c>
      <c r="C1338" s="130" t="s">
        <v>608</v>
      </c>
      <c r="D1338" s="130" t="s">
        <v>249</v>
      </c>
      <c r="E1338" s="132">
        <v>10972.49</v>
      </c>
    </row>
    <row r="1339" spans="1:5" x14ac:dyDescent="0.25">
      <c r="A1339" s="130" t="s">
        <v>4</v>
      </c>
      <c r="B1339" s="130" t="s">
        <v>574</v>
      </c>
      <c r="C1339" s="130" t="s">
        <v>608</v>
      </c>
      <c r="D1339" s="130" t="s">
        <v>469</v>
      </c>
      <c r="E1339" s="132">
        <v>10969.92</v>
      </c>
    </row>
    <row r="1340" spans="1:5" x14ac:dyDescent="0.25">
      <c r="A1340" s="130" t="s">
        <v>4</v>
      </c>
      <c r="B1340" s="130" t="s">
        <v>574</v>
      </c>
      <c r="C1340" s="130" t="s">
        <v>608</v>
      </c>
      <c r="D1340" s="130" t="s">
        <v>288</v>
      </c>
      <c r="E1340" s="132">
        <v>20216.060000000001</v>
      </c>
    </row>
    <row r="1341" spans="1:5" x14ac:dyDescent="0.25">
      <c r="A1341" s="130" t="s">
        <v>4</v>
      </c>
      <c r="B1341" s="130" t="s">
        <v>574</v>
      </c>
      <c r="C1341" s="130" t="s">
        <v>608</v>
      </c>
      <c r="D1341" s="130" t="s">
        <v>714</v>
      </c>
      <c r="E1341" s="132">
        <v>7392.63</v>
      </c>
    </row>
    <row r="1342" spans="1:5" x14ac:dyDescent="0.25">
      <c r="A1342" s="130" t="s">
        <v>4</v>
      </c>
      <c r="B1342" s="130" t="s">
        <v>574</v>
      </c>
      <c r="C1342" s="130" t="s">
        <v>608</v>
      </c>
      <c r="D1342" s="130" t="s">
        <v>380</v>
      </c>
      <c r="E1342" s="132">
        <v>13140.18</v>
      </c>
    </row>
    <row r="1343" spans="1:5" x14ac:dyDescent="0.25">
      <c r="A1343" s="130" t="s">
        <v>4</v>
      </c>
      <c r="B1343" s="130" t="s">
        <v>574</v>
      </c>
      <c r="C1343" s="130" t="s">
        <v>608</v>
      </c>
      <c r="D1343" s="130" t="s">
        <v>480</v>
      </c>
      <c r="E1343" s="132">
        <v>19666.22</v>
      </c>
    </row>
    <row r="1344" spans="1:5" x14ac:dyDescent="0.25">
      <c r="A1344" s="130" t="s">
        <v>4</v>
      </c>
      <c r="B1344" s="130" t="s">
        <v>574</v>
      </c>
      <c r="C1344" s="130" t="s">
        <v>608</v>
      </c>
      <c r="D1344" s="130" t="s">
        <v>636</v>
      </c>
      <c r="E1344" s="132">
        <v>22934.37</v>
      </c>
    </row>
    <row r="1345" spans="1:5" x14ac:dyDescent="0.25">
      <c r="A1345" s="130" t="s">
        <v>4</v>
      </c>
      <c r="B1345" s="130" t="s">
        <v>574</v>
      </c>
      <c r="C1345" s="130" t="s">
        <v>608</v>
      </c>
      <c r="D1345" s="130" t="s">
        <v>260</v>
      </c>
      <c r="E1345" s="132">
        <v>22982.27</v>
      </c>
    </row>
    <row r="1346" spans="1:5" x14ac:dyDescent="0.25">
      <c r="A1346" s="130" t="s">
        <v>4</v>
      </c>
      <c r="B1346" s="130" t="s">
        <v>574</v>
      </c>
      <c r="C1346" s="130" t="s">
        <v>608</v>
      </c>
      <c r="D1346" s="130" t="s">
        <v>261</v>
      </c>
      <c r="E1346" s="132">
        <v>39983.71</v>
      </c>
    </row>
    <row r="1347" spans="1:5" x14ac:dyDescent="0.25">
      <c r="A1347" s="130" t="s">
        <v>4</v>
      </c>
      <c r="B1347" s="130" t="s">
        <v>574</v>
      </c>
      <c r="C1347" s="130" t="s">
        <v>608</v>
      </c>
      <c r="D1347" s="130" t="s">
        <v>322</v>
      </c>
      <c r="E1347" s="132">
        <v>20461.240000000002</v>
      </c>
    </row>
    <row r="1348" spans="1:5" x14ac:dyDescent="0.25">
      <c r="A1348" s="130" t="s">
        <v>4</v>
      </c>
      <c r="B1348" s="130" t="s">
        <v>574</v>
      </c>
      <c r="C1348" s="130" t="s">
        <v>608</v>
      </c>
      <c r="D1348" s="130" t="s">
        <v>689</v>
      </c>
      <c r="E1348" s="132">
        <v>17640.2</v>
      </c>
    </row>
    <row r="1349" spans="1:5" x14ac:dyDescent="0.25">
      <c r="A1349" s="130" t="s">
        <v>4</v>
      </c>
      <c r="B1349" s="130" t="s">
        <v>574</v>
      </c>
      <c r="C1349" s="130" t="s">
        <v>608</v>
      </c>
      <c r="D1349" s="130" t="s">
        <v>377</v>
      </c>
      <c r="E1349" s="132">
        <v>59692.06</v>
      </c>
    </row>
    <row r="1350" spans="1:5" x14ac:dyDescent="0.25">
      <c r="A1350" s="130" t="s">
        <v>4</v>
      </c>
      <c r="B1350" s="130" t="s">
        <v>574</v>
      </c>
      <c r="C1350" s="130" t="s">
        <v>608</v>
      </c>
      <c r="D1350" s="130" t="s">
        <v>560</v>
      </c>
      <c r="E1350" s="132">
        <v>6691.93</v>
      </c>
    </row>
    <row r="1351" spans="1:5" x14ac:dyDescent="0.25">
      <c r="A1351" s="130" t="s">
        <v>4</v>
      </c>
      <c r="B1351" s="130" t="s">
        <v>574</v>
      </c>
      <c r="C1351" s="130" t="s">
        <v>608</v>
      </c>
      <c r="D1351" s="130" t="s">
        <v>286</v>
      </c>
      <c r="E1351" s="132">
        <v>3655.78</v>
      </c>
    </row>
    <row r="1352" spans="1:5" x14ac:dyDescent="0.25">
      <c r="A1352" s="130" t="s">
        <v>4</v>
      </c>
      <c r="B1352" s="130" t="s">
        <v>574</v>
      </c>
      <c r="C1352" s="130" t="s">
        <v>608</v>
      </c>
      <c r="D1352" s="130" t="s">
        <v>680</v>
      </c>
      <c r="E1352" s="132">
        <v>2238.44</v>
      </c>
    </row>
    <row r="1353" spans="1:5" x14ac:dyDescent="0.25">
      <c r="A1353" s="130" t="s">
        <v>4</v>
      </c>
      <c r="B1353" s="130" t="s">
        <v>574</v>
      </c>
      <c r="C1353" s="130" t="s">
        <v>608</v>
      </c>
      <c r="D1353" s="130" t="s">
        <v>239</v>
      </c>
      <c r="E1353" s="132">
        <v>1553.91</v>
      </c>
    </row>
    <row r="1354" spans="1:5" x14ac:dyDescent="0.25">
      <c r="A1354" s="130" t="s">
        <v>4</v>
      </c>
      <c r="B1354" s="130" t="s">
        <v>574</v>
      </c>
      <c r="C1354" s="130" t="s">
        <v>608</v>
      </c>
      <c r="D1354" s="130" t="s">
        <v>749</v>
      </c>
      <c r="E1354" s="132">
        <v>2294.0500000000002</v>
      </c>
    </row>
    <row r="1355" spans="1:5" x14ac:dyDescent="0.25">
      <c r="A1355" s="130" t="s">
        <v>4</v>
      </c>
      <c r="B1355" s="130" t="s">
        <v>574</v>
      </c>
      <c r="C1355" s="130" t="s">
        <v>608</v>
      </c>
      <c r="D1355" s="130" t="s">
        <v>514</v>
      </c>
      <c r="E1355" s="132">
        <v>670.63</v>
      </c>
    </row>
    <row r="1356" spans="1:5" x14ac:dyDescent="0.25">
      <c r="A1356" s="130" t="s">
        <v>4</v>
      </c>
      <c r="B1356" s="130" t="s">
        <v>574</v>
      </c>
      <c r="C1356" s="130" t="s">
        <v>608</v>
      </c>
      <c r="D1356" s="130" t="s">
        <v>916</v>
      </c>
      <c r="E1356" s="132">
        <v>7426.04</v>
      </c>
    </row>
    <row r="1357" spans="1:5" x14ac:dyDescent="0.25">
      <c r="A1357" s="130" t="s">
        <v>4</v>
      </c>
      <c r="B1357" s="130" t="s">
        <v>574</v>
      </c>
      <c r="C1357" s="130" t="s">
        <v>608</v>
      </c>
      <c r="D1357" s="130" t="s">
        <v>288</v>
      </c>
      <c r="E1357" s="132">
        <v>6903.92</v>
      </c>
    </row>
    <row r="1358" spans="1:5" x14ac:dyDescent="0.25">
      <c r="A1358" s="130" t="s">
        <v>4</v>
      </c>
      <c r="B1358" s="130" t="s">
        <v>574</v>
      </c>
      <c r="C1358" s="130" t="s">
        <v>608</v>
      </c>
      <c r="D1358" s="130" t="s">
        <v>688</v>
      </c>
      <c r="E1358" s="132">
        <v>24191.8</v>
      </c>
    </row>
    <row r="1359" spans="1:5" x14ac:dyDescent="0.25">
      <c r="A1359" s="130" t="s">
        <v>4</v>
      </c>
      <c r="B1359" s="130" t="s">
        <v>574</v>
      </c>
      <c r="C1359" s="130" t="s">
        <v>608</v>
      </c>
      <c r="D1359" s="130" t="s">
        <v>775</v>
      </c>
      <c r="E1359" s="132">
        <v>980.2</v>
      </c>
    </row>
    <row r="1360" spans="1:5" x14ac:dyDescent="0.25">
      <c r="A1360" s="130" t="s">
        <v>4</v>
      </c>
      <c r="B1360" s="130" t="s">
        <v>574</v>
      </c>
      <c r="C1360" s="130" t="s">
        <v>608</v>
      </c>
      <c r="D1360" s="130" t="s">
        <v>567</v>
      </c>
      <c r="E1360" s="132">
        <v>14897.2</v>
      </c>
    </row>
    <row r="1361" spans="1:5" x14ac:dyDescent="0.25">
      <c r="A1361" s="130" t="s">
        <v>4</v>
      </c>
      <c r="B1361" s="130" t="s">
        <v>574</v>
      </c>
      <c r="C1361" s="130" t="s">
        <v>608</v>
      </c>
      <c r="D1361" s="130" t="s">
        <v>723</v>
      </c>
      <c r="E1361" s="132">
        <v>1500.64</v>
      </c>
    </row>
    <row r="1362" spans="1:5" x14ac:dyDescent="0.25">
      <c r="A1362" s="130" t="s">
        <v>4</v>
      </c>
      <c r="B1362" s="130" t="s">
        <v>574</v>
      </c>
      <c r="C1362" s="130" t="s">
        <v>608</v>
      </c>
      <c r="D1362" s="130" t="s">
        <v>665</v>
      </c>
      <c r="E1362" s="132">
        <v>832.62</v>
      </c>
    </row>
    <row r="1363" spans="1:5" x14ac:dyDescent="0.25">
      <c r="A1363" s="130" t="s">
        <v>4</v>
      </c>
      <c r="B1363" s="130" t="s">
        <v>574</v>
      </c>
      <c r="C1363" s="130" t="s">
        <v>608</v>
      </c>
      <c r="D1363" s="130" t="s">
        <v>991</v>
      </c>
      <c r="E1363" s="132">
        <v>1124.6600000000001</v>
      </c>
    </row>
    <row r="1364" spans="1:5" x14ac:dyDescent="0.25">
      <c r="A1364" s="130" t="s">
        <v>4</v>
      </c>
      <c r="B1364" s="130" t="s">
        <v>574</v>
      </c>
      <c r="C1364" s="130" t="s">
        <v>608</v>
      </c>
      <c r="D1364" s="130" t="s">
        <v>262</v>
      </c>
      <c r="E1364" s="132">
        <v>889.91</v>
      </c>
    </row>
    <row r="1365" spans="1:5" x14ac:dyDescent="0.25">
      <c r="A1365" s="130" t="s">
        <v>4</v>
      </c>
      <c r="B1365" s="130" t="s">
        <v>574</v>
      </c>
      <c r="C1365" s="130" t="s">
        <v>608</v>
      </c>
      <c r="D1365" s="130" t="s">
        <v>363</v>
      </c>
      <c r="E1365" s="132">
        <v>3321.98</v>
      </c>
    </row>
    <row r="1366" spans="1:5" x14ac:dyDescent="0.25">
      <c r="A1366" s="130" t="s">
        <v>4</v>
      </c>
      <c r="B1366" s="130" t="s">
        <v>574</v>
      </c>
      <c r="C1366" s="130" t="s">
        <v>608</v>
      </c>
      <c r="D1366" s="130" t="s">
        <v>827</v>
      </c>
      <c r="E1366" s="132">
        <v>381.36</v>
      </c>
    </row>
    <row r="1367" spans="1:5" x14ac:dyDescent="0.25">
      <c r="A1367" s="130" t="s">
        <v>4</v>
      </c>
      <c r="B1367" s="130" t="s">
        <v>574</v>
      </c>
      <c r="C1367" s="130" t="s">
        <v>608</v>
      </c>
      <c r="D1367" s="130" t="s">
        <v>679</v>
      </c>
      <c r="E1367" s="132">
        <v>1866.44</v>
      </c>
    </row>
    <row r="1368" spans="1:5" x14ac:dyDescent="0.25">
      <c r="A1368" s="130" t="s">
        <v>4</v>
      </c>
      <c r="B1368" s="130" t="s">
        <v>574</v>
      </c>
      <c r="C1368" s="130" t="s">
        <v>608</v>
      </c>
      <c r="D1368" s="130" t="s">
        <v>498</v>
      </c>
      <c r="E1368" s="132">
        <v>1311.45</v>
      </c>
    </row>
    <row r="1369" spans="1:5" x14ac:dyDescent="0.25">
      <c r="A1369" s="130" t="s">
        <v>4</v>
      </c>
      <c r="B1369" s="130" t="s">
        <v>574</v>
      </c>
      <c r="C1369" s="130" t="s">
        <v>608</v>
      </c>
      <c r="D1369" s="130" t="s">
        <v>303</v>
      </c>
      <c r="E1369" s="132">
        <v>612.85</v>
      </c>
    </row>
    <row r="1370" spans="1:5" x14ac:dyDescent="0.25">
      <c r="A1370" s="130" t="s">
        <v>4</v>
      </c>
      <c r="B1370" s="130" t="s">
        <v>574</v>
      </c>
      <c r="C1370" s="130" t="s">
        <v>608</v>
      </c>
      <c r="D1370" s="130" t="s">
        <v>474</v>
      </c>
      <c r="E1370" s="132">
        <v>2142.15</v>
      </c>
    </row>
    <row r="1371" spans="1:5" x14ac:dyDescent="0.25">
      <c r="A1371" s="130" t="s">
        <v>4</v>
      </c>
      <c r="B1371" s="130" t="s">
        <v>574</v>
      </c>
      <c r="C1371" s="130" t="s">
        <v>608</v>
      </c>
      <c r="D1371" s="130" t="s">
        <v>240</v>
      </c>
      <c r="E1371" s="132">
        <v>745.64</v>
      </c>
    </row>
    <row r="1372" spans="1:5" x14ac:dyDescent="0.25">
      <c r="A1372" s="130" t="s">
        <v>4</v>
      </c>
      <c r="B1372" s="130" t="s">
        <v>574</v>
      </c>
      <c r="C1372" s="130" t="s">
        <v>608</v>
      </c>
      <c r="D1372" s="130" t="s">
        <v>660</v>
      </c>
      <c r="E1372" s="132">
        <v>2292.0300000000002</v>
      </c>
    </row>
    <row r="1373" spans="1:5" x14ac:dyDescent="0.25">
      <c r="A1373" s="130" t="s">
        <v>4</v>
      </c>
      <c r="B1373" s="130" t="s">
        <v>574</v>
      </c>
      <c r="C1373" s="130" t="s">
        <v>608</v>
      </c>
      <c r="D1373" s="130" t="s">
        <v>312</v>
      </c>
      <c r="E1373" s="132">
        <v>707.56</v>
      </c>
    </row>
    <row r="1374" spans="1:5" x14ac:dyDescent="0.25">
      <c r="A1374" s="130" t="s">
        <v>4</v>
      </c>
      <c r="B1374" s="130" t="s">
        <v>574</v>
      </c>
      <c r="C1374" s="130" t="s">
        <v>608</v>
      </c>
      <c r="D1374" s="130" t="s">
        <v>298</v>
      </c>
      <c r="E1374" s="132">
        <v>555.34</v>
      </c>
    </row>
    <row r="1375" spans="1:5" x14ac:dyDescent="0.25">
      <c r="A1375" s="130" t="s">
        <v>4</v>
      </c>
      <c r="B1375" s="130" t="s">
        <v>574</v>
      </c>
      <c r="C1375" s="130" t="s">
        <v>608</v>
      </c>
      <c r="D1375" s="130" t="s">
        <v>242</v>
      </c>
      <c r="E1375" s="132">
        <v>571.66</v>
      </c>
    </row>
    <row r="1376" spans="1:5" x14ac:dyDescent="0.25">
      <c r="A1376" s="130" t="s">
        <v>4</v>
      </c>
      <c r="B1376" s="130" t="s">
        <v>574</v>
      </c>
      <c r="C1376" s="130" t="s">
        <v>608</v>
      </c>
      <c r="D1376" s="130" t="s">
        <v>434</v>
      </c>
      <c r="E1376" s="132">
        <v>444.28</v>
      </c>
    </row>
    <row r="1377" spans="1:5" x14ac:dyDescent="0.25">
      <c r="A1377" s="130" t="s">
        <v>4</v>
      </c>
      <c r="B1377" s="130" t="s">
        <v>574</v>
      </c>
      <c r="C1377" s="130" t="s">
        <v>608</v>
      </c>
      <c r="D1377" s="130" t="s">
        <v>458</v>
      </c>
      <c r="E1377" s="132">
        <v>381.36</v>
      </c>
    </row>
    <row r="1378" spans="1:5" x14ac:dyDescent="0.25">
      <c r="A1378" s="130" t="s">
        <v>4</v>
      </c>
      <c r="B1378" s="130" t="s">
        <v>574</v>
      </c>
      <c r="C1378" s="130" t="s">
        <v>608</v>
      </c>
      <c r="D1378" s="130" t="s">
        <v>416</v>
      </c>
      <c r="E1378" s="132">
        <v>714.58</v>
      </c>
    </row>
    <row r="1379" spans="1:5" x14ac:dyDescent="0.25">
      <c r="A1379" s="130" t="s">
        <v>4</v>
      </c>
      <c r="B1379" s="130" t="s">
        <v>574</v>
      </c>
      <c r="C1379" s="130" t="s">
        <v>608</v>
      </c>
      <c r="D1379" s="130" t="s">
        <v>316</v>
      </c>
      <c r="E1379" s="132">
        <v>264.07</v>
      </c>
    </row>
    <row r="1380" spans="1:5" x14ac:dyDescent="0.25">
      <c r="A1380" s="130" t="s">
        <v>4</v>
      </c>
      <c r="B1380" s="130" t="s">
        <v>574</v>
      </c>
      <c r="C1380" s="130" t="s">
        <v>608</v>
      </c>
      <c r="D1380" s="130" t="s">
        <v>248</v>
      </c>
      <c r="E1380" s="132">
        <v>546.89</v>
      </c>
    </row>
    <row r="1381" spans="1:5" x14ac:dyDescent="0.25">
      <c r="A1381" s="130" t="s">
        <v>4</v>
      </c>
      <c r="B1381" s="130" t="s">
        <v>574</v>
      </c>
      <c r="C1381" s="130" t="s">
        <v>608</v>
      </c>
      <c r="D1381" s="130" t="s">
        <v>714</v>
      </c>
      <c r="E1381" s="132">
        <v>5367.88</v>
      </c>
    </row>
    <row r="1382" spans="1:5" x14ac:dyDescent="0.25">
      <c r="A1382" s="130" t="s">
        <v>4</v>
      </c>
      <c r="B1382" s="130" t="s">
        <v>574</v>
      </c>
      <c r="C1382" s="130" t="s">
        <v>608</v>
      </c>
      <c r="D1382" s="130" t="s">
        <v>396</v>
      </c>
      <c r="E1382" s="132">
        <v>2152.27</v>
      </c>
    </row>
    <row r="1383" spans="1:5" x14ac:dyDescent="0.25">
      <c r="A1383" s="130" t="s">
        <v>4</v>
      </c>
      <c r="B1383" s="130" t="s">
        <v>574</v>
      </c>
      <c r="C1383" s="130" t="s">
        <v>608</v>
      </c>
      <c r="D1383" s="130" t="s">
        <v>515</v>
      </c>
      <c r="E1383" s="132">
        <v>2109.5100000000002</v>
      </c>
    </row>
    <row r="1384" spans="1:5" x14ac:dyDescent="0.25">
      <c r="A1384" s="130" t="s">
        <v>4</v>
      </c>
      <c r="B1384" s="130" t="s">
        <v>574</v>
      </c>
      <c r="C1384" s="130" t="s">
        <v>608</v>
      </c>
      <c r="D1384" s="130" t="s">
        <v>328</v>
      </c>
      <c r="E1384" s="132">
        <v>22620.7</v>
      </c>
    </row>
    <row r="1385" spans="1:5" x14ac:dyDescent="0.25">
      <c r="A1385" s="130" t="s">
        <v>4</v>
      </c>
      <c r="B1385" s="130" t="s">
        <v>574</v>
      </c>
      <c r="C1385" s="130" t="s">
        <v>608</v>
      </c>
      <c r="D1385" s="130" t="s">
        <v>538</v>
      </c>
      <c r="E1385" s="132">
        <v>3711.63</v>
      </c>
    </row>
    <row r="1386" spans="1:5" x14ac:dyDescent="0.25">
      <c r="A1386" s="130" t="s">
        <v>4</v>
      </c>
      <c r="B1386" s="130" t="s">
        <v>574</v>
      </c>
      <c r="C1386" s="130" t="s">
        <v>608</v>
      </c>
      <c r="D1386" s="130" t="s">
        <v>427</v>
      </c>
      <c r="E1386" s="132">
        <v>4259.8599999999997</v>
      </c>
    </row>
    <row r="1387" spans="1:5" x14ac:dyDescent="0.25">
      <c r="A1387" s="130" t="s">
        <v>4</v>
      </c>
      <c r="B1387" s="130" t="s">
        <v>574</v>
      </c>
      <c r="C1387" s="130" t="s">
        <v>608</v>
      </c>
      <c r="D1387" s="130" t="s">
        <v>310</v>
      </c>
      <c r="E1387" s="132">
        <v>13776.44</v>
      </c>
    </row>
    <row r="1388" spans="1:5" x14ac:dyDescent="0.25">
      <c r="A1388" s="130" t="s">
        <v>4</v>
      </c>
      <c r="B1388" s="130" t="s">
        <v>574</v>
      </c>
      <c r="C1388" s="130" t="s">
        <v>608</v>
      </c>
      <c r="D1388" s="130" t="s">
        <v>259</v>
      </c>
      <c r="E1388" s="132">
        <v>23332.95</v>
      </c>
    </row>
    <row r="1389" spans="1:5" x14ac:dyDescent="0.25">
      <c r="A1389" s="130" t="s">
        <v>4</v>
      </c>
      <c r="B1389" s="130" t="s">
        <v>574</v>
      </c>
      <c r="C1389" s="130" t="s">
        <v>608</v>
      </c>
      <c r="D1389" s="130" t="s">
        <v>234</v>
      </c>
      <c r="E1389" s="132">
        <v>6824.34</v>
      </c>
    </row>
    <row r="1390" spans="1:5" x14ac:dyDescent="0.25">
      <c r="A1390" s="130" t="s">
        <v>4</v>
      </c>
      <c r="B1390" s="130" t="s">
        <v>574</v>
      </c>
      <c r="C1390" s="130" t="s">
        <v>608</v>
      </c>
      <c r="D1390" s="130" t="s">
        <v>497</v>
      </c>
      <c r="E1390" s="132">
        <v>23603.77</v>
      </c>
    </row>
    <row r="1391" spans="1:5" x14ac:dyDescent="0.25">
      <c r="A1391" s="130" t="s">
        <v>4</v>
      </c>
      <c r="B1391" s="130" t="s">
        <v>574</v>
      </c>
      <c r="C1391" s="130" t="s">
        <v>608</v>
      </c>
      <c r="D1391" s="130" t="s">
        <v>779</v>
      </c>
      <c r="E1391" s="132">
        <v>8422.08</v>
      </c>
    </row>
    <row r="1392" spans="1:5" x14ac:dyDescent="0.25">
      <c r="A1392" s="130" t="s">
        <v>4</v>
      </c>
      <c r="B1392" s="130" t="s">
        <v>574</v>
      </c>
      <c r="C1392" s="130" t="s">
        <v>608</v>
      </c>
      <c r="D1392" s="130" t="s">
        <v>344</v>
      </c>
      <c r="E1392" s="132">
        <v>593.53</v>
      </c>
    </row>
    <row r="1393" spans="1:5" x14ac:dyDescent="0.25">
      <c r="A1393" s="130" t="s">
        <v>4</v>
      </c>
      <c r="B1393" s="130" t="s">
        <v>574</v>
      </c>
      <c r="C1393" s="130" t="s">
        <v>608</v>
      </c>
      <c r="D1393" s="130" t="s">
        <v>239</v>
      </c>
      <c r="E1393" s="132">
        <v>10112.879999999999</v>
      </c>
    </row>
    <row r="1394" spans="1:5" x14ac:dyDescent="0.25">
      <c r="A1394" s="130" t="s">
        <v>4</v>
      </c>
      <c r="B1394" s="130" t="s">
        <v>574</v>
      </c>
      <c r="C1394" s="130" t="s">
        <v>608</v>
      </c>
      <c r="D1394" s="130" t="s">
        <v>240</v>
      </c>
      <c r="E1394" s="132">
        <v>3951.26</v>
      </c>
    </row>
    <row r="1395" spans="1:5" x14ac:dyDescent="0.25">
      <c r="A1395" s="130" t="s">
        <v>4</v>
      </c>
      <c r="B1395" s="130" t="s">
        <v>574</v>
      </c>
      <c r="C1395" s="130" t="s">
        <v>608</v>
      </c>
      <c r="D1395" s="130" t="s">
        <v>526</v>
      </c>
      <c r="E1395" s="132">
        <v>1005.14</v>
      </c>
    </row>
    <row r="1396" spans="1:5" x14ac:dyDescent="0.25">
      <c r="A1396" s="130" t="s">
        <v>4</v>
      </c>
      <c r="B1396" s="130" t="s">
        <v>574</v>
      </c>
      <c r="C1396" s="130" t="s">
        <v>608</v>
      </c>
      <c r="D1396" s="130" t="s">
        <v>348</v>
      </c>
      <c r="E1396" s="132">
        <v>1444.66</v>
      </c>
    </row>
    <row r="1397" spans="1:5" x14ac:dyDescent="0.25">
      <c r="A1397" s="130" t="s">
        <v>4</v>
      </c>
      <c r="B1397" s="130" t="s">
        <v>574</v>
      </c>
      <c r="C1397" s="130" t="s">
        <v>608</v>
      </c>
      <c r="D1397" s="130" t="s">
        <v>349</v>
      </c>
      <c r="E1397" s="132">
        <v>1916.36</v>
      </c>
    </row>
    <row r="1398" spans="1:5" x14ac:dyDescent="0.25">
      <c r="A1398" s="130" t="s">
        <v>4</v>
      </c>
      <c r="B1398" s="130" t="s">
        <v>574</v>
      </c>
      <c r="C1398" s="130" t="s">
        <v>608</v>
      </c>
      <c r="D1398" s="130" t="s">
        <v>467</v>
      </c>
      <c r="E1398" s="132">
        <v>1088.22</v>
      </c>
    </row>
    <row r="1399" spans="1:5" x14ac:dyDescent="0.25">
      <c r="A1399" s="130" t="s">
        <v>4</v>
      </c>
      <c r="B1399" s="130" t="s">
        <v>574</v>
      </c>
      <c r="C1399" s="130" t="s">
        <v>608</v>
      </c>
      <c r="D1399" s="130" t="s">
        <v>395</v>
      </c>
      <c r="E1399" s="132">
        <v>1033.1099999999999</v>
      </c>
    </row>
    <row r="1400" spans="1:5" x14ac:dyDescent="0.25">
      <c r="A1400" s="130" t="s">
        <v>4</v>
      </c>
      <c r="B1400" s="130" t="s">
        <v>574</v>
      </c>
      <c r="C1400" s="130" t="s">
        <v>608</v>
      </c>
      <c r="D1400" s="130" t="s">
        <v>251</v>
      </c>
      <c r="E1400" s="132">
        <v>9290.43</v>
      </c>
    </row>
    <row r="1401" spans="1:5" x14ac:dyDescent="0.25">
      <c r="A1401" s="130" t="s">
        <v>4</v>
      </c>
      <c r="B1401" s="130" t="s">
        <v>574</v>
      </c>
      <c r="C1401" s="130" t="s">
        <v>608</v>
      </c>
      <c r="D1401" s="130" t="s">
        <v>481</v>
      </c>
      <c r="E1401" s="132">
        <v>88416.58</v>
      </c>
    </row>
    <row r="1402" spans="1:5" x14ac:dyDescent="0.25">
      <c r="A1402" s="130" t="s">
        <v>4</v>
      </c>
      <c r="B1402" s="130" t="s">
        <v>574</v>
      </c>
      <c r="C1402" s="130" t="s">
        <v>608</v>
      </c>
      <c r="D1402" s="130" t="s">
        <v>482</v>
      </c>
      <c r="E1402" s="132">
        <v>50483.99</v>
      </c>
    </row>
    <row r="1403" spans="1:5" x14ac:dyDescent="0.25">
      <c r="A1403" s="130" t="s">
        <v>4</v>
      </c>
      <c r="B1403" s="130" t="s">
        <v>574</v>
      </c>
      <c r="C1403" s="130" t="s">
        <v>608</v>
      </c>
      <c r="D1403" s="130" t="s">
        <v>638</v>
      </c>
      <c r="E1403" s="132">
        <v>34429.99</v>
      </c>
    </row>
    <row r="1404" spans="1:5" x14ac:dyDescent="0.25">
      <c r="A1404" s="130" t="s">
        <v>4</v>
      </c>
      <c r="B1404" s="130" t="s">
        <v>574</v>
      </c>
      <c r="C1404" s="130" t="s">
        <v>608</v>
      </c>
      <c r="D1404" s="130" t="s">
        <v>259</v>
      </c>
      <c r="E1404" s="132">
        <v>41472.300000000003</v>
      </c>
    </row>
    <row r="1405" spans="1:5" x14ac:dyDescent="0.25">
      <c r="A1405" s="130" t="s">
        <v>4</v>
      </c>
      <c r="B1405" s="130" t="s">
        <v>574</v>
      </c>
      <c r="C1405" s="130" t="s">
        <v>608</v>
      </c>
      <c r="D1405" s="130" t="s">
        <v>305</v>
      </c>
      <c r="E1405" s="132">
        <v>10467.43</v>
      </c>
    </row>
    <row r="1406" spans="1:5" x14ac:dyDescent="0.25">
      <c r="A1406" s="130" t="s">
        <v>4</v>
      </c>
      <c r="B1406" s="130" t="s">
        <v>574</v>
      </c>
      <c r="C1406" s="130" t="s">
        <v>608</v>
      </c>
      <c r="D1406" s="130" t="s">
        <v>379</v>
      </c>
      <c r="E1406" s="132">
        <v>3399.79</v>
      </c>
    </row>
    <row r="1407" spans="1:5" x14ac:dyDescent="0.25">
      <c r="A1407" s="130" t="s">
        <v>4</v>
      </c>
      <c r="B1407" s="130" t="s">
        <v>574</v>
      </c>
      <c r="C1407" s="130" t="s">
        <v>608</v>
      </c>
      <c r="D1407" s="130" t="s">
        <v>730</v>
      </c>
      <c r="E1407" s="132">
        <v>993.65</v>
      </c>
    </row>
    <row r="1408" spans="1:5" x14ac:dyDescent="0.25">
      <c r="A1408" s="130" t="s">
        <v>4</v>
      </c>
      <c r="B1408" s="130" t="s">
        <v>574</v>
      </c>
      <c r="C1408" s="130" t="s">
        <v>608</v>
      </c>
      <c r="D1408" s="130" t="s">
        <v>341</v>
      </c>
      <c r="E1408" s="132">
        <v>6649.11</v>
      </c>
    </row>
    <row r="1409" spans="1:5" x14ac:dyDescent="0.25">
      <c r="A1409" s="130" t="s">
        <v>4</v>
      </c>
      <c r="B1409" s="130" t="s">
        <v>574</v>
      </c>
      <c r="C1409" s="130" t="s">
        <v>608</v>
      </c>
      <c r="D1409" s="130" t="s">
        <v>690</v>
      </c>
      <c r="E1409" s="132">
        <v>3488.06</v>
      </c>
    </row>
    <row r="1410" spans="1:5" x14ac:dyDescent="0.25">
      <c r="A1410" s="130" t="s">
        <v>4</v>
      </c>
      <c r="B1410" s="130" t="s">
        <v>574</v>
      </c>
      <c r="C1410" s="130" t="s">
        <v>608</v>
      </c>
      <c r="D1410" s="130" t="s">
        <v>723</v>
      </c>
      <c r="E1410" s="132">
        <v>7605.58</v>
      </c>
    </row>
    <row r="1411" spans="1:5" x14ac:dyDescent="0.25">
      <c r="A1411" s="130" t="s">
        <v>4</v>
      </c>
      <c r="B1411" s="130" t="s">
        <v>574</v>
      </c>
      <c r="C1411" s="130" t="s">
        <v>608</v>
      </c>
      <c r="D1411" s="130" t="s">
        <v>614</v>
      </c>
      <c r="E1411" s="132">
        <v>6487.88</v>
      </c>
    </row>
    <row r="1412" spans="1:5" x14ac:dyDescent="0.25">
      <c r="A1412" s="130" t="s">
        <v>4</v>
      </c>
      <c r="B1412" s="130" t="s">
        <v>574</v>
      </c>
      <c r="C1412" s="130" t="s">
        <v>608</v>
      </c>
      <c r="D1412" s="130" t="s">
        <v>264</v>
      </c>
      <c r="E1412" s="132">
        <v>6922.19</v>
      </c>
    </row>
    <row r="1413" spans="1:5" x14ac:dyDescent="0.25">
      <c r="A1413" s="130" t="s">
        <v>4</v>
      </c>
      <c r="B1413" s="130" t="s">
        <v>574</v>
      </c>
      <c r="C1413" s="130" t="s">
        <v>608</v>
      </c>
      <c r="D1413" s="130" t="s">
        <v>381</v>
      </c>
      <c r="E1413" s="132">
        <v>7948.98</v>
      </c>
    </row>
    <row r="1414" spans="1:5" x14ac:dyDescent="0.25">
      <c r="A1414" s="130" t="s">
        <v>4</v>
      </c>
      <c r="B1414" s="130" t="s">
        <v>574</v>
      </c>
      <c r="C1414" s="130" t="s">
        <v>608</v>
      </c>
      <c r="D1414" s="130" t="s">
        <v>343</v>
      </c>
      <c r="E1414" s="132">
        <v>8755.34</v>
      </c>
    </row>
    <row r="1415" spans="1:5" x14ac:dyDescent="0.25">
      <c r="A1415" s="130" t="s">
        <v>4</v>
      </c>
      <c r="B1415" s="130" t="s">
        <v>574</v>
      </c>
      <c r="C1415" s="130" t="s">
        <v>608</v>
      </c>
      <c r="D1415" s="130" t="s">
        <v>382</v>
      </c>
      <c r="E1415" s="132">
        <v>2447.0500000000002</v>
      </c>
    </row>
    <row r="1416" spans="1:5" x14ac:dyDescent="0.25">
      <c r="A1416" s="130" t="s">
        <v>4</v>
      </c>
      <c r="B1416" s="130" t="s">
        <v>574</v>
      </c>
      <c r="C1416" s="130" t="s">
        <v>608</v>
      </c>
      <c r="D1416" s="130" t="s">
        <v>706</v>
      </c>
      <c r="E1416" s="132">
        <v>2864.39</v>
      </c>
    </row>
    <row r="1417" spans="1:5" x14ac:dyDescent="0.25">
      <c r="A1417" s="130" t="s">
        <v>4</v>
      </c>
      <c r="B1417" s="130" t="s">
        <v>574</v>
      </c>
      <c r="C1417" s="130" t="s">
        <v>608</v>
      </c>
      <c r="D1417" s="130" t="s">
        <v>707</v>
      </c>
      <c r="E1417" s="132">
        <v>1630.63</v>
      </c>
    </row>
    <row r="1418" spans="1:5" x14ac:dyDescent="0.25">
      <c r="A1418" s="130" t="s">
        <v>4</v>
      </c>
      <c r="B1418" s="130" t="s">
        <v>574</v>
      </c>
      <c r="C1418" s="130" t="s">
        <v>608</v>
      </c>
      <c r="D1418" s="130" t="s">
        <v>703</v>
      </c>
      <c r="E1418" s="132">
        <v>5624.89</v>
      </c>
    </row>
    <row r="1419" spans="1:5" x14ac:dyDescent="0.25">
      <c r="A1419" s="130" t="s">
        <v>4</v>
      </c>
      <c r="B1419" s="130" t="s">
        <v>574</v>
      </c>
      <c r="C1419" s="130" t="s">
        <v>608</v>
      </c>
      <c r="D1419" s="130" t="s">
        <v>704</v>
      </c>
      <c r="E1419" s="132">
        <v>4563.53</v>
      </c>
    </row>
    <row r="1420" spans="1:5" x14ac:dyDescent="0.25">
      <c r="A1420" s="130" t="s">
        <v>4</v>
      </c>
      <c r="B1420" s="130" t="s">
        <v>574</v>
      </c>
      <c r="C1420" s="130" t="s">
        <v>608</v>
      </c>
      <c r="D1420" s="130" t="s">
        <v>440</v>
      </c>
      <c r="E1420" s="132">
        <v>6579.14</v>
      </c>
    </row>
    <row r="1421" spans="1:5" x14ac:dyDescent="0.25">
      <c r="A1421" s="130" t="s">
        <v>4</v>
      </c>
      <c r="B1421" s="130" t="s">
        <v>574</v>
      </c>
      <c r="C1421" s="130" t="s">
        <v>608</v>
      </c>
      <c r="D1421" s="130" t="s">
        <v>691</v>
      </c>
      <c r="E1421" s="132">
        <v>7659.29</v>
      </c>
    </row>
    <row r="1422" spans="1:5" x14ac:dyDescent="0.25">
      <c r="A1422" s="130" t="s">
        <v>4</v>
      </c>
      <c r="B1422" s="130" t="s">
        <v>574</v>
      </c>
      <c r="C1422" s="130" t="s">
        <v>608</v>
      </c>
      <c r="D1422" s="130" t="s">
        <v>665</v>
      </c>
      <c r="E1422" s="132">
        <v>6330.28</v>
      </c>
    </row>
    <row r="1423" spans="1:5" x14ac:dyDescent="0.25">
      <c r="A1423" s="130" t="s">
        <v>4</v>
      </c>
      <c r="B1423" s="130" t="s">
        <v>574</v>
      </c>
      <c r="C1423" s="130" t="s">
        <v>608</v>
      </c>
      <c r="D1423" s="130" t="s">
        <v>692</v>
      </c>
      <c r="E1423" s="132">
        <v>2426.64</v>
      </c>
    </row>
    <row r="1424" spans="1:5" x14ac:dyDescent="0.25">
      <c r="A1424" s="130" t="s">
        <v>4</v>
      </c>
      <c r="B1424" s="130" t="s">
        <v>574</v>
      </c>
      <c r="C1424" s="130" t="s">
        <v>608</v>
      </c>
      <c r="D1424" s="130" t="s">
        <v>693</v>
      </c>
      <c r="E1424" s="132">
        <v>2813.21</v>
      </c>
    </row>
    <row r="1425" spans="1:5" x14ac:dyDescent="0.25">
      <c r="A1425" s="130" t="s">
        <v>4</v>
      </c>
      <c r="B1425" s="130" t="s">
        <v>574</v>
      </c>
      <c r="C1425" s="130" t="s">
        <v>608</v>
      </c>
      <c r="D1425" s="130" t="s">
        <v>325</v>
      </c>
      <c r="E1425" s="132">
        <v>4819.07</v>
      </c>
    </row>
    <row r="1426" spans="1:5" x14ac:dyDescent="0.25">
      <c r="A1426" s="130" t="s">
        <v>4</v>
      </c>
      <c r="B1426" s="130" t="s">
        <v>574</v>
      </c>
      <c r="C1426" s="130" t="s">
        <v>608</v>
      </c>
      <c r="D1426" s="130" t="s">
        <v>576</v>
      </c>
      <c r="E1426" s="132">
        <v>12062.11</v>
      </c>
    </row>
    <row r="1427" spans="1:5" x14ac:dyDescent="0.25">
      <c r="A1427" s="130" t="s">
        <v>4</v>
      </c>
      <c r="B1427" s="130" t="s">
        <v>574</v>
      </c>
      <c r="C1427" s="130" t="s">
        <v>608</v>
      </c>
      <c r="D1427" s="130" t="s">
        <v>532</v>
      </c>
      <c r="E1427" s="132">
        <v>6983.85</v>
      </c>
    </row>
    <row r="1428" spans="1:5" x14ac:dyDescent="0.25">
      <c r="A1428" s="130" t="s">
        <v>4</v>
      </c>
      <c r="B1428" s="130" t="s">
        <v>574</v>
      </c>
      <c r="C1428" s="130" t="s">
        <v>608</v>
      </c>
      <c r="D1428" s="130" t="s">
        <v>307</v>
      </c>
      <c r="E1428" s="132">
        <v>11780.03</v>
      </c>
    </row>
    <row r="1429" spans="1:5" x14ac:dyDescent="0.25">
      <c r="A1429" s="130" t="s">
        <v>4</v>
      </c>
      <c r="B1429" s="130" t="s">
        <v>574</v>
      </c>
      <c r="C1429" s="130" t="s">
        <v>608</v>
      </c>
      <c r="D1429" s="130" t="s">
        <v>428</v>
      </c>
      <c r="E1429" s="132">
        <v>10913.87</v>
      </c>
    </row>
    <row r="1430" spans="1:5" x14ac:dyDescent="0.25">
      <c r="A1430" s="130" t="s">
        <v>4</v>
      </c>
      <c r="B1430" s="130" t="s">
        <v>574</v>
      </c>
      <c r="C1430" s="130" t="s">
        <v>608</v>
      </c>
      <c r="D1430" s="130" t="s">
        <v>429</v>
      </c>
      <c r="E1430" s="132">
        <v>12990.83</v>
      </c>
    </row>
    <row r="1431" spans="1:5" x14ac:dyDescent="0.25">
      <c r="A1431" s="130" t="s">
        <v>4</v>
      </c>
      <c r="B1431" s="130" t="s">
        <v>574</v>
      </c>
      <c r="C1431" s="130" t="s">
        <v>608</v>
      </c>
      <c r="D1431" s="130" t="s">
        <v>560</v>
      </c>
      <c r="E1431" s="132">
        <v>12820.75</v>
      </c>
    </row>
    <row r="1432" spans="1:5" x14ac:dyDescent="0.25">
      <c r="A1432" s="130" t="s">
        <v>4</v>
      </c>
      <c r="B1432" s="130" t="s">
        <v>574</v>
      </c>
      <c r="C1432" s="130" t="s">
        <v>608</v>
      </c>
      <c r="D1432" s="130" t="s">
        <v>258</v>
      </c>
      <c r="E1432" s="132">
        <v>7104.12</v>
      </c>
    </row>
    <row r="1433" spans="1:5" x14ac:dyDescent="0.25">
      <c r="A1433" s="130" t="s">
        <v>4</v>
      </c>
      <c r="B1433" s="130" t="s">
        <v>574</v>
      </c>
      <c r="C1433" s="130" t="s">
        <v>608</v>
      </c>
      <c r="D1433" s="130" t="s">
        <v>561</v>
      </c>
      <c r="E1433" s="132">
        <v>23392.61</v>
      </c>
    </row>
    <row r="1434" spans="1:5" x14ac:dyDescent="0.25">
      <c r="A1434" s="130" t="s">
        <v>4</v>
      </c>
      <c r="B1434" s="130" t="s">
        <v>574</v>
      </c>
      <c r="C1434" s="130" t="s">
        <v>608</v>
      </c>
      <c r="D1434" s="130" t="s">
        <v>337</v>
      </c>
      <c r="E1434" s="132">
        <v>2637.76</v>
      </c>
    </row>
    <row r="1435" spans="1:5" x14ac:dyDescent="0.25">
      <c r="A1435" s="130" t="s">
        <v>4</v>
      </c>
      <c r="B1435" s="130" t="s">
        <v>574</v>
      </c>
      <c r="C1435" s="130" t="s">
        <v>608</v>
      </c>
      <c r="D1435" s="130" t="s">
        <v>333</v>
      </c>
      <c r="E1435" s="132">
        <v>3590.14</v>
      </c>
    </row>
    <row r="1436" spans="1:5" x14ac:dyDescent="0.25">
      <c r="A1436" s="130" t="s">
        <v>4</v>
      </c>
      <c r="B1436" s="130" t="s">
        <v>574</v>
      </c>
      <c r="C1436" s="130" t="s">
        <v>608</v>
      </c>
      <c r="D1436" s="130" t="s">
        <v>378</v>
      </c>
      <c r="E1436" s="132">
        <v>1206.6199999999999</v>
      </c>
    </row>
    <row r="1437" spans="1:5" x14ac:dyDescent="0.25">
      <c r="A1437" s="130" t="s">
        <v>4</v>
      </c>
      <c r="B1437" s="130" t="s">
        <v>574</v>
      </c>
      <c r="C1437" s="130" t="s">
        <v>608</v>
      </c>
      <c r="D1437" s="130" t="s">
        <v>1022</v>
      </c>
      <c r="E1437" s="132">
        <v>1894.35</v>
      </c>
    </row>
    <row r="1438" spans="1:5" x14ac:dyDescent="0.25">
      <c r="A1438" s="130" t="s">
        <v>4</v>
      </c>
      <c r="B1438" s="130" t="s">
        <v>574</v>
      </c>
      <c r="C1438" s="130" t="s">
        <v>608</v>
      </c>
      <c r="D1438" s="130" t="s">
        <v>991</v>
      </c>
      <c r="E1438" s="132">
        <v>1140.1099999999999</v>
      </c>
    </row>
    <row r="1439" spans="1:5" x14ac:dyDescent="0.25">
      <c r="A1439" s="130" t="s">
        <v>4</v>
      </c>
      <c r="B1439" s="130" t="s">
        <v>574</v>
      </c>
      <c r="C1439" s="130" t="s">
        <v>608</v>
      </c>
      <c r="D1439" s="130" t="s">
        <v>992</v>
      </c>
      <c r="E1439" s="132">
        <v>1385.85</v>
      </c>
    </row>
    <row r="1440" spans="1:5" x14ac:dyDescent="0.25">
      <c r="A1440" s="130" t="s">
        <v>4</v>
      </c>
      <c r="B1440" s="130" t="s">
        <v>574</v>
      </c>
      <c r="C1440" s="130" t="s">
        <v>608</v>
      </c>
      <c r="D1440" s="130" t="s">
        <v>310</v>
      </c>
      <c r="E1440" s="132">
        <v>23887.89</v>
      </c>
    </row>
    <row r="1441" spans="1:5" x14ac:dyDescent="0.25">
      <c r="A1441" s="130" t="s">
        <v>4</v>
      </c>
      <c r="B1441" s="130" t="s">
        <v>574</v>
      </c>
      <c r="C1441" s="130" t="s">
        <v>608</v>
      </c>
      <c r="D1441" s="130" t="s">
        <v>275</v>
      </c>
      <c r="E1441" s="132">
        <v>2728.15</v>
      </c>
    </row>
    <row r="1442" spans="1:5" x14ac:dyDescent="0.25">
      <c r="A1442" s="130" t="s">
        <v>4</v>
      </c>
      <c r="B1442" s="130" t="s">
        <v>574</v>
      </c>
      <c r="C1442" s="130" t="s">
        <v>608</v>
      </c>
      <c r="D1442" s="130" t="s">
        <v>629</v>
      </c>
      <c r="E1442" s="132">
        <v>2708.87</v>
      </c>
    </row>
    <row r="1443" spans="1:5" x14ac:dyDescent="0.25">
      <c r="A1443" s="130" t="s">
        <v>4</v>
      </c>
      <c r="B1443" s="130" t="s">
        <v>574</v>
      </c>
      <c r="C1443" s="130" t="s">
        <v>608</v>
      </c>
      <c r="D1443" s="130" t="s">
        <v>619</v>
      </c>
      <c r="E1443" s="132">
        <v>936.25</v>
      </c>
    </row>
    <row r="1444" spans="1:5" x14ac:dyDescent="0.25">
      <c r="A1444" s="130" t="s">
        <v>4</v>
      </c>
      <c r="B1444" s="130" t="s">
        <v>574</v>
      </c>
      <c r="C1444" s="130" t="s">
        <v>608</v>
      </c>
      <c r="D1444" s="130" t="s">
        <v>259</v>
      </c>
      <c r="E1444" s="132">
        <v>23452.38</v>
      </c>
    </row>
    <row r="1445" spans="1:5" x14ac:dyDescent="0.25">
      <c r="A1445" s="130" t="s">
        <v>4</v>
      </c>
      <c r="B1445" s="130" t="s">
        <v>574</v>
      </c>
      <c r="C1445" s="130" t="s">
        <v>608</v>
      </c>
      <c r="D1445" s="130" t="s">
        <v>277</v>
      </c>
      <c r="E1445" s="132">
        <v>2217.9699999999998</v>
      </c>
    </row>
    <row r="1446" spans="1:5" x14ac:dyDescent="0.25">
      <c r="A1446" s="130" t="s">
        <v>4</v>
      </c>
      <c r="B1446" s="130" t="s">
        <v>574</v>
      </c>
      <c r="C1446" s="130" t="s">
        <v>608</v>
      </c>
      <c r="D1446" s="130" t="s">
        <v>234</v>
      </c>
      <c r="E1446" s="132">
        <v>1958.23</v>
      </c>
    </row>
    <row r="1447" spans="1:5" x14ac:dyDescent="0.25">
      <c r="A1447" s="130" t="s">
        <v>4</v>
      </c>
      <c r="B1447" s="130" t="s">
        <v>574</v>
      </c>
      <c r="C1447" s="130" t="s">
        <v>608</v>
      </c>
      <c r="D1447" s="130" t="s">
        <v>390</v>
      </c>
      <c r="E1447" s="132">
        <v>3233.59</v>
      </c>
    </row>
    <row r="1448" spans="1:5" x14ac:dyDescent="0.25">
      <c r="A1448" s="130" t="s">
        <v>4</v>
      </c>
      <c r="B1448" s="130" t="s">
        <v>574</v>
      </c>
      <c r="C1448" s="130" t="s">
        <v>608</v>
      </c>
      <c r="D1448" s="130" t="s">
        <v>235</v>
      </c>
      <c r="E1448" s="132">
        <v>3365.91</v>
      </c>
    </row>
    <row r="1449" spans="1:5" x14ac:dyDescent="0.25">
      <c r="A1449" s="130" t="s">
        <v>4</v>
      </c>
      <c r="B1449" s="130" t="s">
        <v>574</v>
      </c>
      <c r="C1449" s="130" t="s">
        <v>608</v>
      </c>
      <c r="D1449" s="130" t="s">
        <v>536</v>
      </c>
      <c r="E1449" s="132">
        <v>861.35</v>
      </c>
    </row>
    <row r="1450" spans="1:5" x14ac:dyDescent="0.25">
      <c r="A1450" s="130" t="s">
        <v>4</v>
      </c>
      <c r="B1450" s="130" t="s">
        <v>574</v>
      </c>
      <c r="C1450" s="130" t="s">
        <v>608</v>
      </c>
      <c r="D1450" s="130" t="s">
        <v>319</v>
      </c>
      <c r="E1450" s="132">
        <v>31289.31</v>
      </c>
    </row>
    <row r="1451" spans="1:5" x14ac:dyDescent="0.25">
      <c r="A1451" s="130" t="s">
        <v>4</v>
      </c>
      <c r="B1451" s="130" t="s">
        <v>574</v>
      </c>
      <c r="C1451" s="130" t="s">
        <v>608</v>
      </c>
      <c r="D1451" s="130" t="s">
        <v>265</v>
      </c>
      <c r="E1451" s="132">
        <v>2347.9</v>
      </c>
    </row>
    <row r="1452" spans="1:5" x14ac:dyDescent="0.25">
      <c r="A1452" s="130" t="s">
        <v>4</v>
      </c>
      <c r="B1452" s="130" t="s">
        <v>574</v>
      </c>
      <c r="C1452" s="130" t="s">
        <v>608</v>
      </c>
      <c r="D1452" s="130" t="s">
        <v>363</v>
      </c>
      <c r="E1452" s="132">
        <v>3367.49</v>
      </c>
    </row>
    <row r="1453" spans="1:5" x14ac:dyDescent="0.25">
      <c r="A1453" s="130" t="s">
        <v>4</v>
      </c>
      <c r="B1453" s="130" t="s">
        <v>574</v>
      </c>
      <c r="C1453" s="130" t="s">
        <v>608</v>
      </c>
      <c r="D1453" s="130" t="s">
        <v>521</v>
      </c>
      <c r="E1453" s="132">
        <v>4002.27</v>
      </c>
    </row>
    <row r="1454" spans="1:5" x14ac:dyDescent="0.25">
      <c r="A1454" s="130" t="s">
        <v>4</v>
      </c>
      <c r="B1454" s="130" t="s">
        <v>574</v>
      </c>
      <c r="C1454" s="130" t="s">
        <v>608</v>
      </c>
      <c r="D1454" s="130" t="s">
        <v>1023</v>
      </c>
      <c r="E1454" s="132">
        <v>16849.169999999998</v>
      </c>
    </row>
    <row r="1455" spans="1:5" x14ac:dyDescent="0.25">
      <c r="A1455" s="130" t="s">
        <v>4</v>
      </c>
      <c r="B1455" s="130" t="s">
        <v>574</v>
      </c>
      <c r="C1455" s="130" t="s">
        <v>608</v>
      </c>
      <c r="D1455" s="130" t="s">
        <v>742</v>
      </c>
      <c r="E1455" s="132">
        <v>18247.79</v>
      </c>
    </row>
    <row r="1456" spans="1:5" x14ac:dyDescent="0.25">
      <c r="A1456" s="130" t="s">
        <v>4</v>
      </c>
      <c r="B1456" s="130" t="s">
        <v>574</v>
      </c>
      <c r="C1456" s="130" t="s">
        <v>608</v>
      </c>
      <c r="D1456" s="130" t="s">
        <v>672</v>
      </c>
      <c r="E1456" s="132">
        <v>17561.23</v>
      </c>
    </row>
    <row r="1457" spans="1:5" x14ac:dyDescent="0.25">
      <c r="A1457" s="130" t="s">
        <v>4</v>
      </c>
      <c r="B1457" s="130" t="s">
        <v>574</v>
      </c>
      <c r="C1457" s="130" t="s">
        <v>608</v>
      </c>
      <c r="D1457" s="130" t="s">
        <v>679</v>
      </c>
      <c r="E1457" s="132">
        <v>2838.01</v>
      </c>
    </row>
    <row r="1458" spans="1:5" x14ac:dyDescent="0.25">
      <c r="A1458" s="130" t="s">
        <v>4</v>
      </c>
      <c r="B1458" s="130" t="s">
        <v>574</v>
      </c>
      <c r="C1458" s="130" t="s">
        <v>608</v>
      </c>
      <c r="D1458" s="130" t="s">
        <v>263</v>
      </c>
      <c r="E1458" s="132">
        <v>961.33</v>
      </c>
    </row>
    <row r="1459" spans="1:5" x14ac:dyDescent="0.25">
      <c r="A1459" s="130" t="s">
        <v>4</v>
      </c>
      <c r="B1459" s="130" t="s">
        <v>574</v>
      </c>
      <c r="C1459" s="130" t="s">
        <v>608</v>
      </c>
      <c r="D1459" s="130" t="s">
        <v>497</v>
      </c>
      <c r="E1459" s="132">
        <v>1881.39</v>
      </c>
    </row>
    <row r="1460" spans="1:5" x14ac:dyDescent="0.25">
      <c r="A1460" s="130" t="s">
        <v>4</v>
      </c>
      <c r="B1460" s="130" t="s">
        <v>574</v>
      </c>
      <c r="C1460" s="130" t="s">
        <v>608</v>
      </c>
      <c r="D1460" s="130" t="s">
        <v>498</v>
      </c>
      <c r="E1460" s="132">
        <v>2658.88</v>
      </c>
    </row>
    <row r="1461" spans="1:5" x14ac:dyDescent="0.25">
      <c r="A1461" s="130" t="s">
        <v>4</v>
      </c>
      <c r="B1461" s="130" t="s">
        <v>574</v>
      </c>
      <c r="C1461" s="130" t="s">
        <v>608</v>
      </c>
      <c r="D1461" s="130" t="s">
        <v>293</v>
      </c>
      <c r="E1461" s="132">
        <v>1063</v>
      </c>
    </row>
    <row r="1462" spans="1:5" x14ac:dyDescent="0.25">
      <c r="A1462" s="130" t="s">
        <v>4</v>
      </c>
      <c r="B1462" s="130" t="s">
        <v>574</v>
      </c>
      <c r="C1462" s="130" t="s">
        <v>608</v>
      </c>
      <c r="D1462" s="130" t="s">
        <v>274</v>
      </c>
      <c r="E1462" s="132">
        <v>1244.06</v>
      </c>
    </row>
    <row r="1463" spans="1:5" x14ac:dyDescent="0.25">
      <c r="A1463" s="130" t="s">
        <v>4</v>
      </c>
      <c r="B1463" s="130" t="s">
        <v>574</v>
      </c>
      <c r="C1463" s="130" t="s">
        <v>608</v>
      </c>
      <c r="D1463" s="130" t="s">
        <v>303</v>
      </c>
      <c r="E1463" s="132">
        <v>3106.35</v>
      </c>
    </row>
    <row r="1464" spans="1:5" x14ac:dyDescent="0.25">
      <c r="A1464" s="130" t="s">
        <v>4</v>
      </c>
      <c r="B1464" s="130" t="s">
        <v>574</v>
      </c>
      <c r="C1464" s="130" t="s">
        <v>608</v>
      </c>
      <c r="D1464" s="130" t="s">
        <v>403</v>
      </c>
      <c r="E1464" s="132">
        <v>697.55</v>
      </c>
    </row>
    <row r="1465" spans="1:5" x14ac:dyDescent="0.25">
      <c r="A1465" s="130" t="s">
        <v>4</v>
      </c>
      <c r="B1465" s="130" t="s">
        <v>574</v>
      </c>
      <c r="C1465" s="130" t="s">
        <v>608</v>
      </c>
      <c r="D1465" s="130" t="s">
        <v>344</v>
      </c>
      <c r="E1465" s="132">
        <v>567.67999999999995</v>
      </c>
    </row>
    <row r="1466" spans="1:5" x14ac:dyDescent="0.25">
      <c r="A1466" s="130" t="s">
        <v>4</v>
      </c>
      <c r="B1466" s="130" t="s">
        <v>574</v>
      </c>
      <c r="C1466" s="130" t="s">
        <v>608</v>
      </c>
      <c r="D1466" s="130" t="s">
        <v>294</v>
      </c>
      <c r="E1466" s="132">
        <v>1645.6</v>
      </c>
    </row>
    <row r="1467" spans="1:5" x14ac:dyDescent="0.25">
      <c r="A1467" s="130" t="s">
        <v>4</v>
      </c>
      <c r="B1467" s="130" t="s">
        <v>574</v>
      </c>
      <c r="C1467" s="130" t="s">
        <v>608</v>
      </c>
      <c r="D1467" s="130" t="s">
        <v>295</v>
      </c>
      <c r="E1467" s="132">
        <v>1094.42</v>
      </c>
    </row>
    <row r="1468" spans="1:5" x14ac:dyDescent="0.25">
      <c r="A1468" s="130" t="s">
        <v>4</v>
      </c>
      <c r="B1468" s="130" t="s">
        <v>574</v>
      </c>
      <c r="C1468" s="130" t="s">
        <v>608</v>
      </c>
      <c r="D1468" s="130" t="s">
        <v>281</v>
      </c>
      <c r="E1468" s="132">
        <v>988.88</v>
      </c>
    </row>
    <row r="1469" spans="1:5" x14ac:dyDescent="0.25">
      <c r="A1469" s="130" t="s">
        <v>4</v>
      </c>
      <c r="B1469" s="130" t="s">
        <v>574</v>
      </c>
      <c r="C1469" s="130" t="s">
        <v>608</v>
      </c>
      <c r="D1469" s="130" t="s">
        <v>405</v>
      </c>
      <c r="E1469" s="132">
        <v>717.27</v>
      </c>
    </row>
    <row r="1470" spans="1:5" x14ac:dyDescent="0.25">
      <c r="A1470" s="130" t="s">
        <v>4</v>
      </c>
      <c r="B1470" s="130" t="s">
        <v>574</v>
      </c>
      <c r="C1470" s="130" t="s">
        <v>608</v>
      </c>
      <c r="D1470" s="130" t="s">
        <v>237</v>
      </c>
      <c r="E1470" s="132">
        <v>10707.84</v>
      </c>
    </row>
    <row r="1471" spans="1:5" x14ac:dyDescent="0.25">
      <c r="A1471" s="130" t="s">
        <v>4</v>
      </c>
      <c r="B1471" s="130" t="s">
        <v>574</v>
      </c>
      <c r="C1471" s="130" t="s">
        <v>608</v>
      </c>
      <c r="D1471" s="130" t="s">
        <v>238</v>
      </c>
      <c r="E1471" s="132">
        <v>2007.72</v>
      </c>
    </row>
    <row r="1472" spans="1:5" x14ac:dyDescent="0.25">
      <c r="A1472" s="130" t="s">
        <v>4</v>
      </c>
      <c r="B1472" s="130" t="s">
        <v>574</v>
      </c>
      <c r="C1472" s="130" t="s">
        <v>608</v>
      </c>
      <c r="D1472" s="130" t="s">
        <v>716</v>
      </c>
      <c r="E1472" s="132">
        <v>788.14</v>
      </c>
    </row>
    <row r="1473" spans="1:5" x14ac:dyDescent="0.25">
      <c r="A1473" s="130" t="s">
        <v>4</v>
      </c>
      <c r="B1473" s="130" t="s">
        <v>574</v>
      </c>
      <c r="C1473" s="130" t="s">
        <v>608</v>
      </c>
      <c r="D1473" s="130" t="s">
        <v>474</v>
      </c>
      <c r="E1473" s="132">
        <v>542.88</v>
      </c>
    </row>
    <row r="1474" spans="1:5" x14ac:dyDescent="0.25">
      <c r="A1474" s="130" t="s">
        <v>4</v>
      </c>
      <c r="B1474" s="130" t="s">
        <v>574</v>
      </c>
      <c r="C1474" s="130" t="s">
        <v>608</v>
      </c>
      <c r="D1474" s="130" t="s">
        <v>239</v>
      </c>
      <c r="E1474" s="132">
        <v>2976.25</v>
      </c>
    </row>
    <row r="1475" spans="1:5" x14ac:dyDescent="0.25">
      <c r="A1475" s="130" t="s">
        <v>4</v>
      </c>
      <c r="B1475" s="130" t="s">
        <v>574</v>
      </c>
      <c r="C1475" s="130" t="s">
        <v>608</v>
      </c>
      <c r="D1475" s="130" t="s">
        <v>406</v>
      </c>
      <c r="E1475" s="132">
        <v>2347.08</v>
      </c>
    </row>
    <row r="1476" spans="1:5" x14ac:dyDescent="0.25">
      <c r="A1476" s="130" t="s">
        <v>4</v>
      </c>
      <c r="B1476" s="130" t="s">
        <v>574</v>
      </c>
      <c r="C1476" s="130" t="s">
        <v>608</v>
      </c>
      <c r="D1476" s="130" t="s">
        <v>266</v>
      </c>
      <c r="E1476" s="132">
        <v>620.45000000000005</v>
      </c>
    </row>
    <row r="1477" spans="1:5" x14ac:dyDescent="0.25">
      <c r="A1477" s="130" t="s">
        <v>4</v>
      </c>
      <c r="B1477" s="130" t="s">
        <v>574</v>
      </c>
      <c r="C1477" s="130" t="s">
        <v>608</v>
      </c>
      <c r="D1477" s="130" t="s">
        <v>240</v>
      </c>
      <c r="E1477" s="132">
        <v>1133.73</v>
      </c>
    </row>
    <row r="1478" spans="1:5" x14ac:dyDescent="0.25">
      <c r="A1478" s="130" t="s">
        <v>4</v>
      </c>
      <c r="B1478" s="130" t="s">
        <v>574</v>
      </c>
      <c r="C1478" s="130" t="s">
        <v>608</v>
      </c>
      <c r="D1478" s="130" t="s">
        <v>512</v>
      </c>
      <c r="E1478" s="132">
        <v>705.86</v>
      </c>
    </row>
    <row r="1479" spans="1:5" x14ac:dyDescent="0.25">
      <c r="A1479" s="130" t="s">
        <v>4</v>
      </c>
      <c r="B1479" s="130" t="s">
        <v>574</v>
      </c>
      <c r="C1479" s="130" t="s">
        <v>608</v>
      </c>
      <c r="D1479" s="130" t="s">
        <v>501</v>
      </c>
      <c r="E1479" s="132">
        <v>535.39</v>
      </c>
    </row>
    <row r="1480" spans="1:5" x14ac:dyDescent="0.25">
      <c r="A1480" s="130" t="s">
        <v>4</v>
      </c>
      <c r="B1480" s="130" t="s">
        <v>574</v>
      </c>
      <c r="C1480" s="130" t="s">
        <v>608</v>
      </c>
      <c r="D1480" s="130" t="s">
        <v>708</v>
      </c>
      <c r="E1480" s="132">
        <v>470.05</v>
      </c>
    </row>
    <row r="1481" spans="1:5" x14ac:dyDescent="0.25">
      <c r="A1481" s="130" t="s">
        <v>4</v>
      </c>
      <c r="B1481" s="130" t="s">
        <v>574</v>
      </c>
      <c r="C1481" s="130" t="s">
        <v>608</v>
      </c>
      <c r="D1481" s="130" t="s">
        <v>407</v>
      </c>
      <c r="E1481" s="132">
        <v>813.33</v>
      </c>
    </row>
    <row r="1482" spans="1:5" x14ac:dyDescent="0.25">
      <c r="A1482" s="130" t="s">
        <v>4</v>
      </c>
      <c r="B1482" s="130" t="s">
        <v>574</v>
      </c>
      <c r="C1482" s="130" t="s">
        <v>608</v>
      </c>
      <c r="D1482" s="130" t="s">
        <v>660</v>
      </c>
      <c r="E1482" s="132">
        <v>464.7</v>
      </c>
    </row>
    <row r="1483" spans="1:5" x14ac:dyDescent="0.25">
      <c r="A1483" s="130" t="s">
        <v>4</v>
      </c>
      <c r="B1483" s="130" t="s">
        <v>574</v>
      </c>
      <c r="C1483" s="130" t="s">
        <v>608</v>
      </c>
      <c r="D1483" s="130" t="s">
        <v>408</v>
      </c>
      <c r="E1483" s="132">
        <v>1140.1099999999999</v>
      </c>
    </row>
    <row r="1484" spans="1:5" x14ac:dyDescent="0.25">
      <c r="A1484" s="130" t="s">
        <v>4</v>
      </c>
      <c r="B1484" s="130" t="s">
        <v>574</v>
      </c>
      <c r="C1484" s="130" t="s">
        <v>608</v>
      </c>
      <c r="D1484" s="130" t="s">
        <v>296</v>
      </c>
      <c r="E1484" s="132">
        <v>409.44</v>
      </c>
    </row>
    <row r="1485" spans="1:5" x14ac:dyDescent="0.25">
      <c r="A1485" s="130" t="s">
        <v>4</v>
      </c>
      <c r="B1485" s="130" t="s">
        <v>574</v>
      </c>
      <c r="C1485" s="130" t="s">
        <v>608</v>
      </c>
      <c r="D1485" s="130" t="s">
        <v>697</v>
      </c>
      <c r="E1485" s="132">
        <v>561.78</v>
      </c>
    </row>
    <row r="1486" spans="1:5" x14ac:dyDescent="0.25">
      <c r="A1486" s="130" t="s">
        <v>4</v>
      </c>
      <c r="B1486" s="130" t="s">
        <v>574</v>
      </c>
      <c r="C1486" s="130" t="s">
        <v>608</v>
      </c>
      <c r="D1486" s="130" t="s">
        <v>346</v>
      </c>
      <c r="E1486" s="132">
        <v>2050.25</v>
      </c>
    </row>
    <row r="1487" spans="1:5" x14ac:dyDescent="0.25">
      <c r="A1487" s="130" t="s">
        <v>4</v>
      </c>
      <c r="B1487" s="130" t="s">
        <v>574</v>
      </c>
      <c r="C1487" s="130" t="s">
        <v>608</v>
      </c>
      <c r="D1487" s="130" t="s">
        <v>312</v>
      </c>
      <c r="E1487" s="132">
        <v>1434.54</v>
      </c>
    </row>
    <row r="1488" spans="1:5" x14ac:dyDescent="0.25">
      <c r="A1488" s="130" t="s">
        <v>4</v>
      </c>
      <c r="B1488" s="130" t="s">
        <v>574</v>
      </c>
      <c r="C1488" s="130" t="s">
        <v>608</v>
      </c>
      <c r="D1488" s="130" t="s">
        <v>394</v>
      </c>
      <c r="E1488" s="132">
        <v>572.41999999999996</v>
      </c>
    </row>
    <row r="1489" spans="1:5" x14ac:dyDescent="0.25">
      <c r="A1489" s="130" t="s">
        <v>4</v>
      </c>
      <c r="B1489" s="130" t="s">
        <v>574</v>
      </c>
      <c r="C1489" s="130" t="s">
        <v>608</v>
      </c>
      <c r="D1489" s="130" t="s">
        <v>298</v>
      </c>
      <c r="E1489" s="132">
        <v>2814.73</v>
      </c>
    </row>
    <row r="1490" spans="1:5" x14ac:dyDescent="0.25">
      <c r="A1490" s="130" t="s">
        <v>4</v>
      </c>
      <c r="B1490" s="130" t="s">
        <v>574</v>
      </c>
      <c r="C1490" s="130" t="s">
        <v>608</v>
      </c>
      <c r="D1490" s="130" t="s">
        <v>455</v>
      </c>
      <c r="E1490" s="132">
        <v>927.52</v>
      </c>
    </row>
    <row r="1491" spans="1:5" x14ac:dyDescent="0.25">
      <c r="A1491" s="130" t="s">
        <v>4</v>
      </c>
      <c r="B1491" s="130" t="s">
        <v>574</v>
      </c>
      <c r="C1491" s="130" t="s">
        <v>608</v>
      </c>
      <c r="D1491" s="130" t="s">
        <v>464</v>
      </c>
      <c r="E1491" s="132">
        <v>571.6</v>
      </c>
    </row>
    <row r="1492" spans="1:5" x14ac:dyDescent="0.25">
      <c r="A1492" s="130" t="s">
        <v>4</v>
      </c>
      <c r="B1492" s="130" t="s">
        <v>574</v>
      </c>
      <c r="C1492" s="130" t="s">
        <v>608</v>
      </c>
      <c r="D1492" s="130" t="s">
        <v>526</v>
      </c>
      <c r="E1492" s="132">
        <v>961.39</v>
      </c>
    </row>
    <row r="1493" spans="1:5" x14ac:dyDescent="0.25">
      <c r="A1493" s="130" t="s">
        <v>4</v>
      </c>
      <c r="B1493" s="130" t="s">
        <v>574</v>
      </c>
      <c r="C1493" s="130" t="s">
        <v>608</v>
      </c>
      <c r="D1493" s="130" t="s">
        <v>347</v>
      </c>
      <c r="E1493" s="132">
        <v>1173.92</v>
      </c>
    </row>
    <row r="1494" spans="1:5" x14ac:dyDescent="0.25">
      <c r="A1494" s="130" t="s">
        <v>4</v>
      </c>
      <c r="B1494" s="130" t="s">
        <v>574</v>
      </c>
      <c r="C1494" s="130" t="s">
        <v>608</v>
      </c>
      <c r="D1494" s="130" t="s">
        <v>348</v>
      </c>
      <c r="E1494" s="132">
        <v>1381.89</v>
      </c>
    </row>
    <row r="1495" spans="1:5" x14ac:dyDescent="0.25">
      <c r="A1495" s="130" t="s">
        <v>4</v>
      </c>
      <c r="B1495" s="130" t="s">
        <v>574</v>
      </c>
      <c r="C1495" s="130" t="s">
        <v>608</v>
      </c>
      <c r="D1495" s="130" t="s">
        <v>549</v>
      </c>
      <c r="E1495" s="132">
        <v>1719.55</v>
      </c>
    </row>
    <row r="1496" spans="1:5" x14ac:dyDescent="0.25">
      <c r="A1496" s="130" t="s">
        <v>4</v>
      </c>
      <c r="B1496" s="130" t="s">
        <v>574</v>
      </c>
      <c r="C1496" s="130" t="s">
        <v>608</v>
      </c>
      <c r="D1496" s="130" t="s">
        <v>349</v>
      </c>
      <c r="E1496" s="132">
        <v>1832.92</v>
      </c>
    </row>
    <row r="1497" spans="1:5" x14ac:dyDescent="0.25">
      <c r="A1497" s="130" t="s">
        <v>4</v>
      </c>
      <c r="B1497" s="130" t="s">
        <v>574</v>
      </c>
      <c r="C1497" s="130" t="s">
        <v>608</v>
      </c>
      <c r="D1497" s="130" t="s">
        <v>527</v>
      </c>
      <c r="E1497" s="132">
        <v>755.06</v>
      </c>
    </row>
    <row r="1498" spans="1:5" x14ac:dyDescent="0.25">
      <c r="A1498" s="130" t="s">
        <v>4</v>
      </c>
      <c r="B1498" s="130" t="s">
        <v>574</v>
      </c>
      <c r="C1498" s="130" t="s">
        <v>608</v>
      </c>
      <c r="D1498" s="130" t="s">
        <v>528</v>
      </c>
      <c r="E1498" s="132">
        <v>1812.45</v>
      </c>
    </row>
    <row r="1499" spans="1:5" x14ac:dyDescent="0.25">
      <c r="A1499" s="130" t="s">
        <v>4</v>
      </c>
      <c r="B1499" s="130" t="s">
        <v>574</v>
      </c>
      <c r="C1499" s="130" t="s">
        <v>608</v>
      </c>
      <c r="D1499" s="130" t="s">
        <v>410</v>
      </c>
      <c r="E1499" s="132">
        <v>710.95</v>
      </c>
    </row>
    <row r="1500" spans="1:5" x14ac:dyDescent="0.25">
      <c r="A1500" s="130" t="s">
        <v>4</v>
      </c>
      <c r="B1500" s="130" t="s">
        <v>574</v>
      </c>
      <c r="C1500" s="130" t="s">
        <v>608</v>
      </c>
      <c r="D1500" s="130" t="s">
        <v>242</v>
      </c>
      <c r="E1500" s="132">
        <v>1738.5</v>
      </c>
    </row>
    <row r="1501" spans="1:5" x14ac:dyDescent="0.25">
      <c r="A1501" s="130" t="s">
        <v>4</v>
      </c>
      <c r="B1501" s="130" t="s">
        <v>574</v>
      </c>
      <c r="C1501" s="130" t="s">
        <v>608</v>
      </c>
      <c r="D1501" s="130" t="s">
        <v>243</v>
      </c>
      <c r="E1501" s="132">
        <v>496.84</v>
      </c>
    </row>
    <row r="1502" spans="1:5" x14ac:dyDescent="0.25">
      <c r="A1502" s="130" t="s">
        <v>4</v>
      </c>
      <c r="B1502" s="130" t="s">
        <v>574</v>
      </c>
      <c r="C1502" s="130" t="s">
        <v>608</v>
      </c>
      <c r="D1502" s="130" t="s">
        <v>752</v>
      </c>
      <c r="E1502" s="132">
        <v>1021.59</v>
      </c>
    </row>
    <row r="1503" spans="1:5" x14ac:dyDescent="0.25">
      <c r="A1503" s="130" t="s">
        <v>4</v>
      </c>
      <c r="B1503" s="130" t="s">
        <v>574</v>
      </c>
      <c r="C1503" s="130" t="s">
        <v>608</v>
      </c>
      <c r="D1503" s="130" t="s">
        <v>681</v>
      </c>
      <c r="E1503" s="132">
        <v>450.77</v>
      </c>
    </row>
    <row r="1504" spans="1:5" x14ac:dyDescent="0.25">
      <c r="A1504" s="130" t="s">
        <v>4</v>
      </c>
      <c r="B1504" s="130" t="s">
        <v>574</v>
      </c>
      <c r="C1504" s="130" t="s">
        <v>608</v>
      </c>
      <c r="D1504" s="130" t="s">
        <v>412</v>
      </c>
      <c r="E1504" s="132">
        <v>322.04000000000002</v>
      </c>
    </row>
    <row r="1505" spans="1:5" x14ac:dyDescent="0.25">
      <c r="A1505" s="130" t="s">
        <v>4</v>
      </c>
      <c r="B1505" s="130" t="s">
        <v>574</v>
      </c>
      <c r="C1505" s="130" t="s">
        <v>608</v>
      </c>
      <c r="D1505" s="130" t="s">
        <v>458</v>
      </c>
      <c r="E1505" s="132">
        <v>386.57</v>
      </c>
    </row>
    <row r="1506" spans="1:5" x14ac:dyDescent="0.25">
      <c r="A1506" s="130" t="s">
        <v>4</v>
      </c>
      <c r="B1506" s="130" t="s">
        <v>574</v>
      </c>
      <c r="C1506" s="130" t="s">
        <v>608</v>
      </c>
      <c r="D1506" s="130" t="s">
        <v>476</v>
      </c>
      <c r="E1506" s="132">
        <v>404.7</v>
      </c>
    </row>
    <row r="1507" spans="1:5" x14ac:dyDescent="0.25">
      <c r="A1507" s="130" t="s">
        <v>4</v>
      </c>
      <c r="B1507" s="130" t="s">
        <v>574</v>
      </c>
      <c r="C1507" s="130" t="s">
        <v>608</v>
      </c>
      <c r="D1507" s="130" t="s">
        <v>340</v>
      </c>
      <c r="E1507" s="132">
        <v>4080.05</v>
      </c>
    </row>
    <row r="1508" spans="1:5" x14ac:dyDescent="0.25">
      <c r="A1508" s="130" t="s">
        <v>4</v>
      </c>
      <c r="B1508" s="130" t="s">
        <v>574</v>
      </c>
      <c r="C1508" s="130" t="s">
        <v>608</v>
      </c>
      <c r="D1508" s="130" t="s">
        <v>314</v>
      </c>
      <c r="E1508" s="132">
        <v>1242.45</v>
      </c>
    </row>
    <row r="1509" spans="1:5" x14ac:dyDescent="0.25">
      <c r="A1509" s="130" t="s">
        <v>4</v>
      </c>
      <c r="B1509" s="130" t="s">
        <v>574</v>
      </c>
      <c r="C1509" s="130" t="s">
        <v>608</v>
      </c>
      <c r="D1509" s="130" t="s">
        <v>494</v>
      </c>
      <c r="E1509" s="132">
        <v>970.22</v>
      </c>
    </row>
    <row r="1510" spans="1:5" x14ac:dyDescent="0.25">
      <c r="A1510" s="130" t="s">
        <v>4</v>
      </c>
      <c r="B1510" s="130" t="s">
        <v>574</v>
      </c>
      <c r="C1510" s="130" t="s">
        <v>608</v>
      </c>
      <c r="D1510" s="130" t="s">
        <v>488</v>
      </c>
      <c r="E1510" s="132">
        <v>1621.18</v>
      </c>
    </row>
    <row r="1511" spans="1:5" x14ac:dyDescent="0.25">
      <c r="A1511" s="130" t="s">
        <v>4</v>
      </c>
      <c r="B1511" s="130" t="s">
        <v>574</v>
      </c>
      <c r="C1511" s="130" t="s">
        <v>608</v>
      </c>
      <c r="D1511" s="130" t="s">
        <v>244</v>
      </c>
      <c r="E1511" s="132">
        <v>3126.82</v>
      </c>
    </row>
    <row r="1512" spans="1:5" x14ac:dyDescent="0.25">
      <c r="A1512" s="130" t="s">
        <v>4</v>
      </c>
      <c r="B1512" s="130" t="s">
        <v>574</v>
      </c>
      <c r="C1512" s="130" t="s">
        <v>608</v>
      </c>
      <c r="D1512" s="130" t="s">
        <v>245</v>
      </c>
      <c r="E1512" s="132">
        <v>5042.7</v>
      </c>
    </row>
    <row r="1513" spans="1:5" x14ac:dyDescent="0.25">
      <c r="A1513" s="130" t="s">
        <v>4</v>
      </c>
      <c r="B1513" s="130" t="s">
        <v>574</v>
      </c>
      <c r="C1513" s="130" t="s">
        <v>608</v>
      </c>
      <c r="D1513" s="130" t="s">
        <v>246</v>
      </c>
      <c r="E1513" s="132">
        <v>2676.96</v>
      </c>
    </row>
    <row r="1514" spans="1:5" x14ac:dyDescent="0.25">
      <c r="A1514" s="130" t="s">
        <v>4</v>
      </c>
      <c r="B1514" s="130" t="s">
        <v>574</v>
      </c>
      <c r="C1514" s="130" t="s">
        <v>608</v>
      </c>
      <c r="D1514" s="130" t="s">
        <v>247</v>
      </c>
      <c r="E1514" s="132">
        <v>4435.7</v>
      </c>
    </row>
    <row r="1515" spans="1:5" x14ac:dyDescent="0.25">
      <c r="A1515" s="130" t="s">
        <v>4</v>
      </c>
      <c r="B1515" s="130" t="s">
        <v>574</v>
      </c>
      <c r="C1515" s="130" t="s">
        <v>608</v>
      </c>
      <c r="D1515" s="130" t="s">
        <v>248</v>
      </c>
      <c r="E1515" s="132">
        <v>4954.6000000000004</v>
      </c>
    </row>
    <row r="1516" spans="1:5" x14ac:dyDescent="0.25">
      <c r="A1516" s="130" t="s">
        <v>4</v>
      </c>
      <c r="B1516" s="130" t="s">
        <v>574</v>
      </c>
      <c r="C1516" s="130" t="s">
        <v>608</v>
      </c>
      <c r="D1516" s="130" t="s">
        <v>249</v>
      </c>
      <c r="E1516" s="132">
        <v>3594.24</v>
      </c>
    </row>
    <row r="1517" spans="1:5" x14ac:dyDescent="0.25">
      <c r="A1517" s="130" t="s">
        <v>4</v>
      </c>
      <c r="B1517" s="130" t="s">
        <v>574</v>
      </c>
      <c r="C1517" s="130" t="s">
        <v>608</v>
      </c>
      <c r="D1517" s="130" t="s">
        <v>469</v>
      </c>
      <c r="E1517" s="132">
        <v>6468.23</v>
      </c>
    </row>
    <row r="1518" spans="1:5" x14ac:dyDescent="0.25">
      <c r="A1518" s="130" t="s">
        <v>4</v>
      </c>
      <c r="B1518" s="130" t="s">
        <v>574</v>
      </c>
      <c r="C1518" s="130" t="s">
        <v>608</v>
      </c>
      <c r="D1518" s="130" t="s">
        <v>817</v>
      </c>
      <c r="E1518" s="132">
        <v>3630.32</v>
      </c>
    </row>
    <row r="1519" spans="1:5" x14ac:dyDescent="0.25">
      <c r="A1519" s="130" t="s">
        <v>4</v>
      </c>
      <c r="B1519" s="130" t="s">
        <v>574</v>
      </c>
      <c r="C1519" s="130" t="s">
        <v>608</v>
      </c>
      <c r="D1519" s="130" t="s">
        <v>850</v>
      </c>
      <c r="E1519" s="132">
        <v>1722.73</v>
      </c>
    </row>
    <row r="1520" spans="1:5" x14ac:dyDescent="0.25">
      <c r="A1520" s="130" t="s">
        <v>4</v>
      </c>
      <c r="B1520" s="130" t="s">
        <v>574</v>
      </c>
      <c r="C1520" s="130" t="s">
        <v>608</v>
      </c>
      <c r="D1520" s="130" t="s">
        <v>790</v>
      </c>
      <c r="E1520" s="132">
        <v>2588.81</v>
      </c>
    </row>
    <row r="1521" spans="1:5" x14ac:dyDescent="0.25">
      <c r="A1521" s="130" t="s">
        <v>4</v>
      </c>
      <c r="B1521" s="130" t="s">
        <v>574</v>
      </c>
      <c r="C1521" s="130" t="s">
        <v>608</v>
      </c>
      <c r="D1521" s="130" t="s">
        <v>438</v>
      </c>
      <c r="E1521" s="132">
        <v>3303.73</v>
      </c>
    </row>
    <row r="1522" spans="1:5" x14ac:dyDescent="0.25">
      <c r="A1522" s="130" t="s">
        <v>4</v>
      </c>
      <c r="B1522" s="130" t="s">
        <v>574</v>
      </c>
      <c r="C1522" s="130" t="s">
        <v>608</v>
      </c>
      <c r="D1522" s="130" t="s">
        <v>353</v>
      </c>
      <c r="E1522" s="132">
        <v>487.77</v>
      </c>
    </row>
    <row r="1523" spans="1:5" x14ac:dyDescent="0.25">
      <c r="A1523" s="130" t="s">
        <v>4</v>
      </c>
      <c r="B1523" s="130" t="s">
        <v>574</v>
      </c>
      <c r="C1523" s="130" t="s">
        <v>608</v>
      </c>
      <c r="D1523" s="130" t="s">
        <v>730</v>
      </c>
      <c r="E1523" s="132">
        <v>3997.07</v>
      </c>
    </row>
    <row r="1524" spans="1:5" x14ac:dyDescent="0.25">
      <c r="A1524" s="130" t="s">
        <v>4</v>
      </c>
      <c r="B1524" s="130" t="s">
        <v>574</v>
      </c>
      <c r="C1524" s="130" t="s">
        <v>608</v>
      </c>
      <c r="D1524" s="130" t="s">
        <v>723</v>
      </c>
      <c r="E1524" s="132">
        <v>1529.77</v>
      </c>
    </row>
    <row r="1525" spans="1:5" x14ac:dyDescent="0.25">
      <c r="A1525" s="130" t="s">
        <v>4</v>
      </c>
      <c r="B1525" s="130" t="s">
        <v>574</v>
      </c>
      <c r="C1525" s="130" t="s">
        <v>608</v>
      </c>
      <c r="D1525" s="130" t="s">
        <v>614</v>
      </c>
      <c r="E1525" s="132">
        <v>4077.74</v>
      </c>
    </row>
    <row r="1526" spans="1:5" x14ac:dyDescent="0.25">
      <c r="A1526" s="130" t="s">
        <v>4</v>
      </c>
      <c r="B1526" s="130" t="s">
        <v>574</v>
      </c>
      <c r="C1526" s="130" t="s">
        <v>608</v>
      </c>
      <c r="D1526" s="130" t="s">
        <v>264</v>
      </c>
      <c r="E1526" s="132">
        <v>4350.9399999999996</v>
      </c>
    </row>
    <row r="1527" spans="1:5" x14ac:dyDescent="0.25">
      <c r="A1527" s="130" t="s">
        <v>4</v>
      </c>
      <c r="B1527" s="130" t="s">
        <v>574</v>
      </c>
      <c r="C1527" s="130" t="s">
        <v>608</v>
      </c>
      <c r="D1527" s="130" t="s">
        <v>381</v>
      </c>
      <c r="E1527" s="132">
        <v>4996.1899999999996</v>
      </c>
    </row>
    <row r="1528" spans="1:5" x14ac:dyDescent="0.25">
      <c r="A1528" s="130" t="s">
        <v>4</v>
      </c>
      <c r="B1528" s="130" t="s">
        <v>574</v>
      </c>
      <c r="C1528" s="130" t="s">
        <v>608</v>
      </c>
      <c r="D1528" s="130" t="s">
        <v>343</v>
      </c>
      <c r="E1528" s="132">
        <v>3301.86</v>
      </c>
    </row>
    <row r="1529" spans="1:5" x14ac:dyDescent="0.25">
      <c r="A1529" s="130" t="s">
        <v>4</v>
      </c>
      <c r="B1529" s="130" t="s">
        <v>574</v>
      </c>
      <c r="C1529" s="130" t="s">
        <v>608</v>
      </c>
      <c r="D1529" s="130" t="s">
        <v>703</v>
      </c>
      <c r="E1529" s="132">
        <v>1414.18</v>
      </c>
    </row>
    <row r="1530" spans="1:5" x14ac:dyDescent="0.25">
      <c r="A1530" s="130" t="s">
        <v>4</v>
      </c>
      <c r="B1530" s="130" t="s">
        <v>574</v>
      </c>
      <c r="C1530" s="130" t="s">
        <v>608</v>
      </c>
      <c r="D1530" s="130" t="s">
        <v>704</v>
      </c>
      <c r="E1530" s="132">
        <v>7648.87</v>
      </c>
    </row>
    <row r="1531" spans="1:5" x14ac:dyDescent="0.25">
      <c r="A1531" s="130" t="s">
        <v>4</v>
      </c>
      <c r="B1531" s="130" t="s">
        <v>574</v>
      </c>
      <c r="C1531" s="130" t="s">
        <v>608</v>
      </c>
      <c r="D1531" s="130" t="s">
        <v>440</v>
      </c>
      <c r="E1531" s="132">
        <v>8270.44</v>
      </c>
    </row>
    <row r="1532" spans="1:5" x14ac:dyDescent="0.25">
      <c r="A1532" s="130" t="s">
        <v>4</v>
      </c>
      <c r="B1532" s="130" t="s">
        <v>574</v>
      </c>
      <c r="C1532" s="130" t="s">
        <v>608</v>
      </c>
      <c r="D1532" s="130" t="s">
        <v>691</v>
      </c>
      <c r="E1532" s="132">
        <v>9628.2199999999993</v>
      </c>
    </row>
    <row r="1533" spans="1:5" x14ac:dyDescent="0.25">
      <c r="A1533" s="130" t="s">
        <v>4</v>
      </c>
      <c r="B1533" s="130" t="s">
        <v>574</v>
      </c>
      <c r="C1533" s="130" t="s">
        <v>608</v>
      </c>
      <c r="D1533" s="130" t="s">
        <v>357</v>
      </c>
      <c r="E1533" s="132">
        <v>1098.98</v>
      </c>
    </row>
    <row r="1534" spans="1:5" x14ac:dyDescent="0.25">
      <c r="A1534" s="130" t="s">
        <v>4</v>
      </c>
      <c r="B1534" s="130" t="s">
        <v>574</v>
      </c>
      <c r="C1534" s="130" t="s">
        <v>608</v>
      </c>
      <c r="D1534" s="130" t="s">
        <v>318</v>
      </c>
      <c r="E1534" s="132">
        <v>3993.91</v>
      </c>
    </row>
    <row r="1535" spans="1:5" x14ac:dyDescent="0.25">
      <c r="A1535" s="130" t="s">
        <v>4</v>
      </c>
      <c r="B1535" s="130" t="s">
        <v>574</v>
      </c>
      <c r="C1535" s="130" t="s">
        <v>608</v>
      </c>
      <c r="D1535" s="130" t="s">
        <v>279</v>
      </c>
      <c r="E1535" s="132">
        <v>2296.2399999999998</v>
      </c>
    </row>
    <row r="1536" spans="1:5" x14ac:dyDescent="0.25">
      <c r="A1536" s="130" t="s">
        <v>4</v>
      </c>
      <c r="B1536" s="130" t="s">
        <v>574</v>
      </c>
      <c r="C1536" s="130" t="s">
        <v>608</v>
      </c>
      <c r="D1536" s="130" t="s">
        <v>556</v>
      </c>
      <c r="E1536" s="132">
        <v>6620.21</v>
      </c>
    </row>
    <row r="1537" spans="1:5" x14ac:dyDescent="0.25">
      <c r="A1537" s="130" t="s">
        <v>4</v>
      </c>
      <c r="B1537" s="130" t="s">
        <v>574</v>
      </c>
      <c r="C1537" s="130" t="s">
        <v>608</v>
      </c>
      <c r="D1537" s="130" t="s">
        <v>338</v>
      </c>
      <c r="E1537" s="132">
        <v>2217.15</v>
      </c>
    </row>
    <row r="1538" spans="1:5" x14ac:dyDescent="0.25">
      <c r="A1538" s="130" t="s">
        <v>4</v>
      </c>
      <c r="B1538" s="130" t="s">
        <v>574</v>
      </c>
      <c r="C1538" s="130" t="s">
        <v>608</v>
      </c>
      <c r="D1538" s="130" t="s">
        <v>293</v>
      </c>
      <c r="E1538" s="132">
        <v>712.65</v>
      </c>
    </row>
    <row r="1539" spans="1:5" x14ac:dyDescent="0.25">
      <c r="A1539" s="130" t="s">
        <v>4</v>
      </c>
      <c r="B1539" s="130" t="s">
        <v>574</v>
      </c>
      <c r="C1539" s="130" t="s">
        <v>608</v>
      </c>
      <c r="D1539" s="130" t="s">
        <v>237</v>
      </c>
      <c r="E1539" s="132">
        <v>1346.08</v>
      </c>
    </row>
    <row r="1540" spans="1:5" x14ac:dyDescent="0.25">
      <c r="A1540" s="130" t="s">
        <v>4</v>
      </c>
      <c r="B1540" s="130" t="s">
        <v>574</v>
      </c>
      <c r="C1540" s="130" t="s">
        <v>608</v>
      </c>
      <c r="D1540" s="130" t="s">
        <v>408</v>
      </c>
      <c r="E1540" s="132">
        <v>2293.08</v>
      </c>
    </row>
    <row r="1541" spans="1:5" x14ac:dyDescent="0.25">
      <c r="A1541" s="130" t="s">
        <v>4</v>
      </c>
      <c r="B1541" s="130" t="s">
        <v>574</v>
      </c>
      <c r="C1541" s="130" t="s">
        <v>608</v>
      </c>
      <c r="D1541" s="130" t="s">
        <v>346</v>
      </c>
      <c r="E1541" s="132">
        <v>2061.83</v>
      </c>
    </row>
    <row r="1542" spans="1:5" x14ac:dyDescent="0.25">
      <c r="A1542" s="130" t="s">
        <v>4</v>
      </c>
      <c r="B1542" s="130" t="s">
        <v>574</v>
      </c>
      <c r="C1542" s="130" t="s">
        <v>608</v>
      </c>
      <c r="D1542" s="130" t="s">
        <v>681</v>
      </c>
      <c r="E1542" s="132">
        <v>906.63</v>
      </c>
    </row>
    <row r="1543" spans="1:5" x14ac:dyDescent="0.25">
      <c r="A1543" s="130" t="s">
        <v>4</v>
      </c>
      <c r="B1543" s="130" t="s">
        <v>574</v>
      </c>
      <c r="C1543" s="130" t="s">
        <v>608</v>
      </c>
      <c r="D1543" s="130" t="s">
        <v>244</v>
      </c>
      <c r="E1543" s="132">
        <v>4787.41</v>
      </c>
    </row>
    <row r="1544" spans="1:5" x14ac:dyDescent="0.25">
      <c r="A1544" s="130" t="s">
        <v>4</v>
      </c>
      <c r="B1544" s="130" t="s">
        <v>574</v>
      </c>
      <c r="C1544" s="130" t="s">
        <v>608</v>
      </c>
      <c r="D1544" s="130" t="s">
        <v>245</v>
      </c>
      <c r="E1544" s="132">
        <v>4820.2299999999996</v>
      </c>
    </row>
    <row r="1545" spans="1:5" x14ac:dyDescent="0.25">
      <c r="A1545" s="130" t="s">
        <v>4</v>
      </c>
      <c r="B1545" s="130" t="s">
        <v>574</v>
      </c>
      <c r="C1545" s="130" t="s">
        <v>608</v>
      </c>
      <c r="D1545" s="130" t="s">
        <v>249</v>
      </c>
      <c r="E1545" s="132">
        <v>3594.24</v>
      </c>
    </row>
    <row r="1546" spans="1:5" x14ac:dyDescent="0.25">
      <c r="A1546" s="130" t="s">
        <v>4</v>
      </c>
      <c r="B1546" s="130" t="s">
        <v>574</v>
      </c>
      <c r="C1546" s="130" t="s">
        <v>608</v>
      </c>
      <c r="D1546" s="130" t="s">
        <v>250</v>
      </c>
      <c r="E1546" s="132">
        <v>7184.97</v>
      </c>
    </row>
    <row r="1547" spans="1:5" x14ac:dyDescent="0.25">
      <c r="A1547" s="130" t="s">
        <v>4</v>
      </c>
      <c r="B1547" s="130" t="s">
        <v>574</v>
      </c>
      <c r="C1547" s="130" t="s">
        <v>608</v>
      </c>
      <c r="D1547" s="130" t="s">
        <v>469</v>
      </c>
      <c r="E1547" s="132">
        <v>3184.6</v>
      </c>
    </row>
    <row r="1548" spans="1:5" x14ac:dyDescent="0.25">
      <c r="A1548" s="130" t="s">
        <v>4</v>
      </c>
      <c r="B1548" s="130" t="s">
        <v>574</v>
      </c>
      <c r="C1548" s="130" t="s">
        <v>608</v>
      </c>
      <c r="D1548" s="130" t="s">
        <v>261</v>
      </c>
      <c r="E1548" s="132">
        <v>14800.97</v>
      </c>
    </row>
    <row r="1549" spans="1:5" x14ac:dyDescent="0.25">
      <c r="A1549" s="130" t="s">
        <v>4</v>
      </c>
      <c r="B1549" s="130" t="s">
        <v>574</v>
      </c>
      <c r="C1549" s="130" t="s">
        <v>608</v>
      </c>
      <c r="D1549" s="130" t="s">
        <v>329</v>
      </c>
      <c r="E1549" s="132">
        <v>4012.87</v>
      </c>
    </row>
    <row r="1550" spans="1:5" x14ac:dyDescent="0.25">
      <c r="A1550" s="130" t="s">
        <v>4</v>
      </c>
      <c r="B1550" s="130" t="s">
        <v>574</v>
      </c>
      <c r="C1550" s="130" t="s">
        <v>608</v>
      </c>
      <c r="D1550" s="130" t="s">
        <v>558</v>
      </c>
      <c r="E1550" s="132">
        <v>2790.33</v>
      </c>
    </row>
    <row r="1551" spans="1:5" x14ac:dyDescent="0.25">
      <c r="A1551" s="130" t="s">
        <v>4</v>
      </c>
      <c r="B1551" s="130" t="s">
        <v>574</v>
      </c>
      <c r="C1551" s="130" t="s">
        <v>608</v>
      </c>
      <c r="D1551" s="130" t="s">
        <v>253</v>
      </c>
      <c r="E1551" s="132">
        <v>66447.81</v>
      </c>
    </row>
    <row r="1552" spans="1:5" x14ac:dyDescent="0.25">
      <c r="A1552" s="130" t="s">
        <v>4</v>
      </c>
      <c r="B1552" s="130" t="s">
        <v>574</v>
      </c>
      <c r="C1552" s="130" t="s">
        <v>608</v>
      </c>
      <c r="D1552" s="130" t="s">
        <v>342</v>
      </c>
      <c r="E1552" s="132">
        <v>2266.11</v>
      </c>
    </row>
    <row r="1553" spans="1:5" x14ac:dyDescent="0.25">
      <c r="A1553" s="130" t="s">
        <v>4</v>
      </c>
      <c r="B1553" s="130" t="s">
        <v>574</v>
      </c>
      <c r="C1553" s="130" t="s">
        <v>608</v>
      </c>
      <c r="D1553" s="130" t="s">
        <v>351</v>
      </c>
      <c r="E1553" s="132">
        <v>14095.24</v>
      </c>
    </row>
    <row r="1554" spans="1:5" x14ac:dyDescent="0.25">
      <c r="A1554" s="130" t="s">
        <v>4</v>
      </c>
      <c r="B1554" s="130" t="s">
        <v>574</v>
      </c>
      <c r="C1554" s="130" t="s">
        <v>608</v>
      </c>
      <c r="D1554" s="130" t="s">
        <v>430</v>
      </c>
      <c r="E1554" s="132">
        <v>4735.53</v>
      </c>
    </row>
    <row r="1555" spans="1:5" x14ac:dyDescent="0.25">
      <c r="A1555" s="130" t="s">
        <v>4</v>
      </c>
      <c r="B1555" s="130" t="s">
        <v>574</v>
      </c>
      <c r="C1555" s="130" t="s">
        <v>608</v>
      </c>
      <c r="D1555" s="130" t="s">
        <v>322</v>
      </c>
      <c r="E1555" s="132">
        <v>4038.24</v>
      </c>
    </row>
    <row r="1556" spans="1:5" x14ac:dyDescent="0.25">
      <c r="A1556" s="130" t="s">
        <v>4</v>
      </c>
      <c r="B1556" s="130" t="s">
        <v>574</v>
      </c>
      <c r="C1556" s="130" t="s">
        <v>608</v>
      </c>
      <c r="D1556" s="130" t="s">
        <v>936</v>
      </c>
      <c r="E1556" s="132">
        <v>20039.009999999998</v>
      </c>
    </row>
    <row r="1557" spans="1:5" x14ac:dyDescent="0.25">
      <c r="A1557" s="130" t="s">
        <v>4</v>
      </c>
      <c r="B1557" s="130" t="s">
        <v>574</v>
      </c>
      <c r="C1557" s="130" t="s">
        <v>608</v>
      </c>
      <c r="D1557" s="130" t="s">
        <v>653</v>
      </c>
      <c r="E1557" s="132">
        <v>12018.87</v>
      </c>
    </row>
    <row r="1558" spans="1:5" x14ac:dyDescent="0.25">
      <c r="A1558" s="130" t="s">
        <v>4</v>
      </c>
      <c r="B1558" s="130" t="s">
        <v>574</v>
      </c>
      <c r="C1558" s="130" t="s">
        <v>608</v>
      </c>
      <c r="D1558" s="130" t="s">
        <v>481</v>
      </c>
      <c r="E1558" s="132">
        <v>92393.35</v>
      </c>
    </row>
    <row r="1559" spans="1:5" x14ac:dyDescent="0.25">
      <c r="A1559" s="130" t="s">
        <v>4</v>
      </c>
      <c r="B1559" s="130" t="s">
        <v>574</v>
      </c>
      <c r="C1559" s="130" t="s">
        <v>608</v>
      </c>
      <c r="D1559" s="130" t="s">
        <v>482</v>
      </c>
      <c r="E1559" s="132">
        <v>52754.18</v>
      </c>
    </row>
    <row r="1560" spans="1:5" x14ac:dyDescent="0.25">
      <c r="A1560" s="130" t="s">
        <v>4</v>
      </c>
      <c r="B1560" s="130" t="s">
        <v>574</v>
      </c>
      <c r="C1560" s="130" t="s">
        <v>608</v>
      </c>
      <c r="D1560" s="130" t="s">
        <v>555</v>
      </c>
      <c r="E1560" s="132">
        <v>22425.91</v>
      </c>
    </row>
    <row r="1561" spans="1:5" x14ac:dyDescent="0.25">
      <c r="A1561" s="130" t="s">
        <v>4</v>
      </c>
      <c r="B1561" s="130" t="s">
        <v>574</v>
      </c>
      <c r="C1561" s="130" t="s">
        <v>608</v>
      </c>
      <c r="D1561" s="130" t="s">
        <v>328</v>
      </c>
      <c r="E1561" s="132">
        <v>2478.19</v>
      </c>
    </row>
    <row r="1562" spans="1:5" x14ac:dyDescent="0.25">
      <c r="A1562" s="130" t="s">
        <v>4</v>
      </c>
      <c r="B1562" s="130" t="s">
        <v>574</v>
      </c>
      <c r="C1562" s="130" t="s">
        <v>608</v>
      </c>
      <c r="D1562" s="130" t="s">
        <v>1025</v>
      </c>
      <c r="E1562" s="132">
        <v>2427.6799999999998</v>
      </c>
    </row>
    <row r="1563" spans="1:5" x14ac:dyDescent="0.25">
      <c r="A1563" s="130" t="s">
        <v>4</v>
      </c>
      <c r="B1563" s="130" t="s">
        <v>574</v>
      </c>
      <c r="C1563" s="130" t="s">
        <v>608</v>
      </c>
      <c r="D1563" s="130" t="s">
        <v>502</v>
      </c>
      <c r="E1563" s="132">
        <v>30472.16</v>
      </c>
    </row>
    <row r="1564" spans="1:5" x14ac:dyDescent="0.25">
      <c r="A1564" s="130" t="s">
        <v>4</v>
      </c>
      <c r="B1564" s="130" t="s">
        <v>574</v>
      </c>
      <c r="C1564" s="130" t="s">
        <v>608</v>
      </c>
      <c r="D1564" s="130" t="s">
        <v>362</v>
      </c>
      <c r="E1564" s="132">
        <v>22790.2</v>
      </c>
    </row>
    <row r="1565" spans="1:5" x14ac:dyDescent="0.25">
      <c r="A1565" s="130" t="s">
        <v>4</v>
      </c>
      <c r="B1565" s="130" t="s">
        <v>574</v>
      </c>
      <c r="C1565" s="130" t="s">
        <v>608</v>
      </c>
      <c r="D1565" s="130" t="s">
        <v>774</v>
      </c>
      <c r="E1565" s="132">
        <v>8829.7000000000007</v>
      </c>
    </row>
    <row r="1566" spans="1:5" x14ac:dyDescent="0.25">
      <c r="A1566" s="130" t="s">
        <v>4</v>
      </c>
      <c r="B1566" s="130" t="s">
        <v>574</v>
      </c>
      <c r="C1566" s="130" t="s">
        <v>608</v>
      </c>
      <c r="D1566" s="130" t="s">
        <v>730</v>
      </c>
      <c r="E1566" s="132">
        <v>4552.34</v>
      </c>
    </row>
    <row r="1567" spans="1:5" x14ac:dyDescent="0.25">
      <c r="A1567" s="130" t="s">
        <v>4</v>
      </c>
      <c r="B1567" s="130" t="s">
        <v>574</v>
      </c>
      <c r="C1567" s="130" t="s">
        <v>608</v>
      </c>
      <c r="D1567" s="130" t="s">
        <v>819</v>
      </c>
      <c r="E1567" s="132">
        <v>1138.08</v>
      </c>
    </row>
    <row r="1568" spans="1:5" x14ac:dyDescent="0.25">
      <c r="A1568" s="130" t="s">
        <v>4</v>
      </c>
      <c r="B1568" s="130" t="s">
        <v>574</v>
      </c>
      <c r="C1568" s="130" t="s">
        <v>608</v>
      </c>
      <c r="D1568" s="130" t="s">
        <v>495</v>
      </c>
      <c r="E1568" s="132">
        <v>3039.11</v>
      </c>
    </row>
    <row r="1569" spans="1:5" x14ac:dyDescent="0.25">
      <c r="A1569" s="130" t="s">
        <v>4</v>
      </c>
      <c r="B1569" s="130" t="s">
        <v>574</v>
      </c>
      <c r="C1569" s="130" t="s">
        <v>608</v>
      </c>
      <c r="D1569" s="130" t="s">
        <v>386</v>
      </c>
      <c r="E1569" s="132">
        <v>1572.74</v>
      </c>
    </row>
    <row r="1570" spans="1:5" x14ac:dyDescent="0.25">
      <c r="A1570" s="130" t="s">
        <v>4</v>
      </c>
      <c r="B1570" s="130" t="s">
        <v>574</v>
      </c>
      <c r="C1570" s="130" t="s">
        <v>608</v>
      </c>
      <c r="D1570" s="130" t="s">
        <v>387</v>
      </c>
      <c r="E1570" s="132">
        <v>2075.9699999999998</v>
      </c>
    </row>
    <row r="1571" spans="1:5" x14ac:dyDescent="0.25">
      <c r="A1571" s="130" t="s">
        <v>4</v>
      </c>
      <c r="B1571" s="130" t="s">
        <v>574</v>
      </c>
      <c r="C1571" s="130" t="s">
        <v>608</v>
      </c>
      <c r="D1571" s="130" t="s">
        <v>429</v>
      </c>
      <c r="E1571" s="132">
        <v>19839.25</v>
      </c>
    </row>
    <row r="1572" spans="1:5" x14ac:dyDescent="0.25">
      <c r="A1572" s="130" t="s">
        <v>4</v>
      </c>
      <c r="B1572" s="130" t="s">
        <v>574</v>
      </c>
      <c r="C1572" s="130" t="s">
        <v>608</v>
      </c>
      <c r="D1572" s="130" t="s">
        <v>269</v>
      </c>
      <c r="E1572" s="132">
        <v>23018.32</v>
      </c>
    </row>
    <row r="1573" spans="1:5" x14ac:dyDescent="0.25">
      <c r="A1573" s="130" t="s">
        <v>4</v>
      </c>
      <c r="B1573" s="130" t="s">
        <v>574</v>
      </c>
      <c r="C1573" s="130" t="s">
        <v>608</v>
      </c>
      <c r="D1573" s="130" t="s">
        <v>377</v>
      </c>
      <c r="E1573" s="132">
        <v>26197.42</v>
      </c>
    </row>
    <row r="1574" spans="1:5" x14ac:dyDescent="0.25">
      <c r="A1574" s="130" t="s">
        <v>4</v>
      </c>
      <c r="B1574" s="130" t="s">
        <v>574</v>
      </c>
      <c r="C1574" s="130" t="s">
        <v>608</v>
      </c>
      <c r="D1574" s="130" t="s">
        <v>310</v>
      </c>
      <c r="E1574" s="132">
        <v>2736.11</v>
      </c>
    </row>
    <row r="1575" spans="1:5" x14ac:dyDescent="0.25">
      <c r="A1575" s="130" t="s">
        <v>4</v>
      </c>
      <c r="B1575" s="130" t="s">
        <v>574</v>
      </c>
      <c r="C1575" s="130" t="s">
        <v>608</v>
      </c>
      <c r="D1575" s="130" t="s">
        <v>259</v>
      </c>
      <c r="E1575" s="132">
        <v>26861.87</v>
      </c>
    </row>
    <row r="1576" spans="1:5" x14ac:dyDescent="0.25">
      <c r="A1576" s="130" t="s">
        <v>4</v>
      </c>
      <c r="B1576" s="130" t="s">
        <v>574</v>
      </c>
      <c r="C1576" s="130" t="s">
        <v>608</v>
      </c>
      <c r="D1576" s="130" t="s">
        <v>393</v>
      </c>
      <c r="E1576" s="132">
        <v>5253.95</v>
      </c>
    </row>
    <row r="1577" spans="1:5" x14ac:dyDescent="0.25">
      <c r="A1577" s="130" t="s">
        <v>4</v>
      </c>
      <c r="B1577" s="130" t="s">
        <v>574</v>
      </c>
      <c r="C1577" s="130" t="s">
        <v>608</v>
      </c>
      <c r="D1577" s="130" t="s">
        <v>628</v>
      </c>
      <c r="E1577" s="132">
        <v>329.16</v>
      </c>
    </row>
    <row r="1578" spans="1:5" x14ac:dyDescent="0.25">
      <c r="A1578" s="130" t="s">
        <v>4</v>
      </c>
      <c r="B1578" s="130" t="s">
        <v>574</v>
      </c>
      <c r="C1578" s="130" t="s">
        <v>608</v>
      </c>
      <c r="D1578" s="130" t="s">
        <v>282</v>
      </c>
      <c r="E1578" s="132">
        <v>2537.73</v>
      </c>
    </row>
    <row r="1579" spans="1:5" x14ac:dyDescent="0.25">
      <c r="A1579" s="130" t="s">
        <v>4</v>
      </c>
      <c r="B1579" s="130" t="s">
        <v>574</v>
      </c>
      <c r="C1579" s="130" t="s">
        <v>608</v>
      </c>
      <c r="D1579" s="130" t="s">
        <v>825</v>
      </c>
      <c r="E1579" s="132">
        <v>1548.3</v>
      </c>
    </row>
    <row r="1580" spans="1:5" x14ac:dyDescent="0.25">
      <c r="A1580" s="130" t="s">
        <v>4</v>
      </c>
      <c r="B1580" s="130" t="s">
        <v>574</v>
      </c>
      <c r="C1580" s="130" t="s">
        <v>608</v>
      </c>
      <c r="D1580" s="130" t="s">
        <v>1026</v>
      </c>
      <c r="E1580" s="132">
        <v>7423.84</v>
      </c>
    </row>
    <row r="1581" spans="1:5" x14ac:dyDescent="0.25">
      <c r="A1581" s="130" t="s">
        <v>4</v>
      </c>
      <c r="B1581" s="130" t="s">
        <v>574</v>
      </c>
      <c r="C1581" s="130" t="s">
        <v>608</v>
      </c>
      <c r="D1581" s="130" t="s">
        <v>774</v>
      </c>
      <c r="E1581" s="132">
        <v>2848.18</v>
      </c>
    </row>
    <row r="1582" spans="1:5" x14ac:dyDescent="0.25">
      <c r="A1582" s="130" t="s">
        <v>4</v>
      </c>
      <c r="B1582" s="130" t="s">
        <v>574</v>
      </c>
      <c r="C1582" s="130" t="s">
        <v>608</v>
      </c>
      <c r="D1582" s="130" t="s">
        <v>305</v>
      </c>
      <c r="E1582" s="132">
        <v>3191.89</v>
      </c>
    </row>
    <row r="1583" spans="1:5" x14ac:dyDescent="0.25">
      <c r="A1583" s="130" t="s">
        <v>4</v>
      </c>
      <c r="B1583" s="130" t="s">
        <v>574</v>
      </c>
      <c r="C1583" s="130" t="s">
        <v>608</v>
      </c>
      <c r="D1583" s="130" t="s">
        <v>1027</v>
      </c>
      <c r="E1583" s="132">
        <v>2735.21</v>
      </c>
    </row>
    <row r="1584" spans="1:5" x14ac:dyDescent="0.25">
      <c r="A1584" s="130" t="s">
        <v>4</v>
      </c>
      <c r="B1584" s="130" t="s">
        <v>574</v>
      </c>
      <c r="C1584" s="130" t="s">
        <v>608</v>
      </c>
      <c r="D1584" s="130" t="s">
        <v>991</v>
      </c>
      <c r="E1584" s="132">
        <v>526.42999999999995</v>
      </c>
    </row>
    <row r="1585" spans="1:5" x14ac:dyDescent="0.25">
      <c r="A1585" s="130" t="s">
        <v>4</v>
      </c>
      <c r="B1585" s="130" t="s">
        <v>574</v>
      </c>
      <c r="C1585" s="130" t="s">
        <v>608</v>
      </c>
      <c r="D1585" s="130" t="s">
        <v>611</v>
      </c>
      <c r="E1585" s="132">
        <v>10029.379999999999</v>
      </c>
    </row>
    <row r="1586" spans="1:5" x14ac:dyDescent="0.25">
      <c r="A1586" s="130" t="s">
        <v>4</v>
      </c>
      <c r="B1586" s="130" t="s">
        <v>574</v>
      </c>
      <c r="C1586" s="130" t="s">
        <v>608</v>
      </c>
      <c r="D1586" s="130" t="s">
        <v>612</v>
      </c>
      <c r="E1586" s="132">
        <v>9276.58</v>
      </c>
    </row>
    <row r="1587" spans="1:5" x14ac:dyDescent="0.25">
      <c r="A1587" s="130" t="s">
        <v>4</v>
      </c>
      <c r="B1587" s="130" t="s">
        <v>574</v>
      </c>
      <c r="C1587" s="130" t="s">
        <v>608</v>
      </c>
      <c r="D1587" s="130" t="s">
        <v>1028</v>
      </c>
      <c r="E1587" s="132">
        <v>13068.49</v>
      </c>
    </row>
    <row r="1588" spans="1:5" x14ac:dyDescent="0.25">
      <c r="A1588" s="130" t="s">
        <v>4</v>
      </c>
      <c r="B1588" s="130" t="s">
        <v>574</v>
      </c>
      <c r="C1588" s="130" t="s">
        <v>608</v>
      </c>
      <c r="D1588" s="130" t="s">
        <v>266</v>
      </c>
      <c r="E1588" s="132">
        <v>573.12</v>
      </c>
    </row>
    <row r="1589" spans="1:5" x14ac:dyDescent="0.25">
      <c r="A1589" s="130" t="s">
        <v>4</v>
      </c>
      <c r="B1589" s="130" t="s">
        <v>574</v>
      </c>
      <c r="C1589" s="130" t="s">
        <v>608</v>
      </c>
      <c r="D1589" s="130" t="s">
        <v>240</v>
      </c>
      <c r="E1589" s="132">
        <v>1743.93</v>
      </c>
    </row>
    <row r="1590" spans="1:5" x14ac:dyDescent="0.25">
      <c r="A1590" s="130" t="s">
        <v>4</v>
      </c>
      <c r="B1590" s="130" t="s">
        <v>574</v>
      </c>
      <c r="C1590" s="130" t="s">
        <v>608</v>
      </c>
      <c r="D1590" s="130" t="s">
        <v>501</v>
      </c>
      <c r="E1590" s="132">
        <v>494.95</v>
      </c>
    </row>
    <row r="1591" spans="1:5" x14ac:dyDescent="0.25">
      <c r="A1591" s="130" t="s">
        <v>4</v>
      </c>
      <c r="B1591" s="130" t="s">
        <v>574</v>
      </c>
      <c r="C1591" s="130" t="s">
        <v>608</v>
      </c>
      <c r="D1591" s="130" t="s">
        <v>246</v>
      </c>
      <c r="E1591" s="132">
        <v>4970.71</v>
      </c>
    </row>
    <row r="1592" spans="1:5" x14ac:dyDescent="0.25">
      <c r="A1592" s="130" t="s">
        <v>4</v>
      </c>
      <c r="B1592" s="130" t="s">
        <v>574</v>
      </c>
      <c r="C1592" s="130" t="s">
        <v>608</v>
      </c>
      <c r="D1592" s="130" t="s">
        <v>321</v>
      </c>
      <c r="E1592" s="132">
        <v>3578.45</v>
      </c>
    </row>
    <row r="1593" spans="1:5" x14ac:dyDescent="0.25">
      <c r="A1593" s="130" t="s">
        <v>4</v>
      </c>
      <c r="B1593" s="130" t="s">
        <v>574</v>
      </c>
      <c r="C1593" s="130" t="s">
        <v>608</v>
      </c>
      <c r="D1593" s="130" t="s">
        <v>370</v>
      </c>
      <c r="E1593" s="132">
        <v>2598.8200000000002</v>
      </c>
    </row>
    <row r="1594" spans="1:5" x14ac:dyDescent="0.25">
      <c r="A1594" s="130" t="s">
        <v>4</v>
      </c>
      <c r="B1594" s="130" t="s">
        <v>574</v>
      </c>
      <c r="C1594" s="130" t="s">
        <v>608</v>
      </c>
      <c r="D1594" s="130" t="s">
        <v>287</v>
      </c>
      <c r="E1594" s="132">
        <v>3959</v>
      </c>
    </row>
    <row r="1595" spans="1:5" x14ac:dyDescent="0.25">
      <c r="A1595" s="130" t="s">
        <v>4</v>
      </c>
      <c r="B1595" s="130" t="s">
        <v>574</v>
      </c>
      <c r="C1595" s="130" t="s">
        <v>608</v>
      </c>
      <c r="D1595" s="130" t="s">
        <v>371</v>
      </c>
      <c r="E1595" s="132">
        <v>3018.51</v>
      </c>
    </row>
    <row r="1596" spans="1:5" x14ac:dyDescent="0.25">
      <c r="A1596" s="130" t="s">
        <v>4</v>
      </c>
      <c r="B1596" s="130" t="s">
        <v>574</v>
      </c>
      <c r="C1596" s="130" t="s">
        <v>608</v>
      </c>
      <c r="D1596" s="130" t="s">
        <v>288</v>
      </c>
      <c r="E1596" s="132">
        <v>4581.3900000000003</v>
      </c>
    </row>
    <row r="1597" spans="1:5" x14ac:dyDescent="0.25">
      <c r="A1597" s="130" t="s">
        <v>4</v>
      </c>
      <c r="B1597" s="130" t="s">
        <v>574</v>
      </c>
      <c r="C1597" s="130" t="s">
        <v>608</v>
      </c>
      <c r="D1597" s="130" t="s">
        <v>270</v>
      </c>
      <c r="E1597" s="132">
        <v>8686.27</v>
      </c>
    </row>
    <row r="1598" spans="1:5" x14ac:dyDescent="0.25">
      <c r="A1598" s="130" t="s">
        <v>4</v>
      </c>
      <c r="B1598" s="130" t="s">
        <v>574</v>
      </c>
      <c r="C1598" s="130" t="s">
        <v>608</v>
      </c>
      <c r="D1598" s="130" t="s">
        <v>379</v>
      </c>
      <c r="E1598" s="132">
        <v>4710.34</v>
      </c>
    </row>
    <row r="1599" spans="1:5" x14ac:dyDescent="0.25">
      <c r="A1599" s="130" t="s">
        <v>4</v>
      </c>
      <c r="B1599" s="130" t="s">
        <v>574</v>
      </c>
      <c r="C1599" s="130" t="s">
        <v>608</v>
      </c>
      <c r="D1599" s="130" t="s">
        <v>714</v>
      </c>
      <c r="E1599" s="132">
        <v>5025.9799999999996</v>
      </c>
    </row>
    <row r="1600" spans="1:5" x14ac:dyDescent="0.25">
      <c r="A1600" s="130" t="s">
        <v>4</v>
      </c>
      <c r="B1600" s="130" t="s">
        <v>574</v>
      </c>
      <c r="C1600" s="130" t="s">
        <v>608</v>
      </c>
      <c r="D1600" s="130" t="s">
        <v>380</v>
      </c>
      <c r="E1600" s="132">
        <v>8933.5400000000009</v>
      </c>
    </row>
    <row r="1601" spans="1:5" x14ac:dyDescent="0.25">
      <c r="A1601" s="130" t="s">
        <v>4</v>
      </c>
      <c r="B1601" s="130" t="s">
        <v>574</v>
      </c>
      <c r="C1601" s="130" t="s">
        <v>608</v>
      </c>
      <c r="D1601" s="130" t="s">
        <v>519</v>
      </c>
      <c r="E1601" s="132">
        <v>8549.59</v>
      </c>
    </row>
    <row r="1602" spans="1:5" x14ac:dyDescent="0.25">
      <c r="A1602" s="130" t="s">
        <v>4</v>
      </c>
      <c r="B1602" s="130" t="s">
        <v>574</v>
      </c>
      <c r="C1602" s="130" t="s">
        <v>608</v>
      </c>
      <c r="D1602" s="130" t="s">
        <v>520</v>
      </c>
      <c r="E1602" s="132">
        <v>6069.01</v>
      </c>
    </row>
    <row r="1603" spans="1:5" x14ac:dyDescent="0.25">
      <c r="A1603" s="130" t="s">
        <v>4</v>
      </c>
      <c r="B1603" s="130" t="s">
        <v>574</v>
      </c>
      <c r="C1603" s="130" t="s">
        <v>608</v>
      </c>
      <c r="D1603" s="130" t="s">
        <v>555</v>
      </c>
      <c r="E1603" s="132">
        <v>1874.9</v>
      </c>
    </row>
    <row r="1604" spans="1:5" x14ac:dyDescent="0.25">
      <c r="A1604" s="130" t="s">
        <v>4</v>
      </c>
      <c r="B1604" s="130" t="s">
        <v>574</v>
      </c>
      <c r="C1604" s="130" t="s">
        <v>608</v>
      </c>
      <c r="D1604" s="130" t="s">
        <v>566</v>
      </c>
      <c r="E1604" s="132">
        <v>2377.09</v>
      </c>
    </row>
    <row r="1605" spans="1:5" x14ac:dyDescent="0.25">
      <c r="A1605" s="130" t="s">
        <v>4</v>
      </c>
      <c r="B1605" s="130" t="s">
        <v>574</v>
      </c>
      <c r="C1605" s="130" t="s">
        <v>608</v>
      </c>
      <c r="D1605" s="130" t="s">
        <v>302</v>
      </c>
      <c r="E1605" s="132">
        <v>15036.7</v>
      </c>
    </row>
    <row r="1606" spans="1:5" x14ac:dyDescent="0.25">
      <c r="A1606" s="130" t="s">
        <v>4</v>
      </c>
      <c r="B1606" s="130" t="s">
        <v>574</v>
      </c>
      <c r="C1606" s="130" t="s">
        <v>608</v>
      </c>
      <c r="D1606" s="130" t="s">
        <v>370</v>
      </c>
      <c r="E1606" s="132">
        <v>11140.74</v>
      </c>
    </row>
    <row r="1607" spans="1:5" x14ac:dyDescent="0.25">
      <c r="A1607" s="130" t="s">
        <v>4</v>
      </c>
      <c r="B1607" s="130" t="s">
        <v>574</v>
      </c>
      <c r="C1607" s="130" t="s">
        <v>608</v>
      </c>
      <c r="D1607" s="130" t="s">
        <v>287</v>
      </c>
      <c r="E1607" s="132">
        <v>11314.09</v>
      </c>
    </row>
    <row r="1608" spans="1:5" x14ac:dyDescent="0.25">
      <c r="A1608" s="130" t="s">
        <v>4</v>
      </c>
      <c r="B1608" s="130" t="s">
        <v>574</v>
      </c>
      <c r="C1608" s="130" t="s">
        <v>608</v>
      </c>
      <c r="D1608" s="130" t="s">
        <v>371</v>
      </c>
      <c r="E1608" s="132">
        <v>12939.54</v>
      </c>
    </row>
    <row r="1609" spans="1:5" x14ac:dyDescent="0.25">
      <c r="A1609" s="130" t="s">
        <v>4</v>
      </c>
      <c r="B1609" s="130" t="s">
        <v>574</v>
      </c>
      <c r="C1609" s="130" t="s">
        <v>608</v>
      </c>
      <c r="D1609" s="130" t="s">
        <v>288</v>
      </c>
      <c r="E1609" s="132">
        <v>13092.91</v>
      </c>
    </row>
    <row r="1610" spans="1:5" x14ac:dyDescent="0.25">
      <c r="A1610" s="130" t="s">
        <v>4</v>
      </c>
      <c r="B1610" s="130" t="s">
        <v>574</v>
      </c>
      <c r="C1610" s="130" t="s">
        <v>608</v>
      </c>
      <c r="D1610" s="130" t="s">
        <v>270</v>
      </c>
      <c r="E1610" s="132">
        <v>12412.06</v>
      </c>
    </row>
    <row r="1611" spans="1:5" x14ac:dyDescent="0.25">
      <c r="A1611" s="130" t="s">
        <v>4</v>
      </c>
      <c r="B1611" s="130" t="s">
        <v>574</v>
      </c>
      <c r="C1611" s="130" t="s">
        <v>608</v>
      </c>
      <c r="D1611" s="130" t="s">
        <v>379</v>
      </c>
      <c r="E1611" s="132">
        <v>13461.41</v>
      </c>
    </row>
    <row r="1612" spans="1:5" x14ac:dyDescent="0.25">
      <c r="A1612" s="130" t="s">
        <v>4</v>
      </c>
      <c r="B1612" s="130" t="s">
        <v>574</v>
      </c>
      <c r="C1612" s="130" t="s">
        <v>608</v>
      </c>
      <c r="D1612" s="130" t="s">
        <v>714</v>
      </c>
      <c r="E1612" s="132">
        <v>14363.62</v>
      </c>
    </row>
    <row r="1613" spans="1:5" x14ac:dyDescent="0.25">
      <c r="A1613" s="130" t="s">
        <v>4</v>
      </c>
      <c r="B1613" s="130" t="s">
        <v>574</v>
      </c>
      <c r="C1613" s="130" t="s">
        <v>608</v>
      </c>
      <c r="D1613" s="130" t="s">
        <v>380</v>
      </c>
      <c r="E1613" s="132">
        <v>12765.28</v>
      </c>
    </row>
    <row r="1614" spans="1:5" x14ac:dyDescent="0.25">
      <c r="A1614" s="130" t="s">
        <v>4</v>
      </c>
      <c r="B1614" s="130" t="s">
        <v>574</v>
      </c>
      <c r="C1614" s="130" t="s">
        <v>608</v>
      </c>
      <c r="D1614" s="130" t="s">
        <v>251</v>
      </c>
      <c r="E1614" s="132">
        <v>18644.47</v>
      </c>
    </row>
    <row r="1615" spans="1:5" x14ac:dyDescent="0.25">
      <c r="A1615" s="130" t="s">
        <v>4</v>
      </c>
      <c r="B1615" s="130" t="s">
        <v>574</v>
      </c>
      <c r="C1615" s="130" t="s">
        <v>608</v>
      </c>
      <c r="D1615" s="130" t="s">
        <v>481</v>
      </c>
      <c r="E1615" s="132">
        <v>44360.82</v>
      </c>
    </row>
    <row r="1616" spans="1:5" x14ac:dyDescent="0.25">
      <c r="A1616" s="130" t="s">
        <v>4</v>
      </c>
      <c r="B1616" s="130" t="s">
        <v>574</v>
      </c>
      <c r="C1616" s="130" t="s">
        <v>608</v>
      </c>
      <c r="D1616" s="130" t="s">
        <v>691</v>
      </c>
      <c r="E1616" s="132">
        <v>4720.41</v>
      </c>
    </row>
    <row r="1617" spans="1:5" x14ac:dyDescent="0.25">
      <c r="A1617" s="130" t="s">
        <v>4</v>
      </c>
      <c r="B1617" s="130" t="s">
        <v>574</v>
      </c>
      <c r="C1617" s="130" t="s">
        <v>608</v>
      </c>
      <c r="D1617" s="130" t="s">
        <v>428</v>
      </c>
      <c r="E1617" s="132">
        <v>3587.51</v>
      </c>
    </row>
    <row r="1618" spans="1:5" x14ac:dyDescent="0.25">
      <c r="A1618" s="130" t="s">
        <v>4</v>
      </c>
      <c r="B1618" s="130" t="s">
        <v>574</v>
      </c>
      <c r="C1618" s="130" t="s">
        <v>608</v>
      </c>
      <c r="D1618" s="130" t="s">
        <v>269</v>
      </c>
      <c r="E1618" s="132">
        <v>9908.99</v>
      </c>
    </row>
    <row r="1619" spans="1:5" x14ac:dyDescent="0.25">
      <c r="A1619" s="130" t="s">
        <v>4</v>
      </c>
      <c r="B1619" s="130" t="s">
        <v>574</v>
      </c>
      <c r="C1619" s="130" t="s">
        <v>608</v>
      </c>
      <c r="D1619" s="130" t="s">
        <v>629</v>
      </c>
      <c r="E1619" s="132">
        <v>8013.49</v>
      </c>
    </row>
    <row r="1620" spans="1:5" x14ac:dyDescent="0.25">
      <c r="A1620" s="130" t="s">
        <v>4</v>
      </c>
      <c r="B1620" s="130" t="s">
        <v>574</v>
      </c>
      <c r="C1620" s="130" t="s">
        <v>608</v>
      </c>
      <c r="D1620" s="130" t="s">
        <v>431</v>
      </c>
      <c r="E1620" s="132">
        <v>5500.66</v>
      </c>
    </row>
    <row r="1621" spans="1:5" x14ac:dyDescent="0.25">
      <c r="A1621" s="130" t="s">
        <v>4</v>
      </c>
      <c r="B1621" s="130" t="s">
        <v>574</v>
      </c>
      <c r="C1621" s="130" t="s">
        <v>608</v>
      </c>
      <c r="D1621" s="130" t="s">
        <v>678</v>
      </c>
      <c r="E1621" s="132">
        <v>5046.82</v>
      </c>
    </row>
    <row r="1622" spans="1:5" x14ac:dyDescent="0.25">
      <c r="A1622" s="130" t="s">
        <v>4</v>
      </c>
      <c r="B1622" s="130" t="s">
        <v>574</v>
      </c>
      <c r="C1622" s="130" t="s">
        <v>608</v>
      </c>
      <c r="D1622" s="130" t="s">
        <v>259</v>
      </c>
      <c r="E1622" s="132">
        <v>23127.06</v>
      </c>
    </row>
    <row r="1623" spans="1:5" x14ac:dyDescent="0.25">
      <c r="A1623" s="130" t="s">
        <v>4</v>
      </c>
      <c r="B1623" s="130" t="s">
        <v>574</v>
      </c>
      <c r="C1623" s="130" t="s">
        <v>608</v>
      </c>
      <c r="D1623" s="130" t="s">
        <v>277</v>
      </c>
      <c r="E1623" s="132">
        <v>1458.6</v>
      </c>
    </row>
    <row r="1624" spans="1:5" x14ac:dyDescent="0.25">
      <c r="A1624" s="130" t="s">
        <v>4</v>
      </c>
      <c r="B1624" s="130" t="s">
        <v>574</v>
      </c>
      <c r="C1624" s="130" t="s">
        <v>608</v>
      </c>
      <c r="D1624" s="130" t="s">
        <v>286</v>
      </c>
      <c r="E1624" s="132">
        <v>1726.7</v>
      </c>
    </row>
    <row r="1625" spans="1:5" x14ac:dyDescent="0.25">
      <c r="A1625" s="130" t="s">
        <v>4</v>
      </c>
      <c r="B1625" s="130" t="s">
        <v>574</v>
      </c>
      <c r="C1625" s="130" t="s">
        <v>608</v>
      </c>
      <c r="D1625" s="130" t="s">
        <v>556</v>
      </c>
      <c r="E1625" s="132">
        <v>12983.8</v>
      </c>
    </row>
    <row r="1626" spans="1:5" x14ac:dyDescent="0.25">
      <c r="A1626" s="130" t="s">
        <v>4</v>
      </c>
      <c r="B1626" s="130" t="s">
        <v>574</v>
      </c>
      <c r="C1626" s="130" t="s">
        <v>608</v>
      </c>
      <c r="D1626" s="130" t="s">
        <v>293</v>
      </c>
      <c r="E1626" s="132">
        <v>1047.6099999999999</v>
      </c>
    </row>
    <row r="1627" spans="1:5" x14ac:dyDescent="0.25">
      <c r="A1627" s="130" t="s">
        <v>4</v>
      </c>
      <c r="B1627" s="130" t="s">
        <v>574</v>
      </c>
      <c r="C1627" s="130" t="s">
        <v>608</v>
      </c>
      <c r="D1627" s="130" t="s">
        <v>238</v>
      </c>
      <c r="E1627" s="132">
        <v>5945.01</v>
      </c>
    </row>
    <row r="1628" spans="1:5" x14ac:dyDescent="0.25">
      <c r="A1628" s="130" t="s">
        <v>4</v>
      </c>
      <c r="B1628" s="130" t="s">
        <v>574</v>
      </c>
      <c r="C1628" s="130" t="s">
        <v>608</v>
      </c>
      <c r="D1628" s="130" t="s">
        <v>474</v>
      </c>
      <c r="E1628" s="132">
        <v>1606.18</v>
      </c>
    </row>
    <row r="1629" spans="1:5" x14ac:dyDescent="0.25">
      <c r="A1629" s="130" t="s">
        <v>4</v>
      </c>
      <c r="B1629" s="130" t="s">
        <v>574</v>
      </c>
      <c r="C1629" s="130" t="s">
        <v>608</v>
      </c>
      <c r="D1629" s="130" t="s">
        <v>282</v>
      </c>
      <c r="E1629" s="132">
        <v>4371.2</v>
      </c>
    </row>
    <row r="1630" spans="1:5" x14ac:dyDescent="0.25">
      <c r="A1630" s="130" t="s">
        <v>4</v>
      </c>
      <c r="B1630" s="130" t="s">
        <v>574</v>
      </c>
      <c r="C1630" s="130" t="s">
        <v>608</v>
      </c>
      <c r="D1630" s="130" t="s">
        <v>526</v>
      </c>
      <c r="E1630" s="132">
        <v>631.96</v>
      </c>
    </row>
    <row r="1631" spans="1:5" x14ac:dyDescent="0.25">
      <c r="A1631" s="130" t="s">
        <v>4</v>
      </c>
      <c r="B1631" s="130" t="s">
        <v>574</v>
      </c>
      <c r="C1631" s="130" t="s">
        <v>608</v>
      </c>
      <c r="D1631" s="130" t="s">
        <v>347</v>
      </c>
      <c r="E1631" s="132">
        <v>771.03</v>
      </c>
    </row>
    <row r="1632" spans="1:5" x14ac:dyDescent="0.25">
      <c r="A1632" s="130" t="s">
        <v>4</v>
      </c>
      <c r="B1632" s="130" t="s">
        <v>574</v>
      </c>
      <c r="C1632" s="130" t="s">
        <v>608</v>
      </c>
      <c r="D1632" s="130" t="s">
        <v>348</v>
      </c>
      <c r="E1632" s="132">
        <v>454.27</v>
      </c>
    </row>
    <row r="1633" spans="1:5" x14ac:dyDescent="0.25">
      <c r="A1633" s="130" t="s">
        <v>4</v>
      </c>
      <c r="B1633" s="130" t="s">
        <v>574</v>
      </c>
      <c r="C1633" s="130" t="s">
        <v>608</v>
      </c>
      <c r="D1633" s="130" t="s">
        <v>549</v>
      </c>
      <c r="E1633" s="132">
        <v>565.52</v>
      </c>
    </row>
    <row r="1634" spans="1:5" x14ac:dyDescent="0.25">
      <c r="A1634" s="130" t="s">
        <v>4</v>
      </c>
      <c r="B1634" s="130" t="s">
        <v>574</v>
      </c>
      <c r="C1634" s="130" t="s">
        <v>608</v>
      </c>
      <c r="D1634" s="130" t="s">
        <v>349</v>
      </c>
      <c r="E1634" s="132">
        <v>602.6</v>
      </c>
    </row>
    <row r="1635" spans="1:5" x14ac:dyDescent="0.25">
      <c r="A1635" s="130" t="s">
        <v>4</v>
      </c>
      <c r="B1635" s="130" t="s">
        <v>574</v>
      </c>
      <c r="C1635" s="130" t="s">
        <v>608</v>
      </c>
      <c r="D1635" s="130" t="s">
        <v>245</v>
      </c>
      <c r="E1635" s="132">
        <v>7497.95</v>
      </c>
    </row>
    <row r="1636" spans="1:5" x14ac:dyDescent="0.25">
      <c r="A1636" s="130" t="s">
        <v>4</v>
      </c>
      <c r="B1636" s="130" t="s">
        <v>574</v>
      </c>
      <c r="C1636" s="130" t="s">
        <v>608</v>
      </c>
      <c r="D1636" s="130" t="s">
        <v>469</v>
      </c>
      <c r="E1636" s="132">
        <v>8549.16</v>
      </c>
    </row>
    <row r="1637" spans="1:5" x14ac:dyDescent="0.25">
      <c r="A1637" s="130" t="s">
        <v>4</v>
      </c>
      <c r="B1637" s="130" t="s">
        <v>574</v>
      </c>
      <c r="C1637" s="130" t="s">
        <v>608</v>
      </c>
      <c r="D1637" s="130" t="s">
        <v>260</v>
      </c>
      <c r="E1637" s="132">
        <v>6672.69</v>
      </c>
    </row>
    <row r="1638" spans="1:5" x14ac:dyDescent="0.25">
      <c r="A1638" s="130" t="s">
        <v>4</v>
      </c>
      <c r="B1638" s="130" t="s">
        <v>574</v>
      </c>
      <c r="C1638" s="130" t="s">
        <v>608</v>
      </c>
      <c r="D1638" s="130" t="s">
        <v>322</v>
      </c>
      <c r="E1638" s="132">
        <v>11551.48</v>
      </c>
    </row>
    <row r="1639" spans="1:5" x14ac:dyDescent="0.25">
      <c r="A1639" s="130" t="s">
        <v>4</v>
      </c>
      <c r="B1639" s="130" t="s">
        <v>574</v>
      </c>
      <c r="C1639" s="130" t="s">
        <v>608</v>
      </c>
      <c r="D1639" s="130" t="s">
        <v>520</v>
      </c>
      <c r="E1639" s="132">
        <v>19438.669999999998</v>
      </c>
    </row>
    <row r="1640" spans="1:5" x14ac:dyDescent="0.25">
      <c r="A1640" s="130" t="s">
        <v>4</v>
      </c>
      <c r="B1640" s="130" t="s">
        <v>574</v>
      </c>
      <c r="C1640" s="130" t="s">
        <v>608</v>
      </c>
      <c r="D1640" s="130" t="s">
        <v>252</v>
      </c>
      <c r="E1640" s="132">
        <v>22157.3</v>
      </c>
    </row>
    <row r="1641" spans="1:5" x14ac:dyDescent="0.25">
      <c r="A1641" s="130" t="s">
        <v>4</v>
      </c>
      <c r="B1641" s="130" t="s">
        <v>574</v>
      </c>
      <c r="C1641" s="130" t="s">
        <v>608</v>
      </c>
      <c r="D1641" s="130" t="s">
        <v>351</v>
      </c>
      <c r="E1641" s="132">
        <v>14184.4</v>
      </c>
    </row>
    <row r="1642" spans="1:5" x14ac:dyDescent="0.25">
      <c r="A1642" s="130" t="s">
        <v>4</v>
      </c>
      <c r="B1642" s="130" t="s">
        <v>574</v>
      </c>
      <c r="C1642" s="130" t="s">
        <v>608</v>
      </c>
      <c r="D1642" s="130" t="s">
        <v>378</v>
      </c>
      <c r="E1642" s="132">
        <v>9636.82</v>
      </c>
    </row>
    <row r="1643" spans="1:5" x14ac:dyDescent="0.25">
      <c r="A1643" s="130" t="s">
        <v>4</v>
      </c>
      <c r="B1643" s="130" t="s">
        <v>574</v>
      </c>
      <c r="C1643" s="130" t="s">
        <v>608</v>
      </c>
      <c r="D1643" s="130" t="s">
        <v>555</v>
      </c>
      <c r="E1643" s="132">
        <v>195772.2</v>
      </c>
    </row>
    <row r="1644" spans="1:5" x14ac:dyDescent="0.25">
      <c r="A1644" s="130" t="s">
        <v>4</v>
      </c>
      <c r="B1644" s="130" t="s">
        <v>574</v>
      </c>
      <c r="C1644" s="130" t="s">
        <v>608</v>
      </c>
      <c r="D1644" s="130" t="s">
        <v>362</v>
      </c>
      <c r="E1644" s="132">
        <v>4476.3599999999997</v>
      </c>
    </row>
    <row r="1645" spans="1:5" x14ac:dyDescent="0.25">
      <c r="A1645" s="130" t="s">
        <v>4</v>
      </c>
      <c r="B1645" s="130" t="s">
        <v>574</v>
      </c>
      <c r="C1645" s="130" t="s">
        <v>608</v>
      </c>
      <c r="D1645" s="130" t="s">
        <v>774</v>
      </c>
      <c r="E1645" s="132">
        <v>4578.53</v>
      </c>
    </row>
    <row r="1646" spans="1:5" x14ac:dyDescent="0.25">
      <c r="A1646" s="130" t="s">
        <v>4</v>
      </c>
      <c r="B1646" s="130" t="s">
        <v>574</v>
      </c>
      <c r="C1646" s="130" t="s">
        <v>608</v>
      </c>
      <c r="D1646" s="130" t="s">
        <v>775</v>
      </c>
      <c r="E1646" s="132">
        <v>983.56</v>
      </c>
    </row>
    <row r="1647" spans="1:5" x14ac:dyDescent="0.25">
      <c r="A1647" s="130" t="s">
        <v>4</v>
      </c>
      <c r="B1647" s="130" t="s">
        <v>574</v>
      </c>
      <c r="C1647" s="130" t="s">
        <v>608</v>
      </c>
      <c r="D1647" s="130" t="s">
        <v>730</v>
      </c>
      <c r="E1647" s="132">
        <v>983.56</v>
      </c>
    </row>
    <row r="1648" spans="1:5" x14ac:dyDescent="0.25">
      <c r="A1648" s="130" t="s">
        <v>4</v>
      </c>
      <c r="B1648" s="130" t="s">
        <v>574</v>
      </c>
      <c r="C1648" s="130" t="s">
        <v>608</v>
      </c>
      <c r="D1648" s="130" t="s">
        <v>819</v>
      </c>
      <c r="E1648" s="132">
        <v>983.56</v>
      </c>
    </row>
    <row r="1649" spans="1:5" x14ac:dyDescent="0.25">
      <c r="A1649" s="130" t="s">
        <v>4</v>
      </c>
      <c r="B1649" s="130" t="s">
        <v>574</v>
      </c>
      <c r="C1649" s="130" t="s">
        <v>608</v>
      </c>
      <c r="D1649" s="130" t="s">
        <v>341</v>
      </c>
      <c r="E1649" s="132">
        <v>3949.1</v>
      </c>
    </row>
    <row r="1650" spans="1:5" x14ac:dyDescent="0.25">
      <c r="A1650" s="130" t="s">
        <v>4</v>
      </c>
      <c r="B1650" s="130" t="s">
        <v>574</v>
      </c>
      <c r="C1650" s="130" t="s">
        <v>608</v>
      </c>
      <c r="D1650" s="130" t="s">
        <v>305</v>
      </c>
      <c r="E1650" s="132">
        <v>1710.34</v>
      </c>
    </row>
    <row r="1651" spans="1:5" x14ac:dyDescent="0.25">
      <c r="A1651" s="130" t="s">
        <v>4</v>
      </c>
      <c r="B1651" s="130" t="s">
        <v>574</v>
      </c>
      <c r="C1651" s="130" t="s">
        <v>608</v>
      </c>
      <c r="D1651" s="130" t="s">
        <v>544</v>
      </c>
      <c r="E1651" s="132">
        <v>3819.27</v>
      </c>
    </row>
    <row r="1652" spans="1:5" x14ac:dyDescent="0.25">
      <c r="A1652" s="130" t="s">
        <v>4</v>
      </c>
      <c r="B1652" s="130" t="s">
        <v>574</v>
      </c>
      <c r="C1652" s="130" t="s">
        <v>608</v>
      </c>
      <c r="D1652" s="130" t="s">
        <v>1029</v>
      </c>
      <c r="E1652" s="132">
        <v>3811.47</v>
      </c>
    </row>
    <row r="1653" spans="1:5" x14ac:dyDescent="0.25">
      <c r="A1653" s="130" t="s">
        <v>4</v>
      </c>
      <c r="B1653" s="130" t="s">
        <v>574</v>
      </c>
      <c r="C1653" s="130" t="s">
        <v>608</v>
      </c>
      <c r="D1653" s="130" t="s">
        <v>723</v>
      </c>
      <c r="E1653" s="132">
        <v>1505.79</v>
      </c>
    </row>
    <row r="1654" spans="1:5" x14ac:dyDescent="0.25">
      <c r="A1654" s="130" t="s">
        <v>4</v>
      </c>
      <c r="B1654" s="130" t="s">
        <v>574</v>
      </c>
      <c r="C1654" s="130" t="s">
        <v>608</v>
      </c>
      <c r="D1654" s="130" t="s">
        <v>264</v>
      </c>
      <c r="E1654" s="132">
        <v>8565.57</v>
      </c>
    </row>
    <row r="1655" spans="1:5" x14ac:dyDescent="0.25">
      <c r="A1655" s="130" t="s">
        <v>4</v>
      </c>
      <c r="B1655" s="130" t="s">
        <v>574</v>
      </c>
      <c r="C1655" s="130" t="s">
        <v>608</v>
      </c>
      <c r="D1655" s="130" t="s">
        <v>381</v>
      </c>
      <c r="E1655" s="132">
        <v>4917.8</v>
      </c>
    </row>
    <row r="1656" spans="1:5" x14ac:dyDescent="0.25">
      <c r="A1656" s="130" t="s">
        <v>4</v>
      </c>
      <c r="B1656" s="130" t="s">
        <v>574</v>
      </c>
      <c r="C1656" s="130" t="s">
        <v>608</v>
      </c>
      <c r="D1656" s="130" t="s">
        <v>382</v>
      </c>
      <c r="E1656" s="132">
        <v>1211.1300000000001</v>
      </c>
    </row>
    <row r="1657" spans="1:5" x14ac:dyDescent="0.25">
      <c r="A1657" s="130" t="s">
        <v>4</v>
      </c>
      <c r="B1657" s="130" t="s">
        <v>574</v>
      </c>
      <c r="C1657" s="130" t="s">
        <v>608</v>
      </c>
      <c r="D1657" s="130" t="s">
        <v>706</v>
      </c>
      <c r="E1657" s="132">
        <v>1417.69</v>
      </c>
    </row>
    <row r="1658" spans="1:5" x14ac:dyDescent="0.25">
      <c r="A1658" s="130" t="s">
        <v>4</v>
      </c>
      <c r="B1658" s="130" t="s">
        <v>574</v>
      </c>
      <c r="C1658" s="130" t="s">
        <v>608</v>
      </c>
      <c r="D1658" s="130" t="s">
        <v>703</v>
      </c>
      <c r="E1658" s="132">
        <v>6959.74</v>
      </c>
    </row>
    <row r="1659" spans="1:5" x14ac:dyDescent="0.25">
      <c r="A1659" s="130" t="s">
        <v>4</v>
      </c>
      <c r="B1659" s="130" t="s">
        <v>574</v>
      </c>
      <c r="C1659" s="130" t="s">
        <v>608</v>
      </c>
      <c r="D1659" s="130" t="s">
        <v>704</v>
      </c>
      <c r="E1659" s="132">
        <v>7528.66</v>
      </c>
    </row>
    <row r="1660" spans="1:5" x14ac:dyDescent="0.25">
      <c r="A1660" s="130" t="s">
        <v>4</v>
      </c>
      <c r="B1660" s="130" t="s">
        <v>574</v>
      </c>
      <c r="C1660" s="130" t="s">
        <v>608</v>
      </c>
      <c r="D1660" s="130" t="s">
        <v>440</v>
      </c>
      <c r="E1660" s="132">
        <v>8140.57</v>
      </c>
    </row>
    <row r="1661" spans="1:5" x14ac:dyDescent="0.25">
      <c r="A1661" s="130" t="s">
        <v>4</v>
      </c>
      <c r="B1661" s="130" t="s">
        <v>574</v>
      </c>
      <c r="C1661" s="130" t="s">
        <v>608</v>
      </c>
      <c r="D1661" s="130" t="s">
        <v>691</v>
      </c>
      <c r="E1661" s="132">
        <v>4738.6499999999996</v>
      </c>
    </row>
    <row r="1662" spans="1:5" x14ac:dyDescent="0.25">
      <c r="A1662" s="130" t="s">
        <v>4</v>
      </c>
      <c r="B1662" s="130" t="s">
        <v>574</v>
      </c>
      <c r="C1662" s="130" t="s">
        <v>608</v>
      </c>
      <c r="D1662" s="130" t="s">
        <v>665</v>
      </c>
      <c r="E1662" s="132">
        <v>5221.8599999999997</v>
      </c>
    </row>
    <row r="1663" spans="1:5" x14ac:dyDescent="0.25">
      <c r="A1663" s="130" t="s">
        <v>4</v>
      </c>
      <c r="B1663" s="130" t="s">
        <v>574</v>
      </c>
      <c r="C1663" s="130" t="s">
        <v>608</v>
      </c>
      <c r="D1663" s="130" t="s">
        <v>692</v>
      </c>
      <c r="E1663" s="132">
        <v>2402.0700000000002</v>
      </c>
    </row>
    <row r="1664" spans="1:5" x14ac:dyDescent="0.25">
      <c r="A1664" s="130" t="s">
        <v>4</v>
      </c>
      <c r="B1664" s="130" t="s">
        <v>574</v>
      </c>
      <c r="C1664" s="130" t="s">
        <v>608</v>
      </c>
      <c r="D1664" s="130" t="s">
        <v>693</v>
      </c>
      <c r="E1664" s="132">
        <v>2784.72</v>
      </c>
    </row>
    <row r="1665" spans="1:5" x14ac:dyDescent="0.25">
      <c r="A1665" s="130" t="s">
        <v>4</v>
      </c>
      <c r="B1665" s="130" t="s">
        <v>574</v>
      </c>
      <c r="C1665" s="130" t="s">
        <v>608</v>
      </c>
      <c r="D1665" s="130" t="s">
        <v>268</v>
      </c>
      <c r="E1665" s="132">
        <v>6934.75</v>
      </c>
    </row>
    <row r="1666" spans="1:5" x14ac:dyDescent="0.25">
      <c r="A1666" s="130" t="s">
        <v>4</v>
      </c>
      <c r="B1666" s="130" t="s">
        <v>574</v>
      </c>
      <c r="C1666" s="130" t="s">
        <v>608</v>
      </c>
      <c r="D1666" s="130" t="s">
        <v>1030</v>
      </c>
      <c r="E1666" s="132">
        <v>8927.31</v>
      </c>
    </row>
    <row r="1667" spans="1:5" x14ac:dyDescent="0.25">
      <c r="A1667" s="130" t="s">
        <v>4</v>
      </c>
      <c r="B1667" s="130" t="s">
        <v>574</v>
      </c>
      <c r="C1667" s="130" t="s">
        <v>608</v>
      </c>
      <c r="D1667" s="130" t="s">
        <v>776</v>
      </c>
      <c r="E1667" s="132">
        <v>10160.280000000001</v>
      </c>
    </row>
    <row r="1668" spans="1:5" x14ac:dyDescent="0.25">
      <c r="A1668" s="130" t="s">
        <v>4</v>
      </c>
      <c r="B1668" s="130" t="s">
        <v>574</v>
      </c>
      <c r="C1668" s="130" t="s">
        <v>608</v>
      </c>
      <c r="D1668" s="130" t="s">
        <v>781</v>
      </c>
      <c r="E1668" s="132">
        <v>11391.86</v>
      </c>
    </row>
    <row r="1669" spans="1:5" x14ac:dyDescent="0.25">
      <c r="A1669" s="130" t="s">
        <v>4</v>
      </c>
      <c r="B1669" s="130" t="s">
        <v>574</v>
      </c>
      <c r="C1669" s="130" t="s">
        <v>608</v>
      </c>
      <c r="D1669" s="130" t="s">
        <v>257</v>
      </c>
      <c r="E1669" s="132">
        <v>16807.439999999999</v>
      </c>
    </row>
    <row r="1670" spans="1:5" x14ac:dyDescent="0.25">
      <c r="A1670" s="130" t="s">
        <v>4</v>
      </c>
      <c r="B1670" s="130" t="s">
        <v>574</v>
      </c>
      <c r="C1670" s="130" t="s">
        <v>608</v>
      </c>
      <c r="D1670" s="130" t="s">
        <v>428</v>
      </c>
      <c r="E1670" s="132">
        <v>7202.23</v>
      </c>
    </row>
    <row r="1671" spans="1:5" x14ac:dyDescent="0.25">
      <c r="A1671" s="130" t="s">
        <v>4</v>
      </c>
      <c r="B1671" s="130" t="s">
        <v>574</v>
      </c>
      <c r="C1671" s="130" t="s">
        <v>608</v>
      </c>
      <c r="D1671" s="130" t="s">
        <v>429</v>
      </c>
      <c r="E1671" s="132">
        <v>8572.85</v>
      </c>
    </row>
    <row r="1672" spans="1:5" x14ac:dyDescent="0.25">
      <c r="A1672" s="130" t="s">
        <v>4</v>
      </c>
      <c r="B1672" s="130" t="s">
        <v>574</v>
      </c>
      <c r="C1672" s="130" t="s">
        <v>608</v>
      </c>
      <c r="D1672" s="130" t="s">
        <v>258</v>
      </c>
      <c r="E1672" s="132">
        <v>14064.35</v>
      </c>
    </row>
    <row r="1673" spans="1:5" x14ac:dyDescent="0.25">
      <c r="A1673" s="130" t="s">
        <v>4</v>
      </c>
      <c r="B1673" s="130" t="s">
        <v>574</v>
      </c>
      <c r="C1673" s="130" t="s">
        <v>608</v>
      </c>
      <c r="D1673" s="130" t="s">
        <v>561</v>
      </c>
      <c r="E1673" s="132">
        <v>15437.14</v>
      </c>
    </row>
    <row r="1674" spans="1:5" x14ac:dyDescent="0.25">
      <c r="A1674" s="130" t="s">
        <v>4</v>
      </c>
      <c r="B1674" s="130" t="s">
        <v>574</v>
      </c>
      <c r="C1674" s="130" t="s">
        <v>608</v>
      </c>
      <c r="D1674" s="130" t="s">
        <v>334</v>
      </c>
      <c r="E1674" s="132">
        <v>29865.42</v>
      </c>
    </row>
    <row r="1675" spans="1:5" x14ac:dyDescent="0.25">
      <c r="A1675" s="130" t="s">
        <v>4</v>
      </c>
      <c r="B1675" s="130" t="s">
        <v>574</v>
      </c>
      <c r="C1675" s="130" t="s">
        <v>608</v>
      </c>
      <c r="D1675" s="130" t="s">
        <v>335</v>
      </c>
      <c r="E1675" s="132">
        <v>15938.32</v>
      </c>
    </row>
    <row r="1676" spans="1:5" x14ac:dyDescent="0.25">
      <c r="A1676" s="130" t="s">
        <v>4</v>
      </c>
      <c r="B1676" s="130" t="s">
        <v>574</v>
      </c>
      <c r="C1676" s="130" t="s">
        <v>608</v>
      </c>
      <c r="D1676" s="130" t="s">
        <v>1027</v>
      </c>
      <c r="E1676" s="132">
        <v>732.71</v>
      </c>
    </row>
    <row r="1677" spans="1:5" x14ac:dyDescent="0.25">
      <c r="A1677" s="130" t="s">
        <v>4</v>
      </c>
      <c r="B1677" s="130" t="s">
        <v>574</v>
      </c>
      <c r="C1677" s="130" t="s">
        <v>608</v>
      </c>
      <c r="D1677" s="130" t="s">
        <v>308</v>
      </c>
      <c r="E1677" s="132">
        <v>1964.43</v>
      </c>
    </row>
    <row r="1678" spans="1:5" x14ac:dyDescent="0.25">
      <c r="A1678" s="130" t="s">
        <v>4</v>
      </c>
      <c r="B1678" s="130" t="s">
        <v>574</v>
      </c>
      <c r="C1678" s="130" t="s">
        <v>608</v>
      </c>
      <c r="D1678" s="130" t="s">
        <v>378</v>
      </c>
      <c r="E1678" s="132">
        <v>2388.79</v>
      </c>
    </row>
    <row r="1679" spans="1:5" x14ac:dyDescent="0.25">
      <c r="A1679" s="130" t="s">
        <v>4</v>
      </c>
      <c r="B1679" s="130" t="s">
        <v>574</v>
      </c>
      <c r="C1679" s="130" t="s">
        <v>608</v>
      </c>
      <c r="D1679" s="130" t="s">
        <v>309</v>
      </c>
      <c r="E1679" s="132">
        <v>8705.3799999999992</v>
      </c>
    </row>
    <row r="1680" spans="1:5" x14ac:dyDescent="0.25">
      <c r="A1680" s="130" t="s">
        <v>4</v>
      </c>
      <c r="B1680" s="130" t="s">
        <v>574</v>
      </c>
      <c r="C1680" s="130" t="s">
        <v>608</v>
      </c>
      <c r="D1680" s="130" t="s">
        <v>655</v>
      </c>
      <c r="E1680" s="132">
        <v>9430.2000000000007</v>
      </c>
    </row>
    <row r="1681" spans="1:5" x14ac:dyDescent="0.25">
      <c r="A1681" s="130" t="s">
        <v>4</v>
      </c>
      <c r="B1681" s="130" t="s">
        <v>574</v>
      </c>
      <c r="C1681" s="130" t="s">
        <v>608</v>
      </c>
      <c r="D1681" s="130" t="s">
        <v>509</v>
      </c>
      <c r="E1681" s="132">
        <v>1312.51</v>
      </c>
    </row>
    <row r="1682" spans="1:5" x14ac:dyDescent="0.25">
      <c r="A1682" s="130" t="s">
        <v>4</v>
      </c>
      <c r="B1682" s="130" t="s">
        <v>574</v>
      </c>
      <c r="C1682" s="130" t="s">
        <v>608</v>
      </c>
      <c r="D1682" s="130" t="s">
        <v>983</v>
      </c>
      <c r="E1682" s="132">
        <v>1153.03</v>
      </c>
    </row>
    <row r="1683" spans="1:5" x14ac:dyDescent="0.25">
      <c r="A1683" s="130" t="s">
        <v>4</v>
      </c>
      <c r="B1683" s="130" t="s">
        <v>574</v>
      </c>
      <c r="C1683" s="130" t="s">
        <v>608</v>
      </c>
      <c r="D1683" s="130" t="s">
        <v>357</v>
      </c>
      <c r="E1683" s="132">
        <v>540.89</v>
      </c>
    </row>
    <row r="1684" spans="1:5" x14ac:dyDescent="0.25">
      <c r="A1684" s="130" t="s">
        <v>4</v>
      </c>
      <c r="B1684" s="130" t="s">
        <v>574</v>
      </c>
      <c r="C1684" s="130" t="s">
        <v>608</v>
      </c>
      <c r="D1684" s="130" t="s">
        <v>318</v>
      </c>
      <c r="E1684" s="132">
        <v>1965.6</v>
      </c>
    </row>
    <row r="1685" spans="1:5" x14ac:dyDescent="0.25">
      <c r="A1685" s="130" t="s">
        <v>4</v>
      </c>
      <c r="B1685" s="130" t="s">
        <v>574</v>
      </c>
      <c r="C1685" s="130" t="s">
        <v>608</v>
      </c>
      <c r="D1685" s="130" t="s">
        <v>336</v>
      </c>
      <c r="E1685" s="132">
        <v>2613.25</v>
      </c>
    </row>
    <row r="1686" spans="1:5" x14ac:dyDescent="0.25">
      <c r="A1686" s="130" t="s">
        <v>4</v>
      </c>
      <c r="B1686" s="130" t="s">
        <v>574</v>
      </c>
      <c r="C1686" s="130" t="s">
        <v>608</v>
      </c>
      <c r="D1686" s="130" t="s">
        <v>320</v>
      </c>
      <c r="E1686" s="132">
        <v>4029.48</v>
      </c>
    </row>
    <row r="1687" spans="1:5" x14ac:dyDescent="0.25">
      <c r="A1687" s="130" t="s">
        <v>4</v>
      </c>
      <c r="B1687" s="130" t="s">
        <v>574</v>
      </c>
      <c r="C1687" s="130" t="s">
        <v>608</v>
      </c>
      <c r="D1687" s="130" t="s">
        <v>431</v>
      </c>
      <c r="E1687" s="132">
        <v>5517.72</v>
      </c>
    </row>
    <row r="1688" spans="1:5" x14ac:dyDescent="0.25">
      <c r="A1688" s="130" t="s">
        <v>4</v>
      </c>
      <c r="B1688" s="130" t="s">
        <v>574</v>
      </c>
      <c r="C1688" s="130" t="s">
        <v>608</v>
      </c>
      <c r="D1688" s="130" t="s">
        <v>939</v>
      </c>
      <c r="E1688" s="132">
        <v>12849.14</v>
      </c>
    </row>
    <row r="1689" spans="1:5" x14ac:dyDescent="0.25">
      <c r="A1689" s="130" t="s">
        <v>4</v>
      </c>
      <c r="B1689" s="130" t="s">
        <v>574</v>
      </c>
      <c r="C1689" s="130" t="s">
        <v>608</v>
      </c>
      <c r="D1689" s="130" t="s">
        <v>390</v>
      </c>
      <c r="E1689" s="132">
        <v>3200.94</v>
      </c>
    </row>
    <row r="1690" spans="1:5" x14ac:dyDescent="0.25">
      <c r="A1690" s="130" t="s">
        <v>4</v>
      </c>
      <c r="B1690" s="130" t="s">
        <v>574</v>
      </c>
      <c r="C1690" s="130" t="s">
        <v>608</v>
      </c>
      <c r="D1690" s="130" t="s">
        <v>235</v>
      </c>
      <c r="E1690" s="132">
        <v>1110.6199999999999</v>
      </c>
    </row>
    <row r="1691" spans="1:5" x14ac:dyDescent="0.25">
      <c r="A1691" s="130" t="s">
        <v>4</v>
      </c>
      <c r="B1691" s="130" t="s">
        <v>574</v>
      </c>
      <c r="C1691" s="130" t="s">
        <v>608</v>
      </c>
      <c r="D1691" s="130" t="s">
        <v>236</v>
      </c>
      <c r="E1691" s="132">
        <v>1178.42</v>
      </c>
    </row>
    <row r="1692" spans="1:5" x14ac:dyDescent="0.25">
      <c r="A1692" s="130" t="s">
        <v>4</v>
      </c>
      <c r="B1692" s="130" t="s">
        <v>574</v>
      </c>
      <c r="C1692" s="130" t="s">
        <v>608</v>
      </c>
      <c r="D1692" s="130" t="s">
        <v>533</v>
      </c>
      <c r="E1692" s="132">
        <v>1487.83</v>
      </c>
    </row>
    <row r="1693" spans="1:5" x14ac:dyDescent="0.25">
      <c r="A1693" s="130" t="s">
        <v>4</v>
      </c>
      <c r="B1693" s="130" t="s">
        <v>574</v>
      </c>
      <c r="C1693" s="130" t="s">
        <v>608</v>
      </c>
      <c r="D1693" s="130" t="s">
        <v>462</v>
      </c>
      <c r="E1693" s="132">
        <v>1401.31</v>
      </c>
    </row>
    <row r="1694" spans="1:5" x14ac:dyDescent="0.25">
      <c r="A1694" s="130" t="s">
        <v>4</v>
      </c>
      <c r="B1694" s="130" t="s">
        <v>574</v>
      </c>
      <c r="C1694" s="130" t="s">
        <v>608</v>
      </c>
      <c r="D1694" s="130" t="s">
        <v>782</v>
      </c>
      <c r="E1694" s="132">
        <v>1655.37</v>
      </c>
    </row>
    <row r="1695" spans="1:5" x14ac:dyDescent="0.25">
      <c r="A1695" s="130" t="s">
        <v>4</v>
      </c>
      <c r="B1695" s="130" t="s">
        <v>574</v>
      </c>
      <c r="C1695" s="130" t="s">
        <v>608</v>
      </c>
      <c r="D1695" s="130" t="s">
        <v>791</v>
      </c>
      <c r="E1695" s="132">
        <v>2077.04</v>
      </c>
    </row>
    <row r="1696" spans="1:5" x14ac:dyDescent="0.25">
      <c r="A1696" s="130" t="s">
        <v>4</v>
      </c>
      <c r="B1696" s="130" t="s">
        <v>574</v>
      </c>
      <c r="C1696" s="130" t="s">
        <v>608</v>
      </c>
      <c r="D1696" s="130" t="s">
        <v>657</v>
      </c>
      <c r="E1696" s="132">
        <v>2046.62</v>
      </c>
    </row>
    <row r="1697" spans="1:5" x14ac:dyDescent="0.25">
      <c r="A1697" s="130" t="s">
        <v>4</v>
      </c>
      <c r="B1697" s="130" t="s">
        <v>574</v>
      </c>
      <c r="C1697" s="130" t="s">
        <v>608</v>
      </c>
      <c r="D1697" s="130" t="s">
        <v>940</v>
      </c>
      <c r="E1697" s="132">
        <v>2244.59</v>
      </c>
    </row>
    <row r="1698" spans="1:5" x14ac:dyDescent="0.25">
      <c r="A1698" s="130" t="s">
        <v>4</v>
      </c>
      <c r="B1698" s="130" t="s">
        <v>574</v>
      </c>
      <c r="C1698" s="130" t="s">
        <v>608</v>
      </c>
      <c r="D1698" s="130" t="s">
        <v>1031</v>
      </c>
      <c r="E1698" s="132">
        <v>2188.48</v>
      </c>
    </row>
    <row r="1699" spans="1:5" x14ac:dyDescent="0.25">
      <c r="A1699" s="130" t="s">
        <v>4</v>
      </c>
      <c r="B1699" s="130" t="s">
        <v>574</v>
      </c>
      <c r="C1699" s="130" t="s">
        <v>608</v>
      </c>
      <c r="D1699" s="130" t="s">
        <v>536</v>
      </c>
      <c r="E1699" s="132">
        <v>1705.27</v>
      </c>
    </row>
    <row r="1700" spans="1:5" x14ac:dyDescent="0.25">
      <c r="A1700" s="130" t="s">
        <v>4</v>
      </c>
      <c r="B1700" s="130" t="s">
        <v>574</v>
      </c>
      <c r="C1700" s="130" t="s">
        <v>608</v>
      </c>
      <c r="D1700" s="130" t="s">
        <v>818</v>
      </c>
      <c r="E1700" s="132">
        <v>6152.42</v>
      </c>
    </row>
    <row r="1701" spans="1:5" x14ac:dyDescent="0.25">
      <c r="A1701" s="130" t="s">
        <v>4</v>
      </c>
      <c r="B1701" s="130" t="s">
        <v>574</v>
      </c>
      <c r="C1701" s="130" t="s">
        <v>608</v>
      </c>
      <c r="D1701" s="130" t="s">
        <v>498</v>
      </c>
      <c r="E1701" s="132">
        <v>5263.95</v>
      </c>
    </row>
    <row r="1702" spans="1:5" x14ac:dyDescent="0.25">
      <c r="A1702" s="130" t="s">
        <v>4</v>
      </c>
      <c r="B1702" s="130" t="s">
        <v>574</v>
      </c>
      <c r="C1702" s="130" t="s">
        <v>608</v>
      </c>
      <c r="D1702" s="130" t="s">
        <v>779</v>
      </c>
      <c r="E1702" s="132">
        <v>6644.96</v>
      </c>
    </row>
    <row r="1703" spans="1:5" x14ac:dyDescent="0.25">
      <c r="A1703" s="130" t="s">
        <v>4</v>
      </c>
      <c r="B1703" s="130" t="s">
        <v>574</v>
      </c>
      <c r="C1703" s="130" t="s">
        <v>608</v>
      </c>
      <c r="D1703" s="130" t="s">
        <v>941</v>
      </c>
      <c r="E1703" s="132">
        <v>1378.73</v>
      </c>
    </row>
    <row r="1704" spans="1:5" x14ac:dyDescent="0.25">
      <c r="A1704" s="130" t="s">
        <v>4</v>
      </c>
      <c r="B1704" s="130" t="s">
        <v>574</v>
      </c>
      <c r="C1704" s="130" t="s">
        <v>608</v>
      </c>
      <c r="D1704" s="130" t="s">
        <v>556</v>
      </c>
      <c r="E1704" s="132">
        <v>2172.1</v>
      </c>
    </row>
    <row r="1705" spans="1:5" x14ac:dyDescent="0.25">
      <c r="A1705" s="130" t="s">
        <v>4</v>
      </c>
      <c r="B1705" s="130" t="s">
        <v>574</v>
      </c>
      <c r="C1705" s="130" t="s">
        <v>608</v>
      </c>
      <c r="D1705" s="130" t="s">
        <v>1032</v>
      </c>
      <c r="E1705" s="132">
        <v>4942.0200000000004</v>
      </c>
    </row>
    <row r="1706" spans="1:5" x14ac:dyDescent="0.25">
      <c r="A1706" s="130" t="s">
        <v>4</v>
      </c>
      <c r="B1706" s="130" t="s">
        <v>574</v>
      </c>
      <c r="C1706" s="130" t="s">
        <v>608</v>
      </c>
      <c r="D1706" s="130" t="s">
        <v>364</v>
      </c>
      <c r="E1706" s="132">
        <v>3613.95</v>
      </c>
    </row>
    <row r="1707" spans="1:5" x14ac:dyDescent="0.25">
      <c r="A1707" s="130" t="s">
        <v>4</v>
      </c>
      <c r="B1707" s="130" t="s">
        <v>574</v>
      </c>
      <c r="C1707" s="130" t="s">
        <v>608</v>
      </c>
      <c r="D1707" s="130" t="s">
        <v>338</v>
      </c>
      <c r="E1707" s="132">
        <v>2182.0500000000002</v>
      </c>
    </row>
    <row r="1708" spans="1:5" x14ac:dyDescent="0.25">
      <c r="A1708" s="130" t="s">
        <v>4</v>
      </c>
      <c r="B1708" s="130" t="s">
        <v>574</v>
      </c>
      <c r="C1708" s="130" t="s">
        <v>608</v>
      </c>
      <c r="D1708" s="130" t="s">
        <v>293</v>
      </c>
      <c r="E1708" s="132">
        <v>1753.54</v>
      </c>
    </row>
    <row r="1709" spans="1:5" x14ac:dyDescent="0.25">
      <c r="A1709" s="130" t="s">
        <v>4</v>
      </c>
      <c r="B1709" s="130" t="s">
        <v>574</v>
      </c>
      <c r="C1709" s="130" t="s">
        <v>608</v>
      </c>
      <c r="D1709" s="130" t="s">
        <v>705</v>
      </c>
      <c r="E1709" s="132">
        <v>451.27</v>
      </c>
    </row>
    <row r="1710" spans="1:5" x14ac:dyDescent="0.25">
      <c r="A1710" s="130" t="s">
        <v>4</v>
      </c>
      <c r="B1710" s="130" t="s">
        <v>574</v>
      </c>
      <c r="C1710" s="130" t="s">
        <v>608</v>
      </c>
      <c r="D1710" s="130" t="s">
        <v>627</v>
      </c>
      <c r="E1710" s="132">
        <v>662.86</v>
      </c>
    </row>
    <row r="1711" spans="1:5" x14ac:dyDescent="0.25">
      <c r="A1711" s="130" t="s">
        <v>4</v>
      </c>
      <c r="B1711" s="130" t="s">
        <v>574</v>
      </c>
      <c r="C1711" s="130" t="s">
        <v>608</v>
      </c>
      <c r="D1711" s="130" t="s">
        <v>1033</v>
      </c>
      <c r="E1711" s="132">
        <v>942.67</v>
      </c>
    </row>
    <row r="1712" spans="1:5" x14ac:dyDescent="0.25">
      <c r="A1712" s="130" t="s">
        <v>4</v>
      </c>
      <c r="B1712" s="130" t="s">
        <v>574</v>
      </c>
      <c r="C1712" s="130" t="s">
        <v>608</v>
      </c>
      <c r="D1712" s="130" t="s">
        <v>659</v>
      </c>
      <c r="E1712" s="132">
        <v>1222.06</v>
      </c>
    </row>
    <row r="1713" spans="1:5" x14ac:dyDescent="0.25">
      <c r="A1713" s="130" t="s">
        <v>4</v>
      </c>
      <c r="B1713" s="130" t="s">
        <v>574</v>
      </c>
      <c r="C1713" s="130" t="s">
        <v>608</v>
      </c>
      <c r="D1713" s="130" t="s">
        <v>383</v>
      </c>
      <c r="E1713" s="132">
        <v>812.1</v>
      </c>
    </row>
    <row r="1714" spans="1:5" x14ac:dyDescent="0.25">
      <c r="A1714" s="130" t="s">
        <v>4</v>
      </c>
      <c r="B1714" s="130" t="s">
        <v>574</v>
      </c>
      <c r="C1714" s="130" t="s">
        <v>608</v>
      </c>
      <c r="D1714" s="130" t="s">
        <v>237</v>
      </c>
      <c r="E1714" s="132">
        <v>1325.02</v>
      </c>
    </row>
    <row r="1715" spans="1:5" x14ac:dyDescent="0.25">
      <c r="A1715" s="130" t="s">
        <v>4</v>
      </c>
      <c r="B1715" s="130" t="s">
        <v>574</v>
      </c>
      <c r="C1715" s="130" t="s">
        <v>608</v>
      </c>
      <c r="D1715" s="130" t="s">
        <v>238</v>
      </c>
      <c r="E1715" s="132">
        <v>795.01</v>
      </c>
    </row>
    <row r="1716" spans="1:5" x14ac:dyDescent="0.25">
      <c r="A1716" s="130" t="s">
        <v>4</v>
      </c>
      <c r="B1716" s="130" t="s">
        <v>574</v>
      </c>
      <c r="C1716" s="130" t="s">
        <v>608</v>
      </c>
      <c r="D1716" s="130" t="s">
        <v>406</v>
      </c>
      <c r="E1716" s="132">
        <v>1161.6600000000001</v>
      </c>
    </row>
    <row r="1717" spans="1:5" x14ac:dyDescent="0.25">
      <c r="A1717" s="130" t="s">
        <v>4</v>
      </c>
      <c r="B1717" s="130" t="s">
        <v>574</v>
      </c>
      <c r="C1717" s="130" t="s">
        <v>608</v>
      </c>
      <c r="D1717" s="130" t="s">
        <v>633</v>
      </c>
      <c r="E1717" s="132">
        <v>519.07000000000005</v>
      </c>
    </row>
    <row r="1718" spans="1:5" x14ac:dyDescent="0.25">
      <c r="A1718" s="130" t="s">
        <v>4</v>
      </c>
      <c r="B1718" s="130" t="s">
        <v>574</v>
      </c>
      <c r="C1718" s="130" t="s">
        <v>608</v>
      </c>
      <c r="D1718" s="130" t="s">
        <v>501</v>
      </c>
      <c r="E1718" s="132">
        <v>530.01</v>
      </c>
    </row>
    <row r="1719" spans="1:5" x14ac:dyDescent="0.25">
      <c r="A1719" s="130" t="s">
        <v>4</v>
      </c>
      <c r="B1719" s="130" t="s">
        <v>574</v>
      </c>
      <c r="C1719" s="130" t="s">
        <v>608</v>
      </c>
      <c r="D1719" s="130" t="s">
        <v>408</v>
      </c>
      <c r="E1719" s="132">
        <v>564.26</v>
      </c>
    </row>
    <row r="1720" spans="1:5" x14ac:dyDescent="0.25">
      <c r="A1720" s="130" t="s">
        <v>4</v>
      </c>
      <c r="B1720" s="130" t="s">
        <v>574</v>
      </c>
      <c r="C1720" s="130" t="s">
        <v>608</v>
      </c>
      <c r="D1720" s="130" t="s">
        <v>616</v>
      </c>
      <c r="E1720" s="132">
        <v>797.3</v>
      </c>
    </row>
    <row r="1721" spans="1:5" x14ac:dyDescent="0.25">
      <c r="A1721" s="130" t="s">
        <v>4</v>
      </c>
      <c r="B1721" s="130" t="s">
        <v>574</v>
      </c>
      <c r="C1721" s="130" t="s">
        <v>608</v>
      </c>
      <c r="D1721" s="130" t="s">
        <v>296</v>
      </c>
      <c r="E1721" s="132">
        <v>405.29</v>
      </c>
    </row>
    <row r="1722" spans="1:5" x14ac:dyDescent="0.25">
      <c r="A1722" s="130" t="s">
        <v>4</v>
      </c>
      <c r="B1722" s="130" t="s">
        <v>574</v>
      </c>
      <c r="C1722" s="130" t="s">
        <v>608</v>
      </c>
      <c r="D1722" s="130" t="s">
        <v>1034</v>
      </c>
      <c r="E1722" s="132">
        <v>801.98</v>
      </c>
    </row>
    <row r="1723" spans="1:5" x14ac:dyDescent="0.25">
      <c r="A1723" s="130" t="s">
        <v>4</v>
      </c>
      <c r="B1723" s="130" t="s">
        <v>574</v>
      </c>
      <c r="C1723" s="130" t="s">
        <v>608</v>
      </c>
      <c r="D1723" s="130" t="s">
        <v>445</v>
      </c>
      <c r="E1723" s="132">
        <v>598.57000000000005</v>
      </c>
    </row>
    <row r="1724" spans="1:5" x14ac:dyDescent="0.25">
      <c r="A1724" s="130" t="s">
        <v>4</v>
      </c>
      <c r="B1724" s="130" t="s">
        <v>574</v>
      </c>
      <c r="C1724" s="130" t="s">
        <v>608</v>
      </c>
      <c r="D1724" s="130" t="s">
        <v>711</v>
      </c>
      <c r="E1724" s="132">
        <v>1205.68</v>
      </c>
    </row>
    <row r="1725" spans="1:5" x14ac:dyDescent="0.25">
      <c r="A1725" s="130" t="s">
        <v>4</v>
      </c>
      <c r="B1725" s="130" t="s">
        <v>574</v>
      </c>
      <c r="C1725" s="130" t="s">
        <v>608</v>
      </c>
      <c r="D1725" s="130" t="s">
        <v>346</v>
      </c>
      <c r="E1725" s="132">
        <v>2029.48</v>
      </c>
    </row>
    <row r="1726" spans="1:5" x14ac:dyDescent="0.25">
      <c r="A1726" s="130" t="s">
        <v>4</v>
      </c>
      <c r="B1726" s="130" t="s">
        <v>574</v>
      </c>
      <c r="C1726" s="130" t="s">
        <v>608</v>
      </c>
      <c r="D1726" s="130" t="s">
        <v>1035</v>
      </c>
      <c r="E1726" s="132">
        <v>1275.8399999999999</v>
      </c>
    </row>
    <row r="1727" spans="1:5" x14ac:dyDescent="0.25">
      <c r="A1727" s="130" t="s">
        <v>4</v>
      </c>
      <c r="B1727" s="130" t="s">
        <v>574</v>
      </c>
      <c r="C1727" s="130" t="s">
        <v>608</v>
      </c>
      <c r="D1727" s="130" t="s">
        <v>449</v>
      </c>
      <c r="E1727" s="132">
        <v>1410.67</v>
      </c>
    </row>
    <row r="1728" spans="1:5" x14ac:dyDescent="0.25">
      <c r="A1728" s="130" t="s">
        <v>4</v>
      </c>
      <c r="B1728" s="130" t="s">
        <v>574</v>
      </c>
      <c r="C1728" s="130" t="s">
        <v>608</v>
      </c>
      <c r="D1728" s="130" t="s">
        <v>1036</v>
      </c>
      <c r="E1728" s="132">
        <v>2362.29</v>
      </c>
    </row>
    <row r="1729" spans="1:5" x14ac:dyDescent="0.25">
      <c r="A1729" s="130" t="s">
        <v>4</v>
      </c>
      <c r="B1729" s="130" t="s">
        <v>574</v>
      </c>
      <c r="C1729" s="130" t="s">
        <v>608</v>
      </c>
      <c r="D1729" s="130" t="s">
        <v>451</v>
      </c>
      <c r="E1729" s="132">
        <v>1552.47</v>
      </c>
    </row>
    <row r="1730" spans="1:5" x14ac:dyDescent="0.25">
      <c r="A1730" s="130" t="s">
        <v>4</v>
      </c>
      <c r="B1730" s="130" t="s">
        <v>574</v>
      </c>
      <c r="C1730" s="130" t="s">
        <v>608</v>
      </c>
      <c r="D1730" s="130" t="s">
        <v>452</v>
      </c>
      <c r="E1730" s="132">
        <v>1338.95</v>
      </c>
    </row>
    <row r="1731" spans="1:5" x14ac:dyDescent="0.25">
      <c r="A1731" s="130" t="s">
        <v>4</v>
      </c>
      <c r="B1731" s="130" t="s">
        <v>574</v>
      </c>
      <c r="C1731" s="130" t="s">
        <v>608</v>
      </c>
      <c r="D1731" s="130" t="s">
        <v>513</v>
      </c>
      <c r="E1731" s="132">
        <v>806.66</v>
      </c>
    </row>
    <row r="1732" spans="1:5" x14ac:dyDescent="0.25">
      <c r="A1732" s="130" t="s">
        <v>4</v>
      </c>
      <c r="B1732" s="130" t="s">
        <v>574</v>
      </c>
      <c r="C1732" s="130" t="s">
        <v>608</v>
      </c>
      <c r="D1732" s="130" t="s">
        <v>950</v>
      </c>
      <c r="E1732" s="132">
        <v>1306.25</v>
      </c>
    </row>
    <row r="1733" spans="1:5" x14ac:dyDescent="0.25">
      <c r="A1733" s="130" t="s">
        <v>4</v>
      </c>
      <c r="B1733" s="130" t="s">
        <v>574</v>
      </c>
      <c r="C1733" s="130" t="s">
        <v>608</v>
      </c>
      <c r="D1733" s="130" t="s">
        <v>951</v>
      </c>
      <c r="E1733" s="132">
        <v>2202.52</v>
      </c>
    </row>
    <row r="1734" spans="1:5" x14ac:dyDescent="0.25">
      <c r="A1734" s="130" t="s">
        <v>4</v>
      </c>
      <c r="B1734" s="130" t="s">
        <v>574</v>
      </c>
      <c r="C1734" s="130" t="s">
        <v>608</v>
      </c>
      <c r="D1734" s="130" t="s">
        <v>312</v>
      </c>
      <c r="E1734" s="132">
        <v>710.01</v>
      </c>
    </row>
    <row r="1735" spans="1:5" x14ac:dyDescent="0.25">
      <c r="A1735" s="130" t="s">
        <v>4</v>
      </c>
      <c r="B1735" s="130" t="s">
        <v>574</v>
      </c>
      <c r="C1735" s="130" t="s">
        <v>608</v>
      </c>
      <c r="D1735" s="130" t="s">
        <v>453</v>
      </c>
      <c r="E1735" s="132">
        <v>2282.0300000000002</v>
      </c>
    </row>
    <row r="1736" spans="1:5" x14ac:dyDescent="0.25">
      <c r="A1736" s="130" t="s">
        <v>4</v>
      </c>
      <c r="B1736" s="130" t="s">
        <v>574</v>
      </c>
      <c r="C1736" s="130" t="s">
        <v>608</v>
      </c>
      <c r="D1736" s="130" t="s">
        <v>394</v>
      </c>
      <c r="E1736" s="132">
        <v>1133.26</v>
      </c>
    </row>
    <row r="1737" spans="1:5" x14ac:dyDescent="0.25">
      <c r="A1737" s="130" t="s">
        <v>4</v>
      </c>
      <c r="B1737" s="130" t="s">
        <v>574</v>
      </c>
      <c r="C1737" s="130" t="s">
        <v>608</v>
      </c>
      <c r="D1737" s="130" t="s">
        <v>454</v>
      </c>
      <c r="E1737" s="132">
        <v>844.86</v>
      </c>
    </row>
    <row r="1738" spans="1:5" x14ac:dyDescent="0.25">
      <c r="A1738" s="130" t="s">
        <v>4</v>
      </c>
      <c r="B1738" s="130" t="s">
        <v>574</v>
      </c>
      <c r="C1738" s="130" t="s">
        <v>608</v>
      </c>
      <c r="D1738" s="130" t="s">
        <v>750</v>
      </c>
      <c r="E1738" s="132">
        <v>1083.3399999999999</v>
      </c>
    </row>
    <row r="1739" spans="1:5" x14ac:dyDescent="0.25">
      <c r="A1739" s="130" t="s">
        <v>4</v>
      </c>
      <c r="B1739" s="130" t="s">
        <v>574</v>
      </c>
      <c r="C1739" s="130" t="s">
        <v>608</v>
      </c>
      <c r="D1739" s="130" t="s">
        <v>298</v>
      </c>
      <c r="E1739" s="132">
        <v>557.27</v>
      </c>
    </row>
    <row r="1740" spans="1:5" x14ac:dyDescent="0.25">
      <c r="A1740" s="130" t="s">
        <v>4</v>
      </c>
      <c r="B1740" s="130" t="s">
        <v>574</v>
      </c>
      <c r="C1740" s="130" t="s">
        <v>608</v>
      </c>
      <c r="D1740" s="130" t="s">
        <v>455</v>
      </c>
      <c r="E1740" s="132">
        <v>918.1</v>
      </c>
    </row>
    <row r="1741" spans="1:5" x14ac:dyDescent="0.25">
      <c r="A1741" s="130" t="s">
        <v>4</v>
      </c>
      <c r="B1741" s="130" t="s">
        <v>574</v>
      </c>
      <c r="C1741" s="130" t="s">
        <v>608</v>
      </c>
      <c r="D1741" s="130" t="s">
        <v>464</v>
      </c>
      <c r="E1741" s="132">
        <v>565.80999999999995</v>
      </c>
    </row>
    <row r="1742" spans="1:5" x14ac:dyDescent="0.25">
      <c r="A1742" s="130" t="s">
        <v>4</v>
      </c>
      <c r="B1742" s="130" t="s">
        <v>574</v>
      </c>
      <c r="C1742" s="130" t="s">
        <v>608</v>
      </c>
      <c r="D1742" s="130" t="s">
        <v>456</v>
      </c>
      <c r="E1742" s="132">
        <v>928.22</v>
      </c>
    </row>
    <row r="1743" spans="1:5" x14ac:dyDescent="0.25">
      <c r="A1743" s="130" t="s">
        <v>4</v>
      </c>
      <c r="B1743" s="130" t="s">
        <v>574</v>
      </c>
      <c r="C1743" s="130" t="s">
        <v>608</v>
      </c>
      <c r="D1743" s="130" t="s">
        <v>954</v>
      </c>
      <c r="E1743" s="132">
        <v>1706.04</v>
      </c>
    </row>
    <row r="1744" spans="1:5" x14ac:dyDescent="0.25">
      <c r="A1744" s="130" t="s">
        <v>4</v>
      </c>
      <c r="B1744" s="130" t="s">
        <v>574</v>
      </c>
      <c r="C1744" s="130" t="s">
        <v>608</v>
      </c>
      <c r="D1744" s="130" t="s">
        <v>549</v>
      </c>
      <c r="E1744" s="132">
        <v>1134.78</v>
      </c>
    </row>
    <row r="1745" spans="1:5" x14ac:dyDescent="0.25">
      <c r="A1745" s="130" t="s">
        <v>4</v>
      </c>
      <c r="B1745" s="130" t="s">
        <v>574</v>
      </c>
      <c r="C1745" s="130" t="s">
        <v>608</v>
      </c>
      <c r="D1745" s="130" t="s">
        <v>349</v>
      </c>
      <c r="E1745" s="132">
        <v>604.77</v>
      </c>
    </row>
    <row r="1746" spans="1:5" x14ac:dyDescent="0.25">
      <c r="A1746" s="130" t="s">
        <v>4</v>
      </c>
      <c r="B1746" s="130" t="s">
        <v>574</v>
      </c>
      <c r="C1746" s="130" t="s">
        <v>608</v>
      </c>
      <c r="D1746" s="130" t="s">
        <v>528</v>
      </c>
      <c r="E1746" s="132">
        <v>897.04</v>
      </c>
    </row>
    <row r="1747" spans="1:5" x14ac:dyDescent="0.25">
      <c r="A1747" s="130" t="s">
        <v>4</v>
      </c>
      <c r="B1747" s="130" t="s">
        <v>574</v>
      </c>
      <c r="C1747" s="130" t="s">
        <v>608</v>
      </c>
      <c r="D1747" s="130" t="s">
        <v>529</v>
      </c>
      <c r="E1747" s="132">
        <v>1050.5999999999999</v>
      </c>
    </row>
    <row r="1748" spans="1:5" x14ac:dyDescent="0.25">
      <c r="A1748" s="130" t="s">
        <v>4</v>
      </c>
      <c r="B1748" s="130" t="s">
        <v>574</v>
      </c>
      <c r="C1748" s="130" t="s">
        <v>608</v>
      </c>
      <c r="D1748" s="130" t="s">
        <v>410</v>
      </c>
      <c r="E1748" s="132">
        <v>703.75</v>
      </c>
    </row>
    <row r="1749" spans="1:5" x14ac:dyDescent="0.25">
      <c r="A1749" s="130" t="s">
        <v>4</v>
      </c>
      <c r="B1749" s="130" t="s">
        <v>574</v>
      </c>
      <c r="C1749" s="130" t="s">
        <v>608</v>
      </c>
      <c r="D1749" s="130" t="s">
        <v>242</v>
      </c>
      <c r="E1749" s="132">
        <v>1434.13</v>
      </c>
    </row>
    <row r="1750" spans="1:5" x14ac:dyDescent="0.25">
      <c r="A1750" s="130" t="s">
        <v>4</v>
      </c>
      <c r="B1750" s="130" t="s">
        <v>574</v>
      </c>
      <c r="C1750" s="130" t="s">
        <v>608</v>
      </c>
      <c r="D1750" s="130" t="s">
        <v>958</v>
      </c>
      <c r="E1750" s="132">
        <v>754.04</v>
      </c>
    </row>
    <row r="1751" spans="1:5" x14ac:dyDescent="0.25">
      <c r="A1751" s="130" t="s">
        <v>4</v>
      </c>
      <c r="B1751" s="130" t="s">
        <v>574</v>
      </c>
      <c r="C1751" s="130" t="s">
        <v>608</v>
      </c>
      <c r="D1751" s="130" t="s">
        <v>752</v>
      </c>
      <c r="E1751" s="132">
        <v>1011.23</v>
      </c>
    </row>
    <row r="1752" spans="1:5" x14ac:dyDescent="0.25">
      <c r="A1752" s="130" t="s">
        <v>4</v>
      </c>
      <c r="B1752" s="130" t="s">
        <v>574</v>
      </c>
      <c r="C1752" s="130" t="s">
        <v>608</v>
      </c>
      <c r="D1752" s="130" t="s">
        <v>434</v>
      </c>
      <c r="E1752" s="132">
        <v>445.8</v>
      </c>
    </row>
    <row r="1753" spans="1:5" x14ac:dyDescent="0.25">
      <c r="A1753" s="130" t="s">
        <v>4</v>
      </c>
      <c r="B1753" s="130" t="s">
        <v>574</v>
      </c>
      <c r="C1753" s="130" t="s">
        <v>608</v>
      </c>
      <c r="D1753" s="130" t="s">
        <v>518</v>
      </c>
      <c r="E1753" s="132">
        <v>757.96</v>
      </c>
    </row>
    <row r="1754" spans="1:5" x14ac:dyDescent="0.25">
      <c r="A1754" s="130" t="s">
        <v>4</v>
      </c>
      <c r="B1754" s="130" t="s">
        <v>574</v>
      </c>
      <c r="C1754" s="130" t="s">
        <v>608</v>
      </c>
      <c r="D1754" s="130" t="s">
        <v>475</v>
      </c>
      <c r="E1754" s="132">
        <v>353.87</v>
      </c>
    </row>
    <row r="1755" spans="1:5" x14ac:dyDescent="0.25">
      <c r="A1755" s="130" t="s">
        <v>4</v>
      </c>
      <c r="B1755" s="130" t="s">
        <v>574</v>
      </c>
      <c r="C1755" s="130" t="s">
        <v>608</v>
      </c>
      <c r="D1755" s="130" t="s">
        <v>313</v>
      </c>
      <c r="E1755" s="132">
        <v>749.74</v>
      </c>
    </row>
    <row r="1756" spans="1:5" x14ac:dyDescent="0.25">
      <c r="A1756" s="130" t="s">
        <v>4</v>
      </c>
      <c r="B1756" s="130" t="s">
        <v>574</v>
      </c>
      <c r="C1756" s="130" t="s">
        <v>608</v>
      </c>
      <c r="D1756" s="130" t="s">
        <v>412</v>
      </c>
      <c r="E1756" s="132">
        <v>318.77</v>
      </c>
    </row>
    <row r="1757" spans="1:5" x14ac:dyDescent="0.25">
      <c r="A1757" s="130" t="s">
        <v>4</v>
      </c>
      <c r="B1757" s="130" t="s">
        <v>574</v>
      </c>
      <c r="C1757" s="130" t="s">
        <v>608</v>
      </c>
      <c r="D1757" s="130" t="s">
        <v>635</v>
      </c>
      <c r="E1757" s="132">
        <v>339.01</v>
      </c>
    </row>
    <row r="1758" spans="1:5" x14ac:dyDescent="0.25">
      <c r="A1758" s="130" t="s">
        <v>4</v>
      </c>
      <c r="B1758" s="130" t="s">
        <v>574</v>
      </c>
      <c r="C1758" s="130" t="s">
        <v>608</v>
      </c>
      <c r="D1758" s="130" t="s">
        <v>458</v>
      </c>
      <c r="E1758" s="132">
        <v>765.3</v>
      </c>
    </row>
    <row r="1759" spans="1:5" x14ac:dyDescent="0.25">
      <c r="A1759" s="130" t="s">
        <v>4</v>
      </c>
      <c r="B1759" s="130" t="s">
        <v>574</v>
      </c>
      <c r="C1759" s="130" t="s">
        <v>608</v>
      </c>
      <c r="D1759" s="130" t="s">
        <v>476</v>
      </c>
      <c r="E1759" s="132">
        <v>400.61</v>
      </c>
    </row>
    <row r="1760" spans="1:5" x14ac:dyDescent="0.25">
      <c r="A1760" s="130" t="s">
        <v>4</v>
      </c>
      <c r="B1760" s="130" t="s">
        <v>574</v>
      </c>
      <c r="C1760" s="130" t="s">
        <v>608</v>
      </c>
      <c r="D1760" s="130" t="s">
        <v>459</v>
      </c>
      <c r="E1760" s="132">
        <v>483.97</v>
      </c>
    </row>
    <row r="1761" spans="1:5" x14ac:dyDescent="0.25">
      <c r="A1761" s="130" t="s">
        <v>4</v>
      </c>
      <c r="B1761" s="130" t="s">
        <v>574</v>
      </c>
      <c r="C1761" s="130" t="s">
        <v>608</v>
      </c>
      <c r="D1761" s="130" t="s">
        <v>514</v>
      </c>
      <c r="E1761" s="132">
        <v>1271.9100000000001</v>
      </c>
    </row>
    <row r="1762" spans="1:5" x14ac:dyDescent="0.25">
      <c r="A1762" s="130" t="s">
        <v>4</v>
      </c>
      <c r="B1762" s="130" t="s">
        <v>574</v>
      </c>
      <c r="C1762" s="130" t="s">
        <v>608</v>
      </c>
      <c r="D1762" s="130" t="s">
        <v>547</v>
      </c>
      <c r="E1762" s="132">
        <v>3239.5</v>
      </c>
    </row>
    <row r="1763" spans="1:5" x14ac:dyDescent="0.25">
      <c r="A1763" s="130" t="s">
        <v>4</v>
      </c>
      <c r="B1763" s="130" t="s">
        <v>574</v>
      </c>
      <c r="C1763" s="130" t="s">
        <v>608</v>
      </c>
      <c r="D1763" s="130" t="s">
        <v>507</v>
      </c>
      <c r="E1763" s="132">
        <v>4599.57</v>
      </c>
    </row>
    <row r="1764" spans="1:5" x14ac:dyDescent="0.25">
      <c r="A1764" s="130" t="s">
        <v>4</v>
      </c>
      <c r="B1764" s="130" t="s">
        <v>574</v>
      </c>
      <c r="C1764" s="130" t="s">
        <v>608</v>
      </c>
      <c r="D1764" s="130" t="s">
        <v>916</v>
      </c>
      <c r="E1764" s="132">
        <v>7041.53</v>
      </c>
    </row>
    <row r="1765" spans="1:5" x14ac:dyDescent="0.25">
      <c r="A1765" s="130" t="s">
        <v>4</v>
      </c>
      <c r="B1765" s="130" t="s">
        <v>574</v>
      </c>
      <c r="C1765" s="130" t="s">
        <v>608</v>
      </c>
      <c r="D1765" s="130" t="s">
        <v>1037</v>
      </c>
      <c r="E1765" s="132">
        <v>1227.51</v>
      </c>
    </row>
    <row r="1766" spans="1:5" x14ac:dyDescent="0.25">
      <c r="A1766" s="130" t="s">
        <v>4</v>
      </c>
      <c r="B1766" s="130" t="s">
        <v>574</v>
      </c>
      <c r="C1766" s="130" t="s">
        <v>608</v>
      </c>
      <c r="D1766" s="130" t="s">
        <v>1038</v>
      </c>
      <c r="E1766" s="132">
        <v>995.26</v>
      </c>
    </row>
    <row r="1767" spans="1:5" x14ac:dyDescent="0.25">
      <c r="A1767" s="130" t="s">
        <v>4</v>
      </c>
      <c r="B1767" s="130" t="s">
        <v>574</v>
      </c>
      <c r="C1767" s="130" t="s">
        <v>608</v>
      </c>
      <c r="D1767" s="130" t="s">
        <v>1039</v>
      </c>
      <c r="E1767" s="132">
        <v>453.2</v>
      </c>
    </row>
    <row r="1768" spans="1:5" x14ac:dyDescent="0.25">
      <c r="A1768" s="130" t="s">
        <v>4</v>
      </c>
      <c r="B1768" s="130" t="s">
        <v>574</v>
      </c>
      <c r="C1768" s="130" t="s">
        <v>608</v>
      </c>
      <c r="D1768" s="130" t="s">
        <v>1040</v>
      </c>
      <c r="E1768" s="132">
        <v>515.94000000000005</v>
      </c>
    </row>
    <row r="1769" spans="1:5" x14ac:dyDescent="0.25">
      <c r="A1769" s="130" t="s">
        <v>4</v>
      </c>
      <c r="B1769" s="130" t="s">
        <v>574</v>
      </c>
      <c r="C1769" s="130" t="s">
        <v>608</v>
      </c>
      <c r="D1769" s="130" t="s">
        <v>478</v>
      </c>
      <c r="E1769" s="132">
        <v>941.09</v>
      </c>
    </row>
    <row r="1770" spans="1:5" x14ac:dyDescent="0.25">
      <c r="A1770" s="130" t="s">
        <v>4</v>
      </c>
      <c r="B1770" s="130" t="s">
        <v>574</v>
      </c>
      <c r="C1770" s="130" t="s">
        <v>608</v>
      </c>
      <c r="D1770" s="130" t="s">
        <v>563</v>
      </c>
      <c r="E1770" s="132">
        <v>453.2</v>
      </c>
    </row>
    <row r="1771" spans="1:5" x14ac:dyDescent="0.25">
      <c r="A1771" s="130" t="s">
        <v>4</v>
      </c>
      <c r="B1771" s="130" t="s">
        <v>574</v>
      </c>
      <c r="C1771" s="130" t="s">
        <v>608</v>
      </c>
      <c r="D1771" s="130" t="s">
        <v>803</v>
      </c>
      <c r="E1771" s="132">
        <v>515.94000000000005</v>
      </c>
    </row>
    <row r="1772" spans="1:5" x14ac:dyDescent="0.25">
      <c r="A1772" s="130" t="s">
        <v>4</v>
      </c>
      <c r="B1772" s="130" t="s">
        <v>574</v>
      </c>
      <c r="C1772" s="130" t="s">
        <v>608</v>
      </c>
      <c r="D1772" s="130" t="s">
        <v>487</v>
      </c>
      <c r="E1772" s="132">
        <v>717.03</v>
      </c>
    </row>
    <row r="1773" spans="1:5" x14ac:dyDescent="0.25">
      <c r="A1773" s="130" t="s">
        <v>4</v>
      </c>
      <c r="B1773" s="130" t="s">
        <v>574</v>
      </c>
      <c r="C1773" s="130" t="s">
        <v>608</v>
      </c>
      <c r="D1773" s="130" t="s">
        <v>479</v>
      </c>
      <c r="E1773" s="132">
        <v>941.09</v>
      </c>
    </row>
    <row r="1774" spans="1:5" x14ac:dyDescent="0.25">
      <c r="A1774" s="130" t="s">
        <v>4</v>
      </c>
      <c r="B1774" s="130" t="s">
        <v>574</v>
      </c>
      <c r="C1774" s="130" t="s">
        <v>608</v>
      </c>
      <c r="D1774" s="130" t="s">
        <v>1041</v>
      </c>
      <c r="E1774" s="132">
        <v>678.04</v>
      </c>
    </row>
    <row r="1775" spans="1:5" x14ac:dyDescent="0.25">
      <c r="A1775" s="130" t="s">
        <v>4</v>
      </c>
      <c r="B1775" s="130" t="s">
        <v>574</v>
      </c>
      <c r="C1775" s="130" t="s">
        <v>608</v>
      </c>
      <c r="D1775" s="130" t="s">
        <v>432</v>
      </c>
      <c r="E1775" s="132">
        <v>752.11</v>
      </c>
    </row>
    <row r="1776" spans="1:5" x14ac:dyDescent="0.25">
      <c r="A1776" s="130" t="s">
        <v>4</v>
      </c>
      <c r="B1776" s="130" t="s">
        <v>574</v>
      </c>
      <c r="C1776" s="130" t="s">
        <v>608</v>
      </c>
      <c r="D1776" s="130" t="s">
        <v>718</v>
      </c>
      <c r="E1776" s="132">
        <v>826.93</v>
      </c>
    </row>
    <row r="1777" spans="1:5" x14ac:dyDescent="0.25">
      <c r="A1777" s="130" t="s">
        <v>4</v>
      </c>
      <c r="B1777" s="130" t="s">
        <v>574</v>
      </c>
      <c r="C1777" s="130" t="s">
        <v>608</v>
      </c>
      <c r="D1777" s="130" t="s">
        <v>773</v>
      </c>
      <c r="E1777" s="132">
        <v>1007.34</v>
      </c>
    </row>
    <row r="1778" spans="1:5" x14ac:dyDescent="0.25">
      <c r="A1778" s="130" t="s">
        <v>4</v>
      </c>
      <c r="B1778" s="130" t="s">
        <v>574</v>
      </c>
      <c r="C1778" s="130" t="s">
        <v>608</v>
      </c>
      <c r="D1778" s="130" t="s">
        <v>1042</v>
      </c>
      <c r="E1778" s="132">
        <v>1191.26</v>
      </c>
    </row>
    <row r="1779" spans="1:5" x14ac:dyDescent="0.25">
      <c r="A1779" s="130" t="s">
        <v>4</v>
      </c>
      <c r="B1779" s="130" t="s">
        <v>574</v>
      </c>
      <c r="C1779" s="130" t="s">
        <v>608</v>
      </c>
      <c r="D1779" s="130" t="s">
        <v>433</v>
      </c>
      <c r="E1779" s="132">
        <v>783.67</v>
      </c>
    </row>
    <row r="1780" spans="1:5" x14ac:dyDescent="0.25">
      <c r="A1780" s="130" t="s">
        <v>4</v>
      </c>
      <c r="B1780" s="130" t="s">
        <v>574</v>
      </c>
      <c r="C1780" s="130" t="s">
        <v>608</v>
      </c>
      <c r="D1780" s="130" t="s">
        <v>1043</v>
      </c>
      <c r="E1780" s="132">
        <v>1040.07</v>
      </c>
    </row>
    <row r="1781" spans="1:5" x14ac:dyDescent="0.25">
      <c r="A1781" s="130" t="s">
        <v>4</v>
      </c>
      <c r="B1781" s="130" t="s">
        <v>574</v>
      </c>
      <c r="C1781" s="130" t="s">
        <v>608</v>
      </c>
      <c r="D1781" s="130" t="s">
        <v>244</v>
      </c>
      <c r="E1781" s="132">
        <v>6253.65</v>
      </c>
    </row>
    <row r="1782" spans="1:5" x14ac:dyDescent="0.25">
      <c r="A1782" s="130" t="s">
        <v>4</v>
      </c>
      <c r="B1782" s="130" t="s">
        <v>574</v>
      </c>
      <c r="C1782" s="130" t="s">
        <v>608</v>
      </c>
      <c r="D1782" s="130" t="s">
        <v>245</v>
      </c>
      <c r="E1782" s="132">
        <v>5042.7</v>
      </c>
    </row>
    <row r="1783" spans="1:5" x14ac:dyDescent="0.25">
      <c r="A1783" s="130" t="s">
        <v>4</v>
      </c>
      <c r="B1783" s="130" t="s">
        <v>574</v>
      </c>
      <c r="C1783" s="130" t="s">
        <v>608</v>
      </c>
      <c r="D1783" s="130" t="s">
        <v>246</v>
      </c>
      <c r="E1783" s="132">
        <v>5353.92</v>
      </c>
    </row>
    <row r="1784" spans="1:5" x14ac:dyDescent="0.25">
      <c r="A1784" s="130" t="s">
        <v>4</v>
      </c>
      <c r="B1784" s="130" t="s">
        <v>574</v>
      </c>
      <c r="C1784" s="130" t="s">
        <v>608</v>
      </c>
      <c r="D1784" s="130" t="s">
        <v>247</v>
      </c>
      <c r="E1784" s="132">
        <v>4435.7</v>
      </c>
    </row>
    <row r="1785" spans="1:5" x14ac:dyDescent="0.25">
      <c r="A1785" s="130" t="s">
        <v>4</v>
      </c>
      <c r="B1785" s="130" t="s">
        <v>574</v>
      </c>
      <c r="C1785" s="130" t="s">
        <v>608</v>
      </c>
      <c r="D1785" s="130" t="s">
        <v>248</v>
      </c>
      <c r="E1785" s="132">
        <v>2477.3000000000002</v>
      </c>
    </row>
    <row r="1786" spans="1:5" x14ac:dyDescent="0.25">
      <c r="A1786" s="130" t="s">
        <v>4</v>
      </c>
      <c r="B1786" s="130" t="s">
        <v>574</v>
      </c>
      <c r="C1786" s="130" t="s">
        <v>608</v>
      </c>
      <c r="D1786" s="130" t="s">
        <v>469</v>
      </c>
      <c r="E1786" s="132">
        <v>6468.23</v>
      </c>
    </row>
    <row r="1787" spans="1:5" x14ac:dyDescent="0.25">
      <c r="A1787" s="130" t="s">
        <v>4</v>
      </c>
      <c r="B1787" s="130" t="s">
        <v>574</v>
      </c>
      <c r="C1787" s="130" t="s">
        <v>608</v>
      </c>
      <c r="D1787" s="130" t="s">
        <v>371</v>
      </c>
      <c r="E1787" s="132">
        <v>12939.54</v>
      </c>
    </row>
    <row r="1788" spans="1:5" x14ac:dyDescent="0.25">
      <c r="A1788" s="130" t="s">
        <v>4</v>
      </c>
      <c r="B1788" s="130" t="s">
        <v>574</v>
      </c>
      <c r="C1788" s="130" t="s">
        <v>608</v>
      </c>
      <c r="D1788" s="130" t="s">
        <v>288</v>
      </c>
      <c r="E1788" s="132">
        <v>13092.91</v>
      </c>
    </row>
    <row r="1789" spans="1:5" x14ac:dyDescent="0.25">
      <c r="A1789" s="130" t="s">
        <v>4</v>
      </c>
      <c r="B1789" s="130" t="s">
        <v>574</v>
      </c>
      <c r="C1789" s="130" t="s">
        <v>608</v>
      </c>
      <c r="D1789" s="130" t="s">
        <v>714</v>
      </c>
      <c r="E1789" s="132">
        <v>14363.62</v>
      </c>
    </row>
    <row r="1790" spans="1:5" x14ac:dyDescent="0.25">
      <c r="A1790" s="130" t="s">
        <v>4</v>
      </c>
      <c r="B1790" s="130" t="s">
        <v>574</v>
      </c>
      <c r="C1790" s="130" t="s">
        <v>608</v>
      </c>
      <c r="D1790" s="130" t="s">
        <v>1044</v>
      </c>
      <c r="E1790" s="132">
        <v>4030.18</v>
      </c>
    </row>
    <row r="1791" spans="1:5" x14ac:dyDescent="0.25">
      <c r="A1791" s="130" t="s">
        <v>4</v>
      </c>
      <c r="B1791" s="130" t="s">
        <v>574</v>
      </c>
      <c r="C1791" s="130" t="s">
        <v>608</v>
      </c>
      <c r="D1791" s="130" t="s">
        <v>272</v>
      </c>
      <c r="E1791" s="132">
        <v>19396.96</v>
      </c>
    </row>
    <row r="1792" spans="1:5" x14ac:dyDescent="0.25">
      <c r="A1792" s="130" t="s">
        <v>4</v>
      </c>
      <c r="B1792" s="130" t="s">
        <v>574</v>
      </c>
      <c r="C1792" s="130" t="s">
        <v>608</v>
      </c>
      <c r="D1792" s="130" t="s">
        <v>1045</v>
      </c>
      <c r="E1792" s="132">
        <v>4612.37</v>
      </c>
    </row>
    <row r="1793" spans="1:5" x14ac:dyDescent="0.25">
      <c r="A1793" s="130" t="s">
        <v>4</v>
      </c>
      <c r="B1793" s="130" t="s">
        <v>574</v>
      </c>
      <c r="C1793" s="130" t="s">
        <v>608</v>
      </c>
      <c r="D1793" s="130" t="s">
        <v>331</v>
      </c>
      <c r="E1793" s="132">
        <v>1822.16</v>
      </c>
    </row>
    <row r="1794" spans="1:5" x14ac:dyDescent="0.25">
      <c r="A1794" s="130" t="s">
        <v>4</v>
      </c>
      <c r="B1794" s="130" t="s">
        <v>574</v>
      </c>
      <c r="C1794" s="130" t="s">
        <v>608</v>
      </c>
      <c r="D1794" s="130" t="s">
        <v>353</v>
      </c>
      <c r="E1794" s="132">
        <v>965.66</v>
      </c>
    </row>
    <row r="1795" spans="1:5" x14ac:dyDescent="0.25">
      <c r="A1795" s="130" t="s">
        <v>4</v>
      </c>
      <c r="B1795" s="130" t="s">
        <v>574</v>
      </c>
      <c r="C1795" s="130" t="s">
        <v>608</v>
      </c>
      <c r="D1795" s="130" t="s">
        <v>738</v>
      </c>
      <c r="E1795" s="132">
        <v>5538.31</v>
      </c>
    </row>
    <row r="1796" spans="1:5" x14ac:dyDescent="0.25">
      <c r="A1796" s="130" t="s">
        <v>4</v>
      </c>
      <c r="B1796" s="130" t="s">
        <v>574</v>
      </c>
      <c r="C1796" s="130" t="s">
        <v>608</v>
      </c>
      <c r="D1796" s="130" t="s">
        <v>928</v>
      </c>
      <c r="E1796" s="132">
        <v>1365.13</v>
      </c>
    </row>
    <row r="1797" spans="1:5" x14ac:dyDescent="0.25">
      <c r="A1797" s="130" t="s">
        <v>4</v>
      </c>
      <c r="B1797" s="130" t="s">
        <v>574</v>
      </c>
      <c r="C1797" s="130" t="s">
        <v>608</v>
      </c>
      <c r="D1797" s="130" t="s">
        <v>1046</v>
      </c>
      <c r="E1797" s="132">
        <v>3255.16</v>
      </c>
    </row>
    <row r="1798" spans="1:5" x14ac:dyDescent="0.25">
      <c r="A1798" s="130" t="s">
        <v>4</v>
      </c>
      <c r="B1798" s="130" t="s">
        <v>574</v>
      </c>
      <c r="C1798" s="130" t="s">
        <v>608</v>
      </c>
      <c r="D1798" s="130" t="s">
        <v>427</v>
      </c>
      <c r="E1798" s="132">
        <v>3419.72</v>
      </c>
    </row>
    <row r="1799" spans="1:5" x14ac:dyDescent="0.25">
      <c r="A1799" s="130" t="s">
        <v>4</v>
      </c>
      <c r="B1799" s="130" t="s">
        <v>574</v>
      </c>
      <c r="C1799" s="130" t="s">
        <v>608</v>
      </c>
      <c r="D1799" s="130" t="s">
        <v>506</v>
      </c>
      <c r="E1799" s="132">
        <v>5586.62</v>
      </c>
    </row>
    <row r="1800" spans="1:5" x14ac:dyDescent="0.25">
      <c r="A1800" s="130" t="s">
        <v>4</v>
      </c>
      <c r="B1800" s="130" t="s">
        <v>574</v>
      </c>
      <c r="C1800" s="130" t="s">
        <v>608</v>
      </c>
      <c r="D1800" s="130" t="s">
        <v>335</v>
      </c>
      <c r="E1800" s="132">
        <v>2702.7</v>
      </c>
    </row>
    <row r="1801" spans="1:5" x14ac:dyDescent="0.25">
      <c r="A1801" s="130" t="s">
        <v>4</v>
      </c>
      <c r="B1801" s="130" t="s">
        <v>574</v>
      </c>
      <c r="C1801" s="130" t="s">
        <v>608</v>
      </c>
      <c r="D1801" s="130" t="s">
        <v>259</v>
      </c>
      <c r="E1801" s="132">
        <v>4100.6400000000003</v>
      </c>
    </row>
    <row r="1802" spans="1:5" x14ac:dyDescent="0.25">
      <c r="A1802" s="130" t="s">
        <v>4</v>
      </c>
      <c r="B1802" s="130" t="s">
        <v>574</v>
      </c>
      <c r="C1802" s="130" t="s">
        <v>608</v>
      </c>
      <c r="D1802" s="130" t="s">
        <v>277</v>
      </c>
      <c r="E1802" s="132">
        <v>738.23</v>
      </c>
    </row>
    <row r="1803" spans="1:5" x14ac:dyDescent="0.25">
      <c r="A1803" s="130" t="s">
        <v>4</v>
      </c>
      <c r="B1803" s="130" t="s">
        <v>574</v>
      </c>
      <c r="C1803" s="130" t="s">
        <v>608</v>
      </c>
      <c r="D1803" s="130" t="s">
        <v>234</v>
      </c>
      <c r="E1803" s="132">
        <v>651.75</v>
      </c>
    </row>
    <row r="1804" spans="1:5" x14ac:dyDescent="0.25">
      <c r="A1804" s="130" t="s">
        <v>4</v>
      </c>
      <c r="B1804" s="130" t="s">
        <v>574</v>
      </c>
      <c r="C1804" s="130" t="s">
        <v>608</v>
      </c>
      <c r="D1804" s="130" t="s">
        <v>235</v>
      </c>
      <c r="E1804" s="132">
        <v>1120.1199999999999</v>
      </c>
    </row>
    <row r="1805" spans="1:5" x14ac:dyDescent="0.25">
      <c r="A1805" s="130" t="s">
        <v>4</v>
      </c>
      <c r="B1805" s="130" t="s">
        <v>574</v>
      </c>
      <c r="C1805" s="130" t="s">
        <v>608</v>
      </c>
      <c r="D1805" s="130" t="s">
        <v>620</v>
      </c>
      <c r="E1805" s="132">
        <v>6375.67</v>
      </c>
    </row>
    <row r="1806" spans="1:5" x14ac:dyDescent="0.25">
      <c r="A1806" s="130" t="s">
        <v>4</v>
      </c>
      <c r="B1806" s="130" t="s">
        <v>574</v>
      </c>
      <c r="C1806" s="130" t="s">
        <v>608</v>
      </c>
      <c r="D1806" s="130" t="s">
        <v>832</v>
      </c>
      <c r="E1806" s="132">
        <v>2615.67</v>
      </c>
    </row>
    <row r="1807" spans="1:5" x14ac:dyDescent="0.25">
      <c r="A1807" s="130" t="s">
        <v>4</v>
      </c>
      <c r="B1807" s="130" t="s">
        <v>574</v>
      </c>
      <c r="C1807" s="130" t="s">
        <v>608</v>
      </c>
      <c r="D1807" s="130" t="s">
        <v>835</v>
      </c>
      <c r="E1807" s="132">
        <v>1497.82</v>
      </c>
    </row>
    <row r="1808" spans="1:5" x14ac:dyDescent="0.25">
      <c r="A1808" s="130" t="s">
        <v>4</v>
      </c>
      <c r="B1808" s="130" t="s">
        <v>574</v>
      </c>
      <c r="C1808" s="130" t="s">
        <v>608</v>
      </c>
      <c r="D1808" s="130" t="s">
        <v>767</v>
      </c>
      <c r="E1808" s="132">
        <v>4061</v>
      </c>
    </row>
    <row r="1809" spans="1:5" x14ac:dyDescent="0.25">
      <c r="A1809" s="130" t="s">
        <v>4</v>
      </c>
      <c r="B1809" s="130" t="s">
        <v>574</v>
      </c>
      <c r="C1809" s="130" t="s">
        <v>608</v>
      </c>
      <c r="D1809" s="130" t="s">
        <v>840</v>
      </c>
      <c r="E1809" s="132">
        <v>1957.65</v>
      </c>
    </row>
    <row r="1810" spans="1:5" x14ac:dyDescent="0.25">
      <c r="A1810" s="130" t="s">
        <v>4</v>
      </c>
      <c r="B1810" s="130" t="s">
        <v>574</v>
      </c>
      <c r="C1810" s="130" t="s">
        <v>608</v>
      </c>
      <c r="D1810" s="130" t="s">
        <v>624</v>
      </c>
      <c r="E1810" s="132">
        <v>1817.22</v>
      </c>
    </row>
    <row r="1811" spans="1:5" x14ac:dyDescent="0.25">
      <c r="A1811" s="130" t="s">
        <v>4</v>
      </c>
      <c r="B1811" s="130" t="s">
        <v>574</v>
      </c>
      <c r="C1811" s="130" t="s">
        <v>608</v>
      </c>
      <c r="D1811" s="130" t="s">
        <v>799</v>
      </c>
      <c r="E1811" s="132">
        <v>880.92</v>
      </c>
    </row>
    <row r="1812" spans="1:5" x14ac:dyDescent="0.25">
      <c r="A1812" s="130" t="s">
        <v>4</v>
      </c>
      <c r="B1812" s="130" t="s">
        <v>574</v>
      </c>
      <c r="C1812" s="130" t="s">
        <v>608</v>
      </c>
      <c r="D1812" s="130" t="s">
        <v>610</v>
      </c>
      <c r="E1812" s="132">
        <v>3449.88</v>
      </c>
    </row>
    <row r="1813" spans="1:5" x14ac:dyDescent="0.25">
      <c r="A1813" s="130" t="s">
        <v>4</v>
      </c>
      <c r="B1813" s="130" t="s">
        <v>574</v>
      </c>
      <c r="C1813" s="130" t="s">
        <v>608</v>
      </c>
      <c r="D1813" s="130" t="s">
        <v>496</v>
      </c>
      <c r="E1813" s="132">
        <v>1442.07</v>
      </c>
    </row>
    <row r="1814" spans="1:5" x14ac:dyDescent="0.25">
      <c r="A1814" s="130" t="s">
        <v>4</v>
      </c>
      <c r="B1814" s="130" t="s">
        <v>574</v>
      </c>
      <c r="C1814" s="130" t="s">
        <v>608</v>
      </c>
      <c r="D1814" s="130" t="s">
        <v>498</v>
      </c>
      <c r="E1814" s="132">
        <v>836.75</v>
      </c>
    </row>
    <row r="1815" spans="1:5" x14ac:dyDescent="0.25">
      <c r="A1815" s="130" t="s">
        <v>4</v>
      </c>
      <c r="B1815" s="130" t="s">
        <v>574</v>
      </c>
      <c r="C1815" s="130" t="s">
        <v>608</v>
      </c>
      <c r="D1815" s="130" t="s">
        <v>293</v>
      </c>
      <c r="E1815" s="132">
        <v>743.38</v>
      </c>
    </row>
    <row r="1816" spans="1:5" x14ac:dyDescent="0.25">
      <c r="A1816" s="130" t="s">
        <v>4</v>
      </c>
      <c r="B1816" s="130" t="s">
        <v>574</v>
      </c>
      <c r="C1816" s="130" t="s">
        <v>608</v>
      </c>
      <c r="D1816" s="130" t="s">
        <v>696</v>
      </c>
      <c r="E1816" s="132">
        <v>1025.97</v>
      </c>
    </row>
    <row r="1817" spans="1:5" x14ac:dyDescent="0.25">
      <c r="A1817" s="130" t="s">
        <v>4</v>
      </c>
      <c r="B1817" s="130" t="s">
        <v>574</v>
      </c>
      <c r="C1817" s="130" t="s">
        <v>608</v>
      </c>
      <c r="D1817" s="130" t="s">
        <v>500</v>
      </c>
      <c r="E1817" s="132">
        <v>1039.3699999999999</v>
      </c>
    </row>
    <row r="1818" spans="1:5" x14ac:dyDescent="0.25">
      <c r="A1818" s="130" t="s">
        <v>4</v>
      </c>
      <c r="B1818" s="130" t="s">
        <v>574</v>
      </c>
      <c r="C1818" s="130" t="s">
        <v>608</v>
      </c>
      <c r="D1818" s="130" t="s">
        <v>383</v>
      </c>
      <c r="E1818" s="132">
        <v>860.41</v>
      </c>
    </row>
    <row r="1819" spans="1:5" x14ac:dyDescent="0.25">
      <c r="A1819" s="130" t="s">
        <v>4</v>
      </c>
      <c r="B1819" s="130" t="s">
        <v>574</v>
      </c>
      <c r="C1819" s="130" t="s">
        <v>608</v>
      </c>
      <c r="D1819" s="130" t="s">
        <v>237</v>
      </c>
      <c r="E1819" s="132">
        <v>561.72</v>
      </c>
    </row>
    <row r="1820" spans="1:5" x14ac:dyDescent="0.25">
      <c r="A1820" s="130" t="s">
        <v>4</v>
      </c>
      <c r="B1820" s="130" t="s">
        <v>574</v>
      </c>
      <c r="C1820" s="130" t="s">
        <v>608</v>
      </c>
      <c r="D1820" s="130" t="s">
        <v>266</v>
      </c>
      <c r="E1820" s="132">
        <v>651.16</v>
      </c>
    </row>
    <row r="1821" spans="1:5" x14ac:dyDescent="0.25">
      <c r="A1821" s="130" t="s">
        <v>4</v>
      </c>
      <c r="B1821" s="130" t="s">
        <v>574</v>
      </c>
      <c r="C1821" s="130" t="s">
        <v>608</v>
      </c>
      <c r="D1821" s="130" t="s">
        <v>312</v>
      </c>
      <c r="E1821" s="132">
        <v>1504.74</v>
      </c>
    </row>
    <row r="1822" spans="1:5" x14ac:dyDescent="0.25">
      <c r="A1822" s="130" t="s">
        <v>4</v>
      </c>
      <c r="B1822" s="130" t="s">
        <v>574</v>
      </c>
      <c r="C1822" s="130" t="s">
        <v>608</v>
      </c>
      <c r="D1822" s="130" t="s">
        <v>298</v>
      </c>
      <c r="E1822" s="132">
        <v>1181.2</v>
      </c>
    </row>
    <row r="1823" spans="1:5" x14ac:dyDescent="0.25">
      <c r="A1823" s="130" t="s">
        <v>4</v>
      </c>
      <c r="B1823" s="130" t="s">
        <v>574</v>
      </c>
      <c r="C1823" s="130" t="s">
        <v>608</v>
      </c>
      <c r="D1823" s="130" t="s">
        <v>455</v>
      </c>
      <c r="E1823" s="132">
        <v>973.3</v>
      </c>
    </row>
    <row r="1824" spans="1:5" x14ac:dyDescent="0.25">
      <c r="A1824" s="130" t="s">
        <v>4</v>
      </c>
      <c r="B1824" s="130" t="s">
        <v>574</v>
      </c>
      <c r="C1824" s="130" t="s">
        <v>608</v>
      </c>
      <c r="D1824" s="130" t="s">
        <v>725</v>
      </c>
      <c r="E1824" s="132">
        <v>345.55</v>
      </c>
    </row>
    <row r="1825" spans="1:5" x14ac:dyDescent="0.25">
      <c r="A1825" s="130" t="s">
        <v>4</v>
      </c>
      <c r="B1825" s="130" t="s">
        <v>574</v>
      </c>
      <c r="C1825" s="130" t="s">
        <v>608</v>
      </c>
      <c r="D1825" s="130" t="s">
        <v>466</v>
      </c>
      <c r="E1825" s="132">
        <v>999.49</v>
      </c>
    </row>
    <row r="1826" spans="1:5" x14ac:dyDescent="0.25">
      <c r="A1826" s="130" t="s">
        <v>4</v>
      </c>
      <c r="B1826" s="130" t="s">
        <v>574</v>
      </c>
      <c r="C1826" s="130" t="s">
        <v>608</v>
      </c>
      <c r="D1826" s="130" t="s">
        <v>476</v>
      </c>
      <c r="E1826" s="132">
        <v>849.4</v>
      </c>
    </row>
    <row r="1827" spans="1:5" x14ac:dyDescent="0.25">
      <c r="A1827" s="130" t="s">
        <v>4</v>
      </c>
      <c r="B1827" s="130" t="s">
        <v>574</v>
      </c>
      <c r="C1827" s="130" t="s">
        <v>608</v>
      </c>
      <c r="D1827" s="130" t="s">
        <v>413</v>
      </c>
      <c r="E1827" s="132">
        <v>1203.22</v>
      </c>
    </row>
    <row r="1828" spans="1:5" x14ac:dyDescent="0.25">
      <c r="A1828" s="130" t="s">
        <v>4</v>
      </c>
      <c r="B1828" s="130" t="s">
        <v>574</v>
      </c>
      <c r="C1828" s="130" t="s">
        <v>608</v>
      </c>
      <c r="D1828" s="130" t="s">
        <v>395</v>
      </c>
      <c r="E1828" s="132">
        <v>1036.6400000000001</v>
      </c>
    </row>
    <row r="1829" spans="1:5" x14ac:dyDescent="0.25">
      <c r="A1829" s="130" t="s">
        <v>4</v>
      </c>
      <c r="B1829" s="130" t="s">
        <v>574</v>
      </c>
      <c r="C1829" s="130" t="s">
        <v>608</v>
      </c>
      <c r="D1829" s="130" t="s">
        <v>460</v>
      </c>
      <c r="E1829" s="132">
        <v>1907.24</v>
      </c>
    </row>
    <row r="1830" spans="1:5" x14ac:dyDescent="0.25">
      <c r="A1830" s="130" t="s">
        <v>4</v>
      </c>
      <c r="B1830" s="130" t="s">
        <v>574</v>
      </c>
      <c r="C1830" s="130" t="s">
        <v>608</v>
      </c>
      <c r="D1830" s="130" t="s">
        <v>507</v>
      </c>
      <c r="E1830" s="132">
        <v>2437.41</v>
      </c>
    </row>
    <row r="1831" spans="1:5" x14ac:dyDescent="0.25">
      <c r="A1831" s="130" t="s">
        <v>4</v>
      </c>
      <c r="B1831" s="130" t="s">
        <v>574</v>
      </c>
      <c r="C1831" s="130" t="s">
        <v>608</v>
      </c>
      <c r="D1831" s="130" t="s">
        <v>636</v>
      </c>
      <c r="E1831" s="132">
        <v>2361.6799999999998</v>
      </c>
    </row>
    <row r="1832" spans="1:5" x14ac:dyDescent="0.25">
      <c r="A1832" s="130" t="s">
        <v>4</v>
      </c>
      <c r="B1832" s="130" t="s">
        <v>574</v>
      </c>
      <c r="C1832" s="130" t="s">
        <v>608</v>
      </c>
      <c r="D1832" s="130" t="s">
        <v>366</v>
      </c>
      <c r="E1832" s="132">
        <v>4185.1000000000004</v>
      </c>
    </row>
    <row r="1833" spans="1:5" x14ac:dyDescent="0.25">
      <c r="A1833" s="130" t="s">
        <v>4</v>
      </c>
      <c r="B1833" s="130" t="s">
        <v>574</v>
      </c>
      <c r="C1833" s="130" t="s">
        <v>608</v>
      </c>
      <c r="D1833" s="130" t="s">
        <v>323</v>
      </c>
      <c r="E1833" s="132">
        <v>1624.5</v>
      </c>
    </row>
    <row r="1834" spans="1:5" x14ac:dyDescent="0.25">
      <c r="A1834" s="130" t="s">
        <v>4</v>
      </c>
      <c r="B1834" s="130" t="s">
        <v>574</v>
      </c>
      <c r="C1834" s="130" t="s">
        <v>608</v>
      </c>
      <c r="D1834" s="130" t="s">
        <v>328</v>
      </c>
      <c r="E1834" s="132">
        <v>4246.05</v>
      </c>
    </row>
    <row r="1835" spans="1:5" x14ac:dyDescent="0.25">
      <c r="A1835" s="130" t="s">
        <v>4</v>
      </c>
      <c r="B1835" s="130" t="s">
        <v>574</v>
      </c>
      <c r="C1835" s="130" t="s">
        <v>608</v>
      </c>
      <c r="D1835" s="130" t="s">
        <v>305</v>
      </c>
      <c r="E1835" s="132">
        <v>678.17</v>
      </c>
    </row>
    <row r="1836" spans="1:5" x14ac:dyDescent="0.25">
      <c r="A1836" s="130" t="s">
        <v>4</v>
      </c>
      <c r="B1836" s="130" t="s">
        <v>574</v>
      </c>
      <c r="C1836" s="130" t="s">
        <v>608</v>
      </c>
      <c r="D1836" s="130" t="s">
        <v>931</v>
      </c>
      <c r="E1836" s="132">
        <v>2585.06</v>
      </c>
    </row>
    <row r="1837" spans="1:5" x14ac:dyDescent="0.25">
      <c r="A1837" s="130" t="s">
        <v>4</v>
      </c>
      <c r="B1837" s="130" t="s">
        <v>574</v>
      </c>
      <c r="C1837" s="130" t="s">
        <v>608</v>
      </c>
      <c r="D1837" s="130" t="s">
        <v>264</v>
      </c>
      <c r="E1837" s="132">
        <v>849.07</v>
      </c>
    </row>
    <row r="1838" spans="1:5" x14ac:dyDescent="0.25">
      <c r="A1838" s="130" t="s">
        <v>4</v>
      </c>
      <c r="B1838" s="130" t="s">
        <v>574</v>
      </c>
      <c r="C1838" s="130" t="s">
        <v>608</v>
      </c>
      <c r="D1838" s="130" t="s">
        <v>337</v>
      </c>
      <c r="E1838" s="132">
        <v>5176.08</v>
      </c>
    </row>
    <row r="1839" spans="1:5" x14ac:dyDescent="0.25">
      <c r="A1839" s="130" t="s">
        <v>4</v>
      </c>
      <c r="B1839" s="130" t="s">
        <v>574</v>
      </c>
      <c r="C1839" s="130" t="s">
        <v>608</v>
      </c>
      <c r="D1839" s="130" t="s">
        <v>333</v>
      </c>
      <c r="E1839" s="132">
        <v>3522.87</v>
      </c>
    </row>
    <row r="1840" spans="1:5" x14ac:dyDescent="0.25">
      <c r="A1840" s="130" t="s">
        <v>4</v>
      </c>
      <c r="B1840" s="130" t="s">
        <v>574</v>
      </c>
      <c r="C1840" s="130" t="s">
        <v>608</v>
      </c>
      <c r="D1840" s="130" t="s">
        <v>629</v>
      </c>
      <c r="E1840" s="132">
        <v>5316.13</v>
      </c>
    </row>
    <row r="1841" spans="1:5" x14ac:dyDescent="0.25">
      <c r="A1841" s="130" t="s">
        <v>4</v>
      </c>
      <c r="B1841" s="130" t="s">
        <v>574</v>
      </c>
      <c r="C1841" s="130" t="s">
        <v>608</v>
      </c>
      <c r="D1841" s="130" t="s">
        <v>829</v>
      </c>
      <c r="E1841" s="132">
        <v>1151.28</v>
      </c>
    </row>
    <row r="1842" spans="1:5" x14ac:dyDescent="0.25">
      <c r="A1842" s="130" t="s">
        <v>4</v>
      </c>
      <c r="B1842" s="130" t="s">
        <v>574</v>
      </c>
      <c r="C1842" s="130" t="s">
        <v>608</v>
      </c>
      <c r="D1842" s="130" t="s">
        <v>694</v>
      </c>
      <c r="E1842" s="132">
        <v>459.81</v>
      </c>
    </row>
    <row r="1843" spans="1:5" x14ac:dyDescent="0.25">
      <c r="A1843" s="130" t="s">
        <v>4</v>
      </c>
      <c r="B1843" s="130" t="s">
        <v>574</v>
      </c>
      <c r="C1843" s="130" t="s">
        <v>608</v>
      </c>
      <c r="D1843" s="130" t="s">
        <v>619</v>
      </c>
      <c r="E1843" s="132">
        <v>1502.28</v>
      </c>
    </row>
    <row r="1844" spans="1:5" x14ac:dyDescent="0.25">
      <c r="A1844" s="130" t="s">
        <v>4</v>
      </c>
      <c r="B1844" s="130" t="s">
        <v>574</v>
      </c>
      <c r="C1844" s="130" t="s">
        <v>608</v>
      </c>
      <c r="D1844" s="130" t="s">
        <v>234</v>
      </c>
      <c r="E1844" s="132">
        <v>1280.92</v>
      </c>
    </row>
    <row r="1845" spans="1:5" x14ac:dyDescent="0.25">
      <c r="A1845" s="130" t="s">
        <v>4</v>
      </c>
      <c r="B1845" s="130" t="s">
        <v>574</v>
      </c>
      <c r="C1845" s="130" t="s">
        <v>608</v>
      </c>
      <c r="D1845" s="130" t="s">
        <v>358</v>
      </c>
      <c r="E1845" s="132">
        <v>1168.1300000000001</v>
      </c>
    </row>
    <row r="1846" spans="1:5" x14ac:dyDescent="0.25">
      <c r="A1846" s="130" t="s">
        <v>4</v>
      </c>
      <c r="B1846" s="130" t="s">
        <v>574</v>
      </c>
      <c r="C1846" s="130" t="s">
        <v>608</v>
      </c>
      <c r="D1846" s="130" t="s">
        <v>390</v>
      </c>
      <c r="E1846" s="132">
        <v>1057.68</v>
      </c>
    </row>
    <row r="1847" spans="1:5" x14ac:dyDescent="0.25">
      <c r="A1847" s="130" t="s">
        <v>4</v>
      </c>
      <c r="B1847" s="130" t="s">
        <v>574</v>
      </c>
      <c r="C1847" s="130" t="s">
        <v>608</v>
      </c>
      <c r="D1847" s="130" t="s">
        <v>536</v>
      </c>
      <c r="E1847" s="132">
        <v>1690.42</v>
      </c>
    </row>
    <row r="1848" spans="1:5" x14ac:dyDescent="0.25">
      <c r="A1848" s="130" t="s">
        <v>4</v>
      </c>
      <c r="B1848" s="130" t="s">
        <v>574</v>
      </c>
      <c r="C1848" s="130" t="s">
        <v>608</v>
      </c>
      <c r="D1848" s="130" t="s">
        <v>279</v>
      </c>
      <c r="E1848" s="132">
        <v>2240.4299999999998</v>
      </c>
    </row>
    <row r="1849" spans="1:5" x14ac:dyDescent="0.25">
      <c r="A1849" s="130" t="s">
        <v>4</v>
      </c>
      <c r="B1849" s="130" t="s">
        <v>574</v>
      </c>
      <c r="C1849" s="130" t="s">
        <v>608</v>
      </c>
      <c r="D1849" s="130" t="s">
        <v>1047</v>
      </c>
      <c r="E1849" s="132">
        <v>2398.0300000000002</v>
      </c>
    </row>
    <row r="1850" spans="1:5" x14ac:dyDescent="0.25">
      <c r="A1850" s="130" t="s">
        <v>4</v>
      </c>
      <c r="B1850" s="130" t="s">
        <v>574</v>
      </c>
      <c r="C1850" s="130" t="s">
        <v>608</v>
      </c>
      <c r="D1850" s="130" t="s">
        <v>1048</v>
      </c>
      <c r="E1850" s="132">
        <v>1035.22</v>
      </c>
    </row>
    <row r="1851" spans="1:5" x14ac:dyDescent="0.25">
      <c r="A1851" s="130" t="s">
        <v>4</v>
      </c>
      <c r="B1851" s="130" t="s">
        <v>574</v>
      </c>
      <c r="C1851" s="130" t="s">
        <v>608</v>
      </c>
      <c r="D1851" s="130" t="s">
        <v>1049</v>
      </c>
      <c r="E1851" s="132">
        <v>563.24</v>
      </c>
    </row>
    <row r="1852" spans="1:5" x14ac:dyDescent="0.25">
      <c r="A1852" s="130" t="s">
        <v>4</v>
      </c>
      <c r="B1852" s="130" t="s">
        <v>574</v>
      </c>
      <c r="C1852" s="130" t="s">
        <v>608</v>
      </c>
      <c r="D1852" s="130" t="s">
        <v>679</v>
      </c>
      <c r="E1852" s="132">
        <v>1856.5</v>
      </c>
    </row>
    <row r="1853" spans="1:5" x14ac:dyDescent="0.25">
      <c r="A1853" s="130" t="s">
        <v>4</v>
      </c>
      <c r="B1853" s="130" t="s">
        <v>574</v>
      </c>
      <c r="C1853" s="130" t="s">
        <v>608</v>
      </c>
      <c r="D1853" s="130" t="s">
        <v>263</v>
      </c>
      <c r="E1853" s="132">
        <v>3773.25</v>
      </c>
    </row>
    <row r="1854" spans="1:5" x14ac:dyDescent="0.25">
      <c r="A1854" s="130" t="s">
        <v>4</v>
      </c>
      <c r="B1854" s="130" t="s">
        <v>574</v>
      </c>
      <c r="C1854" s="130" t="s">
        <v>608</v>
      </c>
      <c r="D1854" s="130" t="s">
        <v>496</v>
      </c>
      <c r="E1854" s="132">
        <v>1348.95</v>
      </c>
    </row>
    <row r="1855" spans="1:5" x14ac:dyDescent="0.25">
      <c r="A1855" s="130" t="s">
        <v>4</v>
      </c>
      <c r="B1855" s="130" t="s">
        <v>574</v>
      </c>
      <c r="C1855" s="130" t="s">
        <v>608</v>
      </c>
      <c r="D1855" s="130" t="s">
        <v>497</v>
      </c>
      <c r="E1855" s="132">
        <v>3692.17</v>
      </c>
    </row>
    <row r="1856" spans="1:5" x14ac:dyDescent="0.25">
      <c r="A1856" s="130" t="s">
        <v>4</v>
      </c>
      <c r="B1856" s="130" t="s">
        <v>574</v>
      </c>
      <c r="C1856" s="130" t="s">
        <v>608</v>
      </c>
      <c r="D1856" s="130" t="s">
        <v>338</v>
      </c>
      <c r="E1856" s="132">
        <v>649</v>
      </c>
    </row>
    <row r="1857" spans="1:5" x14ac:dyDescent="0.25">
      <c r="A1857" s="130" t="s">
        <v>4</v>
      </c>
      <c r="B1857" s="130" t="s">
        <v>574</v>
      </c>
      <c r="C1857" s="130" t="s">
        <v>608</v>
      </c>
      <c r="D1857" s="130" t="s">
        <v>293</v>
      </c>
      <c r="E1857" s="132">
        <v>1738.33</v>
      </c>
    </row>
    <row r="1858" spans="1:5" x14ac:dyDescent="0.25">
      <c r="A1858" s="130" t="s">
        <v>4</v>
      </c>
      <c r="B1858" s="130" t="s">
        <v>574</v>
      </c>
      <c r="C1858" s="130" t="s">
        <v>608</v>
      </c>
      <c r="D1858" s="130" t="s">
        <v>303</v>
      </c>
      <c r="E1858" s="132">
        <v>1422.19</v>
      </c>
    </row>
    <row r="1859" spans="1:5" x14ac:dyDescent="0.25">
      <c r="A1859" s="130" t="s">
        <v>4</v>
      </c>
      <c r="B1859" s="130" t="s">
        <v>574</v>
      </c>
      <c r="C1859" s="130" t="s">
        <v>608</v>
      </c>
      <c r="D1859" s="130" t="s">
        <v>403</v>
      </c>
      <c r="E1859" s="132">
        <v>342.22</v>
      </c>
    </row>
    <row r="1860" spans="1:5" x14ac:dyDescent="0.25">
      <c r="A1860" s="130" t="s">
        <v>4</v>
      </c>
      <c r="B1860" s="130" t="s">
        <v>574</v>
      </c>
      <c r="C1860" s="130" t="s">
        <v>608</v>
      </c>
      <c r="D1860" s="130" t="s">
        <v>1050</v>
      </c>
      <c r="E1860" s="132">
        <v>174.96</v>
      </c>
    </row>
    <row r="1861" spans="1:5" x14ac:dyDescent="0.25">
      <c r="A1861" s="130" t="s">
        <v>4</v>
      </c>
      <c r="B1861" s="130" t="s">
        <v>574</v>
      </c>
      <c r="C1861" s="130" t="s">
        <v>608</v>
      </c>
      <c r="D1861" s="130" t="s">
        <v>788</v>
      </c>
      <c r="E1861" s="132">
        <v>202.41</v>
      </c>
    </row>
    <row r="1862" spans="1:5" x14ac:dyDescent="0.25">
      <c r="A1862" s="130" t="s">
        <v>4</v>
      </c>
      <c r="B1862" s="130" t="s">
        <v>574</v>
      </c>
      <c r="C1862" s="130" t="s">
        <v>608</v>
      </c>
      <c r="D1862" s="130" t="s">
        <v>294</v>
      </c>
      <c r="E1862" s="132">
        <v>645.84</v>
      </c>
    </row>
    <row r="1863" spans="1:5" x14ac:dyDescent="0.25">
      <c r="A1863" s="130" t="s">
        <v>4</v>
      </c>
      <c r="B1863" s="130" t="s">
        <v>574</v>
      </c>
      <c r="C1863" s="130" t="s">
        <v>608</v>
      </c>
      <c r="D1863" s="130" t="s">
        <v>295</v>
      </c>
      <c r="E1863" s="132">
        <v>536.97</v>
      </c>
    </row>
    <row r="1864" spans="1:5" x14ac:dyDescent="0.25">
      <c r="A1864" s="130" t="s">
        <v>4</v>
      </c>
      <c r="B1864" s="130" t="s">
        <v>574</v>
      </c>
      <c r="C1864" s="130" t="s">
        <v>608</v>
      </c>
      <c r="D1864" s="130" t="s">
        <v>405</v>
      </c>
      <c r="E1864" s="132">
        <v>2111.44</v>
      </c>
    </row>
    <row r="1865" spans="1:5" x14ac:dyDescent="0.25">
      <c r="A1865" s="130" t="s">
        <v>4</v>
      </c>
      <c r="B1865" s="130" t="s">
        <v>574</v>
      </c>
      <c r="C1865" s="130" t="s">
        <v>608</v>
      </c>
      <c r="D1865" s="130" t="s">
        <v>237</v>
      </c>
      <c r="E1865" s="132">
        <v>787.99</v>
      </c>
    </row>
    <row r="1866" spans="1:5" x14ac:dyDescent="0.25">
      <c r="A1866" s="130" t="s">
        <v>4</v>
      </c>
      <c r="B1866" s="130" t="s">
        <v>574</v>
      </c>
      <c r="C1866" s="130" t="s">
        <v>608</v>
      </c>
      <c r="D1866" s="130" t="s">
        <v>238</v>
      </c>
      <c r="E1866" s="132">
        <v>394</v>
      </c>
    </row>
    <row r="1867" spans="1:5" x14ac:dyDescent="0.25">
      <c r="A1867" s="130" t="s">
        <v>4</v>
      </c>
      <c r="B1867" s="130" t="s">
        <v>574</v>
      </c>
      <c r="C1867" s="130" t="s">
        <v>608</v>
      </c>
      <c r="D1867" s="130" t="s">
        <v>474</v>
      </c>
      <c r="E1867" s="132">
        <v>532.70000000000005</v>
      </c>
    </row>
    <row r="1868" spans="1:5" x14ac:dyDescent="0.25">
      <c r="A1868" s="130" t="s">
        <v>4</v>
      </c>
      <c r="B1868" s="130" t="s">
        <v>574</v>
      </c>
      <c r="C1868" s="130" t="s">
        <v>608</v>
      </c>
      <c r="D1868" s="130" t="s">
        <v>365</v>
      </c>
      <c r="E1868" s="132">
        <v>655.14</v>
      </c>
    </row>
    <row r="1869" spans="1:5" x14ac:dyDescent="0.25">
      <c r="A1869" s="130" t="s">
        <v>4</v>
      </c>
      <c r="B1869" s="130" t="s">
        <v>574</v>
      </c>
      <c r="C1869" s="130" t="s">
        <v>608</v>
      </c>
      <c r="D1869" s="130" t="s">
        <v>298</v>
      </c>
      <c r="E1869" s="132">
        <v>552.41999999999996</v>
      </c>
    </row>
    <row r="1870" spans="1:5" x14ac:dyDescent="0.25">
      <c r="A1870" s="130" t="s">
        <v>4</v>
      </c>
      <c r="B1870" s="130" t="s">
        <v>574</v>
      </c>
      <c r="C1870" s="130" t="s">
        <v>608</v>
      </c>
      <c r="D1870" s="130" t="s">
        <v>722</v>
      </c>
      <c r="E1870" s="132">
        <v>2708.67</v>
      </c>
    </row>
    <row r="1871" spans="1:5" x14ac:dyDescent="0.25">
      <c r="A1871" s="130" t="s">
        <v>4</v>
      </c>
      <c r="B1871" s="130" t="s">
        <v>574</v>
      </c>
      <c r="C1871" s="130" t="s">
        <v>608</v>
      </c>
      <c r="D1871" s="130" t="s">
        <v>410</v>
      </c>
      <c r="E1871" s="132">
        <v>697.61</v>
      </c>
    </row>
    <row r="1872" spans="1:5" x14ac:dyDescent="0.25">
      <c r="A1872" s="130" t="s">
        <v>4</v>
      </c>
      <c r="B1872" s="130" t="s">
        <v>574</v>
      </c>
      <c r="C1872" s="130" t="s">
        <v>608</v>
      </c>
      <c r="D1872" s="130" t="s">
        <v>243</v>
      </c>
      <c r="E1872" s="132">
        <v>1462.44</v>
      </c>
    </row>
    <row r="1873" spans="1:5" x14ac:dyDescent="0.25">
      <c r="A1873" s="130" t="s">
        <v>4</v>
      </c>
      <c r="B1873" s="130" t="s">
        <v>574</v>
      </c>
      <c r="C1873" s="130" t="s">
        <v>608</v>
      </c>
      <c r="D1873" s="130" t="s">
        <v>735</v>
      </c>
      <c r="E1873" s="132">
        <v>1077.75</v>
      </c>
    </row>
    <row r="1874" spans="1:5" x14ac:dyDescent="0.25">
      <c r="A1874" s="130" t="s">
        <v>4</v>
      </c>
      <c r="B1874" s="130" t="s">
        <v>574</v>
      </c>
      <c r="C1874" s="130" t="s">
        <v>608</v>
      </c>
      <c r="D1874" s="130" t="s">
        <v>518</v>
      </c>
      <c r="E1874" s="132">
        <v>751.34</v>
      </c>
    </row>
    <row r="1875" spans="1:5" x14ac:dyDescent="0.25">
      <c r="A1875" s="130" t="s">
        <v>4</v>
      </c>
      <c r="B1875" s="130" t="s">
        <v>574</v>
      </c>
      <c r="C1875" s="130" t="s">
        <v>608</v>
      </c>
      <c r="D1875" s="130" t="s">
        <v>280</v>
      </c>
      <c r="E1875" s="132">
        <v>318.3</v>
      </c>
    </row>
    <row r="1876" spans="1:5" x14ac:dyDescent="0.25">
      <c r="A1876" s="130" t="s">
        <v>4</v>
      </c>
      <c r="B1876" s="130" t="s">
        <v>574</v>
      </c>
      <c r="C1876" s="130" t="s">
        <v>608</v>
      </c>
      <c r="D1876" s="130" t="s">
        <v>465</v>
      </c>
      <c r="E1876" s="132">
        <v>720.02</v>
      </c>
    </row>
    <row r="1877" spans="1:5" x14ac:dyDescent="0.25">
      <c r="A1877" s="130" t="s">
        <v>4</v>
      </c>
      <c r="B1877" s="130" t="s">
        <v>574</v>
      </c>
      <c r="C1877" s="130" t="s">
        <v>608</v>
      </c>
      <c r="D1877" s="130" t="s">
        <v>458</v>
      </c>
      <c r="E1877" s="132">
        <v>758.63</v>
      </c>
    </row>
    <row r="1878" spans="1:5" x14ac:dyDescent="0.25">
      <c r="A1878" s="130" t="s">
        <v>4</v>
      </c>
      <c r="B1878" s="130" t="s">
        <v>574</v>
      </c>
      <c r="C1878" s="130" t="s">
        <v>608</v>
      </c>
      <c r="D1878" s="130" t="s">
        <v>413</v>
      </c>
      <c r="E1878" s="132">
        <v>562.41999999999996</v>
      </c>
    </row>
    <row r="1879" spans="1:5" x14ac:dyDescent="0.25">
      <c r="A1879" s="130" t="s">
        <v>4</v>
      </c>
      <c r="B1879" s="130" t="s">
        <v>574</v>
      </c>
      <c r="C1879" s="130" t="s">
        <v>608</v>
      </c>
      <c r="D1879" s="130" t="s">
        <v>340</v>
      </c>
      <c r="E1879" s="132">
        <v>2402.1</v>
      </c>
    </row>
    <row r="1880" spans="1:5" x14ac:dyDescent="0.25">
      <c r="A1880" s="130" t="s">
        <v>4</v>
      </c>
      <c r="B1880" s="130" t="s">
        <v>574</v>
      </c>
      <c r="C1880" s="130" t="s">
        <v>608</v>
      </c>
      <c r="D1880" s="130" t="s">
        <v>460</v>
      </c>
      <c r="E1880" s="132">
        <v>1189.3</v>
      </c>
    </row>
    <row r="1881" spans="1:5" x14ac:dyDescent="0.25">
      <c r="A1881" s="130" t="s">
        <v>4</v>
      </c>
      <c r="B1881" s="130" t="s">
        <v>574</v>
      </c>
      <c r="C1881" s="130" t="s">
        <v>608</v>
      </c>
      <c r="D1881" s="130" t="s">
        <v>662</v>
      </c>
      <c r="E1881" s="132">
        <v>126.71</v>
      </c>
    </row>
    <row r="1882" spans="1:5" x14ac:dyDescent="0.25">
      <c r="A1882" s="130" t="s">
        <v>4</v>
      </c>
      <c r="B1882" s="130" t="s">
        <v>574</v>
      </c>
      <c r="C1882" s="130" t="s">
        <v>608</v>
      </c>
      <c r="D1882" s="130" t="s">
        <v>663</v>
      </c>
      <c r="E1882" s="132">
        <v>433.08</v>
      </c>
    </row>
    <row r="1883" spans="1:5" x14ac:dyDescent="0.25">
      <c r="A1883" s="130" t="s">
        <v>4</v>
      </c>
      <c r="B1883" s="130" t="s">
        <v>574</v>
      </c>
      <c r="C1883" s="130" t="s">
        <v>608</v>
      </c>
      <c r="D1883" s="130" t="s">
        <v>361</v>
      </c>
      <c r="E1883" s="132">
        <v>213.17</v>
      </c>
    </row>
    <row r="1884" spans="1:5" x14ac:dyDescent="0.25">
      <c r="A1884" s="130" t="s">
        <v>4</v>
      </c>
      <c r="B1884" s="130" t="s">
        <v>574</v>
      </c>
      <c r="C1884" s="130" t="s">
        <v>608</v>
      </c>
      <c r="D1884" s="130" t="s">
        <v>384</v>
      </c>
      <c r="E1884" s="132">
        <v>322.16000000000003</v>
      </c>
    </row>
    <row r="1885" spans="1:5" x14ac:dyDescent="0.25">
      <c r="A1885" s="130" t="s">
        <v>4</v>
      </c>
      <c r="B1885" s="130" t="s">
        <v>574</v>
      </c>
      <c r="C1885" s="130" t="s">
        <v>608</v>
      </c>
      <c r="D1885" s="130" t="s">
        <v>246</v>
      </c>
      <c r="E1885" s="132">
        <v>8030.88</v>
      </c>
    </row>
    <row r="1886" spans="1:5" x14ac:dyDescent="0.25">
      <c r="A1886" s="130" t="s">
        <v>4</v>
      </c>
      <c r="B1886" s="130" t="s">
        <v>574</v>
      </c>
      <c r="C1886" s="130" t="s">
        <v>608</v>
      </c>
      <c r="D1886" s="130" t="s">
        <v>247</v>
      </c>
      <c r="E1886" s="132">
        <v>4435.7</v>
      </c>
    </row>
    <row r="1887" spans="1:5" x14ac:dyDescent="0.25">
      <c r="A1887" s="130" t="s">
        <v>4</v>
      </c>
      <c r="B1887" s="130" t="s">
        <v>574</v>
      </c>
      <c r="C1887" s="130" t="s">
        <v>608</v>
      </c>
      <c r="D1887" s="130" t="s">
        <v>251</v>
      </c>
      <c r="E1887" s="132">
        <v>7903.35</v>
      </c>
    </row>
    <row r="1888" spans="1:5" x14ac:dyDescent="0.25">
      <c r="A1888" s="130" t="s">
        <v>4</v>
      </c>
      <c r="B1888" s="130" t="s">
        <v>574</v>
      </c>
      <c r="C1888" s="130" t="s">
        <v>608</v>
      </c>
      <c r="D1888" s="130" t="s">
        <v>267</v>
      </c>
      <c r="E1888" s="132">
        <v>3464.25</v>
      </c>
    </row>
    <row r="1889" spans="1:5" x14ac:dyDescent="0.25">
      <c r="A1889" s="130" t="s">
        <v>4</v>
      </c>
      <c r="B1889" s="130" t="s">
        <v>574</v>
      </c>
      <c r="C1889" s="130" t="s">
        <v>608</v>
      </c>
      <c r="D1889" s="130" t="s">
        <v>396</v>
      </c>
      <c r="E1889" s="132">
        <v>4281.6099999999997</v>
      </c>
    </row>
    <row r="1890" spans="1:5" x14ac:dyDescent="0.25">
      <c r="A1890" s="130" t="s">
        <v>4</v>
      </c>
      <c r="B1890" s="130" t="s">
        <v>574</v>
      </c>
      <c r="C1890" s="130" t="s">
        <v>608</v>
      </c>
      <c r="D1890" s="130" t="s">
        <v>555</v>
      </c>
      <c r="E1890" s="132">
        <v>1991.69</v>
      </c>
    </row>
    <row r="1891" spans="1:5" x14ac:dyDescent="0.25">
      <c r="A1891" s="130" t="s">
        <v>4</v>
      </c>
      <c r="B1891" s="130" t="s">
        <v>574</v>
      </c>
      <c r="C1891" s="130" t="s">
        <v>608</v>
      </c>
      <c r="D1891" s="130" t="s">
        <v>502</v>
      </c>
      <c r="E1891" s="132">
        <v>5933.04</v>
      </c>
    </row>
    <row r="1892" spans="1:5" x14ac:dyDescent="0.25">
      <c r="A1892" s="130" t="s">
        <v>4</v>
      </c>
      <c r="B1892" s="130" t="s">
        <v>574</v>
      </c>
      <c r="C1892" s="130" t="s">
        <v>608</v>
      </c>
      <c r="D1892" s="130" t="s">
        <v>341</v>
      </c>
      <c r="E1892" s="132">
        <v>1304.9000000000001</v>
      </c>
    </row>
    <row r="1893" spans="1:5" x14ac:dyDescent="0.25">
      <c r="A1893" s="130" t="s">
        <v>4</v>
      </c>
      <c r="B1893" s="130" t="s">
        <v>574</v>
      </c>
      <c r="C1893" s="130" t="s">
        <v>608</v>
      </c>
      <c r="D1893" s="130" t="s">
        <v>560</v>
      </c>
      <c r="E1893" s="132">
        <v>6290.12</v>
      </c>
    </row>
    <row r="1894" spans="1:5" x14ac:dyDescent="0.25">
      <c r="A1894" s="130" t="s">
        <v>4</v>
      </c>
      <c r="B1894" s="130" t="s">
        <v>574</v>
      </c>
      <c r="C1894" s="130" t="s">
        <v>608</v>
      </c>
      <c r="D1894" s="130" t="s">
        <v>561</v>
      </c>
      <c r="E1894" s="132">
        <v>15302.5</v>
      </c>
    </row>
    <row r="1895" spans="1:5" x14ac:dyDescent="0.25">
      <c r="A1895" s="130" t="s">
        <v>4</v>
      </c>
      <c r="B1895" s="130" t="s">
        <v>574</v>
      </c>
      <c r="C1895" s="130" t="s">
        <v>608</v>
      </c>
      <c r="D1895" s="130" t="s">
        <v>309</v>
      </c>
      <c r="E1895" s="132">
        <v>21574.799999999999</v>
      </c>
    </row>
    <row r="1896" spans="1:5" x14ac:dyDescent="0.25">
      <c r="A1896" s="130" t="s">
        <v>4</v>
      </c>
      <c r="B1896" s="130" t="s">
        <v>574</v>
      </c>
      <c r="C1896" s="130" t="s">
        <v>608</v>
      </c>
      <c r="D1896" s="130" t="s">
        <v>655</v>
      </c>
      <c r="E1896" s="132">
        <v>46741.5</v>
      </c>
    </row>
    <row r="1897" spans="1:5" x14ac:dyDescent="0.25">
      <c r="A1897" s="130" t="s">
        <v>4</v>
      </c>
      <c r="B1897" s="130" t="s">
        <v>574</v>
      </c>
      <c r="C1897" s="130" t="s">
        <v>608</v>
      </c>
      <c r="D1897" s="130" t="s">
        <v>827</v>
      </c>
      <c r="E1897" s="132">
        <v>379.31</v>
      </c>
    </row>
    <row r="1898" spans="1:5" x14ac:dyDescent="0.25">
      <c r="A1898" s="130" t="s">
        <v>4</v>
      </c>
      <c r="B1898" s="130" t="s">
        <v>574</v>
      </c>
      <c r="C1898" s="130" t="s">
        <v>608</v>
      </c>
      <c r="D1898" s="130" t="s">
        <v>726</v>
      </c>
      <c r="E1898" s="132">
        <v>9720.59</v>
      </c>
    </row>
    <row r="1899" spans="1:5" x14ac:dyDescent="0.25">
      <c r="A1899" s="130" t="s">
        <v>4</v>
      </c>
      <c r="B1899" s="130" t="s">
        <v>574</v>
      </c>
      <c r="C1899" s="130" t="s">
        <v>608</v>
      </c>
      <c r="D1899" s="130" t="s">
        <v>498</v>
      </c>
      <c r="E1899" s="132">
        <v>10435.93</v>
      </c>
    </row>
    <row r="1900" spans="1:5" x14ac:dyDescent="0.25">
      <c r="A1900" s="130" t="s">
        <v>4</v>
      </c>
      <c r="B1900" s="130" t="s">
        <v>574</v>
      </c>
      <c r="C1900" s="130" t="s">
        <v>608</v>
      </c>
      <c r="D1900" s="130" t="s">
        <v>779</v>
      </c>
      <c r="E1900" s="132">
        <v>7904.45</v>
      </c>
    </row>
    <row r="1901" spans="1:5" x14ac:dyDescent="0.25">
      <c r="A1901" s="130" t="s">
        <v>4</v>
      </c>
      <c r="B1901" s="130" t="s">
        <v>574</v>
      </c>
      <c r="C1901" s="130" t="s">
        <v>608</v>
      </c>
      <c r="D1901" s="130" t="s">
        <v>526</v>
      </c>
      <c r="E1901" s="132">
        <v>628.87</v>
      </c>
    </row>
    <row r="1902" spans="1:5" x14ac:dyDescent="0.25">
      <c r="A1902" s="130" t="s">
        <v>4</v>
      </c>
      <c r="B1902" s="130" t="s">
        <v>574</v>
      </c>
      <c r="C1902" s="130" t="s">
        <v>608</v>
      </c>
      <c r="D1902" s="130" t="s">
        <v>348</v>
      </c>
      <c r="E1902" s="132">
        <v>1807.88</v>
      </c>
    </row>
    <row r="1903" spans="1:5" x14ac:dyDescent="0.25">
      <c r="A1903" s="130" t="s">
        <v>4</v>
      </c>
      <c r="B1903" s="130" t="s">
        <v>574</v>
      </c>
      <c r="C1903" s="130" t="s">
        <v>608</v>
      </c>
      <c r="D1903" s="130" t="s">
        <v>530</v>
      </c>
      <c r="E1903" s="132">
        <v>2479.9299999999998</v>
      </c>
    </row>
    <row r="1904" spans="1:5" x14ac:dyDescent="0.25">
      <c r="A1904" s="130" t="s">
        <v>4</v>
      </c>
      <c r="B1904" s="130" t="s">
        <v>574</v>
      </c>
      <c r="C1904" s="130" t="s">
        <v>608</v>
      </c>
      <c r="D1904" s="130" t="s">
        <v>1051</v>
      </c>
      <c r="E1904" s="132">
        <v>2965.13</v>
      </c>
    </row>
    <row r="1905" spans="1:5" x14ac:dyDescent="0.25">
      <c r="A1905" s="130" t="s">
        <v>4</v>
      </c>
      <c r="B1905" s="130" t="s">
        <v>574</v>
      </c>
      <c r="C1905" s="130" t="s">
        <v>608</v>
      </c>
      <c r="D1905" s="130" t="s">
        <v>276</v>
      </c>
      <c r="E1905" s="132">
        <v>3362.23</v>
      </c>
    </row>
    <row r="1906" spans="1:5" x14ac:dyDescent="0.25">
      <c r="A1906" s="130" t="s">
        <v>4</v>
      </c>
      <c r="B1906" s="130" t="s">
        <v>574</v>
      </c>
      <c r="C1906" s="130" t="s">
        <v>608</v>
      </c>
      <c r="D1906" s="130" t="s">
        <v>540</v>
      </c>
      <c r="E1906" s="132">
        <v>466.65</v>
      </c>
    </row>
    <row r="1907" spans="1:5" x14ac:dyDescent="0.25">
      <c r="A1907" s="130" t="s">
        <v>4</v>
      </c>
      <c r="B1907" s="130" t="s">
        <v>574</v>
      </c>
      <c r="C1907" s="130" t="s">
        <v>608</v>
      </c>
      <c r="D1907" s="130" t="s">
        <v>751</v>
      </c>
      <c r="E1907" s="132">
        <v>3016.84</v>
      </c>
    </row>
    <row r="1908" spans="1:5" x14ac:dyDescent="0.25">
      <c r="A1908" s="130" t="s">
        <v>4</v>
      </c>
      <c r="B1908" s="130" t="s">
        <v>574</v>
      </c>
      <c r="C1908" s="130" t="s">
        <v>608</v>
      </c>
      <c r="D1908" s="130" t="s">
        <v>541</v>
      </c>
      <c r="E1908" s="132">
        <v>1449.4</v>
      </c>
    </row>
    <row r="1909" spans="1:5" x14ac:dyDescent="0.25">
      <c r="A1909" s="130" t="s">
        <v>4</v>
      </c>
      <c r="B1909" s="130" t="s">
        <v>574</v>
      </c>
      <c r="C1909" s="130" t="s">
        <v>608</v>
      </c>
      <c r="D1909" s="130" t="s">
        <v>550</v>
      </c>
      <c r="E1909" s="132">
        <v>1919.03</v>
      </c>
    </row>
    <row r="1910" spans="1:5" x14ac:dyDescent="0.25">
      <c r="A1910" s="130" t="s">
        <v>4</v>
      </c>
      <c r="B1910" s="130" t="s">
        <v>574</v>
      </c>
      <c r="C1910" s="130" t="s">
        <v>608</v>
      </c>
      <c r="D1910" s="130" t="s">
        <v>650</v>
      </c>
      <c r="E1910" s="132">
        <v>1185.9100000000001</v>
      </c>
    </row>
    <row r="1911" spans="1:5" x14ac:dyDescent="0.25">
      <c r="A1911" s="130" t="s">
        <v>4</v>
      </c>
      <c r="B1911" s="130" t="s">
        <v>574</v>
      </c>
      <c r="C1911" s="130" t="s">
        <v>608</v>
      </c>
      <c r="D1911" s="130" t="s">
        <v>684</v>
      </c>
      <c r="E1911" s="132">
        <v>2873.99</v>
      </c>
    </row>
    <row r="1912" spans="1:5" x14ac:dyDescent="0.25">
      <c r="A1912" s="130" t="s">
        <v>4</v>
      </c>
      <c r="B1912" s="130" t="s">
        <v>574</v>
      </c>
      <c r="C1912" s="130" t="s">
        <v>608</v>
      </c>
      <c r="D1912" s="130" t="s">
        <v>717</v>
      </c>
      <c r="E1912" s="132">
        <v>1673.39</v>
      </c>
    </row>
    <row r="1913" spans="1:5" x14ac:dyDescent="0.25">
      <c r="A1913" s="130" t="s">
        <v>4</v>
      </c>
      <c r="B1913" s="130" t="s">
        <v>574</v>
      </c>
      <c r="C1913" s="130" t="s">
        <v>608</v>
      </c>
      <c r="D1913" s="130" t="s">
        <v>564</v>
      </c>
      <c r="E1913" s="132">
        <v>1123.32</v>
      </c>
    </row>
    <row r="1914" spans="1:5" x14ac:dyDescent="0.25">
      <c r="A1914" s="130" t="s">
        <v>4</v>
      </c>
      <c r="B1914" s="130" t="s">
        <v>574</v>
      </c>
      <c r="C1914" s="130" t="s">
        <v>608</v>
      </c>
      <c r="D1914" s="130" t="s">
        <v>565</v>
      </c>
      <c r="E1914" s="132">
        <v>2241.25</v>
      </c>
    </row>
    <row r="1915" spans="1:5" x14ac:dyDescent="0.25">
      <c r="A1915" s="130" t="s">
        <v>4</v>
      </c>
      <c r="B1915" s="130" t="s">
        <v>574</v>
      </c>
      <c r="C1915" s="130" t="s">
        <v>608</v>
      </c>
      <c r="D1915" s="130" t="s">
        <v>756</v>
      </c>
      <c r="E1915" s="132">
        <v>221.48</v>
      </c>
    </row>
    <row r="1916" spans="1:5" x14ac:dyDescent="0.25">
      <c r="A1916" s="130" t="s">
        <v>4</v>
      </c>
      <c r="B1916" s="130" t="s">
        <v>574</v>
      </c>
      <c r="C1916" s="130" t="s">
        <v>608</v>
      </c>
      <c r="D1916" s="130" t="s">
        <v>663</v>
      </c>
      <c r="E1916" s="132">
        <v>216.54</v>
      </c>
    </row>
    <row r="1917" spans="1:5" x14ac:dyDescent="0.25">
      <c r="A1917" s="130" t="s">
        <v>4</v>
      </c>
      <c r="B1917" s="130" t="s">
        <v>574</v>
      </c>
      <c r="C1917" s="130" t="s">
        <v>608</v>
      </c>
      <c r="D1917" s="130" t="s">
        <v>737</v>
      </c>
      <c r="E1917" s="132">
        <v>16613.18</v>
      </c>
    </row>
    <row r="1918" spans="1:5" x14ac:dyDescent="0.25">
      <c r="A1918" s="130" t="s">
        <v>4</v>
      </c>
      <c r="B1918" s="130" t="s">
        <v>574</v>
      </c>
      <c r="C1918" s="130" t="s">
        <v>608</v>
      </c>
      <c r="D1918" s="130" t="s">
        <v>330</v>
      </c>
      <c r="E1918" s="132">
        <v>21454.29</v>
      </c>
    </row>
    <row r="1919" spans="1:5" x14ac:dyDescent="0.25">
      <c r="A1919" s="130" t="s">
        <v>4</v>
      </c>
      <c r="B1919" s="130" t="s">
        <v>574</v>
      </c>
      <c r="C1919" s="130" t="s">
        <v>608</v>
      </c>
      <c r="D1919" s="130" t="s">
        <v>718</v>
      </c>
      <c r="E1919" s="132">
        <v>17637.75</v>
      </c>
    </row>
    <row r="1920" spans="1:5" x14ac:dyDescent="0.25">
      <c r="A1920" s="130" t="s">
        <v>4</v>
      </c>
      <c r="B1920" s="130" t="s">
        <v>574</v>
      </c>
      <c r="C1920" s="130" t="s">
        <v>608</v>
      </c>
      <c r="D1920" s="130" t="s">
        <v>813</v>
      </c>
      <c r="E1920" s="132">
        <v>54859.35</v>
      </c>
    </row>
    <row r="1921" spans="1:5" x14ac:dyDescent="0.25">
      <c r="A1921" s="130" t="s">
        <v>4</v>
      </c>
      <c r="B1921" s="130" t="s">
        <v>574</v>
      </c>
      <c r="C1921" s="130" t="s">
        <v>608</v>
      </c>
      <c r="D1921" s="130" t="s">
        <v>649</v>
      </c>
      <c r="E1921" s="132">
        <v>35416.949999999997</v>
      </c>
    </row>
    <row r="1922" spans="1:5" x14ac:dyDescent="0.25">
      <c r="A1922" s="130" t="s">
        <v>4</v>
      </c>
      <c r="B1922" s="130" t="s">
        <v>574</v>
      </c>
      <c r="C1922" s="130" t="s">
        <v>608</v>
      </c>
      <c r="D1922" s="130" t="s">
        <v>328</v>
      </c>
      <c r="E1922" s="132">
        <v>10338.41</v>
      </c>
    </row>
    <row r="1923" spans="1:5" x14ac:dyDescent="0.25">
      <c r="A1923" s="130" t="s">
        <v>4</v>
      </c>
      <c r="B1923" s="130" t="s">
        <v>574</v>
      </c>
      <c r="C1923" s="130" t="s">
        <v>608</v>
      </c>
      <c r="D1923" s="130" t="s">
        <v>502</v>
      </c>
      <c r="E1923" s="132">
        <v>5778.25</v>
      </c>
    </row>
    <row r="1924" spans="1:5" x14ac:dyDescent="0.25">
      <c r="A1924" s="130" t="s">
        <v>4</v>
      </c>
      <c r="B1924" s="130" t="s">
        <v>574</v>
      </c>
      <c r="C1924" s="130" t="s">
        <v>608</v>
      </c>
      <c r="D1924" s="130" t="s">
        <v>774</v>
      </c>
      <c r="E1924" s="132">
        <v>7367.02</v>
      </c>
    </row>
    <row r="1925" spans="1:5" x14ac:dyDescent="0.25">
      <c r="A1925" s="130" t="s">
        <v>4</v>
      </c>
      <c r="B1925" s="130" t="s">
        <v>574</v>
      </c>
      <c r="C1925" s="130" t="s">
        <v>608</v>
      </c>
      <c r="D1925" s="130" t="s">
        <v>283</v>
      </c>
      <c r="E1925" s="132">
        <v>2912.18</v>
      </c>
    </row>
    <row r="1926" spans="1:5" x14ac:dyDescent="0.25">
      <c r="A1926" s="130" t="s">
        <v>4</v>
      </c>
      <c r="B1926" s="130" t="s">
        <v>574</v>
      </c>
      <c r="C1926" s="130" t="s">
        <v>608</v>
      </c>
      <c r="D1926" s="130" t="s">
        <v>931</v>
      </c>
      <c r="E1926" s="132">
        <v>2517.61</v>
      </c>
    </row>
    <row r="1927" spans="1:5" x14ac:dyDescent="0.25">
      <c r="A1927" s="130" t="s">
        <v>4</v>
      </c>
      <c r="B1927" s="130" t="s">
        <v>574</v>
      </c>
      <c r="C1927" s="130" t="s">
        <v>608</v>
      </c>
      <c r="D1927" s="130" t="s">
        <v>402</v>
      </c>
      <c r="E1927" s="132">
        <v>1227.21</v>
      </c>
    </row>
    <row r="1928" spans="1:5" x14ac:dyDescent="0.25">
      <c r="A1928" s="130" t="s">
        <v>4</v>
      </c>
      <c r="B1928" s="130" t="s">
        <v>574</v>
      </c>
      <c r="C1928" s="130" t="s">
        <v>608</v>
      </c>
      <c r="D1928" s="130" t="s">
        <v>304</v>
      </c>
      <c r="E1928" s="132">
        <v>1557.5</v>
      </c>
    </row>
    <row r="1929" spans="1:5" x14ac:dyDescent="0.25">
      <c r="A1929" s="130" t="s">
        <v>4</v>
      </c>
      <c r="B1929" s="130" t="s">
        <v>574</v>
      </c>
      <c r="C1929" s="130" t="s">
        <v>608</v>
      </c>
      <c r="D1929" s="130" t="s">
        <v>1052</v>
      </c>
      <c r="E1929" s="132">
        <v>1078.21</v>
      </c>
    </row>
    <row r="1930" spans="1:5" x14ac:dyDescent="0.25">
      <c r="A1930" s="130" t="s">
        <v>4</v>
      </c>
      <c r="B1930" s="130" t="s">
        <v>574</v>
      </c>
      <c r="C1930" s="130" t="s">
        <v>608</v>
      </c>
      <c r="D1930" s="130" t="s">
        <v>374</v>
      </c>
      <c r="E1930" s="132">
        <v>2454.4299999999998</v>
      </c>
    </row>
    <row r="1931" spans="1:5" x14ac:dyDescent="0.25">
      <c r="A1931" s="130" t="s">
        <v>4</v>
      </c>
      <c r="B1931" s="130" t="s">
        <v>574</v>
      </c>
      <c r="C1931" s="130" t="s">
        <v>608</v>
      </c>
      <c r="D1931" s="130" t="s">
        <v>690</v>
      </c>
      <c r="E1931" s="132">
        <v>2000</v>
      </c>
    </row>
    <row r="1932" spans="1:5" x14ac:dyDescent="0.25">
      <c r="A1932" s="130" t="s">
        <v>4</v>
      </c>
      <c r="B1932" s="130" t="s">
        <v>574</v>
      </c>
      <c r="C1932" s="130" t="s">
        <v>608</v>
      </c>
      <c r="D1932" s="130" t="s">
        <v>723</v>
      </c>
      <c r="E1932" s="132">
        <v>1453.72</v>
      </c>
    </row>
    <row r="1933" spans="1:5" x14ac:dyDescent="0.25">
      <c r="A1933" s="130" t="s">
        <v>4</v>
      </c>
      <c r="B1933" s="130" t="s">
        <v>574</v>
      </c>
      <c r="C1933" s="130" t="s">
        <v>608</v>
      </c>
      <c r="D1933" s="130" t="s">
        <v>614</v>
      </c>
      <c r="E1933" s="132">
        <v>1550.02</v>
      </c>
    </row>
    <row r="1934" spans="1:5" x14ac:dyDescent="0.25">
      <c r="A1934" s="130" t="s">
        <v>4</v>
      </c>
      <c r="B1934" s="130" t="s">
        <v>574</v>
      </c>
      <c r="C1934" s="130" t="s">
        <v>608</v>
      </c>
      <c r="D1934" s="130" t="s">
        <v>264</v>
      </c>
      <c r="E1934" s="132">
        <v>2480.69</v>
      </c>
    </row>
    <row r="1935" spans="1:5" x14ac:dyDescent="0.25">
      <c r="A1935" s="130" t="s">
        <v>4</v>
      </c>
      <c r="B1935" s="130" t="s">
        <v>574</v>
      </c>
      <c r="C1935" s="130" t="s">
        <v>608</v>
      </c>
      <c r="D1935" s="130" t="s">
        <v>381</v>
      </c>
      <c r="E1935" s="132">
        <v>2848.72</v>
      </c>
    </row>
    <row r="1936" spans="1:5" x14ac:dyDescent="0.25">
      <c r="A1936" s="130" t="s">
        <v>4</v>
      </c>
      <c r="B1936" s="130" t="s">
        <v>574</v>
      </c>
      <c r="C1936" s="130" t="s">
        <v>608</v>
      </c>
      <c r="D1936" s="130" t="s">
        <v>382</v>
      </c>
      <c r="E1936" s="132">
        <v>1169.3</v>
      </c>
    </row>
    <row r="1937" spans="1:5" x14ac:dyDescent="0.25">
      <c r="A1937" s="130" t="s">
        <v>4</v>
      </c>
      <c r="B1937" s="130" t="s">
        <v>574</v>
      </c>
      <c r="C1937" s="130" t="s">
        <v>608</v>
      </c>
      <c r="D1937" s="130" t="s">
        <v>706</v>
      </c>
      <c r="E1937" s="132">
        <v>1368.67</v>
      </c>
    </row>
    <row r="1938" spans="1:5" x14ac:dyDescent="0.25">
      <c r="A1938" s="130" t="s">
        <v>4</v>
      </c>
      <c r="B1938" s="130" t="s">
        <v>574</v>
      </c>
      <c r="C1938" s="130" t="s">
        <v>608</v>
      </c>
      <c r="D1938" s="130" t="s">
        <v>707</v>
      </c>
      <c r="E1938" s="132">
        <v>1558.26</v>
      </c>
    </row>
    <row r="1939" spans="1:5" x14ac:dyDescent="0.25">
      <c r="A1939" s="130" t="s">
        <v>4</v>
      </c>
      <c r="B1939" s="130" t="s">
        <v>574</v>
      </c>
      <c r="C1939" s="130" t="s">
        <v>608</v>
      </c>
      <c r="D1939" s="130" t="s">
        <v>703</v>
      </c>
      <c r="E1939" s="132">
        <v>6719.31</v>
      </c>
    </row>
    <row r="1940" spans="1:5" x14ac:dyDescent="0.25">
      <c r="A1940" s="130" t="s">
        <v>4</v>
      </c>
      <c r="B1940" s="130" t="s">
        <v>574</v>
      </c>
      <c r="C1940" s="130" t="s">
        <v>608</v>
      </c>
      <c r="D1940" s="130" t="s">
        <v>704</v>
      </c>
      <c r="E1940" s="132">
        <v>7268.33</v>
      </c>
    </row>
    <row r="1941" spans="1:5" x14ac:dyDescent="0.25">
      <c r="A1941" s="130" t="s">
        <v>4</v>
      </c>
      <c r="B1941" s="130" t="s">
        <v>574</v>
      </c>
      <c r="C1941" s="130" t="s">
        <v>608</v>
      </c>
      <c r="D1941" s="130" t="s">
        <v>440</v>
      </c>
      <c r="E1941" s="132">
        <v>7859.18</v>
      </c>
    </row>
    <row r="1942" spans="1:5" x14ac:dyDescent="0.25">
      <c r="A1942" s="130" t="s">
        <v>4</v>
      </c>
      <c r="B1942" s="130" t="s">
        <v>574</v>
      </c>
      <c r="C1942" s="130" t="s">
        <v>608</v>
      </c>
      <c r="D1942" s="130" t="s">
        <v>691</v>
      </c>
      <c r="E1942" s="132">
        <v>9149.4</v>
      </c>
    </row>
    <row r="1943" spans="1:5" x14ac:dyDescent="0.25">
      <c r="A1943" s="130" t="s">
        <v>4</v>
      </c>
      <c r="B1943" s="130" t="s">
        <v>574</v>
      </c>
      <c r="C1943" s="130" t="s">
        <v>608</v>
      </c>
      <c r="D1943" s="130" t="s">
        <v>665</v>
      </c>
      <c r="E1943" s="132">
        <v>5041.24</v>
      </c>
    </row>
    <row r="1944" spans="1:5" x14ac:dyDescent="0.25">
      <c r="A1944" s="130" t="s">
        <v>4</v>
      </c>
      <c r="B1944" s="130" t="s">
        <v>574</v>
      </c>
      <c r="C1944" s="130" t="s">
        <v>608</v>
      </c>
      <c r="D1944" s="130" t="s">
        <v>692</v>
      </c>
      <c r="E1944" s="132">
        <v>5797.5</v>
      </c>
    </row>
    <row r="1945" spans="1:5" x14ac:dyDescent="0.25">
      <c r="A1945" s="130" t="s">
        <v>4</v>
      </c>
      <c r="B1945" s="130" t="s">
        <v>574</v>
      </c>
      <c r="C1945" s="130" t="s">
        <v>608</v>
      </c>
      <c r="D1945" s="130" t="s">
        <v>693</v>
      </c>
      <c r="E1945" s="132">
        <v>6721.06</v>
      </c>
    </row>
    <row r="1946" spans="1:5" x14ac:dyDescent="0.25">
      <c r="A1946" s="130" t="s">
        <v>4</v>
      </c>
      <c r="B1946" s="130" t="s">
        <v>574</v>
      </c>
      <c r="C1946" s="130" t="s">
        <v>608</v>
      </c>
      <c r="D1946" s="130" t="s">
        <v>543</v>
      </c>
      <c r="E1946" s="132">
        <v>7310.63</v>
      </c>
    </row>
    <row r="1947" spans="1:5" x14ac:dyDescent="0.25">
      <c r="A1947" s="130" t="s">
        <v>4</v>
      </c>
      <c r="B1947" s="130" t="s">
        <v>574</v>
      </c>
      <c r="C1947" s="130" t="s">
        <v>608</v>
      </c>
      <c r="D1947" s="130" t="s">
        <v>576</v>
      </c>
      <c r="E1947" s="132">
        <v>6916.28</v>
      </c>
    </row>
    <row r="1948" spans="1:5" x14ac:dyDescent="0.25">
      <c r="A1948" s="130" t="s">
        <v>4</v>
      </c>
      <c r="B1948" s="130" t="s">
        <v>574</v>
      </c>
      <c r="C1948" s="130" t="s">
        <v>608</v>
      </c>
      <c r="D1948" s="130" t="s">
        <v>532</v>
      </c>
      <c r="E1948" s="132">
        <v>10011.049999999999</v>
      </c>
    </row>
    <row r="1949" spans="1:5" x14ac:dyDescent="0.25">
      <c r="A1949" s="130" t="s">
        <v>4</v>
      </c>
      <c r="B1949" s="130" t="s">
        <v>574</v>
      </c>
      <c r="C1949" s="130" t="s">
        <v>608</v>
      </c>
      <c r="D1949" s="130" t="s">
        <v>653</v>
      </c>
      <c r="E1949" s="132">
        <v>4007.48</v>
      </c>
    </row>
    <row r="1950" spans="1:5" x14ac:dyDescent="0.25">
      <c r="A1950" s="130" t="s">
        <v>4</v>
      </c>
      <c r="B1950" s="130" t="s">
        <v>574</v>
      </c>
      <c r="C1950" s="130" t="s">
        <v>608</v>
      </c>
      <c r="D1950" s="130" t="s">
        <v>570</v>
      </c>
      <c r="E1950" s="132">
        <v>17551.419999999998</v>
      </c>
    </row>
    <row r="1951" spans="1:5" x14ac:dyDescent="0.25">
      <c r="A1951" s="130" t="s">
        <v>4</v>
      </c>
      <c r="B1951" s="130" t="s">
        <v>574</v>
      </c>
      <c r="C1951" s="130" t="s">
        <v>608</v>
      </c>
      <c r="D1951" s="130" t="s">
        <v>258</v>
      </c>
      <c r="E1951" s="132">
        <v>13578</v>
      </c>
    </row>
    <row r="1952" spans="1:5" x14ac:dyDescent="0.25">
      <c r="A1952" s="130" t="s">
        <v>4</v>
      </c>
      <c r="B1952" s="130" t="s">
        <v>574</v>
      </c>
      <c r="C1952" s="130" t="s">
        <v>608</v>
      </c>
      <c r="D1952" s="130" t="s">
        <v>333</v>
      </c>
      <c r="E1952" s="132">
        <v>2058.61</v>
      </c>
    </row>
    <row r="1953" spans="1:5" x14ac:dyDescent="0.25">
      <c r="A1953" s="130" t="s">
        <v>4</v>
      </c>
      <c r="B1953" s="130" t="s">
        <v>574</v>
      </c>
      <c r="C1953" s="130" t="s">
        <v>608</v>
      </c>
      <c r="D1953" s="130" t="s">
        <v>378</v>
      </c>
      <c r="E1953" s="132">
        <v>1153.0899999999999</v>
      </c>
    </row>
    <row r="1954" spans="1:5" x14ac:dyDescent="0.25">
      <c r="A1954" s="130" t="s">
        <v>4</v>
      </c>
      <c r="B1954" s="130" t="s">
        <v>574</v>
      </c>
      <c r="C1954" s="130" t="s">
        <v>608</v>
      </c>
      <c r="D1954" s="130" t="s">
        <v>310</v>
      </c>
      <c r="E1954" s="132">
        <v>11414.52</v>
      </c>
    </row>
    <row r="1955" spans="1:5" x14ac:dyDescent="0.25">
      <c r="A1955" s="130" t="s">
        <v>4</v>
      </c>
      <c r="B1955" s="130" t="s">
        <v>574</v>
      </c>
      <c r="C1955" s="130" t="s">
        <v>608</v>
      </c>
      <c r="D1955" s="130" t="s">
        <v>273</v>
      </c>
      <c r="E1955" s="132">
        <v>5304.66</v>
      </c>
    </row>
    <row r="1956" spans="1:5" x14ac:dyDescent="0.25">
      <c r="A1956" s="130" t="s">
        <v>4</v>
      </c>
      <c r="B1956" s="130" t="s">
        <v>574</v>
      </c>
      <c r="C1956" s="130" t="s">
        <v>608</v>
      </c>
      <c r="D1956" s="130" t="s">
        <v>275</v>
      </c>
      <c r="E1956" s="132">
        <v>2607.17</v>
      </c>
    </row>
    <row r="1957" spans="1:5" x14ac:dyDescent="0.25">
      <c r="A1957" s="130" t="s">
        <v>4</v>
      </c>
      <c r="B1957" s="130" t="s">
        <v>574</v>
      </c>
      <c r="C1957" s="130" t="s">
        <v>608</v>
      </c>
      <c r="D1957" s="130" t="s">
        <v>629</v>
      </c>
      <c r="E1957" s="132">
        <v>2588.71</v>
      </c>
    </row>
    <row r="1958" spans="1:5" x14ac:dyDescent="0.25">
      <c r="A1958" s="130" t="s">
        <v>4</v>
      </c>
      <c r="B1958" s="130" t="s">
        <v>574</v>
      </c>
      <c r="C1958" s="130" t="s">
        <v>608</v>
      </c>
      <c r="D1958" s="130" t="s">
        <v>262</v>
      </c>
      <c r="E1958" s="132">
        <v>593.28</v>
      </c>
    </row>
    <row r="1959" spans="1:5" x14ac:dyDescent="0.25">
      <c r="A1959" s="130" t="s">
        <v>4</v>
      </c>
      <c r="B1959" s="130" t="s">
        <v>574</v>
      </c>
      <c r="C1959" s="130" t="s">
        <v>608</v>
      </c>
      <c r="D1959" s="130" t="s">
        <v>320</v>
      </c>
      <c r="E1959" s="132">
        <v>7780.5</v>
      </c>
    </row>
    <row r="1960" spans="1:5" x14ac:dyDescent="0.25">
      <c r="A1960" s="130" t="s">
        <v>4</v>
      </c>
      <c r="B1960" s="130" t="s">
        <v>574</v>
      </c>
      <c r="C1960" s="130" t="s">
        <v>608</v>
      </c>
      <c r="D1960" s="130" t="s">
        <v>259</v>
      </c>
      <c r="E1960" s="132">
        <v>14941.39</v>
      </c>
    </row>
    <row r="1961" spans="1:5" x14ac:dyDescent="0.25">
      <c r="A1961" s="130" t="s">
        <v>4</v>
      </c>
      <c r="B1961" s="130" t="s">
        <v>574</v>
      </c>
      <c r="C1961" s="130" t="s">
        <v>608</v>
      </c>
      <c r="D1961" s="130" t="s">
        <v>277</v>
      </c>
      <c r="E1961" s="132">
        <v>706.5</v>
      </c>
    </row>
    <row r="1962" spans="1:5" x14ac:dyDescent="0.25">
      <c r="A1962" s="130" t="s">
        <v>4</v>
      </c>
      <c r="B1962" s="130" t="s">
        <v>574</v>
      </c>
      <c r="C1962" s="130" t="s">
        <v>608</v>
      </c>
      <c r="D1962" s="130" t="s">
        <v>234</v>
      </c>
      <c r="E1962" s="132">
        <v>1247.57</v>
      </c>
    </row>
    <row r="1963" spans="1:5" x14ac:dyDescent="0.25">
      <c r="A1963" s="130" t="s">
        <v>4</v>
      </c>
      <c r="B1963" s="130" t="s">
        <v>574</v>
      </c>
      <c r="C1963" s="130" t="s">
        <v>608</v>
      </c>
      <c r="D1963" s="130" t="s">
        <v>390</v>
      </c>
      <c r="E1963" s="132">
        <v>2060.14</v>
      </c>
    </row>
    <row r="1964" spans="1:5" x14ac:dyDescent="0.25">
      <c r="A1964" s="130" t="s">
        <v>4</v>
      </c>
      <c r="B1964" s="130" t="s">
        <v>574</v>
      </c>
      <c r="C1964" s="130" t="s">
        <v>608</v>
      </c>
      <c r="D1964" s="130" t="s">
        <v>235</v>
      </c>
      <c r="E1964" s="132">
        <v>2144.38</v>
      </c>
    </row>
    <row r="1965" spans="1:5" x14ac:dyDescent="0.25">
      <c r="A1965" s="130" t="s">
        <v>4</v>
      </c>
      <c r="B1965" s="130" t="s">
        <v>574</v>
      </c>
      <c r="C1965" s="130" t="s">
        <v>608</v>
      </c>
      <c r="D1965" s="130" t="s">
        <v>391</v>
      </c>
      <c r="E1965" s="132">
        <v>1873.52</v>
      </c>
    </row>
    <row r="1966" spans="1:5" x14ac:dyDescent="0.25">
      <c r="A1966" s="130" t="s">
        <v>4</v>
      </c>
      <c r="B1966" s="130" t="s">
        <v>574</v>
      </c>
      <c r="C1966" s="130" t="s">
        <v>608</v>
      </c>
      <c r="D1966" s="130" t="s">
        <v>278</v>
      </c>
      <c r="E1966" s="132">
        <v>1586.11</v>
      </c>
    </row>
    <row r="1967" spans="1:5" x14ac:dyDescent="0.25">
      <c r="A1967" s="130" t="s">
        <v>4</v>
      </c>
      <c r="B1967" s="130" t="s">
        <v>574</v>
      </c>
      <c r="C1967" s="130" t="s">
        <v>608</v>
      </c>
      <c r="D1967" s="130" t="s">
        <v>631</v>
      </c>
      <c r="E1967" s="132">
        <v>2502.5700000000002</v>
      </c>
    </row>
    <row r="1968" spans="1:5" x14ac:dyDescent="0.25">
      <c r="A1968" s="130" t="s">
        <v>4</v>
      </c>
      <c r="B1968" s="130" t="s">
        <v>574</v>
      </c>
      <c r="C1968" s="130" t="s">
        <v>608</v>
      </c>
      <c r="D1968" s="130" t="s">
        <v>279</v>
      </c>
      <c r="E1968" s="132">
        <v>1091.02</v>
      </c>
    </row>
    <row r="1969" spans="1:5" x14ac:dyDescent="0.25">
      <c r="A1969" s="130" t="s">
        <v>4</v>
      </c>
      <c r="B1969" s="130" t="s">
        <v>574</v>
      </c>
      <c r="C1969" s="130" t="s">
        <v>608</v>
      </c>
      <c r="D1969" s="130" t="s">
        <v>548</v>
      </c>
      <c r="E1969" s="132">
        <v>1197.0899999999999</v>
      </c>
    </row>
    <row r="1970" spans="1:5" x14ac:dyDescent="0.25">
      <c r="A1970" s="130" t="s">
        <v>4</v>
      </c>
      <c r="B1970" s="130" t="s">
        <v>574</v>
      </c>
      <c r="C1970" s="130" t="s">
        <v>608</v>
      </c>
      <c r="D1970" s="130" t="s">
        <v>1047</v>
      </c>
      <c r="E1970" s="132">
        <v>1167.78</v>
      </c>
    </row>
    <row r="1971" spans="1:5" x14ac:dyDescent="0.25">
      <c r="A1971" s="130" t="s">
        <v>4</v>
      </c>
      <c r="B1971" s="130" t="s">
        <v>574</v>
      </c>
      <c r="C1971" s="130" t="s">
        <v>608</v>
      </c>
      <c r="D1971" s="130" t="s">
        <v>392</v>
      </c>
      <c r="E1971" s="132">
        <v>1705.74</v>
      </c>
    </row>
    <row r="1972" spans="1:5" x14ac:dyDescent="0.25">
      <c r="A1972" s="130" t="s">
        <v>4</v>
      </c>
      <c r="B1972" s="130" t="s">
        <v>574</v>
      </c>
      <c r="C1972" s="130" t="s">
        <v>608</v>
      </c>
      <c r="D1972" s="130" t="s">
        <v>319</v>
      </c>
      <c r="E1972" s="132">
        <v>29901.69</v>
      </c>
    </row>
    <row r="1973" spans="1:5" x14ac:dyDescent="0.25">
      <c r="A1973" s="130" t="s">
        <v>4</v>
      </c>
      <c r="B1973" s="130" t="s">
        <v>574</v>
      </c>
      <c r="C1973" s="130" t="s">
        <v>608</v>
      </c>
      <c r="D1973" s="130" t="s">
        <v>632</v>
      </c>
      <c r="E1973" s="132">
        <v>2238.85</v>
      </c>
    </row>
    <row r="1974" spans="1:5" x14ac:dyDescent="0.25">
      <c r="A1974" s="130" t="s">
        <v>4</v>
      </c>
      <c r="B1974" s="130" t="s">
        <v>574</v>
      </c>
      <c r="C1974" s="130" t="s">
        <v>608</v>
      </c>
      <c r="D1974" s="130" t="s">
        <v>521</v>
      </c>
      <c r="E1974" s="132">
        <v>3824.73</v>
      </c>
    </row>
    <row r="1975" spans="1:5" x14ac:dyDescent="0.25">
      <c r="A1975" s="130" t="s">
        <v>4</v>
      </c>
      <c r="B1975" s="130" t="s">
        <v>574</v>
      </c>
      <c r="C1975" s="130" t="s">
        <v>608</v>
      </c>
      <c r="D1975" s="130" t="s">
        <v>679</v>
      </c>
      <c r="E1975" s="132">
        <v>1808.06</v>
      </c>
    </row>
    <row r="1976" spans="1:5" x14ac:dyDescent="0.25">
      <c r="A1976" s="130" t="s">
        <v>4</v>
      </c>
      <c r="B1976" s="130" t="s">
        <v>574</v>
      </c>
      <c r="C1976" s="130" t="s">
        <v>608</v>
      </c>
      <c r="D1976" s="130" t="s">
        <v>263</v>
      </c>
      <c r="E1976" s="132">
        <v>918.74</v>
      </c>
    </row>
    <row r="1977" spans="1:5" x14ac:dyDescent="0.25">
      <c r="A1977" s="130" t="s">
        <v>4</v>
      </c>
      <c r="B1977" s="130" t="s">
        <v>574</v>
      </c>
      <c r="C1977" s="130" t="s">
        <v>608</v>
      </c>
      <c r="D1977" s="130" t="s">
        <v>496</v>
      </c>
      <c r="E1977" s="132">
        <v>1313.73</v>
      </c>
    </row>
    <row r="1978" spans="1:5" x14ac:dyDescent="0.25">
      <c r="A1978" s="130" t="s">
        <v>4</v>
      </c>
      <c r="B1978" s="130" t="s">
        <v>574</v>
      </c>
      <c r="C1978" s="130" t="s">
        <v>608</v>
      </c>
      <c r="D1978" s="130" t="s">
        <v>338</v>
      </c>
      <c r="E1978" s="132">
        <v>2106.58</v>
      </c>
    </row>
    <row r="1979" spans="1:5" x14ac:dyDescent="0.25">
      <c r="A1979" s="130" t="s">
        <v>4</v>
      </c>
      <c r="B1979" s="130" t="s">
        <v>574</v>
      </c>
      <c r="C1979" s="130" t="s">
        <v>608</v>
      </c>
      <c r="D1979" s="130" t="s">
        <v>293</v>
      </c>
      <c r="E1979" s="132">
        <v>677.2</v>
      </c>
    </row>
    <row r="1980" spans="1:5" x14ac:dyDescent="0.25">
      <c r="A1980" s="130" t="s">
        <v>4</v>
      </c>
      <c r="B1980" s="130" t="s">
        <v>574</v>
      </c>
      <c r="C1980" s="130" t="s">
        <v>608</v>
      </c>
      <c r="D1980" s="130" t="s">
        <v>274</v>
      </c>
      <c r="E1980" s="132">
        <v>1188.8399999999999</v>
      </c>
    </row>
    <row r="1981" spans="1:5" x14ac:dyDescent="0.25">
      <c r="A1981" s="130" t="s">
        <v>4</v>
      </c>
      <c r="B1981" s="130" t="s">
        <v>574</v>
      </c>
      <c r="C1981" s="130" t="s">
        <v>608</v>
      </c>
      <c r="D1981" s="130" t="s">
        <v>303</v>
      </c>
      <c r="E1981" s="132">
        <v>1979.05</v>
      </c>
    </row>
    <row r="1982" spans="1:5" x14ac:dyDescent="0.25">
      <c r="A1982" s="130" t="s">
        <v>4</v>
      </c>
      <c r="B1982" s="130" t="s">
        <v>574</v>
      </c>
      <c r="C1982" s="130" t="s">
        <v>608</v>
      </c>
      <c r="D1982" s="130" t="s">
        <v>403</v>
      </c>
      <c r="E1982" s="132">
        <v>666.67</v>
      </c>
    </row>
    <row r="1983" spans="1:5" x14ac:dyDescent="0.25">
      <c r="A1983" s="130" t="s">
        <v>4</v>
      </c>
      <c r="B1983" s="130" t="s">
        <v>574</v>
      </c>
      <c r="C1983" s="130" t="s">
        <v>608</v>
      </c>
      <c r="D1983" s="130" t="s">
        <v>294</v>
      </c>
      <c r="E1983" s="132">
        <v>1257.98</v>
      </c>
    </row>
    <row r="1984" spans="1:5" x14ac:dyDescent="0.25">
      <c r="A1984" s="130" t="s">
        <v>4</v>
      </c>
      <c r="B1984" s="130" t="s">
        <v>574</v>
      </c>
      <c r="C1984" s="130" t="s">
        <v>608</v>
      </c>
      <c r="D1984" s="130" t="s">
        <v>295</v>
      </c>
      <c r="E1984" s="132">
        <v>522.92999999999995</v>
      </c>
    </row>
    <row r="1985" spans="1:5" x14ac:dyDescent="0.25">
      <c r="A1985" s="130" t="s">
        <v>4</v>
      </c>
      <c r="B1985" s="130" t="s">
        <v>574</v>
      </c>
      <c r="C1985" s="130" t="s">
        <v>608</v>
      </c>
      <c r="D1985" s="130" t="s">
        <v>281</v>
      </c>
      <c r="E1985" s="132">
        <v>472.5</v>
      </c>
    </row>
    <row r="1986" spans="1:5" x14ac:dyDescent="0.25">
      <c r="A1986" s="130" t="s">
        <v>4</v>
      </c>
      <c r="B1986" s="130" t="s">
        <v>574</v>
      </c>
      <c r="C1986" s="130" t="s">
        <v>608</v>
      </c>
      <c r="D1986" s="130" t="s">
        <v>405</v>
      </c>
      <c r="E1986" s="132">
        <v>685.44</v>
      </c>
    </row>
    <row r="1987" spans="1:5" x14ac:dyDescent="0.25">
      <c r="A1987" s="130" t="s">
        <v>4</v>
      </c>
      <c r="B1987" s="130" t="s">
        <v>574</v>
      </c>
      <c r="C1987" s="130" t="s">
        <v>608</v>
      </c>
      <c r="D1987" s="130" t="s">
        <v>945</v>
      </c>
      <c r="E1987" s="132">
        <v>746.02</v>
      </c>
    </row>
    <row r="1988" spans="1:5" x14ac:dyDescent="0.25">
      <c r="A1988" s="130" t="s">
        <v>4</v>
      </c>
      <c r="B1988" s="130" t="s">
        <v>574</v>
      </c>
      <c r="C1988" s="130" t="s">
        <v>608</v>
      </c>
      <c r="D1988" s="130" t="s">
        <v>724</v>
      </c>
      <c r="E1988" s="132">
        <v>1049.26</v>
      </c>
    </row>
    <row r="1989" spans="1:5" x14ac:dyDescent="0.25">
      <c r="A1989" s="130" t="s">
        <v>4</v>
      </c>
      <c r="B1989" s="130" t="s">
        <v>574</v>
      </c>
      <c r="C1989" s="130" t="s">
        <v>608</v>
      </c>
      <c r="D1989" s="130" t="s">
        <v>715</v>
      </c>
      <c r="E1989" s="132">
        <v>614.75</v>
      </c>
    </row>
    <row r="1990" spans="1:5" x14ac:dyDescent="0.25">
      <c r="A1990" s="130" t="s">
        <v>4</v>
      </c>
      <c r="B1990" s="130" t="s">
        <v>574</v>
      </c>
      <c r="C1990" s="130" t="s">
        <v>608</v>
      </c>
      <c r="D1990" s="130" t="s">
        <v>237</v>
      </c>
      <c r="E1990" s="132">
        <v>6395.51</v>
      </c>
    </row>
    <row r="1991" spans="1:5" x14ac:dyDescent="0.25">
      <c r="A1991" s="130" t="s">
        <v>4</v>
      </c>
      <c r="B1991" s="130" t="s">
        <v>574</v>
      </c>
      <c r="C1991" s="130" t="s">
        <v>608</v>
      </c>
      <c r="D1991" s="130" t="s">
        <v>238</v>
      </c>
      <c r="E1991" s="132">
        <v>3837.6</v>
      </c>
    </row>
    <row r="1992" spans="1:5" x14ac:dyDescent="0.25">
      <c r="A1992" s="130" t="s">
        <v>4</v>
      </c>
      <c r="B1992" s="130" t="s">
        <v>574</v>
      </c>
      <c r="C1992" s="130" t="s">
        <v>608</v>
      </c>
      <c r="D1992" s="130" t="s">
        <v>474</v>
      </c>
      <c r="E1992" s="132">
        <v>1037.6099999999999</v>
      </c>
    </row>
    <row r="1993" spans="1:5" x14ac:dyDescent="0.25">
      <c r="A1993" s="130" t="s">
        <v>4</v>
      </c>
      <c r="B1993" s="130" t="s">
        <v>574</v>
      </c>
      <c r="C1993" s="130" t="s">
        <v>608</v>
      </c>
      <c r="D1993" s="130" t="s">
        <v>406</v>
      </c>
      <c r="E1993" s="132">
        <v>2243.0100000000002</v>
      </c>
    </row>
    <row r="1994" spans="1:5" x14ac:dyDescent="0.25">
      <c r="A1994" s="130" t="s">
        <v>4</v>
      </c>
      <c r="B1994" s="130" t="s">
        <v>574</v>
      </c>
      <c r="C1994" s="130" t="s">
        <v>608</v>
      </c>
      <c r="D1994" s="130" t="s">
        <v>266</v>
      </c>
      <c r="E1994" s="132">
        <v>592.9</v>
      </c>
    </row>
    <row r="1995" spans="1:5" x14ac:dyDescent="0.25">
      <c r="A1995" s="130" t="s">
        <v>4</v>
      </c>
      <c r="B1995" s="130" t="s">
        <v>574</v>
      </c>
      <c r="C1995" s="130" t="s">
        <v>608</v>
      </c>
      <c r="D1995" s="130" t="s">
        <v>512</v>
      </c>
      <c r="E1995" s="132">
        <v>674.56</v>
      </c>
    </row>
    <row r="1996" spans="1:5" x14ac:dyDescent="0.25">
      <c r="A1996" s="130" t="s">
        <v>4</v>
      </c>
      <c r="B1996" s="130" t="s">
        <v>574</v>
      </c>
      <c r="C1996" s="130" t="s">
        <v>608</v>
      </c>
      <c r="D1996" s="130" t="s">
        <v>501</v>
      </c>
      <c r="E1996" s="132">
        <v>767.46</v>
      </c>
    </row>
    <row r="1997" spans="1:5" x14ac:dyDescent="0.25">
      <c r="A1997" s="130" t="s">
        <v>4</v>
      </c>
      <c r="B1997" s="130" t="s">
        <v>574</v>
      </c>
      <c r="C1997" s="130" t="s">
        <v>608</v>
      </c>
      <c r="D1997" s="130" t="s">
        <v>407</v>
      </c>
      <c r="E1997" s="132">
        <v>777.26</v>
      </c>
    </row>
    <row r="1998" spans="1:5" x14ac:dyDescent="0.25">
      <c r="A1998" s="130" t="s">
        <v>4</v>
      </c>
      <c r="B1998" s="130" t="s">
        <v>574</v>
      </c>
      <c r="C1998" s="130" t="s">
        <v>608</v>
      </c>
      <c r="D1998" s="130" t="s">
        <v>749</v>
      </c>
      <c r="E1998" s="132">
        <v>700.13</v>
      </c>
    </row>
    <row r="1999" spans="1:5" x14ac:dyDescent="0.25">
      <c r="A1999" s="130" t="s">
        <v>4</v>
      </c>
      <c r="B1999" s="130" t="s">
        <v>574</v>
      </c>
      <c r="C1999" s="130" t="s">
        <v>608</v>
      </c>
      <c r="D1999" s="130" t="s">
        <v>408</v>
      </c>
      <c r="E1999" s="132">
        <v>1089.5</v>
      </c>
    </row>
    <row r="2000" spans="1:5" x14ac:dyDescent="0.25">
      <c r="A2000" s="130" t="s">
        <v>4</v>
      </c>
      <c r="B2000" s="130" t="s">
        <v>574</v>
      </c>
      <c r="C2000" s="130" t="s">
        <v>608</v>
      </c>
      <c r="D2000" s="130" t="s">
        <v>296</v>
      </c>
      <c r="E2000" s="132">
        <v>391.25</v>
      </c>
    </row>
    <row r="2001" spans="1:5" x14ac:dyDescent="0.25">
      <c r="A2001" s="130" t="s">
        <v>4</v>
      </c>
      <c r="B2001" s="130" t="s">
        <v>574</v>
      </c>
      <c r="C2001" s="130" t="s">
        <v>608</v>
      </c>
      <c r="D2001" s="130" t="s">
        <v>282</v>
      </c>
      <c r="E2001" s="132">
        <v>7763.82</v>
      </c>
    </row>
    <row r="2002" spans="1:5" x14ac:dyDescent="0.25">
      <c r="A2002" s="130" t="s">
        <v>4</v>
      </c>
      <c r="B2002" s="130" t="s">
        <v>574</v>
      </c>
      <c r="C2002" s="130" t="s">
        <v>608</v>
      </c>
      <c r="D2002" s="130" t="s">
        <v>297</v>
      </c>
      <c r="E2002" s="132">
        <v>782.91</v>
      </c>
    </row>
    <row r="2003" spans="1:5" x14ac:dyDescent="0.25">
      <c r="A2003" s="130" t="s">
        <v>4</v>
      </c>
      <c r="B2003" s="130" t="s">
        <v>574</v>
      </c>
      <c r="C2003" s="130" t="s">
        <v>608</v>
      </c>
      <c r="D2003" s="130" t="s">
        <v>697</v>
      </c>
      <c r="E2003" s="132">
        <v>536.85</v>
      </c>
    </row>
    <row r="2004" spans="1:5" x14ac:dyDescent="0.25">
      <c r="A2004" s="130" t="s">
        <v>4</v>
      </c>
      <c r="B2004" s="130" t="s">
        <v>574</v>
      </c>
      <c r="C2004" s="130" t="s">
        <v>608</v>
      </c>
      <c r="D2004" s="130" t="s">
        <v>365</v>
      </c>
      <c r="E2004" s="132">
        <v>638.05999999999995</v>
      </c>
    </row>
    <row r="2005" spans="1:5" x14ac:dyDescent="0.25">
      <c r="A2005" s="130" t="s">
        <v>4</v>
      </c>
      <c r="B2005" s="130" t="s">
        <v>574</v>
      </c>
      <c r="C2005" s="130" t="s">
        <v>608</v>
      </c>
      <c r="D2005" s="130" t="s">
        <v>345</v>
      </c>
      <c r="E2005" s="132">
        <v>1017.26</v>
      </c>
    </row>
    <row r="2006" spans="1:5" x14ac:dyDescent="0.25">
      <c r="A2006" s="130" t="s">
        <v>4</v>
      </c>
      <c r="B2006" s="130" t="s">
        <v>574</v>
      </c>
      <c r="C2006" s="130" t="s">
        <v>608</v>
      </c>
      <c r="D2006" s="130" t="s">
        <v>346</v>
      </c>
      <c r="E2006" s="132">
        <v>1959.34</v>
      </c>
    </row>
    <row r="2007" spans="1:5" x14ac:dyDescent="0.25">
      <c r="A2007" s="130" t="s">
        <v>4</v>
      </c>
      <c r="B2007" s="130" t="s">
        <v>574</v>
      </c>
      <c r="C2007" s="130" t="s">
        <v>608</v>
      </c>
      <c r="D2007" s="130" t="s">
        <v>312</v>
      </c>
      <c r="E2007" s="132">
        <v>685.44</v>
      </c>
    </row>
    <row r="2008" spans="1:5" x14ac:dyDescent="0.25">
      <c r="A2008" s="130" t="s">
        <v>4</v>
      </c>
      <c r="B2008" s="130" t="s">
        <v>574</v>
      </c>
      <c r="C2008" s="130" t="s">
        <v>608</v>
      </c>
      <c r="D2008" s="130" t="s">
        <v>394</v>
      </c>
      <c r="E2008" s="132">
        <v>547.03</v>
      </c>
    </row>
    <row r="2009" spans="1:5" x14ac:dyDescent="0.25">
      <c r="A2009" s="130" t="s">
        <v>4</v>
      </c>
      <c r="B2009" s="130" t="s">
        <v>574</v>
      </c>
      <c r="C2009" s="130" t="s">
        <v>608</v>
      </c>
      <c r="D2009" s="130" t="s">
        <v>454</v>
      </c>
      <c r="E2009" s="132">
        <v>815.61</v>
      </c>
    </row>
    <row r="2010" spans="1:5" x14ac:dyDescent="0.25">
      <c r="A2010" s="130" t="s">
        <v>4</v>
      </c>
      <c r="B2010" s="130" t="s">
        <v>574</v>
      </c>
      <c r="C2010" s="130" t="s">
        <v>608</v>
      </c>
      <c r="D2010" s="130" t="s">
        <v>546</v>
      </c>
      <c r="E2010" s="132">
        <v>1197.49</v>
      </c>
    </row>
    <row r="2011" spans="1:5" x14ac:dyDescent="0.25">
      <c r="A2011" s="130" t="s">
        <v>4</v>
      </c>
      <c r="B2011" s="130" t="s">
        <v>574</v>
      </c>
      <c r="C2011" s="130" t="s">
        <v>608</v>
      </c>
      <c r="D2011" s="130" t="s">
        <v>734</v>
      </c>
      <c r="E2011" s="132">
        <v>1656.84</v>
      </c>
    </row>
    <row r="2012" spans="1:5" x14ac:dyDescent="0.25">
      <c r="A2012" s="130" t="s">
        <v>4</v>
      </c>
      <c r="B2012" s="130" t="s">
        <v>574</v>
      </c>
      <c r="C2012" s="130" t="s">
        <v>608</v>
      </c>
      <c r="D2012" s="130" t="s">
        <v>299</v>
      </c>
      <c r="E2012" s="132">
        <v>1612.44</v>
      </c>
    </row>
    <row r="2013" spans="1:5" x14ac:dyDescent="0.25">
      <c r="A2013" s="130" t="s">
        <v>4</v>
      </c>
      <c r="B2013" s="130" t="s">
        <v>574</v>
      </c>
      <c r="C2013" s="130" t="s">
        <v>608</v>
      </c>
      <c r="D2013" s="130" t="s">
        <v>526</v>
      </c>
      <c r="E2013" s="132">
        <v>612.49</v>
      </c>
    </row>
    <row r="2014" spans="1:5" x14ac:dyDescent="0.25">
      <c r="A2014" s="130" t="s">
        <v>4</v>
      </c>
      <c r="B2014" s="130" t="s">
        <v>574</v>
      </c>
      <c r="C2014" s="130" t="s">
        <v>608</v>
      </c>
      <c r="D2014" s="130" t="s">
        <v>347</v>
      </c>
      <c r="E2014" s="132">
        <v>747.86</v>
      </c>
    </row>
    <row r="2015" spans="1:5" x14ac:dyDescent="0.25">
      <c r="A2015" s="130" t="s">
        <v>4</v>
      </c>
      <c r="B2015" s="130" t="s">
        <v>574</v>
      </c>
      <c r="C2015" s="130" t="s">
        <v>608</v>
      </c>
      <c r="D2015" s="130" t="s">
        <v>348</v>
      </c>
      <c r="E2015" s="132">
        <v>880.31</v>
      </c>
    </row>
    <row r="2016" spans="1:5" x14ac:dyDescent="0.25">
      <c r="A2016" s="130" t="s">
        <v>4</v>
      </c>
      <c r="B2016" s="130" t="s">
        <v>574</v>
      </c>
      <c r="C2016" s="130" t="s">
        <v>608</v>
      </c>
      <c r="D2016" s="130" t="s">
        <v>549</v>
      </c>
      <c r="E2016" s="132">
        <v>1095.5899999999999</v>
      </c>
    </row>
    <row r="2017" spans="1:5" x14ac:dyDescent="0.25">
      <c r="A2017" s="130" t="s">
        <v>4</v>
      </c>
      <c r="B2017" s="130" t="s">
        <v>574</v>
      </c>
      <c r="C2017" s="130" t="s">
        <v>608</v>
      </c>
      <c r="D2017" s="130" t="s">
        <v>349</v>
      </c>
      <c r="E2017" s="132">
        <v>1167.78</v>
      </c>
    </row>
    <row r="2018" spans="1:5" x14ac:dyDescent="0.25">
      <c r="A2018" s="130" t="s">
        <v>4</v>
      </c>
      <c r="B2018" s="130" t="s">
        <v>574</v>
      </c>
      <c r="C2018" s="130" t="s">
        <v>608</v>
      </c>
      <c r="D2018" s="130" t="s">
        <v>527</v>
      </c>
      <c r="E2018" s="132">
        <v>1443.19</v>
      </c>
    </row>
    <row r="2019" spans="1:5" x14ac:dyDescent="0.25">
      <c r="A2019" s="130" t="s">
        <v>4</v>
      </c>
      <c r="B2019" s="130" t="s">
        <v>574</v>
      </c>
      <c r="C2019" s="130" t="s">
        <v>608</v>
      </c>
      <c r="D2019" s="130" t="s">
        <v>528</v>
      </c>
      <c r="E2019" s="132">
        <v>866.03</v>
      </c>
    </row>
    <row r="2020" spans="1:5" x14ac:dyDescent="0.25">
      <c r="A2020" s="130" t="s">
        <v>4</v>
      </c>
      <c r="B2020" s="130" t="s">
        <v>574</v>
      </c>
      <c r="C2020" s="130" t="s">
        <v>608</v>
      </c>
      <c r="D2020" s="130" t="s">
        <v>242</v>
      </c>
      <c r="E2020" s="132">
        <v>1384.4</v>
      </c>
    </row>
    <row r="2021" spans="1:5" x14ac:dyDescent="0.25">
      <c r="A2021" s="130" t="s">
        <v>4</v>
      </c>
      <c r="B2021" s="130" t="s">
        <v>574</v>
      </c>
      <c r="C2021" s="130" t="s">
        <v>608</v>
      </c>
      <c r="D2021" s="130" t="s">
        <v>243</v>
      </c>
      <c r="E2021" s="132">
        <v>474.79</v>
      </c>
    </row>
    <row r="2022" spans="1:5" x14ac:dyDescent="0.25">
      <c r="A2022" s="130" t="s">
        <v>4</v>
      </c>
      <c r="B2022" s="130" t="s">
        <v>574</v>
      </c>
      <c r="C2022" s="130" t="s">
        <v>608</v>
      </c>
      <c r="D2022" s="130" t="s">
        <v>752</v>
      </c>
      <c r="E2022" s="132">
        <v>976.28</v>
      </c>
    </row>
    <row r="2023" spans="1:5" x14ac:dyDescent="0.25">
      <c r="A2023" s="130" t="s">
        <v>4</v>
      </c>
      <c r="B2023" s="130" t="s">
        <v>574</v>
      </c>
      <c r="C2023" s="130" t="s">
        <v>608</v>
      </c>
      <c r="D2023" s="130" t="s">
        <v>681</v>
      </c>
      <c r="E2023" s="132">
        <v>430.76</v>
      </c>
    </row>
    <row r="2024" spans="1:5" x14ac:dyDescent="0.25">
      <c r="A2024" s="130" t="s">
        <v>4</v>
      </c>
      <c r="B2024" s="130" t="s">
        <v>574</v>
      </c>
      <c r="C2024" s="130" t="s">
        <v>608</v>
      </c>
      <c r="D2024" s="130" t="s">
        <v>280</v>
      </c>
      <c r="E2024" s="132">
        <v>619.98</v>
      </c>
    </row>
    <row r="2025" spans="1:5" x14ac:dyDescent="0.25">
      <c r="A2025" s="130" t="s">
        <v>4</v>
      </c>
      <c r="B2025" s="130" t="s">
        <v>574</v>
      </c>
      <c r="C2025" s="130" t="s">
        <v>608</v>
      </c>
      <c r="D2025" s="130" t="s">
        <v>475</v>
      </c>
      <c r="E2025" s="132">
        <v>683.16</v>
      </c>
    </row>
    <row r="2026" spans="1:5" x14ac:dyDescent="0.25">
      <c r="A2026" s="130" t="s">
        <v>4</v>
      </c>
      <c r="B2026" s="130" t="s">
        <v>574</v>
      </c>
      <c r="C2026" s="130" t="s">
        <v>608</v>
      </c>
      <c r="D2026" s="130" t="s">
        <v>686</v>
      </c>
      <c r="E2026" s="132">
        <v>355.15</v>
      </c>
    </row>
    <row r="2027" spans="1:5" x14ac:dyDescent="0.25">
      <c r="A2027" s="130" t="s">
        <v>4</v>
      </c>
      <c r="B2027" s="130" t="s">
        <v>574</v>
      </c>
      <c r="C2027" s="130" t="s">
        <v>608</v>
      </c>
      <c r="D2027" s="130" t="s">
        <v>313</v>
      </c>
      <c r="E2027" s="132">
        <v>361.94</v>
      </c>
    </row>
    <row r="2028" spans="1:5" x14ac:dyDescent="0.25">
      <c r="A2028" s="130" t="s">
        <v>4</v>
      </c>
      <c r="B2028" s="130" t="s">
        <v>574</v>
      </c>
      <c r="C2028" s="130" t="s">
        <v>608</v>
      </c>
      <c r="D2028" s="130" t="s">
        <v>412</v>
      </c>
      <c r="E2028" s="132">
        <v>615.54</v>
      </c>
    </row>
    <row r="2029" spans="1:5" x14ac:dyDescent="0.25">
      <c r="A2029" s="130" t="s">
        <v>4</v>
      </c>
      <c r="B2029" s="130" t="s">
        <v>574</v>
      </c>
      <c r="C2029" s="130" t="s">
        <v>608</v>
      </c>
      <c r="D2029" s="130" t="s">
        <v>468</v>
      </c>
      <c r="E2029" s="132">
        <v>702.82</v>
      </c>
    </row>
    <row r="2030" spans="1:5" x14ac:dyDescent="0.25">
      <c r="A2030" s="130" t="s">
        <v>4</v>
      </c>
      <c r="B2030" s="130" t="s">
        <v>574</v>
      </c>
      <c r="C2030" s="130" t="s">
        <v>608</v>
      </c>
      <c r="D2030" s="130" t="s">
        <v>458</v>
      </c>
      <c r="E2030" s="132">
        <v>1108.28</v>
      </c>
    </row>
    <row r="2031" spans="1:5" x14ac:dyDescent="0.25">
      <c r="A2031" s="130" t="s">
        <v>4</v>
      </c>
      <c r="B2031" s="130" t="s">
        <v>574</v>
      </c>
      <c r="C2031" s="130" t="s">
        <v>608</v>
      </c>
      <c r="D2031" s="130" t="s">
        <v>476</v>
      </c>
      <c r="E2031" s="132">
        <v>1160.23</v>
      </c>
    </row>
    <row r="2032" spans="1:5" x14ac:dyDescent="0.25">
      <c r="A2032" s="130" t="s">
        <v>4</v>
      </c>
      <c r="B2032" s="130" t="s">
        <v>574</v>
      </c>
      <c r="C2032" s="130" t="s">
        <v>608</v>
      </c>
      <c r="D2032" s="130" t="s">
        <v>459</v>
      </c>
      <c r="E2032" s="132">
        <v>1401.72</v>
      </c>
    </row>
    <row r="2033" spans="1:5" x14ac:dyDescent="0.25">
      <c r="A2033" s="130" t="s">
        <v>4</v>
      </c>
      <c r="B2033" s="130" t="s">
        <v>574</v>
      </c>
      <c r="C2033" s="130" t="s">
        <v>608</v>
      </c>
      <c r="D2033" s="130" t="s">
        <v>436</v>
      </c>
      <c r="E2033" s="132">
        <v>3620.23</v>
      </c>
    </row>
    <row r="2034" spans="1:5" x14ac:dyDescent="0.25">
      <c r="A2034" s="130" t="s">
        <v>4</v>
      </c>
      <c r="B2034" s="130" t="s">
        <v>574</v>
      </c>
      <c r="C2034" s="130" t="s">
        <v>608</v>
      </c>
      <c r="D2034" s="130" t="s">
        <v>916</v>
      </c>
      <c r="E2034" s="132">
        <v>6798.03</v>
      </c>
    </row>
    <row r="2035" spans="1:5" x14ac:dyDescent="0.25">
      <c r="A2035" s="130" t="s">
        <v>4</v>
      </c>
      <c r="B2035" s="130" t="s">
        <v>574</v>
      </c>
      <c r="C2035" s="130" t="s">
        <v>608</v>
      </c>
      <c r="D2035" s="130" t="s">
        <v>359</v>
      </c>
      <c r="E2035" s="132">
        <v>692.23</v>
      </c>
    </row>
    <row r="2036" spans="1:5" x14ac:dyDescent="0.25">
      <c r="A2036" s="130" t="s">
        <v>4</v>
      </c>
      <c r="B2036" s="130" t="s">
        <v>574</v>
      </c>
      <c r="C2036" s="130" t="s">
        <v>608</v>
      </c>
      <c r="D2036" s="130" t="s">
        <v>314</v>
      </c>
      <c r="E2036" s="132">
        <v>828.3</v>
      </c>
    </row>
    <row r="2037" spans="1:5" x14ac:dyDescent="0.25">
      <c r="A2037" s="130" t="s">
        <v>4</v>
      </c>
      <c r="B2037" s="130" t="s">
        <v>574</v>
      </c>
      <c r="C2037" s="130" t="s">
        <v>608</v>
      </c>
      <c r="D2037" s="130" t="s">
        <v>1053</v>
      </c>
      <c r="E2037" s="132">
        <v>2768.1</v>
      </c>
    </row>
    <row r="2038" spans="1:5" x14ac:dyDescent="0.25">
      <c r="A2038" s="130" t="s">
        <v>4</v>
      </c>
      <c r="B2038" s="130" t="s">
        <v>574</v>
      </c>
      <c r="C2038" s="130" t="s">
        <v>608</v>
      </c>
      <c r="D2038" s="130" t="s">
        <v>384</v>
      </c>
      <c r="E2038" s="132">
        <v>3137.35</v>
      </c>
    </row>
    <row r="2039" spans="1:5" x14ac:dyDescent="0.25">
      <c r="A2039" s="130" t="s">
        <v>4</v>
      </c>
      <c r="B2039" s="130" t="s">
        <v>574</v>
      </c>
      <c r="C2039" s="130" t="s">
        <v>608</v>
      </c>
      <c r="D2039" s="130" t="s">
        <v>244</v>
      </c>
      <c r="E2039" s="132">
        <v>3126.82</v>
      </c>
    </row>
    <row r="2040" spans="1:5" x14ac:dyDescent="0.25">
      <c r="A2040" s="130" t="s">
        <v>4</v>
      </c>
      <c r="B2040" s="130" t="s">
        <v>574</v>
      </c>
      <c r="C2040" s="130" t="s">
        <v>608</v>
      </c>
      <c r="D2040" s="130" t="s">
        <v>245</v>
      </c>
      <c r="E2040" s="132">
        <v>2521.35</v>
      </c>
    </row>
    <row r="2041" spans="1:5" x14ac:dyDescent="0.25">
      <c r="A2041" s="130" t="s">
        <v>4</v>
      </c>
      <c r="B2041" s="130" t="s">
        <v>574</v>
      </c>
      <c r="C2041" s="130" t="s">
        <v>608</v>
      </c>
      <c r="D2041" s="130" t="s">
        <v>246</v>
      </c>
      <c r="E2041" s="132">
        <v>2676.96</v>
      </c>
    </row>
    <row r="2042" spans="1:5" x14ac:dyDescent="0.25">
      <c r="A2042" s="130" t="s">
        <v>4</v>
      </c>
      <c r="B2042" s="130" t="s">
        <v>574</v>
      </c>
      <c r="C2042" s="130" t="s">
        <v>608</v>
      </c>
      <c r="D2042" s="130" t="s">
        <v>247</v>
      </c>
      <c r="E2042" s="132">
        <v>2217.85</v>
      </c>
    </row>
    <row r="2043" spans="1:5" x14ac:dyDescent="0.25">
      <c r="A2043" s="130" t="s">
        <v>4</v>
      </c>
      <c r="B2043" s="130" t="s">
        <v>574</v>
      </c>
      <c r="C2043" s="130" t="s">
        <v>608</v>
      </c>
      <c r="D2043" s="130" t="s">
        <v>248</v>
      </c>
      <c r="E2043" s="132">
        <v>2477.3000000000002</v>
      </c>
    </row>
    <row r="2044" spans="1:5" x14ac:dyDescent="0.25">
      <c r="A2044" s="130" t="s">
        <v>4</v>
      </c>
      <c r="B2044" s="130" t="s">
        <v>574</v>
      </c>
      <c r="C2044" s="130" t="s">
        <v>608</v>
      </c>
      <c r="D2044" s="130" t="s">
        <v>469</v>
      </c>
      <c r="E2044" s="132">
        <v>2156.08</v>
      </c>
    </row>
    <row r="2045" spans="1:5" x14ac:dyDescent="0.25">
      <c r="A2045" s="130" t="s">
        <v>4</v>
      </c>
      <c r="B2045" s="130" t="s">
        <v>574</v>
      </c>
      <c r="C2045" s="130" t="s">
        <v>608</v>
      </c>
      <c r="D2045" s="130" t="s">
        <v>965</v>
      </c>
      <c r="E2045" s="132">
        <v>4967.47</v>
      </c>
    </row>
    <row r="2046" spans="1:5" x14ac:dyDescent="0.25">
      <c r="A2046" s="130" t="s">
        <v>4</v>
      </c>
      <c r="B2046" s="130" t="s">
        <v>574</v>
      </c>
      <c r="C2046" s="130" t="s">
        <v>608</v>
      </c>
      <c r="D2046" s="130" t="s">
        <v>267</v>
      </c>
      <c r="E2046" s="132">
        <v>1686.96</v>
      </c>
    </row>
    <row r="2047" spans="1:5" x14ac:dyDescent="0.25">
      <c r="A2047" s="130" t="s">
        <v>4</v>
      </c>
      <c r="B2047" s="130" t="s">
        <v>574</v>
      </c>
      <c r="C2047" s="130" t="s">
        <v>608</v>
      </c>
      <c r="D2047" s="130" t="s">
        <v>438</v>
      </c>
      <c r="E2047" s="132">
        <v>3157.13</v>
      </c>
    </row>
    <row r="2048" spans="1:5" x14ac:dyDescent="0.25">
      <c r="A2048" s="130" t="s">
        <v>4</v>
      </c>
      <c r="B2048" s="130" t="s">
        <v>574</v>
      </c>
      <c r="C2048" s="130" t="s">
        <v>608</v>
      </c>
      <c r="D2048" s="130" t="s">
        <v>330</v>
      </c>
      <c r="E2048" s="132">
        <v>4179.01</v>
      </c>
    </row>
    <row r="2049" spans="1:5" x14ac:dyDescent="0.25">
      <c r="A2049" s="130" t="s">
        <v>4</v>
      </c>
      <c r="B2049" s="130" t="s">
        <v>574</v>
      </c>
      <c r="C2049" s="130" t="s">
        <v>608</v>
      </c>
      <c r="D2049" s="130" t="s">
        <v>424</v>
      </c>
      <c r="E2049" s="132">
        <v>11029.12</v>
      </c>
    </row>
    <row r="2050" spans="1:5" x14ac:dyDescent="0.25">
      <c r="A2050" s="130" t="s">
        <v>4</v>
      </c>
      <c r="B2050" s="130" t="s">
        <v>574</v>
      </c>
      <c r="C2050" s="130" t="s">
        <v>608</v>
      </c>
      <c r="D2050" s="130" t="s">
        <v>1044</v>
      </c>
      <c r="E2050" s="132">
        <v>3890.78</v>
      </c>
    </row>
    <row r="2051" spans="1:5" x14ac:dyDescent="0.25">
      <c r="A2051" s="130" t="s">
        <v>4</v>
      </c>
      <c r="B2051" s="130" t="s">
        <v>574</v>
      </c>
      <c r="C2051" s="130" t="s">
        <v>608</v>
      </c>
      <c r="D2051" s="130" t="s">
        <v>271</v>
      </c>
      <c r="E2051" s="132">
        <v>2839.71</v>
      </c>
    </row>
    <row r="2052" spans="1:5" x14ac:dyDescent="0.25">
      <c r="A2052" s="130" t="s">
        <v>4</v>
      </c>
      <c r="B2052" s="130" t="s">
        <v>574</v>
      </c>
      <c r="C2052" s="130" t="s">
        <v>608</v>
      </c>
      <c r="D2052" s="130" t="s">
        <v>289</v>
      </c>
      <c r="E2052" s="132">
        <v>5965.13</v>
      </c>
    </row>
    <row r="2053" spans="1:5" x14ac:dyDescent="0.25">
      <c r="A2053" s="130" t="s">
        <v>4</v>
      </c>
      <c r="B2053" s="130" t="s">
        <v>574</v>
      </c>
      <c r="C2053" s="130" t="s">
        <v>608</v>
      </c>
      <c r="D2053" s="130" t="s">
        <v>301</v>
      </c>
      <c r="E2053" s="132">
        <v>2964.55</v>
      </c>
    </row>
    <row r="2054" spans="1:5" x14ac:dyDescent="0.25">
      <c r="A2054" s="130" t="s">
        <v>4</v>
      </c>
      <c r="B2054" s="130" t="s">
        <v>574</v>
      </c>
      <c r="C2054" s="130" t="s">
        <v>608</v>
      </c>
      <c r="D2054" s="130" t="s">
        <v>272</v>
      </c>
      <c r="E2054" s="132">
        <v>3121.09</v>
      </c>
    </row>
    <row r="2055" spans="1:5" x14ac:dyDescent="0.25">
      <c r="A2055" s="130" t="s">
        <v>4</v>
      </c>
      <c r="B2055" s="130" t="s">
        <v>574</v>
      </c>
      <c r="C2055" s="130" t="s">
        <v>608</v>
      </c>
      <c r="D2055" s="130" t="s">
        <v>290</v>
      </c>
      <c r="E2055" s="132">
        <v>8574.7000000000007</v>
      </c>
    </row>
    <row r="2056" spans="1:5" x14ac:dyDescent="0.25">
      <c r="A2056" s="130" t="s">
        <v>4</v>
      </c>
      <c r="B2056" s="130" t="s">
        <v>574</v>
      </c>
      <c r="C2056" s="130" t="s">
        <v>608</v>
      </c>
      <c r="D2056" s="130" t="s">
        <v>732</v>
      </c>
      <c r="E2056" s="132">
        <v>1775.04</v>
      </c>
    </row>
    <row r="2057" spans="1:5" x14ac:dyDescent="0.25">
      <c r="A2057" s="130" t="s">
        <v>4</v>
      </c>
      <c r="B2057" s="130" t="s">
        <v>574</v>
      </c>
      <c r="C2057" s="130" t="s">
        <v>608</v>
      </c>
      <c r="D2057" s="130" t="s">
        <v>372</v>
      </c>
      <c r="E2057" s="132">
        <v>1171.1099999999999</v>
      </c>
    </row>
    <row r="2058" spans="1:5" x14ac:dyDescent="0.25">
      <c r="A2058" s="130" t="s">
        <v>4</v>
      </c>
      <c r="B2058" s="130" t="s">
        <v>574</v>
      </c>
      <c r="C2058" s="130" t="s">
        <v>608</v>
      </c>
      <c r="D2058" s="130" t="s">
        <v>398</v>
      </c>
      <c r="E2058" s="132">
        <v>13809.96</v>
      </c>
    </row>
    <row r="2059" spans="1:5" x14ac:dyDescent="0.25">
      <c r="A2059" s="130" t="s">
        <v>4</v>
      </c>
      <c r="B2059" s="130" t="s">
        <v>574</v>
      </c>
      <c r="C2059" s="130" t="s">
        <v>608</v>
      </c>
      <c r="D2059" s="130" t="s">
        <v>399</v>
      </c>
      <c r="E2059" s="132">
        <v>7712.1</v>
      </c>
    </row>
    <row r="2060" spans="1:5" x14ac:dyDescent="0.25">
      <c r="A2060" s="130" t="s">
        <v>4</v>
      </c>
      <c r="B2060" s="130" t="s">
        <v>574</v>
      </c>
      <c r="C2060" s="130" t="s">
        <v>608</v>
      </c>
      <c r="D2060" s="130" t="s">
        <v>470</v>
      </c>
      <c r="E2060" s="132">
        <v>12512.64</v>
      </c>
    </row>
    <row r="2061" spans="1:5" x14ac:dyDescent="0.25">
      <c r="A2061" s="130" t="s">
        <v>4</v>
      </c>
      <c r="B2061" s="130" t="s">
        <v>574</v>
      </c>
      <c r="C2061" s="130" t="s">
        <v>608</v>
      </c>
      <c r="D2061" s="130" t="s">
        <v>976</v>
      </c>
      <c r="E2061" s="132">
        <v>31281.03</v>
      </c>
    </row>
    <row r="2062" spans="1:5" x14ac:dyDescent="0.25">
      <c r="A2062" s="130" t="s">
        <v>4</v>
      </c>
      <c r="B2062" s="130" t="s">
        <v>574</v>
      </c>
      <c r="C2062" s="130" t="s">
        <v>608</v>
      </c>
      <c r="D2062" s="130" t="s">
        <v>400</v>
      </c>
      <c r="E2062" s="132">
        <v>30253.66</v>
      </c>
    </row>
    <row r="2063" spans="1:5" x14ac:dyDescent="0.25">
      <c r="A2063" s="130" t="s">
        <v>4</v>
      </c>
      <c r="B2063" s="130" t="s">
        <v>574</v>
      </c>
      <c r="C2063" s="130" t="s">
        <v>608</v>
      </c>
      <c r="D2063" s="130" t="s">
        <v>401</v>
      </c>
      <c r="E2063" s="132">
        <v>26781.68</v>
      </c>
    </row>
    <row r="2064" spans="1:5" x14ac:dyDescent="0.25">
      <c r="A2064" s="130" t="s">
        <v>4</v>
      </c>
      <c r="B2064" s="130" t="s">
        <v>574</v>
      </c>
      <c r="C2064" s="130" t="s">
        <v>608</v>
      </c>
      <c r="D2064" s="130" t="s">
        <v>472</v>
      </c>
      <c r="E2064" s="132">
        <v>34305.339999999997</v>
      </c>
    </row>
    <row r="2065" spans="1:5" x14ac:dyDescent="0.25">
      <c r="A2065" s="130" t="s">
        <v>4</v>
      </c>
      <c r="B2065" s="130" t="s">
        <v>574</v>
      </c>
      <c r="C2065" s="130" t="s">
        <v>608</v>
      </c>
      <c r="D2065" s="130" t="s">
        <v>978</v>
      </c>
      <c r="E2065" s="132">
        <v>7340.69</v>
      </c>
    </row>
    <row r="2066" spans="1:5" x14ac:dyDescent="0.25">
      <c r="A2066" s="130" t="s">
        <v>4</v>
      </c>
      <c r="B2066" s="130" t="s">
        <v>574</v>
      </c>
      <c r="C2066" s="130" t="s">
        <v>608</v>
      </c>
      <c r="D2066" s="130" t="s">
        <v>754</v>
      </c>
      <c r="E2066" s="132">
        <v>6654.75</v>
      </c>
    </row>
    <row r="2067" spans="1:5" x14ac:dyDescent="0.25">
      <c r="A2067" s="130" t="s">
        <v>4</v>
      </c>
      <c r="B2067" s="130" t="s">
        <v>574</v>
      </c>
      <c r="C2067" s="130" t="s">
        <v>608</v>
      </c>
      <c r="D2067" s="130" t="s">
        <v>507</v>
      </c>
      <c r="E2067" s="132">
        <v>21652.48</v>
      </c>
    </row>
    <row r="2068" spans="1:5" x14ac:dyDescent="0.25">
      <c r="A2068" s="130" t="s">
        <v>4</v>
      </c>
      <c r="B2068" s="130" t="s">
        <v>574</v>
      </c>
      <c r="C2068" s="130" t="s">
        <v>608</v>
      </c>
      <c r="D2068" s="130" t="s">
        <v>916</v>
      </c>
      <c r="E2068" s="132">
        <v>16573.98</v>
      </c>
    </row>
    <row r="2069" spans="1:5" x14ac:dyDescent="0.25">
      <c r="A2069" s="130" t="s">
        <v>4</v>
      </c>
      <c r="B2069" s="130" t="s">
        <v>574</v>
      </c>
      <c r="C2069" s="130" t="s">
        <v>608</v>
      </c>
      <c r="D2069" s="130" t="s">
        <v>291</v>
      </c>
      <c r="E2069" s="132">
        <v>989.3</v>
      </c>
    </row>
    <row r="2070" spans="1:5" x14ac:dyDescent="0.25">
      <c r="A2070" s="130" t="s">
        <v>4</v>
      </c>
      <c r="B2070" s="130" t="s">
        <v>574</v>
      </c>
      <c r="C2070" s="130" t="s">
        <v>608</v>
      </c>
      <c r="D2070" s="130" t="s">
        <v>932</v>
      </c>
      <c r="E2070" s="132">
        <v>1284.21</v>
      </c>
    </row>
    <row r="2071" spans="1:5" x14ac:dyDescent="0.25">
      <c r="A2071" s="130" t="s">
        <v>4</v>
      </c>
      <c r="B2071" s="130" t="s">
        <v>574</v>
      </c>
      <c r="C2071" s="130" t="s">
        <v>608</v>
      </c>
      <c r="D2071" s="130" t="s">
        <v>933</v>
      </c>
      <c r="E2071" s="132">
        <v>1629.05</v>
      </c>
    </row>
    <row r="2072" spans="1:5" x14ac:dyDescent="0.25">
      <c r="A2072" s="130" t="s">
        <v>4</v>
      </c>
      <c r="B2072" s="130" t="s">
        <v>574</v>
      </c>
      <c r="C2072" s="130" t="s">
        <v>608</v>
      </c>
      <c r="D2072" s="130" t="s">
        <v>934</v>
      </c>
      <c r="E2072" s="132">
        <v>971.35</v>
      </c>
    </row>
    <row r="2073" spans="1:5" x14ac:dyDescent="0.25">
      <c r="A2073" s="130" t="s">
        <v>4</v>
      </c>
      <c r="B2073" s="130" t="s">
        <v>574</v>
      </c>
      <c r="C2073" s="130" t="s">
        <v>608</v>
      </c>
      <c r="D2073" s="130" t="s">
        <v>763</v>
      </c>
      <c r="E2073" s="132">
        <v>1962.67</v>
      </c>
    </row>
    <row r="2074" spans="1:5" x14ac:dyDescent="0.25">
      <c r="A2074" s="130" t="s">
        <v>4</v>
      </c>
      <c r="B2074" s="130" t="s">
        <v>574</v>
      </c>
      <c r="C2074" s="130" t="s">
        <v>608</v>
      </c>
      <c r="D2074" s="130" t="s">
        <v>764</v>
      </c>
      <c r="E2074" s="132">
        <v>2432.7600000000002</v>
      </c>
    </row>
    <row r="2075" spans="1:5" x14ac:dyDescent="0.25">
      <c r="A2075" s="130" t="s">
        <v>4</v>
      </c>
      <c r="B2075" s="130" t="s">
        <v>574</v>
      </c>
      <c r="C2075" s="130" t="s">
        <v>608</v>
      </c>
      <c r="D2075" s="130" t="s">
        <v>765</v>
      </c>
      <c r="E2075" s="132">
        <v>2908.48</v>
      </c>
    </row>
    <row r="2076" spans="1:5" x14ac:dyDescent="0.25">
      <c r="A2076" s="130" t="s">
        <v>4</v>
      </c>
      <c r="B2076" s="130" t="s">
        <v>574</v>
      </c>
      <c r="C2076" s="130" t="s">
        <v>608</v>
      </c>
      <c r="D2076" s="130" t="s">
        <v>490</v>
      </c>
      <c r="E2076" s="132">
        <v>2673.75</v>
      </c>
    </row>
    <row r="2077" spans="1:5" x14ac:dyDescent="0.25">
      <c r="A2077" s="130" t="s">
        <v>4</v>
      </c>
      <c r="B2077" s="130" t="s">
        <v>574</v>
      </c>
      <c r="C2077" s="130" t="s">
        <v>608</v>
      </c>
      <c r="D2077" s="130" t="s">
        <v>306</v>
      </c>
      <c r="E2077" s="132">
        <v>2957.09</v>
      </c>
    </row>
    <row r="2078" spans="1:5" x14ac:dyDescent="0.25">
      <c r="A2078" s="130" t="s">
        <v>4</v>
      </c>
      <c r="B2078" s="130" t="s">
        <v>574</v>
      </c>
      <c r="C2078" s="130" t="s">
        <v>608</v>
      </c>
      <c r="D2078" s="130" t="s">
        <v>532</v>
      </c>
      <c r="E2078" s="132">
        <v>28318.62</v>
      </c>
    </row>
    <row r="2079" spans="1:5" x14ac:dyDescent="0.25">
      <c r="A2079" s="130" t="s">
        <v>4</v>
      </c>
      <c r="B2079" s="130" t="s">
        <v>574</v>
      </c>
      <c r="C2079" s="130" t="s">
        <v>608</v>
      </c>
      <c r="D2079" s="130" t="s">
        <v>1054</v>
      </c>
      <c r="E2079" s="132">
        <v>6616.35</v>
      </c>
    </row>
    <row r="2080" spans="1:5" x14ac:dyDescent="0.25">
      <c r="A2080" s="130" t="s">
        <v>4</v>
      </c>
      <c r="B2080" s="130" t="s">
        <v>574</v>
      </c>
      <c r="C2080" s="130" t="s">
        <v>608</v>
      </c>
      <c r="D2080" s="130" t="s">
        <v>937</v>
      </c>
      <c r="E2080" s="132">
        <v>7880.14</v>
      </c>
    </row>
    <row r="2081" spans="1:5" x14ac:dyDescent="0.25">
      <c r="A2081" s="130" t="s">
        <v>4</v>
      </c>
      <c r="B2081" s="130" t="s">
        <v>574</v>
      </c>
      <c r="C2081" s="130" t="s">
        <v>608</v>
      </c>
      <c r="D2081" s="130" t="s">
        <v>357</v>
      </c>
      <c r="E2081" s="132">
        <v>2769.54</v>
      </c>
    </row>
    <row r="2082" spans="1:5" x14ac:dyDescent="0.25">
      <c r="A2082" s="130" t="s">
        <v>4</v>
      </c>
      <c r="B2082" s="130" t="s">
        <v>574</v>
      </c>
      <c r="C2082" s="130" t="s">
        <v>608</v>
      </c>
      <c r="D2082" s="130" t="s">
        <v>431</v>
      </c>
      <c r="E2082" s="132">
        <v>16952.04</v>
      </c>
    </row>
    <row r="2083" spans="1:5" x14ac:dyDescent="0.25">
      <c r="A2083" s="130" t="s">
        <v>4</v>
      </c>
      <c r="B2083" s="130" t="s">
        <v>574</v>
      </c>
      <c r="C2083" s="130" t="s">
        <v>608</v>
      </c>
      <c r="D2083" s="130" t="s">
        <v>679</v>
      </c>
      <c r="E2083" s="132">
        <v>3835.94</v>
      </c>
    </row>
    <row r="2084" spans="1:5" x14ac:dyDescent="0.25">
      <c r="A2084" s="130" t="s">
        <v>4</v>
      </c>
      <c r="B2084" s="130" t="s">
        <v>574</v>
      </c>
      <c r="C2084" s="130" t="s">
        <v>608</v>
      </c>
      <c r="D2084" s="130" t="s">
        <v>755</v>
      </c>
      <c r="E2084" s="132">
        <v>1290.22</v>
      </c>
    </row>
    <row r="2085" spans="1:5" x14ac:dyDescent="0.25">
      <c r="A2085" s="130" t="s">
        <v>4</v>
      </c>
      <c r="B2085" s="130" t="s">
        <v>574</v>
      </c>
      <c r="C2085" s="130" t="s">
        <v>608</v>
      </c>
      <c r="D2085" s="130" t="s">
        <v>756</v>
      </c>
      <c r="E2085" s="132">
        <v>1173.6600000000001</v>
      </c>
    </row>
    <row r="2086" spans="1:5" x14ac:dyDescent="0.25">
      <c r="A2086" s="130" t="s">
        <v>4</v>
      </c>
      <c r="B2086" s="130" t="s">
        <v>574</v>
      </c>
      <c r="C2086" s="130" t="s">
        <v>608</v>
      </c>
      <c r="D2086" s="130" t="s">
        <v>1037</v>
      </c>
      <c r="E2086" s="132">
        <v>1257.1099999999999</v>
      </c>
    </row>
    <row r="2087" spans="1:5" x14ac:dyDescent="0.25">
      <c r="A2087" s="130" t="s">
        <v>4</v>
      </c>
      <c r="B2087" s="130" t="s">
        <v>574</v>
      </c>
      <c r="C2087" s="130" t="s">
        <v>608</v>
      </c>
      <c r="D2087" s="130" t="s">
        <v>1038</v>
      </c>
      <c r="E2087" s="132">
        <v>1019.22</v>
      </c>
    </row>
    <row r="2088" spans="1:5" x14ac:dyDescent="0.25">
      <c r="A2088" s="130" t="s">
        <v>4</v>
      </c>
      <c r="B2088" s="130" t="s">
        <v>574</v>
      </c>
      <c r="C2088" s="130" t="s">
        <v>608</v>
      </c>
      <c r="D2088" s="130" t="s">
        <v>773</v>
      </c>
      <c r="E2088" s="132">
        <v>2063.2399999999998</v>
      </c>
    </row>
    <row r="2089" spans="1:5" x14ac:dyDescent="0.25">
      <c r="A2089" s="130" t="s">
        <v>4</v>
      </c>
      <c r="B2089" s="130" t="s">
        <v>574</v>
      </c>
      <c r="C2089" s="130" t="s">
        <v>608</v>
      </c>
      <c r="D2089" s="130" t="s">
        <v>1042</v>
      </c>
      <c r="E2089" s="132">
        <v>2439.9499999999998</v>
      </c>
    </row>
    <row r="2090" spans="1:5" x14ac:dyDescent="0.25">
      <c r="A2090" s="130" t="s">
        <v>4</v>
      </c>
      <c r="B2090" s="130" t="s">
        <v>574</v>
      </c>
      <c r="C2090" s="130" t="s">
        <v>608</v>
      </c>
      <c r="D2090" s="130" t="s">
        <v>663</v>
      </c>
      <c r="E2090" s="132">
        <v>9179.7199999999993</v>
      </c>
    </row>
    <row r="2091" spans="1:5" x14ac:dyDescent="0.25">
      <c r="A2091" s="130" t="s">
        <v>4</v>
      </c>
      <c r="B2091" s="130" t="s">
        <v>574</v>
      </c>
      <c r="C2091" s="130" t="s">
        <v>608</v>
      </c>
      <c r="D2091" s="130" t="s">
        <v>244</v>
      </c>
      <c r="E2091" s="132">
        <v>3313.9</v>
      </c>
    </row>
    <row r="2092" spans="1:5" x14ac:dyDescent="0.25">
      <c r="A2092" s="130" t="s">
        <v>4</v>
      </c>
      <c r="B2092" s="130" t="s">
        <v>574</v>
      </c>
      <c r="C2092" s="130" t="s">
        <v>608</v>
      </c>
      <c r="D2092" s="130" t="s">
        <v>245</v>
      </c>
      <c r="E2092" s="132">
        <v>2672.2</v>
      </c>
    </row>
    <row r="2093" spans="1:5" x14ac:dyDescent="0.25">
      <c r="A2093" s="130" t="s">
        <v>4</v>
      </c>
      <c r="B2093" s="130" t="s">
        <v>574</v>
      </c>
      <c r="C2093" s="130" t="s">
        <v>608</v>
      </c>
      <c r="D2093" s="130" t="s">
        <v>248</v>
      </c>
      <c r="E2093" s="132">
        <v>2625.51</v>
      </c>
    </row>
    <row r="2094" spans="1:5" x14ac:dyDescent="0.25">
      <c r="A2094" s="130" t="s">
        <v>4</v>
      </c>
      <c r="B2094" s="130" t="s">
        <v>574</v>
      </c>
      <c r="C2094" s="130" t="s">
        <v>608</v>
      </c>
      <c r="D2094" s="130" t="s">
        <v>482</v>
      </c>
      <c r="E2094" s="132">
        <v>7099.05</v>
      </c>
    </row>
    <row r="2095" spans="1:5" x14ac:dyDescent="0.25">
      <c r="A2095" s="130" t="s">
        <v>4</v>
      </c>
      <c r="B2095" s="130" t="s">
        <v>574</v>
      </c>
      <c r="C2095" s="130" t="s">
        <v>608</v>
      </c>
      <c r="D2095" s="130" t="s">
        <v>637</v>
      </c>
      <c r="E2095" s="132">
        <v>5960.62</v>
      </c>
    </row>
    <row r="2096" spans="1:5" x14ac:dyDescent="0.25">
      <c r="A2096" s="130" t="s">
        <v>4</v>
      </c>
      <c r="B2096" s="130" t="s">
        <v>574</v>
      </c>
      <c r="C2096" s="130" t="s">
        <v>608</v>
      </c>
      <c r="D2096" s="130" t="s">
        <v>332</v>
      </c>
      <c r="E2096" s="132">
        <v>5708.69</v>
      </c>
    </row>
    <row r="2097" spans="1:5" x14ac:dyDescent="0.25">
      <c r="A2097" s="130" t="s">
        <v>4</v>
      </c>
      <c r="B2097" s="130" t="s">
        <v>574</v>
      </c>
      <c r="C2097" s="130" t="s">
        <v>608</v>
      </c>
      <c r="D2097" s="130" t="s">
        <v>555</v>
      </c>
      <c r="E2097" s="132">
        <v>10288.280000000001</v>
      </c>
    </row>
    <row r="2098" spans="1:5" x14ac:dyDescent="0.25">
      <c r="A2098" s="130" t="s">
        <v>4</v>
      </c>
      <c r="B2098" s="130" t="s">
        <v>574</v>
      </c>
      <c r="C2098" s="130" t="s">
        <v>608</v>
      </c>
      <c r="D2098" s="130" t="s">
        <v>351</v>
      </c>
      <c r="E2098" s="132">
        <v>5832.84</v>
      </c>
    </row>
    <row r="2099" spans="1:5" x14ac:dyDescent="0.25">
      <c r="A2099" s="130" t="s">
        <v>4</v>
      </c>
      <c r="B2099" s="130" t="s">
        <v>574</v>
      </c>
      <c r="C2099" s="130" t="s">
        <v>608</v>
      </c>
      <c r="D2099" s="130" t="s">
        <v>569</v>
      </c>
      <c r="E2099" s="132">
        <v>8741.3799999999992</v>
      </c>
    </row>
    <row r="2100" spans="1:5" x14ac:dyDescent="0.25">
      <c r="A2100" s="130" t="s">
        <v>4</v>
      </c>
      <c r="B2100" s="130" t="s">
        <v>574</v>
      </c>
      <c r="C2100" s="130" t="s">
        <v>608</v>
      </c>
      <c r="D2100" s="130" t="s">
        <v>331</v>
      </c>
      <c r="E2100" s="132">
        <v>5598.23</v>
      </c>
    </row>
    <row r="2101" spans="1:5" x14ac:dyDescent="0.25">
      <c r="A2101" s="130" t="s">
        <v>4</v>
      </c>
      <c r="B2101" s="130" t="s">
        <v>574</v>
      </c>
      <c r="C2101" s="130" t="s">
        <v>608</v>
      </c>
      <c r="D2101" s="130" t="s">
        <v>702</v>
      </c>
      <c r="E2101" s="132">
        <v>6915.11</v>
      </c>
    </row>
    <row r="2102" spans="1:5" x14ac:dyDescent="0.25">
      <c r="A2102" s="130" t="s">
        <v>4</v>
      </c>
      <c r="B2102" s="130" t="s">
        <v>574</v>
      </c>
      <c r="C2102" s="130" t="s">
        <v>608</v>
      </c>
      <c r="D2102" s="130" t="s">
        <v>809</v>
      </c>
      <c r="E2102" s="132">
        <v>4892.7299999999996</v>
      </c>
    </row>
    <row r="2103" spans="1:5" x14ac:dyDescent="0.25">
      <c r="A2103" s="130" t="s">
        <v>4</v>
      </c>
      <c r="B2103" s="130" t="s">
        <v>574</v>
      </c>
      <c r="C2103" s="130" t="s">
        <v>608</v>
      </c>
      <c r="D2103" s="130" t="s">
        <v>738</v>
      </c>
      <c r="E2103" s="132">
        <v>2835.82</v>
      </c>
    </row>
    <row r="2104" spans="1:5" x14ac:dyDescent="0.25">
      <c r="A2104" s="130" t="s">
        <v>4</v>
      </c>
      <c r="B2104" s="130" t="s">
        <v>574</v>
      </c>
      <c r="C2104" s="130" t="s">
        <v>608</v>
      </c>
      <c r="D2104" s="130" t="s">
        <v>739</v>
      </c>
      <c r="E2104" s="132">
        <v>3229.33</v>
      </c>
    </row>
    <row r="2105" spans="1:5" x14ac:dyDescent="0.25">
      <c r="A2105" s="130" t="s">
        <v>4</v>
      </c>
      <c r="B2105" s="130" t="s">
        <v>574</v>
      </c>
      <c r="C2105" s="130" t="s">
        <v>608</v>
      </c>
      <c r="D2105" s="130" t="s">
        <v>305</v>
      </c>
      <c r="E2105" s="132">
        <v>66381.91</v>
      </c>
    </row>
    <row r="2106" spans="1:5" x14ac:dyDescent="0.25">
      <c r="A2106" s="130" t="s">
        <v>4</v>
      </c>
      <c r="B2106" s="130" t="s">
        <v>574</v>
      </c>
      <c r="C2106" s="130" t="s">
        <v>608</v>
      </c>
      <c r="D2106" s="130" t="s">
        <v>305</v>
      </c>
      <c r="E2106" s="132">
        <v>6635.3</v>
      </c>
    </row>
    <row r="2107" spans="1:5" x14ac:dyDescent="0.25">
      <c r="A2107" s="130" t="s">
        <v>4</v>
      </c>
      <c r="B2107" s="130" t="s">
        <v>574</v>
      </c>
      <c r="C2107" s="130" t="s">
        <v>608</v>
      </c>
      <c r="D2107" s="130" t="s">
        <v>690</v>
      </c>
      <c r="E2107" s="132">
        <v>4687.96</v>
      </c>
    </row>
    <row r="2108" spans="1:5" x14ac:dyDescent="0.25">
      <c r="A2108" s="130" t="s">
        <v>4</v>
      </c>
      <c r="B2108" s="130" t="s">
        <v>574</v>
      </c>
      <c r="C2108" s="130" t="s">
        <v>608</v>
      </c>
      <c r="D2108" s="130" t="s">
        <v>723</v>
      </c>
      <c r="E2108" s="132">
        <v>5841.58</v>
      </c>
    </row>
    <row r="2109" spans="1:5" x14ac:dyDescent="0.25">
      <c r="A2109" s="130" t="s">
        <v>4</v>
      </c>
      <c r="B2109" s="130" t="s">
        <v>574</v>
      </c>
      <c r="C2109" s="130" t="s">
        <v>608</v>
      </c>
      <c r="D2109" s="130" t="s">
        <v>614</v>
      </c>
      <c r="E2109" s="132">
        <v>3892.88</v>
      </c>
    </row>
    <row r="2110" spans="1:5" x14ac:dyDescent="0.25">
      <c r="A2110" s="130" t="s">
        <v>4</v>
      </c>
      <c r="B2110" s="130" t="s">
        <v>574</v>
      </c>
      <c r="C2110" s="130" t="s">
        <v>608</v>
      </c>
      <c r="D2110" s="130" t="s">
        <v>264</v>
      </c>
      <c r="E2110" s="132">
        <v>16615.169999999998</v>
      </c>
    </row>
    <row r="2111" spans="1:5" x14ac:dyDescent="0.25">
      <c r="A2111" s="130" t="s">
        <v>4</v>
      </c>
      <c r="B2111" s="130" t="s">
        <v>574</v>
      </c>
      <c r="C2111" s="130" t="s">
        <v>608</v>
      </c>
      <c r="D2111" s="130" t="s">
        <v>381</v>
      </c>
      <c r="E2111" s="132">
        <v>4769.8</v>
      </c>
    </row>
    <row r="2112" spans="1:5" x14ac:dyDescent="0.25">
      <c r="A2112" s="130" t="s">
        <v>4</v>
      </c>
      <c r="B2112" s="130" t="s">
        <v>574</v>
      </c>
      <c r="C2112" s="130" t="s">
        <v>608</v>
      </c>
      <c r="D2112" s="130" t="s">
        <v>343</v>
      </c>
      <c r="E2112" s="132">
        <v>10507.18</v>
      </c>
    </row>
    <row r="2113" spans="1:5" x14ac:dyDescent="0.25">
      <c r="A2113" s="130" t="s">
        <v>4</v>
      </c>
      <c r="B2113" s="130" t="s">
        <v>574</v>
      </c>
      <c r="C2113" s="130" t="s">
        <v>608</v>
      </c>
      <c r="D2113" s="130" t="s">
        <v>382</v>
      </c>
      <c r="E2113" s="132">
        <v>3524.04</v>
      </c>
    </row>
    <row r="2114" spans="1:5" x14ac:dyDescent="0.25">
      <c r="A2114" s="130" t="s">
        <v>4</v>
      </c>
      <c r="B2114" s="130" t="s">
        <v>574</v>
      </c>
      <c r="C2114" s="130" t="s">
        <v>608</v>
      </c>
      <c r="D2114" s="130" t="s">
        <v>706</v>
      </c>
      <c r="E2114" s="132">
        <v>2749.97</v>
      </c>
    </row>
    <row r="2115" spans="1:5" x14ac:dyDescent="0.25">
      <c r="A2115" s="130" t="s">
        <v>4</v>
      </c>
      <c r="B2115" s="130" t="s">
        <v>574</v>
      </c>
      <c r="C2115" s="130" t="s">
        <v>608</v>
      </c>
      <c r="D2115" s="130" t="s">
        <v>703</v>
      </c>
      <c r="E2115" s="132">
        <v>2700.13</v>
      </c>
    </row>
    <row r="2116" spans="1:5" x14ac:dyDescent="0.25">
      <c r="A2116" s="130" t="s">
        <v>4</v>
      </c>
      <c r="B2116" s="130" t="s">
        <v>574</v>
      </c>
      <c r="C2116" s="130" t="s">
        <v>608</v>
      </c>
      <c r="D2116" s="130" t="s">
        <v>704</v>
      </c>
      <c r="E2116" s="132">
        <v>10222.76</v>
      </c>
    </row>
    <row r="2117" spans="1:5" x14ac:dyDescent="0.25">
      <c r="A2117" s="130" t="s">
        <v>4</v>
      </c>
      <c r="B2117" s="130" t="s">
        <v>574</v>
      </c>
      <c r="C2117" s="130" t="s">
        <v>608</v>
      </c>
      <c r="D2117" s="130" t="s">
        <v>440</v>
      </c>
      <c r="E2117" s="132">
        <v>25265.45</v>
      </c>
    </row>
    <row r="2118" spans="1:5" x14ac:dyDescent="0.25">
      <c r="A2118" s="130" t="s">
        <v>4</v>
      </c>
      <c r="B2118" s="130" t="s">
        <v>574</v>
      </c>
      <c r="C2118" s="130" t="s">
        <v>608</v>
      </c>
      <c r="D2118" s="130" t="s">
        <v>691</v>
      </c>
      <c r="E2118" s="132">
        <v>11030.17</v>
      </c>
    </row>
    <row r="2119" spans="1:5" x14ac:dyDescent="0.25">
      <c r="A2119" s="130" t="s">
        <v>4</v>
      </c>
      <c r="B2119" s="130" t="s">
        <v>574</v>
      </c>
      <c r="C2119" s="130" t="s">
        <v>608</v>
      </c>
      <c r="D2119" s="130" t="s">
        <v>665</v>
      </c>
      <c r="E2119" s="132">
        <v>8103.42</v>
      </c>
    </row>
    <row r="2120" spans="1:5" x14ac:dyDescent="0.25">
      <c r="A2120" s="130" t="s">
        <v>4</v>
      </c>
      <c r="B2120" s="130" t="s">
        <v>574</v>
      </c>
      <c r="C2120" s="130" t="s">
        <v>608</v>
      </c>
      <c r="D2120" s="130" t="s">
        <v>692</v>
      </c>
      <c r="E2120" s="132">
        <v>4659.41</v>
      </c>
    </row>
    <row r="2121" spans="1:5" x14ac:dyDescent="0.25">
      <c r="A2121" s="130" t="s">
        <v>4</v>
      </c>
      <c r="B2121" s="130" t="s">
        <v>574</v>
      </c>
      <c r="C2121" s="130" t="s">
        <v>608</v>
      </c>
      <c r="D2121" s="130" t="s">
        <v>693</v>
      </c>
      <c r="E2121" s="132">
        <v>5401.77</v>
      </c>
    </row>
    <row r="2122" spans="1:5" x14ac:dyDescent="0.25">
      <c r="A2122" s="130" t="s">
        <v>4</v>
      </c>
      <c r="B2122" s="130" t="s">
        <v>574</v>
      </c>
      <c r="C2122" s="130" t="s">
        <v>608</v>
      </c>
      <c r="D2122" s="130" t="s">
        <v>990</v>
      </c>
      <c r="E2122" s="132">
        <v>28187.64</v>
      </c>
    </row>
    <row r="2123" spans="1:5" x14ac:dyDescent="0.25">
      <c r="A2123" s="130" t="s">
        <v>4</v>
      </c>
      <c r="B2123" s="130" t="s">
        <v>574</v>
      </c>
      <c r="C2123" s="130" t="s">
        <v>608</v>
      </c>
      <c r="D2123" s="130" t="s">
        <v>572</v>
      </c>
      <c r="E2123" s="132">
        <v>5392.65</v>
      </c>
    </row>
    <row r="2124" spans="1:5" x14ac:dyDescent="0.25">
      <c r="A2124" s="130" t="s">
        <v>4</v>
      </c>
      <c r="B2124" s="130" t="s">
        <v>574</v>
      </c>
      <c r="C2124" s="130" t="s">
        <v>608</v>
      </c>
      <c r="D2124" s="130" t="s">
        <v>543</v>
      </c>
      <c r="E2124" s="132">
        <v>7344.44</v>
      </c>
    </row>
    <row r="2125" spans="1:5" x14ac:dyDescent="0.25">
      <c r="A2125" s="130" t="s">
        <v>4</v>
      </c>
      <c r="B2125" s="130" t="s">
        <v>574</v>
      </c>
      <c r="C2125" s="130" t="s">
        <v>608</v>
      </c>
      <c r="D2125" s="130" t="s">
        <v>532</v>
      </c>
      <c r="E2125" s="132">
        <v>117336.08</v>
      </c>
    </row>
    <row r="2126" spans="1:5" x14ac:dyDescent="0.25">
      <c r="A2126" s="130" t="s">
        <v>4</v>
      </c>
      <c r="B2126" s="130" t="s">
        <v>574</v>
      </c>
      <c r="C2126" s="130" t="s">
        <v>608</v>
      </c>
      <c r="D2126" s="130" t="s">
        <v>759</v>
      </c>
      <c r="E2126" s="132">
        <v>20042.98</v>
      </c>
    </row>
    <row r="2127" spans="1:5" x14ac:dyDescent="0.25">
      <c r="A2127" s="130" t="s">
        <v>4</v>
      </c>
      <c r="B2127" s="130" t="s">
        <v>574</v>
      </c>
      <c r="C2127" s="130" t="s">
        <v>608</v>
      </c>
      <c r="D2127" s="130" t="s">
        <v>570</v>
      </c>
      <c r="E2127" s="132">
        <v>8816.2999999999993</v>
      </c>
    </row>
    <row r="2128" spans="1:5" x14ac:dyDescent="0.25">
      <c r="A2128" s="130" t="s">
        <v>4</v>
      </c>
      <c r="B2128" s="130" t="s">
        <v>574</v>
      </c>
      <c r="C2128" s="130" t="s">
        <v>608</v>
      </c>
      <c r="D2128" s="130" t="s">
        <v>428</v>
      </c>
      <c r="E2128" s="132">
        <v>3492.67</v>
      </c>
    </row>
    <row r="2129" spans="1:5" x14ac:dyDescent="0.25">
      <c r="A2129" s="130" t="s">
        <v>4</v>
      </c>
      <c r="B2129" s="130" t="s">
        <v>574</v>
      </c>
      <c r="C2129" s="130" t="s">
        <v>608</v>
      </c>
      <c r="D2129" s="130" t="s">
        <v>429</v>
      </c>
      <c r="E2129" s="132">
        <v>4157.34</v>
      </c>
    </row>
    <row r="2130" spans="1:5" x14ac:dyDescent="0.25">
      <c r="A2130" s="130" t="s">
        <v>4</v>
      </c>
      <c r="B2130" s="130" t="s">
        <v>574</v>
      </c>
      <c r="C2130" s="130" t="s">
        <v>608</v>
      </c>
      <c r="D2130" s="130" t="s">
        <v>269</v>
      </c>
      <c r="E2130" s="132">
        <v>9647.0499999999993</v>
      </c>
    </row>
    <row r="2131" spans="1:5" x14ac:dyDescent="0.25">
      <c r="A2131" s="130" t="s">
        <v>4</v>
      </c>
      <c r="B2131" s="130" t="s">
        <v>574</v>
      </c>
      <c r="C2131" s="130" t="s">
        <v>608</v>
      </c>
      <c r="D2131" s="130" t="s">
        <v>377</v>
      </c>
      <c r="E2131" s="132">
        <v>16469.11</v>
      </c>
    </row>
    <row r="2132" spans="1:5" x14ac:dyDescent="0.25">
      <c r="A2132" s="130" t="s">
        <v>4</v>
      </c>
      <c r="B2132" s="130" t="s">
        <v>574</v>
      </c>
      <c r="C2132" s="130" t="s">
        <v>608</v>
      </c>
      <c r="D2132" s="130" t="s">
        <v>560</v>
      </c>
      <c r="E2132" s="132">
        <v>18463.13</v>
      </c>
    </row>
    <row r="2133" spans="1:5" x14ac:dyDescent="0.25">
      <c r="A2133" s="130" t="s">
        <v>4</v>
      </c>
      <c r="B2133" s="130" t="s">
        <v>574</v>
      </c>
      <c r="C2133" s="130" t="s">
        <v>608</v>
      </c>
      <c r="D2133" s="130" t="s">
        <v>258</v>
      </c>
      <c r="E2133" s="132">
        <v>34102.019999999997</v>
      </c>
    </row>
    <row r="2134" spans="1:5" x14ac:dyDescent="0.25">
      <c r="A2134" s="130" t="s">
        <v>4</v>
      </c>
      <c r="B2134" s="130" t="s">
        <v>574</v>
      </c>
      <c r="C2134" s="130" t="s">
        <v>608</v>
      </c>
      <c r="D2134" s="130" t="s">
        <v>337</v>
      </c>
      <c r="E2134" s="132">
        <v>3798.7</v>
      </c>
    </row>
    <row r="2135" spans="1:5" x14ac:dyDescent="0.25">
      <c r="A2135" s="130" t="s">
        <v>4</v>
      </c>
      <c r="B2135" s="130" t="s">
        <v>574</v>
      </c>
      <c r="C2135" s="130" t="s">
        <v>608</v>
      </c>
      <c r="D2135" s="130" t="s">
        <v>333</v>
      </c>
      <c r="E2135" s="132">
        <v>3446.82</v>
      </c>
    </row>
    <row r="2136" spans="1:5" x14ac:dyDescent="0.25">
      <c r="A2136" s="130" t="s">
        <v>4</v>
      </c>
      <c r="B2136" s="130" t="s">
        <v>574</v>
      </c>
      <c r="C2136" s="130" t="s">
        <v>608</v>
      </c>
      <c r="D2136" s="130" t="s">
        <v>334</v>
      </c>
      <c r="E2136" s="132">
        <v>2896.69</v>
      </c>
    </row>
    <row r="2137" spans="1:5" x14ac:dyDescent="0.25">
      <c r="A2137" s="130" t="s">
        <v>4</v>
      </c>
      <c r="B2137" s="130" t="s">
        <v>574</v>
      </c>
      <c r="C2137" s="130" t="s">
        <v>608</v>
      </c>
      <c r="D2137" s="130" t="s">
        <v>994</v>
      </c>
      <c r="E2137" s="132">
        <v>14679.99</v>
      </c>
    </row>
    <row r="2138" spans="1:5" x14ac:dyDescent="0.25">
      <c r="A2138" s="130" t="s">
        <v>4</v>
      </c>
      <c r="B2138" s="130" t="s">
        <v>574</v>
      </c>
      <c r="C2138" s="130" t="s">
        <v>608</v>
      </c>
      <c r="D2138" s="130" t="s">
        <v>335</v>
      </c>
      <c r="E2138" s="132">
        <v>15458.04</v>
      </c>
    </row>
    <row r="2139" spans="1:5" x14ac:dyDescent="0.25">
      <c r="A2139" s="130" t="s">
        <v>4</v>
      </c>
      <c r="B2139" s="130" t="s">
        <v>574</v>
      </c>
      <c r="C2139" s="130" t="s">
        <v>608</v>
      </c>
      <c r="D2139" s="130" t="s">
        <v>995</v>
      </c>
      <c r="E2139" s="132">
        <v>15858.76</v>
      </c>
    </row>
    <row r="2140" spans="1:5" x14ac:dyDescent="0.25">
      <c r="A2140" s="130" t="s">
        <v>4</v>
      </c>
      <c r="B2140" s="130" t="s">
        <v>574</v>
      </c>
      <c r="C2140" s="130" t="s">
        <v>608</v>
      </c>
      <c r="D2140" s="130" t="s">
        <v>273</v>
      </c>
      <c r="E2140" s="132">
        <v>3552.82</v>
      </c>
    </row>
    <row r="2141" spans="1:5" x14ac:dyDescent="0.25">
      <c r="A2141" s="130" t="s">
        <v>4</v>
      </c>
      <c r="B2141" s="130" t="s">
        <v>574</v>
      </c>
      <c r="C2141" s="130" t="s">
        <v>608</v>
      </c>
      <c r="D2141" s="130" t="s">
        <v>275</v>
      </c>
      <c r="E2141" s="132">
        <v>13096.1</v>
      </c>
    </row>
    <row r="2142" spans="1:5" x14ac:dyDescent="0.25">
      <c r="A2142" s="130" t="s">
        <v>4</v>
      </c>
      <c r="B2142" s="130" t="s">
        <v>574</v>
      </c>
      <c r="C2142" s="130" t="s">
        <v>608</v>
      </c>
      <c r="D2142" s="130" t="s">
        <v>629</v>
      </c>
      <c r="E2142" s="132">
        <v>10402.82</v>
      </c>
    </row>
    <row r="2143" spans="1:5" x14ac:dyDescent="0.25">
      <c r="A2143" s="130" t="s">
        <v>4</v>
      </c>
      <c r="B2143" s="130" t="s">
        <v>574</v>
      </c>
      <c r="C2143" s="130" t="s">
        <v>608</v>
      </c>
      <c r="D2143" s="130" t="s">
        <v>829</v>
      </c>
      <c r="E2143" s="132">
        <v>575.64</v>
      </c>
    </row>
    <row r="2144" spans="1:5" x14ac:dyDescent="0.25">
      <c r="A2144" s="130" t="s">
        <v>4</v>
      </c>
      <c r="B2144" s="130" t="s">
        <v>574</v>
      </c>
      <c r="C2144" s="130" t="s">
        <v>608</v>
      </c>
      <c r="D2144" s="130" t="s">
        <v>830</v>
      </c>
      <c r="E2144" s="132">
        <v>832.57</v>
      </c>
    </row>
    <row r="2145" spans="1:5" x14ac:dyDescent="0.25">
      <c r="A2145" s="130" t="s">
        <v>4</v>
      </c>
      <c r="B2145" s="130" t="s">
        <v>574</v>
      </c>
      <c r="C2145" s="130" t="s">
        <v>608</v>
      </c>
      <c r="D2145" s="130" t="s">
        <v>619</v>
      </c>
      <c r="E2145" s="132">
        <v>7511.4</v>
      </c>
    </row>
    <row r="2146" spans="1:5" x14ac:dyDescent="0.25">
      <c r="A2146" s="130" t="s">
        <v>4</v>
      </c>
      <c r="B2146" s="130" t="s">
        <v>574</v>
      </c>
      <c r="C2146" s="130" t="s">
        <v>608</v>
      </c>
      <c r="D2146" s="130" t="s">
        <v>630</v>
      </c>
      <c r="E2146" s="132">
        <v>51175.8</v>
      </c>
    </row>
    <row r="2147" spans="1:5" x14ac:dyDescent="0.25">
      <c r="A2147" s="130" t="s">
        <v>4</v>
      </c>
      <c r="B2147" s="130" t="s">
        <v>574</v>
      </c>
      <c r="C2147" s="130" t="s">
        <v>608</v>
      </c>
      <c r="D2147" s="130" t="s">
        <v>319</v>
      </c>
      <c r="E2147" s="132">
        <v>6007.95</v>
      </c>
    </row>
    <row r="2148" spans="1:5" x14ac:dyDescent="0.25">
      <c r="A2148" s="130" t="s">
        <v>4</v>
      </c>
      <c r="B2148" s="130" t="s">
        <v>574</v>
      </c>
      <c r="C2148" s="130" t="s">
        <v>608</v>
      </c>
      <c r="D2148" s="130" t="s">
        <v>679</v>
      </c>
      <c r="E2148" s="132">
        <v>1816.42</v>
      </c>
    </row>
    <row r="2149" spans="1:5" x14ac:dyDescent="0.25">
      <c r="A2149" s="130" t="s">
        <v>4</v>
      </c>
      <c r="B2149" s="130" t="s">
        <v>574</v>
      </c>
      <c r="C2149" s="130" t="s">
        <v>608</v>
      </c>
      <c r="D2149" s="130" t="s">
        <v>263</v>
      </c>
      <c r="E2149" s="132">
        <v>1845.91</v>
      </c>
    </row>
    <row r="2150" spans="1:5" x14ac:dyDescent="0.25">
      <c r="A2150" s="130" t="s">
        <v>4</v>
      </c>
      <c r="B2150" s="130" t="s">
        <v>574</v>
      </c>
      <c r="C2150" s="130" t="s">
        <v>608</v>
      </c>
      <c r="D2150" s="130" t="s">
        <v>497</v>
      </c>
      <c r="E2150" s="132">
        <v>3612.49</v>
      </c>
    </row>
    <row r="2151" spans="1:5" x14ac:dyDescent="0.25">
      <c r="A2151" s="130" t="s">
        <v>4</v>
      </c>
      <c r="B2151" s="130" t="s">
        <v>574</v>
      </c>
      <c r="C2151" s="130" t="s">
        <v>608</v>
      </c>
      <c r="D2151" s="130" t="s">
        <v>498</v>
      </c>
      <c r="E2151" s="132">
        <v>5105.41</v>
      </c>
    </row>
    <row r="2152" spans="1:5" x14ac:dyDescent="0.25">
      <c r="A2152" s="130" t="s">
        <v>4</v>
      </c>
      <c r="B2152" s="130" t="s">
        <v>574</v>
      </c>
      <c r="C2152" s="130" t="s">
        <v>608</v>
      </c>
      <c r="D2152" s="130" t="s">
        <v>627</v>
      </c>
      <c r="E2152" s="132">
        <v>642.89</v>
      </c>
    </row>
    <row r="2153" spans="1:5" x14ac:dyDescent="0.25">
      <c r="A2153" s="130" t="s">
        <v>4</v>
      </c>
      <c r="B2153" s="130" t="s">
        <v>574</v>
      </c>
      <c r="C2153" s="130" t="s">
        <v>608</v>
      </c>
      <c r="D2153" s="130" t="s">
        <v>748</v>
      </c>
      <c r="E2153" s="132">
        <v>667.84</v>
      </c>
    </row>
    <row r="2154" spans="1:5" x14ac:dyDescent="0.25">
      <c r="A2154" s="130" t="s">
        <v>4</v>
      </c>
      <c r="B2154" s="130" t="s">
        <v>574</v>
      </c>
      <c r="C2154" s="130" t="s">
        <v>608</v>
      </c>
      <c r="D2154" s="130" t="s">
        <v>715</v>
      </c>
      <c r="E2154" s="132">
        <v>617.58000000000004</v>
      </c>
    </row>
    <row r="2155" spans="1:5" x14ac:dyDescent="0.25">
      <c r="A2155" s="130" t="s">
        <v>4</v>
      </c>
      <c r="B2155" s="130" t="s">
        <v>574</v>
      </c>
      <c r="C2155" s="130" t="s">
        <v>608</v>
      </c>
      <c r="D2155" s="130" t="s">
        <v>282</v>
      </c>
      <c r="E2155" s="132">
        <v>709.02</v>
      </c>
    </row>
    <row r="2156" spans="1:5" x14ac:dyDescent="0.25">
      <c r="A2156" s="130" t="s">
        <v>4</v>
      </c>
      <c r="B2156" s="130" t="s">
        <v>574</v>
      </c>
      <c r="C2156" s="130" t="s">
        <v>608</v>
      </c>
      <c r="D2156" s="130" t="s">
        <v>697</v>
      </c>
      <c r="E2156" s="132">
        <v>539.34</v>
      </c>
    </row>
    <row r="2157" spans="1:5" x14ac:dyDescent="0.25">
      <c r="A2157" s="130" t="s">
        <v>4</v>
      </c>
      <c r="B2157" s="130" t="s">
        <v>574</v>
      </c>
      <c r="C2157" s="130" t="s">
        <v>608</v>
      </c>
      <c r="D2157" s="130" t="s">
        <v>411</v>
      </c>
      <c r="E2157" s="132">
        <v>535.91999999999996</v>
      </c>
    </row>
    <row r="2158" spans="1:5" x14ac:dyDescent="0.25">
      <c r="A2158" s="130" t="s">
        <v>4</v>
      </c>
      <c r="B2158" s="130" t="s">
        <v>574</v>
      </c>
      <c r="C2158" s="130" t="s">
        <v>608</v>
      </c>
      <c r="D2158" s="130" t="s">
        <v>460</v>
      </c>
      <c r="E2158" s="132">
        <v>2909.12</v>
      </c>
    </row>
    <row r="2159" spans="1:5" x14ac:dyDescent="0.25">
      <c r="A2159" s="130" t="s">
        <v>4</v>
      </c>
      <c r="B2159" s="130" t="s">
        <v>574</v>
      </c>
      <c r="C2159" s="130" t="s">
        <v>608</v>
      </c>
      <c r="D2159" s="130" t="s">
        <v>436</v>
      </c>
      <c r="E2159" s="132">
        <v>3636.98</v>
      </c>
    </row>
    <row r="2160" spans="1:5" x14ac:dyDescent="0.25">
      <c r="A2160" s="130" t="s">
        <v>4</v>
      </c>
      <c r="B2160" s="130" t="s">
        <v>574</v>
      </c>
      <c r="C2160" s="130" t="s">
        <v>608</v>
      </c>
      <c r="D2160" s="130" t="s">
        <v>507</v>
      </c>
      <c r="E2160" s="132">
        <v>8922.14</v>
      </c>
    </row>
    <row r="2161" spans="1:5" x14ac:dyDescent="0.25">
      <c r="A2161" s="130" t="s">
        <v>4</v>
      </c>
      <c r="B2161" s="130" t="s">
        <v>574</v>
      </c>
      <c r="C2161" s="130" t="s">
        <v>608</v>
      </c>
      <c r="D2161" s="130" t="s">
        <v>916</v>
      </c>
      <c r="E2161" s="132">
        <v>10244.219999999999</v>
      </c>
    </row>
    <row r="2162" spans="1:5" x14ac:dyDescent="0.25">
      <c r="A2162" s="130" t="s">
        <v>4</v>
      </c>
      <c r="B2162" s="130" t="s">
        <v>574</v>
      </c>
      <c r="C2162" s="130" t="s">
        <v>608</v>
      </c>
      <c r="D2162" s="130" t="s">
        <v>384</v>
      </c>
      <c r="E2162" s="132">
        <v>1575.99</v>
      </c>
    </row>
    <row r="2163" spans="1:5" x14ac:dyDescent="0.25">
      <c r="A2163" s="130" t="s">
        <v>4</v>
      </c>
      <c r="B2163" s="130" t="s">
        <v>574</v>
      </c>
      <c r="C2163" s="130" t="s">
        <v>608</v>
      </c>
      <c r="D2163" s="130" t="s">
        <v>244</v>
      </c>
      <c r="E2163" s="132">
        <v>15634.12</v>
      </c>
    </row>
    <row r="2164" spans="1:5" x14ac:dyDescent="0.25">
      <c r="A2164" s="130" t="s">
        <v>4</v>
      </c>
      <c r="B2164" s="130" t="s">
        <v>574</v>
      </c>
      <c r="C2164" s="130" t="s">
        <v>608</v>
      </c>
      <c r="D2164" s="130" t="s">
        <v>245</v>
      </c>
      <c r="E2164" s="132">
        <v>12606.75</v>
      </c>
    </row>
    <row r="2165" spans="1:5" x14ac:dyDescent="0.25">
      <c r="A2165" s="130" t="s">
        <v>4</v>
      </c>
      <c r="B2165" s="130" t="s">
        <v>574</v>
      </c>
      <c r="C2165" s="130" t="s">
        <v>608</v>
      </c>
      <c r="D2165" s="130" t="s">
        <v>246</v>
      </c>
      <c r="E2165" s="132">
        <v>8030.88</v>
      </c>
    </row>
    <row r="2166" spans="1:5" x14ac:dyDescent="0.25">
      <c r="A2166" s="130" t="s">
        <v>4</v>
      </c>
      <c r="B2166" s="130" t="s">
        <v>574</v>
      </c>
      <c r="C2166" s="130" t="s">
        <v>608</v>
      </c>
      <c r="D2166" s="130" t="s">
        <v>247</v>
      </c>
      <c r="E2166" s="132">
        <v>19960.669999999998</v>
      </c>
    </row>
    <row r="2167" spans="1:5" x14ac:dyDescent="0.25">
      <c r="A2167" s="130" t="s">
        <v>4</v>
      </c>
      <c r="B2167" s="130" t="s">
        <v>574</v>
      </c>
      <c r="C2167" s="130" t="s">
        <v>608</v>
      </c>
      <c r="D2167" s="130" t="s">
        <v>248</v>
      </c>
      <c r="E2167" s="132">
        <v>12386.5</v>
      </c>
    </row>
    <row r="2168" spans="1:5" x14ac:dyDescent="0.25">
      <c r="A2168" s="130" t="s">
        <v>4</v>
      </c>
      <c r="B2168" s="130" t="s">
        <v>574</v>
      </c>
      <c r="C2168" s="130" t="s">
        <v>608</v>
      </c>
      <c r="D2168" s="130" t="s">
        <v>250</v>
      </c>
      <c r="E2168" s="132">
        <v>4789.9799999999996</v>
      </c>
    </row>
    <row r="2169" spans="1:5" x14ac:dyDescent="0.25">
      <c r="A2169" s="130" t="s">
        <v>4</v>
      </c>
      <c r="B2169" s="130" t="s">
        <v>574</v>
      </c>
      <c r="C2169" s="130" t="s">
        <v>608</v>
      </c>
      <c r="D2169" s="130" t="s">
        <v>469</v>
      </c>
      <c r="E2169" s="132">
        <v>10780.38</v>
      </c>
    </row>
    <row r="2170" spans="1:5" x14ac:dyDescent="0.25">
      <c r="A2170" s="130" t="s">
        <v>4</v>
      </c>
      <c r="B2170" s="130" t="s">
        <v>579</v>
      </c>
      <c r="C2170" s="130" t="s">
        <v>608</v>
      </c>
      <c r="D2170" s="130" t="s">
        <v>246</v>
      </c>
      <c r="E2170" s="132">
        <v>7302.4</v>
      </c>
    </row>
    <row r="2171" spans="1:5" x14ac:dyDescent="0.25">
      <c r="A2171" s="130" t="s">
        <v>4</v>
      </c>
      <c r="B2171" s="130" t="s">
        <v>579</v>
      </c>
      <c r="C2171" s="130" t="s">
        <v>608</v>
      </c>
      <c r="D2171" s="130" t="s">
        <v>306</v>
      </c>
      <c r="E2171" s="132">
        <v>5989.76</v>
      </c>
    </row>
    <row r="2172" spans="1:5" x14ac:dyDescent="0.25">
      <c r="A2172" s="130" t="s">
        <v>4</v>
      </c>
      <c r="B2172" s="130" t="s">
        <v>579</v>
      </c>
      <c r="C2172" s="130" t="s">
        <v>608</v>
      </c>
      <c r="D2172" s="130" t="s">
        <v>388</v>
      </c>
      <c r="E2172" s="132">
        <v>10880</v>
      </c>
    </row>
    <row r="2173" spans="1:5" x14ac:dyDescent="0.25">
      <c r="A2173" s="130" t="s">
        <v>4</v>
      </c>
      <c r="B2173" s="130" t="s">
        <v>579</v>
      </c>
      <c r="C2173" s="130" t="s">
        <v>608</v>
      </c>
      <c r="D2173" s="130" t="s">
        <v>354</v>
      </c>
      <c r="E2173" s="132">
        <v>12698.88</v>
      </c>
    </row>
    <row r="2174" spans="1:5" x14ac:dyDescent="0.25">
      <c r="A2174" s="130" t="s">
        <v>4</v>
      </c>
      <c r="B2174" s="130" t="s">
        <v>579</v>
      </c>
      <c r="C2174" s="130" t="s">
        <v>608</v>
      </c>
      <c r="D2174" s="130" t="s">
        <v>425</v>
      </c>
      <c r="E2174" s="132">
        <v>9510.08</v>
      </c>
    </row>
    <row r="2175" spans="1:5" x14ac:dyDescent="0.25">
      <c r="A2175" s="130" t="s">
        <v>4</v>
      </c>
      <c r="B2175" s="130" t="s">
        <v>579</v>
      </c>
      <c r="C2175" s="130" t="s">
        <v>608</v>
      </c>
      <c r="D2175" s="130" t="s">
        <v>355</v>
      </c>
      <c r="E2175" s="132">
        <v>10944.96</v>
      </c>
    </row>
    <row r="2176" spans="1:5" x14ac:dyDescent="0.25">
      <c r="A2176" s="130" t="s">
        <v>4</v>
      </c>
      <c r="B2176" s="130" t="s">
        <v>579</v>
      </c>
      <c r="C2176" s="130" t="s">
        <v>608</v>
      </c>
      <c r="D2176" s="130" t="s">
        <v>426</v>
      </c>
      <c r="E2176" s="132">
        <v>12666.56</v>
      </c>
    </row>
    <row r="2177" spans="1:5" x14ac:dyDescent="0.25">
      <c r="A2177" s="130" t="s">
        <v>4</v>
      </c>
      <c r="B2177" s="130" t="s">
        <v>579</v>
      </c>
      <c r="C2177" s="130" t="s">
        <v>608</v>
      </c>
      <c r="D2177" s="130" t="s">
        <v>538</v>
      </c>
      <c r="E2177" s="132">
        <v>6074.56</v>
      </c>
    </row>
    <row r="2178" spans="1:5" x14ac:dyDescent="0.25">
      <c r="A2178" s="130" t="s">
        <v>4</v>
      </c>
      <c r="B2178" s="130" t="s">
        <v>579</v>
      </c>
      <c r="C2178" s="130" t="s">
        <v>608</v>
      </c>
      <c r="D2178" s="130" t="s">
        <v>389</v>
      </c>
      <c r="E2178" s="132">
        <v>7226.56</v>
      </c>
    </row>
    <row r="2179" spans="1:5" x14ac:dyDescent="0.25">
      <c r="A2179" s="130" t="s">
        <v>4</v>
      </c>
      <c r="B2179" s="130" t="s">
        <v>579</v>
      </c>
      <c r="C2179" s="130" t="s">
        <v>608</v>
      </c>
      <c r="D2179" s="130" t="s">
        <v>427</v>
      </c>
      <c r="E2179" s="132">
        <v>8366.4</v>
      </c>
    </row>
    <row r="2180" spans="1:5" x14ac:dyDescent="0.25">
      <c r="A2180" s="130" t="s">
        <v>4</v>
      </c>
      <c r="B2180" s="130" t="s">
        <v>579</v>
      </c>
      <c r="C2180" s="130" t="s">
        <v>608</v>
      </c>
      <c r="D2180" s="130" t="s">
        <v>517</v>
      </c>
      <c r="E2180" s="132">
        <v>3168.85</v>
      </c>
    </row>
    <row r="2181" spans="1:5" x14ac:dyDescent="0.25">
      <c r="A2181" s="130" t="s">
        <v>4</v>
      </c>
      <c r="B2181" s="130" t="s">
        <v>579</v>
      </c>
      <c r="C2181" s="130" t="s">
        <v>608</v>
      </c>
      <c r="D2181" s="130" t="s">
        <v>268</v>
      </c>
      <c r="E2181" s="132">
        <v>3596.22</v>
      </c>
    </row>
    <row r="2182" spans="1:5" x14ac:dyDescent="0.25">
      <c r="A2182" s="130" t="s">
        <v>4</v>
      </c>
      <c r="B2182" s="130" t="s">
        <v>579</v>
      </c>
      <c r="C2182" s="130" t="s">
        <v>608</v>
      </c>
      <c r="D2182" s="130" t="s">
        <v>720</v>
      </c>
      <c r="E2182" s="132">
        <v>2826.76</v>
      </c>
    </row>
    <row r="2183" spans="1:5" x14ac:dyDescent="0.25">
      <c r="A2183" s="130" t="s">
        <v>4</v>
      </c>
      <c r="B2183" s="130" t="s">
        <v>579</v>
      </c>
      <c r="C2183" s="130" t="s">
        <v>608</v>
      </c>
      <c r="D2183" s="130" t="s">
        <v>334</v>
      </c>
      <c r="E2183" s="132">
        <v>6195.2</v>
      </c>
    </row>
    <row r="2184" spans="1:5" x14ac:dyDescent="0.25">
      <c r="A2184" s="130" t="s">
        <v>4</v>
      </c>
      <c r="B2184" s="130" t="s">
        <v>579</v>
      </c>
      <c r="C2184" s="130" t="s">
        <v>608</v>
      </c>
      <c r="D2184" s="130" t="s">
        <v>310</v>
      </c>
      <c r="E2184" s="132">
        <v>12262.4</v>
      </c>
    </row>
    <row r="2185" spans="1:5" x14ac:dyDescent="0.25">
      <c r="A2185" s="130" t="s">
        <v>4</v>
      </c>
      <c r="B2185" s="130" t="s">
        <v>579</v>
      </c>
      <c r="C2185" s="130" t="s">
        <v>608</v>
      </c>
      <c r="D2185" s="130" t="s">
        <v>562</v>
      </c>
      <c r="E2185" s="132">
        <v>2562.4299999999998</v>
      </c>
    </row>
    <row r="2186" spans="1:5" x14ac:dyDescent="0.25">
      <c r="A2186" s="130" t="s">
        <v>4</v>
      </c>
      <c r="B2186" s="130" t="s">
        <v>579</v>
      </c>
      <c r="C2186" s="130" t="s">
        <v>608</v>
      </c>
      <c r="D2186" s="130" t="s">
        <v>461</v>
      </c>
      <c r="E2186" s="132">
        <v>14624.96</v>
      </c>
    </row>
    <row r="2187" spans="1:5" x14ac:dyDescent="0.25">
      <c r="A2187" s="130" t="s">
        <v>4</v>
      </c>
      <c r="B2187" s="130" t="s">
        <v>579</v>
      </c>
      <c r="C2187" s="130" t="s">
        <v>608</v>
      </c>
      <c r="D2187" s="130" t="s">
        <v>676</v>
      </c>
      <c r="E2187" s="132">
        <v>7554.25</v>
      </c>
    </row>
    <row r="2188" spans="1:5" x14ac:dyDescent="0.25">
      <c r="A2188" s="130" t="s">
        <v>4</v>
      </c>
      <c r="B2188" s="130" t="s">
        <v>579</v>
      </c>
      <c r="C2188" s="130" t="s">
        <v>608</v>
      </c>
      <c r="D2188" s="130" t="s">
        <v>302</v>
      </c>
      <c r="E2188" s="132">
        <v>7797.73</v>
      </c>
    </row>
    <row r="2189" spans="1:5" x14ac:dyDescent="0.25">
      <c r="A2189" s="130" t="s">
        <v>4</v>
      </c>
      <c r="B2189" s="130" t="s">
        <v>579</v>
      </c>
      <c r="C2189" s="130" t="s">
        <v>608</v>
      </c>
      <c r="D2189" s="130" t="s">
        <v>677</v>
      </c>
      <c r="E2189" s="132">
        <v>8973.61</v>
      </c>
    </row>
    <row r="2190" spans="1:5" x14ac:dyDescent="0.25">
      <c r="A2190" s="130" t="s">
        <v>4</v>
      </c>
      <c r="B2190" s="130" t="s">
        <v>579</v>
      </c>
      <c r="C2190" s="130" t="s">
        <v>608</v>
      </c>
      <c r="D2190" s="130" t="s">
        <v>673</v>
      </c>
      <c r="E2190" s="132">
        <v>8498.23</v>
      </c>
    </row>
    <row r="2191" spans="1:5" x14ac:dyDescent="0.25">
      <c r="A2191" s="130" t="s">
        <v>4</v>
      </c>
      <c r="B2191" s="130" t="s">
        <v>579</v>
      </c>
      <c r="C2191" s="130" t="s">
        <v>608</v>
      </c>
      <c r="D2191" s="130" t="s">
        <v>678</v>
      </c>
      <c r="E2191" s="132">
        <v>5254.21</v>
      </c>
    </row>
    <row r="2192" spans="1:5" x14ac:dyDescent="0.25">
      <c r="A2192" s="130" t="s">
        <v>4</v>
      </c>
      <c r="B2192" s="130" t="s">
        <v>579</v>
      </c>
      <c r="C2192" s="130" t="s">
        <v>608</v>
      </c>
      <c r="D2192" s="130" t="s">
        <v>390</v>
      </c>
      <c r="E2192" s="132">
        <v>5533.12</v>
      </c>
    </row>
    <row r="2193" spans="1:5" x14ac:dyDescent="0.25">
      <c r="A2193" s="130" t="s">
        <v>4</v>
      </c>
      <c r="B2193" s="130" t="s">
        <v>579</v>
      </c>
      <c r="C2193" s="130" t="s">
        <v>608</v>
      </c>
      <c r="D2193" s="130" t="s">
        <v>235</v>
      </c>
      <c r="E2193" s="132">
        <v>6911.23</v>
      </c>
    </row>
    <row r="2194" spans="1:5" x14ac:dyDescent="0.25">
      <c r="A2194" s="130" t="s">
        <v>4</v>
      </c>
      <c r="B2194" s="130" t="s">
        <v>579</v>
      </c>
      <c r="C2194" s="130" t="s">
        <v>608</v>
      </c>
      <c r="D2194" s="130" t="s">
        <v>319</v>
      </c>
      <c r="E2194" s="132">
        <v>3212.29</v>
      </c>
    </row>
    <row r="2195" spans="1:5" x14ac:dyDescent="0.25">
      <c r="A2195" s="130" t="s">
        <v>4</v>
      </c>
      <c r="B2195" s="130" t="s">
        <v>579</v>
      </c>
      <c r="C2195" s="130" t="s">
        <v>608</v>
      </c>
      <c r="D2195" s="130" t="s">
        <v>818</v>
      </c>
      <c r="E2195" s="132">
        <v>2552.41</v>
      </c>
    </row>
    <row r="2196" spans="1:5" x14ac:dyDescent="0.25">
      <c r="A2196" s="130" t="s">
        <v>4</v>
      </c>
      <c r="B2196" s="130" t="s">
        <v>579</v>
      </c>
      <c r="C2196" s="130" t="s">
        <v>608</v>
      </c>
      <c r="D2196" s="130" t="s">
        <v>369</v>
      </c>
      <c r="E2196" s="132">
        <v>897.28</v>
      </c>
    </row>
    <row r="2197" spans="1:5" x14ac:dyDescent="0.25">
      <c r="A2197" s="130" t="s">
        <v>4</v>
      </c>
      <c r="B2197" s="130" t="s">
        <v>579</v>
      </c>
      <c r="C2197" s="130" t="s">
        <v>608</v>
      </c>
      <c r="D2197" s="130" t="s">
        <v>471</v>
      </c>
      <c r="E2197" s="132">
        <v>820.48</v>
      </c>
    </row>
    <row r="2198" spans="1:5" x14ac:dyDescent="0.25">
      <c r="A2198" s="130" t="s">
        <v>4</v>
      </c>
      <c r="B2198" s="130" t="s">
        <v>579</v>
      </c>
      <c r="C2198" s="130" t="s">
        <v>608</v>
      </c>
      <c r="D2198" s="130" t="s">
        <v>294</v>
      </c>
      <c r="E2198" s="132">
        <v>675.71</v>
      </c>
    </row>
    <row r="2199" spans="1:5" x14ac:dyDescent="0.25">
      <c r="A2199" s="130" t="s">
        <v>4</v>
      </c>
      <c r="B2199" s="130" t="s">
        <v>579</v>
      </c>
      <c r="C2199" s="130" t="s">
        <v>608</v>
      </c>
      <c r="D2199" s="130" t="s">
        <v>475</v>
      </c>
      <c r="E2199" s="132">
        <v>1100.93</v>
      </c>
    </row>
    <row r="2200" spans="1:5" x14ac:dyDescent="0.25">
      <c r="A2200" s="130" t="s">
        <v>4</v>
      </c>
      <c r="B2200" s="130" t="s">
        <v>579</v>
      </c>
      <c r="C2200" s="130" t="s">
        <v>608</v>
      </c>
      <c r="D2200" s="130" t="s">
        <v>686</v>
      </c>
      <c r="E2200" s="132">
        <v>1144.7</v>
      </c>
    </row>
    <row r="2201" spans="1:5" x14ac:dyDescent="0.25">
      <c r="A2201" s="130" t="s">
        <v>4</v>
      </c>
      <c r="B2201" s="130" t="s">
        <v>579</v>
      </c>
      <c r="C2201" s="130" t="s">
        <v>608</v>
      </c>
      <c r="D2201" s="130" t="s">
        <v>635</v>
      </c>
      <c r="E2201" s="132">
        <v>1758.08</v>
      </c>
    </row>
    <row r="2202" spans="1:5" x14ac:dyDescent="0.25">
      <c r="A2202" s="130" t="s">
        <v>4</v>
      </c>
      <c r="B2202" s="130" t="s">
        <v>579</v>
      </c>
      <c r="C2202" s="130" t="s">
        <v>608</v>
      </c>
      <c r="D2202" s="130" t="s">
        <v>468</v>
      </c>
      <c r="E2202" s="132">
        <v>1887.36</v>
      </c>
    </row>
    <row r="2203" spans="1:5" x14ac:dyDescent="0.25">
      <c r="A2203" s="130" t="s">
        <v>4</v>
      </c>
      <c r="B2203" s="130" t="s">
        <v>579</v>
      </c>
      <c r="C2203" s="130" t="s">
        <v>608</v>
      </c>
      <c r="D2203" s="130" t="s">
        <v>753</v>
      </c>
      <c r="E2203" s="132">
        <v>1742.72</v>
      </c>
    </row>
    <row r="2204" spans="1:5" x14ac:dyDescent="0.25">
      <c r="A2204" s="130" t="s">
        <v>4</v>
      </c>
      <c r="B2204" s="130" t="s">
        <v>579</v>
      </c>
      <c r="C2204" s="130" t="s">
        <v>608</v>
      </c>
      <c r="D2204" s="130" t="s">
        <v>754</v>
      </c>
      <c r="E2204" s="132">
        <v>1494.4</v>
      </c>
    </row>
    <row r="2205" spans="1:5" x14ac:dyDescent="0.25">
      <c r="A2205" s="130" t="s">
        <v>4</v>
      </c>
      <c r="B2205" s="130" t="s">
        <v>579</v>
      </c>
      <c r="C2205" s="130" t="s">
        <v>608</v>
      </c>
      <c r="D2205" s="130" t="s">
        <v>359</v>
      </c>
      <c r="E2205" s="132">
        <v>3786.56</v>
      </c>
    </row>
    <row r="2206" spans="1:5" x14ac:dyDescent="0.25">
      <c r="A2206" s="130" t="s">
        <v>4</v>
      </c>
      <c r="B2206" s="130" t="s">
        <v>579</v>
      </c>
      <c r="C2206" s="130" t="s">
        <v>608</v>
      </c>
      <c r="D2206" s="130" t="s">
        <v>489</v>
      </c>
      <c r="E2206" s="132">
        <v>4005.12</v>
      </c>
    </row>
    <row r="2207" spans="1:5" x14ac:dyDescent="0.25">
      <c r="A2207" s="130" t="s">
        <v>4</v>
      </c>
      <c r="B2207" s="130" t="s">
        <v>579</v>
      </c>
      <c r="C2207" s="130" t="s">
        <v>608</v>
      </c>
      <c r="D2207" s="130" t="s">
        <v>321</v>
      </c>
      <c r="E2207" s="132">
        <v>1988.76</v>
      </c>
    </row>
    <row r="2208" spans="1:5" x14ac:dyDescent="0.25">
      <c r="A2208" s="130" t="s">
        <v>4</v>
      </c>
      <c r="B2208" s="130" t="s">
        <v>579</v>
      </c>
      <c r="C2208" s="130" t="s">
        <v>608</v>
      </c>
      <c r="D2208" s="130" t="s">
        <v>370</v>
      </c>
      <c r="E2208" s="132">
        <v>2888.68</v>
      </c>
    </row>
    <row r="2209" spans="1:5" x14ac:dyDescent="0.25">
      <c r="A2209" s="130" t="s">
        <v>4</v>
      </c>
      <c r="B2209" s="130" t="s">
        <v>579</v>
      </c>
      <c r="C2209" s="130" t="s">
        <v>608</v>
      </c>
      <c r="D2209" s="130" t="s">
        <v>287</v>
      </c>
      <c r="E2209" s="132">
        <v>2933.62</v>
      </c>
    </row>
    <row r="2210" spans="1:5" x14ac:dyDescent="0.25">
      <c r="A2210" s="130" t="s">
        <v>4</v>
      </c>
      <c r="B2210" s="130" t="s">
        <v>579</v>
      </c>
      <c r="C2210" s="130" t="s">
        <v>608</v>
      </c>
      <c r="D2210" s="130" t="s">
        <v>371</v>
      </c>
      <c r="E2210" s="132">
        <v>3355.1</v>
      </c>
    </row>
    <row r="2211" spans="1:5" x14ac:dyDescent="0.25">
      <c r="A2211" s="130" t="s">
        <v>4</v>
      </c>
      <c r="B2211" s="130" t="s">
        <v>579</v>
      </c>
      <c r="C2211" s="130" t="s">
        <v>608</v>
      </c>
      <c r="D2211" s="130" t="s">
        <v>288</v>
      </c>
      <c r="E2211" s="132">
        <v>3394.87</v>
      </c>
    </row>
    <row r="2212" spans="1:5" x14ac:dyDescent="0.25">
      <c r="A2212" s="130" t="s">
        <v>4</v>
      </c>
      <c r="B2212" s="130" t="s">
        <v>579</v>
      </c>
      <c r="C2212" s="130" t="s">
        <v>608</v>
      </c>
      <c r="D2212" s="130" t="s">
        <v>270</v>
      </c>
      <c r="E2212" s="132">
        <v>6436.65</v>
      </c>
    </row>
    <row r="2213" spans="1:5" x14ac:dyDescent="0.25">
      <c r="A2213" s="130" t="s">
        <v>4</v>
      </c>
      <c r="B2213" s="130" t="s">
        <v>579</v>
      </c>
      <c r="C2213" s="130" t="s">
        <v>608</v>
      </c>
      <c r="D2213" s="130" t="s">
        <v>379</v>
      </c>
      <c r="E2213" s="132">
        <v>1745.2</v>
      </c>
    </row>
    <row r="2214" spans="1:5" x14ac:dyDescent="0.25">
      <c r="A2214" s="130" t="s">
        <v>4</v>
      </c>
      <c r="B2214" s="130" t="s">
        <v>579</v>
      </c>
      <c r="C2214" s="130" t="s">
        <v>608</v>
      </c>
      <c r="D2214" s="130" t="s">
        <v>714</v>
      </c>
      <c r="E2214" s="132">
        <v>1862.17</v>
      </c>
    </row>
    <row r="2215" spans="1:5" x14ac:dyDescent="0.25">
      <c r="A2215" s="130" t="s">
        <v>4</v>
      </c>
      <c r="B2215" s="130" t="s">
        <v>579</v>
      </c>
      <c r="C2215" s="130" t="s">
        <v>608</v>
      </c>
      <c r="D2215" s="130" t="s">
        <v>380</v>
      </c>
      <c r="E2215" s="132">
        <v>3309.91</v>
      </c>
    </row>
    <row r="2216" spans="1:5" x14ac:dyDescent="0.25">
      <c r="A2216" s="130" t="s">
        <v>4</v>
      </c>
      <c r="B2216" s="130" t="s">
        <v>579</v>
      </c>
      <c r="C2216" s="130" t="s">
        <v>608</v>
      </c>
      <c r="D2216" s="130" t="s">
        <v>261</v>
      </c>
      <c r="E2216" s="132">
        <v>20146.939999999999</v>
      </c>
    </row>
    <row r="2217" spans="1:5" x14ac:dyDescent="0.25">
      <c r="A2217" s="130" t="s">
        <v>4</v>
      </c>
      <c r="B2217" s="130" t="s">
        <v>579</v>
      </c>
      <c r="C2217" s="130" t="s">
        <v>608</v>
      </c>
      <c r="D2217" s="130" t="s">
        <v>322</v>
      </c>
      <c r="E2217" s="132">
        <v>17176.96</v>
      </c>
    </row>
    <row r="2218" spans="1:5" x14ac:dyDescent="0.25">
      <c r="A2218" s="130" t="s">
        <v>4</v>
      </c>
      <c r="B2218" s="130" t="s">
        <v>579</v>
      </c>
      <c r="C2218" s="130" t="s">
        <v>608</v>
      </c>
      <c r="D2218" s="130" t="s">
        <v>638</v>
      </c>
      <c r="E2218" s="132">
        <v>4086.14</v>
      </c>
    </row>
    <row r="2219" spans="1:5" x14ac:dyDescent="0.25">
      <c r="A2219" s="130" t="s">
        <v>4</v>
      </c>
      <c r="B2219" s="130" t="s">
        <v>579</v>
      </c>
      <c r="C2219" s="130" t="s">
        <v>608</v>
      </c>
      <c r="D2219" s="130" t="s">
        <v>267</v>
      </c>
      <c r="E2219" s="132">
        <v>2718.43</v>
      </c>
    </row>
    <row r="2220" spans="1:5" x14ac:dyDescent="0.25">
      <c r="A2220" s="130" t="s">
        <v>4</v>
      </c>
      <c r="B2220" s="130" t="s">
        <v>579</v>
      </c>
      <c r="C2220" s="130" t="s">
        <v>608</v>
      </c>
      <c r="D2220" s="130" t="s">
        <v>653</v>
      </c>
      <c r="E2220" s="132">
        <v>12196.69</v>
      </c>
    </row>
    <row r="2221" spans="1:5" x14ac:dyDescent="0.25">
      <c r="A2221" s="130" t="s">
        <v>4</v>
      </c>
      <c r="B2221" s="130" t="s">
        <v>579</v>
      </c>
      <c r="C2221" s="130" t="s">
        <v>608</v>
      </c>
      <c r="D2221" s="130" t="s">
        <v>323</v>
      </c>
      <c r="E2221" s="132">
        <v>206571.6</v>
      </c>
    </row>
    <row r="2222" spans="1:5" x14ac:dyDescent="0.25">
      <c r="A2222" s="130" t="s">
        <v>4</v>
      </c>
      <c r="B2222" s="130" t="s">
        <v>579</v>
      </c>
      <c r="C2222" s="130" t="s">
        <v>608</v>
      </c>
      <c r="D2222" s="130" t="s">
        <v>761</v>
      </c>
      <c r="E2222" s="132">
        <v>24130.2</v>
      </c>
    </row>
    <row r="2223" spans="1:5" x14ac:dyDescent="0.25">
      <c r="A2223" s="130" t="s">
        <v>4</v>
      </c>
      <c r="B2223" s="130" t="s">
        <v>579</v>
      </c>
      <c r="C2223" s="130" t="s">
        <v>608</v>
      </c>
      <c r="D2223" s="130" t="s">
        <v>762</v>
      </c>
      <c r="E2223" s="132">
        <v>9289.81</v>
      </c>
    </row>
    <row r="2224" spans="1:5" x14ac:dyDescent="0.25">
      <c r="A2224" s="130" t="s">
        <v>4</v>
      </c>
      <c r="B2224" s="130" t="s">
        <v>579</v>
      </c>
      <c r="C2224" s="130" t="s">
        <v>608</v>
      </c>
      <c r="D2224" s="130" t="s">
        <v>371</v>
      </c>
      <c r="E2224" s="132">
        <v>6895.17</v>
      </c>
    </row>
    <row r="2225" spans="1:5" x14ac:dyDescent="0.25">
      <c r="A2225" s="130" t="s">
        <v>4</v>
      </c>
      <c r="B2225" s="130" t="s">
        <v>579</v>
      </c>
      <c r="C2225" s="130" t="s">
        <v>608</v>
      </c>
      <c r="D2225" s="130" t="s">
        <v>328</v>
      </c>
      <c r="E2225" s="132">
        <v>2142.7199999999998</v>
      </c>
    </row>
    <row r="2226" spans="1:5" x14ac:dyDescent="0.25">
      <c r="A2226" s="130" t="s">
        <v>4</v>
      </c>
      <c r="B2226" s="130" t="s">
        <v>579</v>
      </c>
      <c r="C2226" s="130" t="s">
        <v>608</v>
      </c>
      <c r="D2226" s="130" t="s">
        <v>305</v>
      </c>
      <c r="E2226" s="132">
        <v>10267.01</v>
      </c>
    </row>
    <row r="2227" spans="1:5" x14ac:dyDescent="0.25">
      <c r="A2227" s="130" t="s">
        <v>4</v>
      </c>
      <c r="B2227" s="130" t="s">
        <v>579</v>
      </c>
      <c r="C2227" s="130" t="s">
        <v>608</v>
      </c>
      <c r="D2227" s="130" t="s">
        <v>511</v>
      </c>
      <c r="E2227" s="132">
        <v>9409.99</v>
      </c>
    </row>
    <row r="2228" spans="1:5" x14ac:dyDescent="0.25">
      <c r="A2228" s="130" t="s">
        <v>4</v>
      </c>
      <c r="B2228" s="130" t="s">
        <v>579</v>
      </c>
      <c r="C2228" s="130" t="s">
        <v>608</v>
      </c>
      <c r="D2228" s="130" t="s">
        <v>559</v>
      </c>
      <c r="E2228" s="132">
        <v>3365.24</v>
      </c>
    </row>
    <row r="2229" spans="1:5" x14ac:dyDescent="0.25">
      <c r="A2229" s="130" t="s">
        <v>4</v>
      </c>
      <c r="B2229" s="130" t="s">
        <v>579</v>
      </c>
      <c r="C2229" s="130" t="s">
        <v>608</v>
      </c>
      <c r="D2229" s="130" t="s">
        <v>531</v>
      </c>
      <c r="E2229" s="132">
        <v>3262.31</v>
      </c>
    </row>
    <row r="2230" spans="1:5" x14ac:dyDescent="0.25">
      <c r="A2230" s="130" t="s">
        <v>4</v>
      </c>
      <c r="B2230" s="130" t="s">
        <v>579</v>
      </c>
      <c r="C2230" s="130" t="s">
        <v>608</v>
      </c>
      <c r="D2230" s="130" t="s">
        <v>363</v>
      </c>
      <c r="E2230" s="132">
        <v>10004.94</v>
      </c>
    </row>
    <row r="2231" spans="1:5" x14ac:dyDescent="0.25">
      <c r="A2231" s="130" t="s">
        <v>4</v>
      </c>
      <c r="B2231" s="130" t="s">
        <v>579</v>
      </c>
      <c r="C2231" s="130" t="s">
        <v>608</v>
      </c>
      <c r="D2231" s="130" t="s">
        <v>263</v>
      </c>
      <c r="E2231" s="132">
        <v>19041.439999999999</v>
      </c>
    </row>
    <row r="2232" spans="1:5" x14ac:dyDescent="0.25">
      <c r="A2232" s="130" t="s">
        <v>4</v>
      </c>
      <c r="B2232" s="130" t="s">
        <v>579</v>
      </c>
      <c r="C2232" s="130" t="s">
        <v>608</v>
      </c>
      <c r="D2232" s="130" t="s">
        <v>941</v>
      </c>
      <c r="E2232" s="132">
        <v>41381.279999999999</v>
      </c>
    </row>
    <row r="2233" spans="1:5" x14ac:dyDescent="0.25">
      <c r="A2233" s="130" t="s">
        <v>4</v>
      </c>
      <c r="B2233" s="130" t="s">
        <v>579</v>
      </c>
      <c r="C2233" s="130" t="s">
        <v>608</v>
      </c>
      <c r="D2233" s="130" t="s">
        <v>515</v>
      </c>
      <c r="E2233" s="132">
        <v>8471.18</v>
      </c>
    </row>
    <row r="2234" spans="1:5" x14ac:dyDescent="0.25">
      <c r="A2234" s="130" t="s">
        <v>4</v>
      </c>
      <c r="B2234" s="130" t="s">
        <v>579</v>
      </c>
      <c r="C2234" s="130" t="s">
        <v>608</v>
      </c>
      <c r="D2234" s="130" t="s">
        <v>323</v>
      </c>
      <c r="E2234" s="132">
        <v>1533.01</v>
      </c>
    </row>
    <row r="2235" spans="1:5" x14ac:dyDescent="0.25">
      <c r="A2235" s="130" t="s">
        <v>4</v>
      </c>
      <c r="B2235" s="130" t="s">
        <v>579</v>
      </c>
      <c r="C2235" s="130" t="s">
        <v>608</v>
      </c>
      <c r="D2235" s="130" t="s">
        <v>794</v>
      </c>
      <c r="E2235" s="132">
        <v>3270</v>
      </c>
    </row>
    <row r="2236" spans="1:5" x14ac:dyDescent="0.25">
      <c r="A2236" s="130" t="s">
        <v>4</v>
      </c>
      <c r="B2236" s="130" t="s">
        <v>579</v>
      </c>
      <c r="C2236" s="130" t="s">
        <v>608</v>
      </c>
      <c r="D2236" s="130" t="s">
        <v>835</v>
      </c>
      <c r="E2236" s="132">
        <v>6901.5</v>
      </c>
    </row>
    <row r="2237" spans="1:5" x14ac:dyDescent="0.25">
      <c r="A2237" s="130" t="s">
        <v>4</v>
      </c>
      <c r="B2237" s="130" t="s">
        <v>579</v>
      </c>
      <c r="C2237" s="130" t="s">
        <v>608</v>
      </c>
      <c r="D2237" s="130" t="s">
        <v>766</v>
      </c>
      <c r="E2237" s="132">
        <v>1521.6</v>
      </c>
    </row>
    <row r="2238" spans="1:5" x14ac:dyDescent="0.25">
      <c r="A2238" s="130" t="s">
        <v>4</v>
      </c>
      <c r="B2238" s="130" t="s">
        <v>579</v>
      </c>
      <c r="C2238" s="130" t="s">
        <v>608</v>
      </c>
      <c r="D2238" s="130" t="s">
        <v>785</v>
      </c>
      <c r="E2238" s="132">
        <v>1493.1</v>
      </c>
    </row>
    <row r="2239" spans="1:5" x14ac:dyDescent="0.25">
      <c r="A2239" s="130" t="s">
        <v>4</v>
      </c>
      <c r="B2239" s="130" t="s">
        <v>579</v>
      </c>
      <c r="C2239" s="130" t="s">
        <v>608</v>
      </c>
      <c r="D2239" s="130" t="s">
        <v>786</v>
      </c>
      <c r="E2239" s="132">
        <v>2055.6</v>
      </c>
    </row>
    <row r="2240" spans="1:5" x14ac:dyDescent="0.25">
      <c r="A2240" s="130" t="s">
        <v>4</v>
      </c>
      <c r="B2240" s="130" t="s">
        <v>579</v>
      </c>
      <c r="C2240" s="130" t="s">
        <v>608</v>
      </c>
      <c r="D2240" s="130" t="s">
        <v>842</v>
      </c>
      <c r="E2240" s="132">
        <v>3949.92</v>
      </c>
    </row>
    <row r="2241" spans="1:5" x14ac:dyDescent="0.25">
      <c r="A2241" s="130" t="s">
        <v>4</v>
      </c>
      <c r="B2241" s="130" t="s">
        <v>579</v>
      </c>
      <c r="C2241" s="130" t="s">
        <v>608</v>
      </c>
      <c r="D2241" s="130" t="s">
        <v>743</v>
      </c>
      <c r="E2241" s="132">
        <v>2579.64</v>
      </c>
    </row>
    <row r="2242" spans="1:5" x14ac:dyDescent="0.25">
      <c r="A2242" s="130" t="s">
        <v>4</v>
      </c>
      <c r="B2242" s="130" t="s">
        <v>579</v>
      </c>
      <c r="C2242" s="130" t="s">
        <v>608</v>
      </c>
      <c r="D2242" s="130" t="s">
        <v>647</v>
      </c>
      <c r="E2242" s="132">
        <v>1772.4</v>
      </c>
    </row>
    <row r="2243" spans="1:5" x14ac:dyDescent="0.25">
      <c r="A2243" s="130" t="s">
        <v>4</v>
      </c>
      <c r="B2243" s="130" t="s">
        <v>579</v>
      </c>
      <c r="C2243" s="130" t="s">
        <v>608</v>
      </c>
      <c r="D2243" s="130" t="s">
        <v>852</v>
      </c>
      <c r="E2243" s="132">
        <v>8951.25</v>
      </c>
    </row>
    <row r="2244" spans="1:5" x14ac:dyDescent="0.25">
      <c r="A2244" s="130" t="s">
        <v>4</v>
      </c>
      <c r="B2244" s="130" t="s">
        <v>579</v>
      </c>
      <c r="C2244" s="130" t="s">
        <v>608</v>
      </c>
      <c r="D2244" s="130" t="s">
        <v>713</v>
      </c>
      <c r="E2244" s="132">
        <v>9309.2999999999993</v>
      </c>
    </row>
    <row r="2245" spans="1:5" x14ac:dyDescent="0.25">
      <c r="A2245" s="130" t="s">
        <v>4</v>
      </c>
      <c r="B2245" s="130" t="s">
        <v>579</v>
      </c>
      <c r="C2245" s="130" t="s">
        <v>608</v>
      </c>
      <c r="D2245" s="130" t="s">
        <v>620</v>
      </c>
      <c r="E2245" s="132">
        <v>29664</v>
      </c>
    </row>
    <row r="2246" spans="1:5" x14ac:dyDescent="0.25">
      <c r="A2246" s="130" t="s">
        <v>4</v>
      </c>
      <c r="B2246" s="130" t="s">
        <v>579</v>
      </c>
      <c r="C2246" s="130" t="s">
        <v>608</v>
      </c>
      <c r="D2246" s="130" t="s">
        <v>639</v>
      </c>
      <c r="E2246" s="132">
        <v>90165.6</v>
      </c>
    </row>
    <row r="2247" spans="1:5" x14ac:dyDescent="0.25">
      <c r="A2247" s="130" t="s">
        <v>4</v>
      </c>
      <c r="B2247" s="130" t="s">
        <v>579</v>
      </c>
      <c r="C2247" s="130" t="s">
        <v>608</v>
      </c>
      <c r="D2247" s="130" t="s">
        <v>795</v>
      </c>
      <c r="E2247" s="132">
        <v>4548.8999999999996</v>
      </c>
    </row>
    <row r="2248" spans="1:5" x14ac:dyDescent="0.25">
      <c r="A2248" s="130" t="s">
        <v>4</v>
      </c>
      <c r="B2248" s="130" t="s">
        <v>579</v>
      </c>
      <c r="C2248" s="130" t="s">
        <v>608</v>
      </c>
      <c r="D2248" s="130" t="s">
        <v>822</v>
      </c>
      <c r="E2248" s="132">
        <v>2500.3200000000002</v>
      </c>
    </row>
    <row r="2249" spans="1:5" x14ac:dyDescent="0.25">
      <c r="A2249" s="130" t="s">
        <v>4</v>
      </c>
      <c r="B2249" s="130" t="s">
        <v>579</v>
      </c>
      <c r="C2249" s="130" t="s">
        <v>608</v>
      </c>
      <c r="D2249" s="130" t="s">
        <v>796</v>
      </c>
      <c r="E2249" s="132">
        <v>5961.24</v>
      </c>
    </row>
    <row r="2250" spans="1:5" x14ac:dyDescent="0.25">
      <c r="A2250" s="130" t="s">
        <v>4</v>
      </c>
      <c r="B2250" s="130" t="s">
        <v>579</v>
      </c>
      <c r="C2250" s="130" t="s">
        <v>608</v>
      </c>
      <c r="D2250" s="130" t="s">
        <v>783</v>
      </c>
      <c r="E2250" s="132">
        <v>11005.92</v>
      </c>
    </row>
    <row r="2251" spans="1:5" x14ac:dyDescent="0.25">
      <c r="A2251" s="130" t="s">
        <v>4</v>
      </c>
      <c r="B2251" s="130" t="s">
        <v>579</v>
      </c>
      <c r="C2251" s="130" t="s">
        <v>608</v>
      </c>
      <c r="D2251" s="130" t="s">
        <v>837</v>
      </c>
      <c r="E2251" s="132">
        <v>1279.2</v>
      </c>
    </row>
    <row r="2252" spans="1:5" x14ac:dyDescent="0.25">
      <c r="A2252" s="130" t="s">
        <v>4</v>
      </c>
      <c r="B2252" s="130" t="s">
        <v>579</v>
      </c>
      <c r="C2252" s="130" t="s">
        <v>608</v>
      </c>
      <c r="D2252" s="130" t="s">
        <v>838</v>
      </c>
      <c r="E2252" s="132">
        <v>1156.8</v>
      </c>
    </row>
    <row r="2253" spans="1:5" x14ac:dyDescent="0.25">
      <c r="A2253" s="130" t="s">
        <v>4</v>
      </c>
      <c r="B2253" s="130" t="s">
        <v>579</v>
      </c>
      <c r="C2253" s="130" t="s">
        <v>608</v>
      </c>
      <c r="D2253" s="130" t="s">
        <v>1055</v>
      </c>
      <c r="E2253" s="132">
        <v>603</v>
      </c>
    </row>
    <row r="2254" spans="1:5" x14ac:dyDescent="0.25">
      <c r="A2254" s="130" t="s">
        <v>4</v>
      </c>
      <c r="B2254" s="130" t="s">
        <v>579</v>
      </c>
      <c r="C2254" s="130" t="s">
        <v>608</v>
      </c>
      <c r="D2254" s="130" t="s">
        <v>1056</v>
      </c>
      <c r="E2254" s="132">
        <v>309.12</v>
      </c>
    </row>
    <row r="2255" spans="1:5" x14ac:dyDescent="0.25">
      <c r="A2255" s="130" t="s">
        <v>4</v>
      </c>
      <c r="B2255" s="130" t="s">
        <v>579</v>
      </c>
      <c r="C2255" s="130" t="s">
        <v>608</v>
      </c>
      <c r="D2255" s="130" t="s">
        <v>1057</v>
      </c>
      <c r="E2255" s="132">
        <v>1278.96</v>
      </c>
    </row>
    <row r="2256" spans="1:5" x14ac:dyDescent="0.25">
      <c r="A2256" s="130" t="s">
        <v>4</v>
      </c>
      <c r="B2256" s="130" t="s">
        <v>579</v>
      </c>
      <c r="C2256" s="130" t="s">
        <v>608</v>
      </c>
      <c r="D2256" s="130" t="s">
        <v>839</v>
      </c>
      <c r="E2256" s="132">
        <v>1598.4</v>
      </c>
    </row>
    <row r="2257" spans="1:5" x14ac:dyDescent="0.25">
      <c r="A2257" s="130" t="s">
        <v>4</v>
      </c>
      <c r="B2257" s="130" t="s">
        <v>579</v>
      </c>
      <c r="C2257" s="130" t="s">
        <v>608</v>
      </c>
      <c r="D2257" s="130" t="s">
        <v>787</v>
      </c>
      <c r="E2257" s="132">
        <v>1499.04</v>
      </c>
    </row>
    <row r="2258" spans="1:5" x14ac:dyDescent="0.25">
      <c r="A2258" s="130" t="s">
        <v>4</v>
      </c>
      <c r="B2258" s="130" t="s">
        <v>579</v>
      </c>
      <c r="C2258" s="130" t="s">
        <v>608</v>
      </c>
      <c r="D2258" s="130" t="s">
        <v>798</v>
      </c>
      <c r="E2258" s="132">
        <v>2626.5</v>
      </c>
    </row>
    <row r="2259" spans="1:5" x14ac:dyDescent="0.25">
      <c r="A2259" s="130" t="s">
        <v>4</v>
      </c>
      <c r="B2259" s="130" t="s">
        <v>579</v>
      </c>
      <c r="C2259" s="130" t="s">
        <v>608</v>
      </c>
      <c r="D2259" s="130" t="s">
        <v>643</v>
      </c>
      <c r="E2259" s="132">
        <v>1461.6</v>
      </c>
    </row>
    <row r="2260" spans="1:5" x14ac:dyDescent="0.25">
      <c r="A2260" s="130" t="s">
        <v>4</v>
      </c>
      <c r="B2260" s="130" t="s">
        <v>579</v>
      </c>
      <c r="C2260" s="130" t="s">
        <v>608</v>
      </c>
      <c r="D2260" s="130" t="s">
        <v>644</v>
      </c>
      <c r="E2260" s="132">
        <v>1462.08</v>
      </c>
    </row>
    <row r="2261" spans="1:5" x14ac:dyDescent="0.25">
      <c r="A2261" s="130" t="s">
        <v>4</v>
      </c>
      <c r="B2261" s="130" t="s">
        <v>579</v>
      </c>
      <c r="C2261" s="130" t="s">
        <v>608</v>
      </c>
      <c r="D2261" s="130" t="s">
        <v>770</v>
      </c>
      <c r="E2261" s="132">
        <v>1324.8</v>
      </c>
    </row>
    <row r="2262" spans="1:5" x14ac:dyDescent="0.25">
      <c r="A2262" s="130" t="s">
        <v>4</v>
      </c>
      <c r="B2262" s="130" t="s">
        <v>579</v>
      </c>
      <c r="C2262" s="130" t="s">
        <v>608</v>
      </c>
      <c r="D2262" s="130" t="s">
        <v>771</v>
      </c>
      <c r="E2262" s="132">
        <v>2954.4</v>
      </c>
    </row>
    <row r="2263" spans="1:5" x14ac:dyDescent="0.25">
      <c r="A2263" s="130" t="s">
        <v>4</v>
      </c>
      <c r="B2263" s="130" t="s">
        <v>579</v>
      </c>
      <c r="C2263" s="130" t="s">
        <v>608</v>
      </c>
      <c r="D2263" s="130" t="s">
        <v>645</v>
      </c>
      <c r="E2263" s="132">
        <v>3043.2</v>
      </c>
    </row>
    <row r="2264" spans="1:5" x14ac:dyDescent="0.25">
      <c r="A2264" s="130" t="s">
        <v>4</v>
      </c>
      <c r="B2264" s="130" t="s">
        <v>579</v>
      </c>
      <c r="C2264" s="130" t="s">
        <v>608</v>
      </c>
      <c r="D2264" s="130" t="s">
        <v>626</v>
      </c>
      <c r="E2264" s="132">
        <v>2594.88</v>
      </c>
    </row>
    <row r="2265" spans="1:5" x14ac:dyDescent="0.25">
      <c r="A2265" s="130" t="s">
        <v>4</v>
      </c>
      <c r="B2265" s="130" t="s">
        <v>579</v>
      </c>
      <c r="C2265" s="130" t="s">
        <v>608</v>
      </c>
      <c r="D2265" s="130" t="s">
        <v>646</v>
      </c>
      <c r="E2265" s="132">
        <v>6534</v>
      </c>
    </row>
    <row r="2266" spans="1:5" x14ac:dyDescent="0.25">
      <c r="A2266" s="130" t="s">
        <v>4</v>
      </c>
      <c r="B2266" s="130" t="s">
        <v>579</v>
      </c>
      <c r="C2266" s="130" t="s">
        <v>608</v>
      </c>
      <c r="D2266" s="130" t="s">
        <v>1058</v>
      </c>
      <c r="E2266" s="132">
        <v>3063.84</v>
      </c>
    </row>
    <row r="2267" spans="1:5" x14ac:dyDescent="0.25">
      <c r="A2267" s="130" t="s">
        <v>4</v>
      </c>
      <c r="B2267" s="130" t="s">
        <v>579</v>
      </c>
      <c r="C2267" s="130" t="s">
        <v>608</v>
      </c>
      <c r="D2267" s="130" t="s">
        <v>648</v>
      </c>
      <c r="E2267" s="132">
        <v>3447.36</v>
      </c>
    </row>
    <row r="2268" spans="1:5" x14ac:dyDescent="0.25">
      <c r="A2268" s="130" t="s">
        <v>4</v>
      </c>
      <c r="B2268" s="130" t="s">
        <v>579</v>
      </c>
      <c r="C2268" s="130" t="s">
        <v>608</v>
      </c>
      <c r="D2268" s="130" t="s">
        <v>610</v>
      </c>
      <c r="E2268" s="132">
        <v>4768.92</v>
      </c>
    </row>
    <row r="2269" spans="1:5" x14ac:dyDescent="0.25">
      <c r="A2269" s="130" t="s">
        <v>4</v>
      </c>
      <c r="B2269" s="130" t="s">
        <v>579</v>
      </c>
      <c r="C2269" s="130" t="s">
        <v>608</v>
      </c>
      <c r="D2269" s="130" t="s">
        <v>611</v>
      </c>
      <c r="E2269" s="132">
        <v>4876.5</v>
      </c>
    </row>
    <row r="2270" spans="1:5" x14ac:dyDescent="0.25">
      <c r="A2270" s="130" t="s">
        <v>4</v>
      </c>
      <c r="B2270" s="130" t="s">
        <v>579</v>
      </c>
      <c r="C2270" s="130" t="s">
        <v>608</v>
      </c>
      <c r="D2270" s="130" t="s">
        <v>612</v>
      </c>
      <c r="E2270" s="132">
        <v>9017.2800000000007</v>
      </c>
    </row>
    <row r="2271" spans="1:5" x14ac:dyDescent="0.25">
      <c r="A2271" s="130" t="s">
        <v>4</v>
      </c>
      <c r="B2271" s="130" t="s">
        <v>579</v>
      </c>
      <c r="C2271" s="130" t="s">
        <v>608</v>
      </c>
      <c r="D2271" s="130" t="s">
        <v>649</v>
      </c>
      <c r="E2271" s="132">
        <v>9011.31</v>
      </c>
    </row>
    <row r="2272" spans="1:5" x14ac:dyDescent="0.25">
      <c r="A2272" s="130" t="s">
        <v>4</v>
      </c>
      <c r="B2272" s="130" t="s">
        <v>579</v>
      </c>
      <c r="C2272" s="130" t="s">
        <v>608</v>
      </c>
      <c r="D2272" s="130" t="s">
        <v>672</v>
      </c>
      <c r="E2272" s="132">
        <v>25471.439999999999</v>
      </c>
    </row>
    <row r="2273" spans="1:5" x14ac:dyDescent="0.25">
      <c r="A2273" s="130" t="s">
        <v>4</v>
      </c>
      <c r="B2273" s="130" t="s">
        <v>579</v>
      </c>
      <c r="C2273" s="130" t="s">
        <v>608</v>
      </c>
      <c r="D2273" s="130" t="s">
        <v>825</v>
      </c>
      <c r="E2273" s="132">
        <v>22152.6</v>
      </c>
    </row>
    <row r="2274" spans="1:5" x14ac:dyDescent="0.25">
      <c r="A2274" s="130" t="s">
        <v>4</v>
      </c>
      <c r="B2274" s="130" t="s">
        <v>579</v>
      </c>
      <c r="C2274" s="130" t="s">
        <v>608</v>
      </c>
      <c r="D2274" s="130" t="s">
        <v>1059</v>
      </c>
      <c r="E2274" s="132">
        <v>3166.65</v>
      </c>
    </row>
    <row r="2275" spans="1:5" x14ac:dyDescent="0.25">
      <c r="A2275" s="130" t="s">
        <v>4</v>
      </c>
      <c r="B2275" s="130" t="s">
        <v>579</v>
      </c>
      <c r="C2275" s="130" t="s">
        <v>608</v>
      </c>
      <c r="D2275" s="130" t="s">
        <v>690</v>
      </c>
      <c r="E2275" s="132">
        <v>6970.66</v>
      </c>
    </row>
    <row r="2276" spans="1:5" x14ac:dyDescent="0.25">
      <c r="A2276" s="130" t="s">
        <v>4</v>
      </c>
      <c r="B2276" s="130" t="s">
        <v>579</v>
      </c>
      <c r="C2276" s="130" t="s">
        <v>608</v>
      </c>
      <c r="D2276" s="130" t="s">
        <v>723</v>
      </c>
      <c r="E2276" s="132">
        <v>7599.96</v>
      </c>
    </row>
    <row r="2277" spans="1:5" x14ac:dyDescent="0.25">
      <c r="A2277" s="130" t="s">
        <v>4</v>
      </c>
      <c r="B2277" s="130" t="s">
        <v>579</v>
      </c>
      <c r="C2277" s="130" t="s">
        <v>608</v>
      </c>
      <c r="D2277" s="130" t="s">
        <v>614</v>
      </c>
      <c r="E2277" s="132">
        <v>8103.4</v>
      </c>
    </row>
    <row r="2278" spans="1:5" x14ac:dyDescent="0.25">
      <c r="A2278" s="130" t="s">
        <v>4</v>
      </c>
      <c r="B2278" s="130" t="s">
        <v>579</v>
      </c>
      <c r="C2278" s="130" t="s">
        <v>608</v>
      </c>
      <c r="D2278" s="130" t="s">
        <v>264</v>
      </c>
      <c r="E2278" s="132">
        <v>8645.9</v>
      </c>
    </row>
    <row r="2279" spans="1:5" x14ac:dyDescent="0.25">
      <c r="A2279" s="130" t="s">
        <v>4</v>
      </c>
      <c r="B2279" s="130" t="s">
        <v>579</v>
      </c>
      <c r="C2279" s="130" t="s">
        <v>608</v>
      </c>
      <c r="D2279" s="130" t="s">
        <v>382</v>
      </c>
      <c r="E2279" s="132">
        <v>6112.89</v>
      </c>
    </row>
    <row r="2280" spans="1:5" x14ac:dyDescent="0.25">
      <c r="A2280" s="130" t="s">
        <v>4</v>
      </c>
      <c r="B2280" s="130" t="s">
        <v>579</v>
      </c>
      <c r="C2280" s="130" t="s">
        <v>608</v>
      </c>
      <c r="D2280" s="130" t="s">
        <v>706</v>
      </c>
      <c r="E2280" s="132">
        <v>7155.11</v>
      </c>
    </row>
    <row r="2281" spans="1:5" x14ac:dyDescent="0.25">
      <c r="A2281" s="130" t="s">
        <v>4</v>
      </c>
      <c r="B2281" s="130" t="s">
        <v>579</v>
      </c>
      <c r="C2281" s="130" t="s">
        <v>608</v>
      </c>
      <c r="D2281" s="130" t="s">
        <v>707</v>
      </c>
      <c r="E2281" s="132">
        <v>8146.49</v>
      </c>
    </row>
    <row r="2282" spans="1:5" x14ac:dyDescent="0.25">
      <c r="A2282" s="130" t="s">
        <v>4</v>
      </c>
      <c r="B2282" s="130" t="s">
        <v>579</v>
      </c>
      <c r="C2282" s="130" t="s">
        <v>608</v>
      </c>
      <c r="D2282" s="130" t="s">
        <v>675</v>
      </c>
      <c r="E2282" s="132">
        <v>8689.2999999999993</v>
      </c>
    </row>
    <row r="2283" spans="1:5" x14ac:dyDescent="0.25">
      <c r="A2283" s="130" t="s">
        <v>4</v>
      </c>
      <c r="B2283" s="130" t="s">
        <v>579</v>
      </c>
      <c r="C2283" s="130" t="s">
        <v>608</v>
      </c>
      <c r="D2283" s="130" t="s">
        <v>997</v>
      </c>
      <c r="E2283" s="132">
        <v>7248.05</v>
      </c>
    </row>
    <row r="2284" spans="1:5" x14ac:dyDescent="0.25">
      <c r="A2284" s="130" t="s">
        <v>4</v>
      </c>
      <c r="B2284" s="130" t="s">
        <v>579</v>
      </c>
      <c r="C2284" s="130" t="s">
        <v>608</v>
      </c>
      <c r="D2284" s="130" t="s">
        <v>1060</v>
      </c>
      <c r="E2284" s="132">
        <v>1368.96</v>
      </c>
    </row>
    <row r="2285" spans="1:5" x14ac:dyDescent="0.25">
      <c r="A2285" s="130" t="s">
        <v>4</v>
      </c>
      <c r="B2285" s="130" t="s">
        <v>579</v>
      </c>
      <c r="C2285" s="130" t="s">
        <v>608</v>
      </c>
      <c r="D2285" s="130" t="s">
        <v>807</v>
      </c>
      <c r="E2285" s="132">
        <v>1480.56</v>
      </c>
    </row>
    <row r="2286" spans="1:5" x14ac:dyDescent="0.25">
      <c r="A2286" s="130" t="s">
        <v>4</v>
      </c>
      <c r="B2286" s="130" t="s">
        <v>579</v>
      </c>
      <c r="C2286" s="130" t="s">
        <v>608</v>
      </c>
      <c r="D2286" s="130" t="s">
        <v>1061</v>
      </c>
      <c r="E2286" s="132">
        <v>2525.3200000000002</v>
      </c>
    </row>
    <row r="2287" spans="1:5" x14ac:dyDescent="0.25">
      <c r="A2287" s="130" t="s">
        <v>4</v>
      </c>
      <c r="B2287" s="130" t="s">
        <v>579</v>
      </c>
      <c r="C2287" s="130" t="s">
        <v>608</v>
      </c>
      <c r="D2287" s="130" t="s">
        <v>731</v>
      </c>
      <c r="E2287" s="132">
        <v>4488.18</v>
      </c>
    </row>
    <row r="2288" spans="1:5" x14ac:dyDescent="0.25">
      <c r="A2288" s="130" t="s">
        <v>4</v>
      </c>
      <c r="B2288" s="130" t="s">
        <v>579</v>
      </c>
      <c r="C2288" s="130" t="s">
        <v>608</v>
      </c>
      <c r="D2288" s="130" t="s">
        <v>1062</v>
      </c>
      <c r="E2288" s="132">
        <v>5129.57</v>
      </c>
    </row>
    <row r="2289" spans="1:5" x14ac:dyDescent="0.25">
      <c r="A2289" s="130" t="s">
        <v>4</v>
      </c>
      <c r="B2289" s="130" t="s">
        <v>579</v>
      </c>
      <c r="C2289" s="130" t="s">
        <v>608</v>
      </c>
      <c r="D2289" s="130" t="s">
        <v>1063</v>
      </c>
      <c r="E2289" s="132">
        <v>3797.56</v>
      </c>
    </row>
    <row r="2290" spans="1:5" x14ac:dyDescent="0.25">
      <c r="A2290" s="130" t="s">
        <v>4</v>
      </c>
      <c r="B2290" s="130" t="s">
        <v>579</v>
      </c>
      <c r="C2290" s="130" t="s">
        <v>608</v>
      </c>
      <c r="D2290" s="130" t="s">
        <v>664</v>
      </c>
      <c r="E2290" s="132">
        <v>4363.93</v>
      </c>
    </row>
    <row r="2291" spans="1:5" x14ac:dyDescent="0.25">
      <c r="A2291" s="130" t="s">
        <v>4</v>
      </c>
      <c r="B2291" s="130" t="s">
        <v>579</v>
      </c>
      <c r="C2291" s="130" t="s">
        <v>608</v>
      </c>
      <c r="D2291" s="130" t="s">
        <v>1064</v>
      </c>
      <c r="E2291" s="132">
        <v>4932.72</v>
      </c>
    </row>
    <row r="2292" spans="1:5" x14ac:dyDescent="0.25">
      <c r="A2292" s="130" t="s">
        <v>4</v>
      </c>
      <c r="B2292" s="130" t="s">
        <v>579</v>
      </c>
      <c r="C2292" s="130" t="s">
        <v>608</v>
      </c>
      <c r="D2292" s="130" t="s">
        <v>703</v>
      </c>
      <c r="E2292" s="132">
        <v>7025.53</v>
      </c>
    </row>
    <row r="2293" spans="1:5" x14ac:dyDescent="0.25">
      <c r="A2293" s="130" t="s">
        <v>4</v>
      </c>
      <c r="B2293" s="130" t="s">
        <v>579</v>
      </c>
      <c r="C2293" s="130" t="s">
        <v>608</v>
      </c>
      <c r="D2293" s="130" t="s">
        <v>704</v>
      </c>
      <c r="E2293" s="132">
        <v>15199.3</v>
      </c>
    </row>
    <row r="2294" spans="1:5" x14ac:dyDescent="0.25">
      <c r="A2294" s="130" t="s">
        <v>4</v>
      </c>
      <c r="B2294" s="130" t="s">
        <v>579</v>
      </c>
      <c r="C2294" s="130" t="s">
        <v>608</v>
      </c>
      <c r="D2294" s="130" t="s">
        <v>440</v>
      </c>
      <c r="E2294" s="132">
        <v>16434.96</v>
      </c>
    </row>
    <row r="2295" spans="1:5" x14ac:dyDescent="0.25">
      <c r="A2295" s="130" t="s">
        <v>4</v>
      </c>
      <c r="B2295" s="130" t="s">
        <v>579</v>
      </c>
      <c r="C2295" s="130" t="s">
        <v>608</v>
      </c>
      <c r="D2295" s="130" t="s">
        <v>801</v>
      </c>
      <c r="E2295" s="132">
        <v>1850.39</v>
      </c>
    </row>
    <row r="2296" spans="1:5" x14ac:dyDescent="0.25">
      <c r="A2296" s="130" t="s">
        <v>4</v>
      </c>
      <c r="B2296" s="130" t="s">
        <v>579</v>
      </c>
      <c r="C2296" s="130" t="s">
        <v>608</v>
      </c>
      <c r="D2296" s="130" t="s">
        <v>1065</v>
      </c>
      <c r="E2296" s="132">
        <v>5839.1</v>
      </c>
    </row>
    <row r="2297" spans="1:5" x14ac:dyDescent="0.25">
      <c r="A2297" s="130" t="s">
        <v>4</v>
      </c>
      <c r="B2297" s="130" t="s">
        <v>579</v>
      </c>
      <c r="C2297" s="130" t="s">
        <v>608</v>
      </c>
      <c r="D2297" s="130" t="s">
        <v>1066</v>
      </c>
      <c r="E2297" s="132">
        <v>21472.959999999999</v>
      </c>
    </row>
    <row r="2298" spans="1:5" x14ac:dyDescent="0.25">
      <c r="A2298" s="130" t="s">
        <v>4</v>
      </c>
      <c r="B2298" s="130" t="s">
        <v>579</v>
      </c>
      <c r="C2298" s="130" t="s">
        <v>608</v>
      </c>
      <c r="D2298" s="130" t="s">
        <v>293</v>
      </c>
      <c r="E2298" s="132">
        <v>10620.6</v>
      </c>
    </row>
    <row r="2299" spans="1:5" x14ac:dyDescent="0.25">
      <c r="A2299" s="130" t="s">
        <v>4</v>
      </c>
      <c r="B2299" s="130" t="s">
        <v>579</v>
      </c>
      <c r="C2299" s="130" t="s">
        <v>608</v>
      </c>
      <c r="D2299" s="130" t="s">
        <v>471</v>
      </c>
      <c r="E2299" s="132">
        <v>3194.24</v>
      </c>
    </row>
    <row r="2300" spans="1:5" x14ac:dyDescent="0.25">
      <c r="A2300" s="130" t="s">
        <v>4</v>
      </c>
      <c r="B2300" s="130" t="s">
        <v>579</v>
      </c>
      <c r="C2300" s="130" t="s">
        <v>608</v>
      </c>
      <c r="D2300" s="130" t="s">
        <v>266</v>
      </c>
      <c r="E2300" s="132">
        <v>11158.88</v>
      </c>
    </row>
    <row r="2301" spans="1:5" x14ac:dyDescent="0.25">
      <c r="A2301" s="130" t="s">
        <v>4</v>
      </c>
      <c r="B2301" s="130" t="s">
        <v>579</v>
      </c>
      <c r="C2301" s="130" t="s">
        <v>608</v>
      </c>
      <c r="D2301" s="130" t="s">
        <v>948</v>
      </c>
      <c r="E2301" s="132">
        <v>6439.32</v>
      </c>
    </row>
    <row r="2302" spans="1:5" x14ac:dyDescent="0.25">
      <c r="A2302" s="130" t="s">
        <v>4</v>
      </c>
      <c r="B2302" s="130" t="s">
        <v>579</v>
      </c>
      <c r="C2302" s="130" t="s">
        <v>608</v>
      </c>
      <c r="D2302" s="130" t="s">
        <v>449</v>
      </c>
      <c r="E2302" s="132">
        <v>8543.7199999999993</v>
      </c>
    </row>
    <row r="2303" spans="1:5" x14ac:dyDescent="0.25">
      <c r="A2303" s="130" t="s">
        <v>4</v>
      </c>
      <c r="B2303" s="130" t="s">
        <v>579</v>
      </c>
      <c r="C2303" s="130" t="s">
        <v>608</v>
      </c>
      <c r="D2303" s="130" t="s">
        <v>815</v>
      </c>
      <c r="E2303" s="132">
        <v>1639.53</v>
      </c>
    </row>
    <row r="2304" spans="1:5" x14ac:dyDescent="0.25">
      <c r="A2304" s="130" t="s">
        <v>4</v>
      </c>
      <c r="B2304" s="130" t="s">
        <v>579</v>
      </c>
      <c r="C2304" s="130" t="s">
        <v>608</v>
      </c>
      <c r="D2304" s="130" t="s">
        <v>455</v>
      </c>
      <c r="E2304" s="132">
        <v>29656.83</v>
      </c>
    </row>
    <row r="2305" spans="1:5" x14ac:dyDescent="0.25">
      <c r="A2305" s="130" t="s">
        <v>4</v>
      </c>
      <c r="B2305" s="130" t="s">
        <v>579</v>
      </c>
      <c r="C2305" s="130" t="s">
        <v>608</v>
      </c>
      <c r="D2305" s="130" t="s">
        <v>1067</v>
      </c>
      <c r="E2305" s="132">
        <v>7962.98</v>
      </c>
    </row>
    <row r="2306" spans="1:5" x14ac:dyDescent="0.25">
      <c r="A2306" s="130" t="s">
        <v>4</v>
      </c>
      <c r="B2306" s="130" t="s">
        <v>579</v>
      </c>
      <c r="C2306" s="130" t="s">
        <v>608</v>
      </c>
      <c r="D2306" s="130" t="s">
        <v>1068</v>
      </c>
      <c r="E2306" s="132">
        <v>1195.79</v>
      </c>
    </row>
    <row r="2307" spans="1:5" x14ac:dyDescent="0.25">
      <c r="A2307" s="130" t="s">
        <v>4</v>
      </c>
      <c r="B2307" s="130" t="s">
        <v>579</v>
      </c>
      <c r="C2307" s="130" t="s">
        <v>608</v>
      </c>
      <c r="D2307" s="130" t="s">
        <v>954</v>
      </c>
      <c r="E2307" s="132">
        <v>10332.67</v>
      </c>
    </row>
    <row r="2308" spans="1:5" x14ac:dyDescent="0.25">
      <c r="A2308" s="130" t="s">
        <v>4</v>
      </c>
      <c r="B2308" s="130" t="s">
        <v>579</v>
      </c>
      <c r="C2308" s="130" t="s">
        <v>608</v>
      </c>
      <c r="D2308" s="130" t="s">
        <v>753</v>
      </c>
      <c r="E2308" s="132">
        <v>6753.04</v>
      </c>
    </row>
    <row r="2309" spans="1:5" x14ac:dyDescent="0.25">
      <c r="A2309" s="130" t="s">
        <v>4</v>
      </c>
      <c r="B2309" s="130" t="s">
        <v>579</v>
      </c>
      <c r="C2309" s="130" t="s">
        <v>608</v>
      </c>
      <c r="D2309" s="130" t="s">
        <v>754</v>
      </c>
      <c r="E2309" s="132">
        <v>3764.02</v>
      </c>
    </row>
    <row r="2310" spans="1:5" x14ac:dyDescent="0.25">
      <c r="A2310" s="130" t="s">
        <v>4</v>
      </c>
      <c r="B2310" s="130" t="s">
        <v>579</v>
      </c>
      <c r="C2310" s="130" t="s">
        <v>608</v>
      </c>
      <c r="D2310" s="130" t="s">
        <v>755</v>
      </c>
      <c r="E2310" s="132">
        <v>1290.22</v>
      </c>
    </row>
    <row r="2311" spans="1:5" x14ac:dyDescent="0.25">
      <c r="A2311" s="130" t="s">
        <v>4</v>
      </c>
      <c r="B2311" s="130" t="s">
        <v>579</v>
      </c>
      <c r="C2311" s="130" t="s">
        <v>608</v>
      </c>
      <c r="D2311" s="130" t="s">
        <v>756</v>
      </c>
      <c r="E2311" s="132">
        <v>1173.6600000000001</v>
      </c>
    </row>
    <row r="2312" spans="1:5" x14ac:dyDescent="0.25">
      <c r="A2312" s="130" t="s">
        <v>4</v>
      </c>
      <c r="B2312" s="130" t="s">
        <v>579</v>
      </c>
      <c r="C2312" s="130" t="s">
        <v>608</v>
      </c>
      <c r="D2312" s="130" t="s">
        <v>436</v>
      </c>
      <c r="E2312" s="132">
        <v>9463.1200000000008</v>
      </c>
    </row>
    <row r="2313" spans="1:5" x14ac:dyDescent="0.25">
      <c r="A2313" s="130" t="s">
        <v>4</v>
      </c>
      <c r="B2313" s="130" t="s">
        <v>579</v>
      </c>
      <c r="C2313" s="130" t="s">
        <v>608</v>
      </c>
      <c r="D2313" s="130" t="s">
        <v>507</v>
      </c>
      <c r="E2313" s="132">
        <v>11607.33</v>
      </c>
    </row>
    <row r="2314" spans="1:5" x14ac:dyDescent="0.25">
      <c r="A2314" s="130" t="s">
        <v>4</v>
      </c>
      <c r="B2314" s="130" t="s">
        <v>579</v>
      </c>
      <c r="C2314" s="130" t="s">
        <v>608</v>
      </c>
      <c r="D2314" s="130" t="s">
        <v>618</v>
      </c>
      <c r="E2314" s="132">
        <v>449.81</v>
      </c>
    </row>
    <row r="2315" spans="1:5" x14ac:dyDescent="0.25">
      <c r="A2315" s="130" t="s">
        <v>4</v>
      </c>
      <c r="B2315" s="130" t="s">
        <v>579</v>
      </c>
      <c r="C2315" s="130" t="s">
        <v>608</v>
      </c>
      <c r="D2315" s="130" t="s">
        <v>359</v>
      </c>
      <c r="E2315" s="132">
        <v>3668.23</v>
      </c>
    </row>
    <row r="2316" spans="1:5" x14ac:dyDescent="0.25">
      <c r="A2316" s="130" t="s">
        <v>4</v>
      </c>
      <c r="B2316" s="130" t="s">
        <v>579</v>
      </c>
      <c r="C2316" s="130" t="s">
        <v>608</v>
      </c>
      <c r="D2316" s="130" t="s">
        <v>314</v>
      </c>
      <c r="E2316" s="132">
        <v>3511.43</v>
      </c>
    </row>
    <row r="2317" spans="1:5" x14ac:dyDescent="0.25">
      <c r="A2317" s="130" t="s">
        <v>4</v>
      </c>
      <c r="B2317" s="130" t="s">
        <v>579</v>
      </c>
      <c r="C2317" s="130" t="s">
        <v>608</v>
      </c>
      <c r="D2317" s="130" t="s">
        <v>494</v>
      </c>
      <c r="E2317" s="132">
        <v>4113.08</v>
      </c>
    </row>
    <row r="2318" spans="1:5" x14ac:dyDescent="0.25">
      <c r="A2318" s="130" t="s">
        <v>4</v>
      </c>
      <c r="B2318" s="130" t="s">
        <v>579</v>
      </c>
      <c r="C2318" s="130" t="s">
        <v>608</v>
      </c>
      <c r="D2318" s="130" t="s">
        <v>488</v>
      </c>
      <c r="E2318" s="132">
        <v>3436.35</v>
      </c>
    </row>
    <row r="2319" spans="1:5" x14ac:dyDescent="0.25">
      <c r="A2319" s="130" t="s">
        <v>4</v>
      </c>
      <c r="B2319" s="130" t="s">
        <v>579</v>
      </c>
      <c r="C2319" s="130" t="s">
        <v>608</v>
      </c>
      <c r="D2319" s="130" t="s">
        <v>489</v>
      </c>
      <c r="E2319" s="132">
        <v>3879.96</v>
      </c>
    </row>
    <row r="2320" spans="1:5" x14ac:dyDescent="0.25">
      <c r="A2320" s="130" t="s">
        <v>4</v>
      </c>
      <c r="B2320" s="130" t="s">
        <v>579</v>
      </c>
      <c r="C2320" s="130" t="s">
        <v>608</v>
      </c>
      <c r="D2320" s="130" t="s">
        <v>959</v>
      </c>
      <c r="E2320" s="132">
        <v>3182.76</v>
      </c>
    </row>
    <row r="2321" spans="1:5" x14ac:dyDescent="0.25">
      <c r="A2321" s="130" t="s">
        <v>4</v>
      </c>
      <c r="B2321" s="130" t="s">
        <v>579</v>
      </c>
      <c r="C2321" s="130" t="s">
        <v>608</v>
      </c>
      <c r="D2321" s="130" t="s">
        <v>360</v>
      </c>
      <c r="E2321" s="132">
        <v>1912.27</v>
      </c>
    </row>
    <row r="2322" spans="1:5" x14ac:dyDescent="0.25">
      <c r="A2322" s="130" t="s">
        <v>4</v>
      </c>
      <c r="B2322" s="130" t="s">
        <v>579</v>
      </c>
      <c r="C2322" s="130" t="s">
        <v>608</v>
      </c>
      <c r="D2322" s="130" t="s">
        <v>376</v>
      </c>
      <c r="E2322" s="132">
        <v>1430.71</v>
      </c>
    </row>
    <row r="2323" spans="1:5" x14ac:dyDescent="0.25">
      <c r="A2323" s="130" t="s">
        <v>4</v>
      </c>
      <c r="B2323" s="130" t="s">
        <v>579</v>
      </c>
      <c r="C2323" s="130" t="s">
        <v>608</v>
      </c>
      <c r="D2323" s="130" t="s">
        <v>418</v>
      </c>
      <c r="E2323" s="132">
        <v>1461.03</v>
      </c>
    </row>
    <row r="2324" spans="1:5" x14ac:dyDescent="0.25">
      <c r="A2324" s="130" t="s">
        <v>4</v>
      </c>
      <c r="B2324" s="130" t="s">
        <v>579</v>
      </c>
      <c r="C2324" s="130" t="s">
        <v>608</v>
      </c>
      <c r="D2324" s="130" t="s">
        <v>352</v>
      </c>
      <c r="E2324" s="132">
        <v>1488.26</v>
      </c>
    </row>
    <row r="2325" spans="1:5" x14ac:dyDescent="0.25">
      <c r="A2325" s="130" t="s">
        <v>4</v>
      </c>
      <c r="B2325" s="130" t="s">
        <v>579</v>
      </c>
      <c r="C2325" s="130" t="s">
        <v>608</v>
      </c>
      <c r="D2325" s="130" t="s">
        <v>315</v>
      </c>
      <c r="E2325" s="132">
        <v>1393.44</v>
      </c>
    </row>
    <row r="2326" spans="1:5" x14ac:dyDescent="0.25">
      <c r="A2326" s="130" t="s">
        <v>4</v>
      </c>
      <c r="B2326" s="130" t="s">
        <v>579</v>
      </c>
      <c r="C2326" s="130" t="s">
        <v>608</v>
      </c>
      <c r="D2326" s="130" t="s">
        <v>523</v>
      </c>
      <c r="E2326" s="132">
        <v>1402.19</v>
      </c>
    </row>
    <row r="2327" spans="1:5" x14ac:dyDescent="0.25">
      <c r="A2327" s="130" t="s">
        <v>4</v>
      </c>
      <c r="B2327" s="130" t="s">
        <v>579</v>
      </c>
      <c r="C2327" s="130" t="s">
        <v>608</v>
      </c>
      <c r="D2327" s="130" t="s">
        <v>988</v>
      </c>
      <c r="E2327" s="132">
        <v>1523.34</v>
      </c>
    </row>
    <row r="2328" spans="1:5" x14ac:dyDescent="0.25">
      <c r="A2328" s="130" t="s">
        <v>4</v>
      </c>
      <c r="B2328" s="130" t="s">
        <v>579</v>
      </c>
      <c r="C2328" s="130" t="s">
        <v>608</v>
      </c>
      <c r="D2328" s="130" t="s">
        <v>962</v>
      </c>
      <c r="E2328" s="132">
        <v>1535.75</v>
      </c>
    </row>
    <row r="2329" spans="1:5" x14ac:dyDescent="0.25">
      <c r="A2329" s="130" t="s">
        <v>4</v>
      </c>
      <c r="B2329" s="130" t="s">
        <v>579</v>
      </c>
      <c r="C2329" s="130" t="s">
        <v>608</v>
      </c>
      <c r="D2329" s="130" t="s">
        <v>1020</v>
      </c>
      <c r="E2329" s="132">
        <v>1194.06</v>
      </c>
    </row>
    <row r="2330" spans="1:5" x14ac:dyDescent="0.25">
      <c r="A2330" s="130" t="s">
        <v>4</v>
      </c>
      <c r="B2330" s="130" t="s">
        <v>579</v>
      </c>
      <c r="C2330" s="130" t="s">
        <v>608</v>
      </c>
      <c r="D2330" s="130" t="s">
        <v>568</v>
      </c>
      <c r="E2330" s="132">
        <v>1867.34</v>
      </c>
    </row>
    <row r="2331" spans="1:5" x14ac:dyDescent="0.25">
      <c r="A2331" s="130" t="s">
        <v>4</v>
      </c>
      <c r="B2331" s="130" t="s">
        <v>579</v>
      </c>
      <c r="C2331" s="130" t="s">
        <v>608</v>
      </c>
      <c r="D2331" s="130" t="s">
        <v>244</v>
      </c>
      <c r="E2331" s="132">
        <v>13255.6</v>
      </c>
    </row>
    <row r="2332" spans="1:5" x14ac:dyDescent="0.25">
      <c r="A2332" s="130" t="s">
        <v>4</v>
      </c>
      <c r="B2332" s="130" t="s">
        <v>579</v>
      </c>
      <c r="C2332" s="130" t="s">
        <v>608</v>
      </c>
      <c r="D2332" s="130" t="s">
        <v>245</v>
      </c>
      <c r="E2332" s="132">
        <v>8016.6</v>
      </c>
    </row>
    <row r="2333" spans="1:5" x14ac:dyDescent="0.25">
      <c r="A2333" s="130" t="s">
        <v>4</v>
      </c>
      <c r="B2333" s="130" t="s">
        <v>579</v>
      </c>
      <c r="C2333" s="130" t="s">
        <v>608</v>
      </c>
      <c r="D2333" s="130" t="s">
        <v>247</v>
      </c>
      <c r="E2333" s="132">
        <v>11752.72</v>
      </c>
    </row>
    <row r="2334" spans="1:5" x14ac:dyDescent="0.25">
      <c r="A2334" s="130" t="s">
        <v>4</v>
      </c>
      <c r="B2334" s="130" t="s">
        <v>579</v>
      </c>
      <c r="C2334" s="130" t="s">
        <v>608</v>
      </c>
      <c r="D2334" s="130" t="s">
        <v>248</v>
      </c>
      <c r="E2334" s="132">
        <v>10502.06</v>
      </c>
    </row>
    <row r="2335" spans="1:5" x14ac:dyDescent="0.25">
      <c r="A2335" s="130" t="s">
        <v>4</v>
      </c>
      <c r="B2335" s="130" t="s">
        <v>579</v>
      </c>
      <c r="C2335" s="130" t="s">
        <v>608</v>
      </c>
      <c r="D2335" s="130" t="s">
        <v>701</v>
      </c>
      <c r="E2335" s="132">
        <v>10247.049999999999</v>
      </c>
    </row>
    <row r="2336" spans="1:5" x14ac:dyDescent="0.25">
      <c r="A2336" s="130" t="s">
        <v>4</v>
      </c>
      <c r="B2336" s="130" t="s">
        <v>579</v>
      </c>
      <c r="C2336" s="130" t="s">
        <v>608</v>
      </c>
      <c r="D2336" s="130" t="s">
        <v>702</v>
      </c>
      <c r="E2336" s="132">
        <v>11360.26</v>
      </c>
    </row>
    <row r="2337" spans="1:5" x14ac:dyDescent="0.25">
      <c r="A2337" s="130" t="s">
        <v>4</v>
      </c>
      <c r="B2337" s="130" t="s">
        <v>579</v>
      </c>
      <c r="C2337" s="130" t="s">
        <v>608</v>
      </c>
      <c r="D2337" s="130" t="s">
        <v>263</v>
      </c>
      <c r="E2337" s="132">
        <v>13943.7</v>
      </c>
    </row>
    <row r="2338" spans="1:5" x14ac:dyDescent="0.25">
      <c r="A2338" s="130" t="s">
        <v>4</v>
      </c>
      <c r="B2338" s="130" t="s">
        <v>579</v>
      </c>
      <c r="C2338" s="130" t="s">
        <v>608</v>
      </c>
      <c r="D2338" s="130" t="s">
        <v>338</v>
      </c>
      <c r="E2338" s="132">
        <v>4263.6000000000004</v>
      </c>
    </row>
    <row r="2339" spans="1:5" x14ac:dyDescent="0.25">
      <c r="A2339" s="130" t="s">
        <v>4</v>
      </c>
      <c r="B2339" s="130" t="s">
        <v>579</v>
      </c>
      <c r="C2339" s="130" t="s">
        <v>608</v>
      </c>
      <c r="D2339" s="130" t="s">
        <v>303</v>
      </c>
      <c r="E2339" s="132">
        <v>4004.4</v>
      </c>
    </row>
    <row r="2340" spans="1:5" x14ac:dyDescent="0.25">
      <c r="A2340" s="130" t="s">
        <v>4</v>
      </c>
      <c r="B2340" s="130" t="s">
        <v>579</v>
      </c>
      <c r="C2340" s="130" t="s">
        <v>608</v>
      </c>
      <c r="D2340" s="130" t="s">
        <v>312</v>
      </c>
      <c r="E2340" s="132">
        <v>16646.400000000001</v>
      </c>
    </row>
    <row r="2341" spans="1:5" x14ac:dyDescent="0.25">
      <c r="A2341" s="130" t="s">
        <v>4</v>
      </c>
      <c r="B2341" s="130" t="s">
        <v>579</v>
      </c>
      <c r="C2341" s="130" t="s">
        <v>608</v>
      </c>
      <c r="D2341" s="130" t="s">
        <v>480</v>
      </c>
      <c r="E2341" s="132">
        <v>6221.76</v>
      </c>
    </row>
    <row r="2342" spans="1:5" x14ac:dyDescent="0.25">
      <c r="A2342" s="130" t="s">
        <v>4</v>
      </c>
      <c r="B2342" s="130" t="s">
        <v>579</v>
      </c>
      <c r="C2342" s="130" t="s">
        <v>608</v>
      </c>
      <c r="D2342" s="130" t="s">
        <v>260</v>
      </c>
      <c r="E2342" s="132">
        <v>2181.2399999999998</v>
      </c>
    </row>
    <row r="2343" spans="1:5" x14ac:dyDescent="0.25">
      <c r="A2343" s="130" t="s">
        <v>4</v>
      </c>
      <c r="B2343" s="130" t="s">
        <v>579</v>
      </c>
      <c r="C2343" s="130" t="s">
        <v>608</v>
      </c>
      <c r="D2343" s="130" t="s">
        <v>421</v>
      </c>
      <c r="E2343" s="132">
        <v>21942</v>
      </c>
    </row>
    <row r="2344" spans="1:5" x14ac:dyDescent="0.25">
      <c r="A2344" s="130" t="s">
        <v>4</v>
      </c>
      <c r="B2344" s="130" t="s">
        <v>579</v>
      </c>
      <c r="C2344" s="130" t="s">
        <v>608</v>
      </c>
      <c r="D2344" s="130" t="s">
        <v>505</v>
      </c>
      <c r="E2344" s="132">
        <v>5591.28</v>
      </c>
    </row>
    <row r="2345" spans="1:5" x14ac:dyDescent="0.25">
      <c r="A2345" s="130" t="s">
        <v>4</v>
      </c>
      <c r="B2345" s="130" t="s">
        <v>579</v>
      </c>
      <c r="C2345" s="130" t="s">
        <v>608</v>
      </c>
      <c r="D2345" s="130" t="s">
        <v>341</v>
      </c>
      <c r="E2345" s="132">
        <v>26797.64</v>
      </c>
    </row>
    <row r="2346" spans="1:5" x14ac:dyDescent="0.25">
      <c r="A2346" s="130" t="s">
        <v>4</v>
      </c>
      <c r="B2346" s="130" t="s">
        <v>579</v>
      </c>
      <c r="C2346" s="130" t="s">
        <v>608</v>
      </c>
      <c r="D2346" s="130" t="s">
        <v>259</v>
      </c>
      <c r="E2346" s="132">
        <v>23629.07</v>
      </c>
    </row>
    <row r="2347" spans="1:5" x14ac:dyDescent="0.25">
      <c r="A2347" s="130" t="s">
        <v>4</v>
      </c>
      <c r="B2347" s="130" t="s">
        <v>579</v>
      </c>
      <c r="C2347" s="130" t="s">
        <v>608</v>
      </c>
      <c r="D2347" s="130" t="s">
        <v>265</v>
      </c>
      <c r="E2347" s="132">
        <v>7096.64</v>
      </c>
    </row>
    <row r="2348" spans="1:5" x14ac:dyDescent="0.25">
      <c r="A2348" s="130" t="s">
        <v>4</v>
      </c>
      <c r="B2348" s="130" t="s">
        <v>579</v>
      </c>
      <c r="C2348" s="130" t="s">
        <v>608</v>
      </c>
      <c r="D2348" s="130" t="s">
        <v>363</v>
      </c>
      <c r="E2348" s="132">
        <v>10178.66</v>
      </c>
    </row>
    <row r="2349" spans="1:5" x14ac:dyDescent="0.25">
      <c r="A2349" s="130" t="s">
        <v>4</v>
      </c>
      <c r="B2349" s="130" t="s">
        <v>579</v>
      </c>
      <c r="C2349" s="130" t="s">
        <v>608</v>
      </c>
      <c r="D2349" s="130" t="s">
        <v>263</v>
      </c>
      <c r="E2349" s="132">
        <v>4843.13</v>
      </c>
    </row>
    <row r="2350" spans="1:5" x14ac:dyDescent="0.25">
      <c r="A2350" s="130" t="s">
        <v>4</v>
      </c>
      <c r="B2350" s="130" t="s">
        <v>579</v>
      </c>
      <c r="C2350" s="130" t="s">
        <v>608</v>
      </c>
      <c r="D2350" s="130" t="s">
        <v>496</v>
      </c>
      <c r="E2350" s="132">
        <v>4155.24</v>
      </c>
    </row>
    <row r="2351" spans="1:5" x14ac:dyDescent="0.25">
      <c r="A2351" s="130" t="s">
        <v>4</v>
      </c>
      <c r="B2351" s="130" t="s">
        <v>579</v>
      </c>
      <c r="C2351" s="130" t="s">
        <v>608</v>
      </c>
      <c r="D2351" s="130" t="s">
        <v>274</v>
      </c>
      <c r="E2351" s="132">
        <v>3133.48</v>
      </c>
    </row>
    <row r="2352" spans="1:5" x14ac:dyDescent="0.25">
      <c r="A2352" s="130" t="s">
        <v>4</v>
      </c>
      <c r="B2352" s="130" t="s">
        <v>579</v>
      </c>
      <c r="C2352" s="130" t="s">
        <v>608</v>
      </c>
      <c r="D2352" s="130" t="s">
        <v>294</v>
      </c>
      <c r="E2352" s="132">
        <v>1657.88</v>
      </c>
    </row>
    <row r="2353" spans="1:5" x14ac:dyDescent="0.25">
      <c r="A2353" s="130" t="s">
        <v>4</v>
      </c>
      <c r="B2353" s="130" t="s">
        <v>579</v>
      </c>
      <c r="C2353" s="130" t="s">
        <v>608</v>
      </c>
      <c r="D2353" s="130" t="s">
        <v>295</v>
      </c>
      <c r="E2353" s="132">
        <v>2756.52</v>
      </c>
    </row>
    <row r="2354" spans="1:5" x14ac:dyDescent="0.25">
      <c r="A2354" s="130" t="s">
        <v>4</v>
      </c>
      <c r="B2354" s="130" t="s">
        <v>579</v>
      </c>
      <c r="C2354" s="130" t="s">
        <v>608</v>
      </c>
      <c r="D2354" s="130" t="s">
        <v>500</v>
      </c>
      <c r="E2354" s="132">
        <v>4989.76</v>
      </c>
    </row>
    <row r="2355" spans="1:5" x14ac:dyDescent="0.25">
      <c r="A2355" s="130" t="s">
        <v>4</v>
      </c>
      <c r="B2355" s="130" t="s">
        <v>579</v>
      </c>
      <c r="C2355" s="130" t="s">
        <v>608</v>
      </c>
      <c r="D2355" s="130" t="s">
        <v>238</v>
      </c>
      <c r="E2355" s="132">
        <v>4045.5</v>
      </c>
    </row>
    <row r="2356" spans="1:5" x14ac:dyDescent="0.25">
      <c r="A2356" s="130" t="s">
        <v>4</v>
      </c>
      <c r="B2356" s="130" t="s">
        <v>579</v>
      </c>
      <c r="C2356" s="130" t="s">
        <v>608</v>
      </c>
      <c r="D2356" s="130" t="s">
        <v>240</v>
      </c>
      <c r="E2356" s="132">
        <v>1904.02</v>
      </c>
    </row>
    <row r="2357" spans="1:5" x14ac:dyDescent="0.25">
      <c r="A2357" s="130" t="s">
        <v>4</v>
      </c>
      <c r="B2357" s="130" t="s">
        <v>579</v>
      </c>
      <c r="C2357" s="130" t="s">
        <v>608</v>
      </c>
      <c r="D2357" s="130" t="s">
        <v>241</v>
      </c>
      <c r="E2357" s="132">
        <v>1261.33</v>
      </c>
    </row>
    <row r="2358" spans="1:5" x14ac:dyDescent="0.25">
      <c r="A2358" s="130" t="s">
        <v>4</v>
      </c>
      <c r="B2358" s="130" t="s">
        <v>579</v>
      </c>
      <c r="C2358" s="130" t="s">
        <v>608</v>
      </c>
      <c r="D2358" s="130" t="s">
        <v>243</v>
      </c>
      <c r="E2358" s="132">
        <v>1501.76</v>
      </c>
    </row>
    <row r="2359" spans="1:5" x14ac:dyDescent="0.25">
      <c r="A2359" s="130" t="s">
        <v>4</v>
      </c>
      <c r="B2359" s="130" t="s">
        <v>579</v>
      </c>
      <c r="C2359" s="130" t="s">
        <v>608</v>
      </c>
      <c r="D2359" s="130" t="s">
        <v>434</v>
      </c>
      <c r="E2359" s="132">
        <v>1814.99</v>
      </c>
    </row>
    <row r="2360" spans="1:5" x14ac:dyDescent="0.25">
      <c r="A2360" s="130" t="s">
        <v>4</v>
      </c>
      <c r="B2360" s="130" t="s">
        <v>579</v>
      </c>
      <c r="C2360" s="130" t="s">
        <v>608</v>
      </c>
      <c r="D2360" s="130" t="s">
        <v>686</v>
      </c>
      <c r="E2360" s="132">
        <v>7488.36</v>
      </c>
    </row>
    <row r="2361" spans="1:5" x14ac:dyDescent="0.25">
      <c r="A2361" s="130" t="s">
        <v>4</v>
      </c>
      <c r="B2361" s="130" t="s">
        <v>579</v>
      </c>
      <c r="C2361" s="130" t="s">
        <v>608</v>
      </c>
      <c r="D2361" s="130" t="s">
        <v>412</v>
      </c>
      <c r="E2361" s="132">
        <v>1622.23</v>
      </c>
    </row>
    <row r="2362" spans="1:5" x14ac:dyDescent="0.25">
      <c r="A2362" s="130" t="s">
        <v>4</v>
      </c>
      <c r="B2362" s="130" t="s">
        <v>579</v>
      </c>
      <c r="C2362" s="130" t="s">
        <v>608</v>
      </c>
      <c r="D2362" s="130" t="s">
        <v>458</v>
      </c>
      <c r="E2362" s="132">
        <v>1947.42</v>
      </c>
    </row>
    <row r="2363" spans="1:5" x14ac:dyDescent="0.25">
      <c r="A2363" s="130" t="s">
        <v>4</v>
      </c>
      <c r="B2363" s="130" t="s">
        <v>579</v>
      </c>
      <c r="C2363" s="130" t="s">
        <v>608</v>
      </c>
      <c r="D2363" s="130" t="s">
        <v>961</v>
      </c>
      <c r="E2363" s="132">
        <v>3752.64</v>
      </c>
    </row>
    <row r="2364" spans="1:5" x14ac:dyDescent="0.25">
      <c r="A2364" s="130" t="s">
        <v>4</v>
      </c>
      <c r="B2364" s="130" t="s">
        <v>579</v>
      </c>
      <c r="C2364" s="130" t="s">
        <v>608</v>
      </c>
      <c r="D2364" s="130" t="s">
        <v>811</v>
      </c>
      <c r="E2364" s="132">
        <v>28079.8</v>
      </c>
    </row>
    <row r="2365" spans="1:5" x14ac:dyDescent="0.25">
      <c r="A2365" s="130" t="s">
        <v>4</v>
      </c>
      <c r="B2365" s="130" t="s">
        <v>579</v>
      </c>
      <c r="C2365" s="130" t="s">
        <v>608</v>
      </c>
      <c r="D2365" s="130" t="s">
        <v>663</v>
      </c>
      <c r="E2365" s="132">
        <v>1835.94</v>
      </c>
    </row>
    <row r="2366" spans="1:5" x14ac:dyDescent="0.25">
      <c r="A2366" s="130" t="s">
        <v>4</v>
      </c>
      <c r="B2366" s="130" t="s">
        <v>579</v>
      </c>
      <c r="C2366" s="130" t="s">
        <v>608</v>
      </c>
      <c r="D2366" s="130" t="s">
        <v>699</v>
      </c>
      <c r="E2366" s="132">
        <v>3373.69</v>
      </c>
    </row>
    <row r="2367" spans="1:5" x14ac:dyDescent="0.25">
      <c r="A2367" s="130" t="s">
        <v>4</v>
      </c>
      <c r="B2367" s="130" t="s">
        <v>579</v>
      </c>
      <c r="C2367" s="130" t="s">
        <v>608</v>
      </c>
      <c r="D2367" s="130" t="s">
        <v>384</v>
      </c>
      <c r="E2367" s="132">
        <v>3307.7</v>
      </c>
    </row>
    <row r="2368" spans="1:5" x14ac:dyDescent="0.25">
      <c r="A2368" s="130" t="s">
        <v>4</v>
      </c>
      <c r="B2368" s="130" t="s">
        <v>579</v>
      </c>
      <c r="C2368" s="130" t="s">
        <v>608</v>
      </c>
      <c r="D2368" s="130" t="s">
        <v>371</v>
      </c>
      <c r="E2368" s="132">
        <v>13170.44</v>
      </c>
    </row>
    <row r="2369" spans="1:5" x14ac:dyDescent="0.25">
      <c r="A2369" s="130" t="s">
        <v>4</v>
      </c>
      <c r="B2369" s="130" t="s">
        <v>579</v>
      </c>
      <c r="C2369" s="130" t="s">
        <v>608</v>
      </c>
      <c r="D2369" s="130" t="s">
        <v>277</v>
      </c>
      <c r="E2369" s="132">
        <v>7503.49</v>
      </c>
    </row>
    <row r="2370" spans="1:5" x14ac:dyDescent="0.25">
      <c r="A2370" s="130" t="s">
        <v>4</v>
      </c>
      <c r="B2370" s="130" t="s">
        <v>579</v>
      </c>
      <c r="C2370" s="130" t="s">
        <v>608</v>
      </c>
      <c r="D2370" s="130" t="s">
        <v>234</v>
      </c>
      <c r="E2370" s="132">
        <v>25749.43</v>
      </c>
    </row>
    <row r="2371" spans="1:5" x14ac:dyDescent="0.25">
      <c r="A2371" s="130" t="s">
        <v>4</v>
      </c>
      <c r="B2371" s="130" t="s">
        <v>579</v>
      </c>
      <c r="C2371" s="130" t="s">
        <v>608</v>
      </c>
      <c r="D2371" s="130" t="s">
        <v>255</v>
      </c>
      <c r="E2371" s="132">
        <v>1102.21</v>
      </c>
    </row>
    <row r="2372" spans="1:5" x14ac:dyDescent="0.25">
      <c r="A2372" s="130" t="s">
        <v>4</v>
      </c>
      <c r="B2372" s="130" t="s">
        <v>579</v>
      </c>
      <c r="C2372" s="130" t="s">
        <v>608</v>
      </c>
      <c r="D2372" s="130" t="s">
        <v>473</v>
      </c>
      <c r="E2372" s="132">
        <v>3282.81</v>
      </c>
    </row>
    <row r="2373" spans="1:5" x14ac:dyDescent="0.25">
      <c r="A2373" s="130" t="s">
        <v>4</v>
      </c>
      <c r="B2373" s="130" t="s">
        <v>579</v>
      </c>
      <c r="C2373" s="130" t="s">
        <v>608</v>
      </c>
      <c r="D2373" s="130" t="s">
        <v>341</v>
      </c>
      <c r="E2373" s="132">
        <v>13820.8</v>
      </c>
    </row>
    <row r="2374" spans="1:5" x14ac:dyDescent="0.25">
      <c r="A2374" s="130" t="s">
        <v>4</v>
      </c>
      <c r="B2374" s="130" t="s">
        <v>579</v>
      </c>
      <c r="C2374" s="130" t="s">
        <v>608</v>
      </c>
      <c r="D2374" s="130" t="s">
        <v>972</v>
      </c>
      <c r="E2374" s="132">
        <v>12785.6</v>
      </c>
    </row>
    <row r="2375" spans="1:5" x14ac:dyDescent="0.25">
      <c r="A2375" s="130" t="s">
        <v>4</v>
      </c>
      <c r="B2375" s="130" t="s">
        <v>579</v>
      </c>
      <c r="C2375" s="130" t="s">
        <v>608</v>
      </c>
      <c r="D2375" s="130" t="s">
        <v>973</v>
      </c>
      <c r="E2375" s="132">
        <v>5555.84</v>
      </c>
    </row>
    <row r="2376" spans="1:5" x14ac:dyDescent="0.25">
      <c r="A2376" s="130" t="s">
        <v>4</v>
      </c>
      <c r="B2376" s="130" t="s">
        <v>579</v>
      </c>
      <c r="C2376" s="130" t="s">
        <v>608</v>
      </c>
      <c r="D2376" s="130" t="s">
        <v>974</v>
      </c>
      <c r="E2376" s="132">
        <v>8959.68</v>
      </c>
    </row>
    <row r="2377" spans="1:5" x14ac:dyDescent="0.25">
      <c r="A2377" s="130" t="s">
        <v>4</v>
      </c>
      <c r="B2377" s="130" t="s">
        <v>579</v>
      </c>
      <c r="C2377" s="130" t="s">
        <v>608</v>
      </c>
      <c r="D2377" s="130" t="s">
        <v>397</v>
      </c>
      <c r="E2377" s="132">
        <v>13665.28</v>
      </c>
    </row>
    <row r="2378" spans="1:5" x14ac:dyDescent="0.25">
      <c r="A2378" s="130" t="s">
        <v>4</v>
      </c>
      <c r="B2378" s="130" t="s">
        <v>579</v>
      </c>
      <c r="C2378" s="130" t="s">
        <v>608</v>
      </c>
      <c r="D2378" s="130" t="s">
        <v>398</v>
      </c>
      <c r="E2378" s="132">
        <v>7699.84</v>
      </c>
    </row>
    <row r="2379" spans="1:5" x14ac:dyDescent="0.25">
      <c r="A2379" s="130" t="s">
        <v>4</v>
      </c>
      <c r="B2379" s="130" t="s">
        <v>579</v>
      </c>
      <c r="C2379" s="130" t="s">
        <v>608</v>
      </c>
      <c r="D2379" s="130" t="s">
        <v>399</v>
      </c>
      <c r="E2379" s="132">
        <v>8600.32</v>
      </c>
    </row>
    <row r="2380" spans="1:5" x14ac:dyDescent="0.25">
      <c r="A2380" s="130" t="s">
        <v>4</v>
      </c>
      <c r="B2380" s="130" t="s">
        <v>579</v>
      </c>
      <c r="C2380" s="130" t="s">
        <v>608</v>
      </c>
      <c r="D2380" s="130" t="s">
        <v>470</v>
      </c>
      <c r="E2380" s="132">
        <v>10963.39</v>
      </c>
    </row>
    <row r="2381" spans="1:5" x14ac:dyDescent="0.25">
      <c r="A2381" s="130" t="s">
        <v>4</v>
      </c>
      <c r="B2381" s="130" t="s">
        <v>579</v>
      </c>
      <c r="C2381" s="130" t="s">
        <v>608</v>
      </c>
      <c r="D2381" s="130" t="s">
        <v>491</v>
      </c>
      <c r="E2381" s="132">
        <v>13438.66</v>
      </c>
    </row>
    <row r="2382" spans="1:5" x14ac:dyDescent="0.25">
      <c r="A2382" s="130" t="s">
        <v>4</v>
      </c>
      <c r="B2382" s="130" t="s">
        <v>579</v>
      </c>
      <c r="C2382" s="130" t="s">
        <v>608</v>
      </c>
      <c r="D2382" s="130" t="s">
        <v>1069</v>
      </c>
      <c r="E2382" s="132">
        <v>14491.52</v>
      </c>
    </row>
    <row r="2383" spans="1:5" x14ac:dyDescent="0.25">
      <c r="A2383" s="130" t="s">
        <v>4</v>
      </c>
      <c r="B2383" s="130" t="s">
        <v>579</v>
      </c>
      <c r="C2383" s="130" t="s">
        <v>608</v>
      </c>
      <c r="D2383" s="130" t="s">
        <v>1070</v>
      </c>
      <c r="E2383" s="132">
        <v>16741.759999999998</v>
      </c>
    </row>
    <row r="2384" spans="1:5" x14ac:dyDescent="0.25">
      <c r="A2384" s="130" t="s">
        <v>4</v>
      </c>
      <c r="B2384" s="130" t="s">
        <v>579</v>
      </c>
      <c r="C2384" s="130" t="s">
        <v>608</v>
      </c>
      <c r="D2384" s="130" t="s">
        <v>492</v>
      </c>
      <c r="E2384" s="132">
        <v>3520.13</v>
      </c>
    </row>
    <row r="2385" spans="1:5" x14ac:dyDescent="0.25">
      <c r="A2385" s="130" t="s">
        <v>4</v>
      </c>
      <c r="B2385" s="130" t="s">
        <v>579</v>
      </c>
      <c r="C2385" s="130" t="s">
        <v>608</v>
      </c>
      <c r="D2385" s="130" t="s">
        <v>439</v>
      </c>
      <c r="E2385" s="132">
        <v>4035.84</v>
      </c>
    </row>
    <row r="2386" spans="1:5" x14ac:dyDescent="0.25">
      <c r="A2386" s="130" t="s">
        <v>4</v>
      </c>
      <c r="B2386" s="130" t="s">
        <v>579</v>
      </c>
      <c r="C2386" s="130" t="s">
        <v>608</v>
      </c>
      <c r="D2386" s="130" t="s">
        <v>1071</v>
      </c>
      <c r="E2386" s="132">
        <v>9361.2800000000007</v>
      </c>
    </row>
    <row r="2387" spans="1:5" x14ac:dyDescent="0.25">
      <c r="A2387" s="130" t="s">
        <v>4</v>
      </c>
      <c r="B2387" s="130" t="s">
        <v>579</v>
      </c>
      <c r="C2387" s="130" t="s">
        <v>608</v>
      </c>
      <c r="D2387" s="130" t="s">
        <v>400</v>
      </c>
      <c r="E2387" s="132">
        <v>24989.439999999999</v>
      </c>
    </row>
    <row r="2388" spans="1:5" x14ac:dyDescent="0.25">
      <c r="A2388" s="130" t="s">
        <v>4</v>
      </c>
      <c r="B2388" s="130" t="s">
        <v>579</v>
      </c>
      <c r="C2388" s="130" t="s">
        <v>608</v>
      </c>
      <c r="D2388" s="130" t="s">
        <v>401</v>
      </c>
      <c r="E2388" s="132">
        <v>24176.45</v>
      </c>
    </row>
    <row r="2389" spans="1:5" x14ac:dyDescent="0.25">
      <c r="A2389" s="130" t="s">
        <v>4</v>
      </c>
      <c r="B2389" s="130" t="s">
        <v>579</v>
      </c>
      <c r="C2389" s="130" t="s">
        <v>608</v>
      </c>
      <c r="D2389" s="130" t="s">
        <v>335</v>
      </c>
      <c r="E2389" s="132">
        <v>33466.879999999997</v>
      </c>
    </row>
    <row r="2390" spans="1:5" x14ac:dyDescent="0.25">
      <c r="A2390" s="130" t="s">
        <v>4</v>
      </c>
      <c r="B2390" s="130" t="s">
        <v>579</v>
      </c>
      <c r="C2390" s="130" t="s">
        <v>608</v>
      </c>
      <c r="D2390" s="130" t="s">
        <v>320</v>
      </c>
      <c r="E2390" s="132">
        <v>84608</v>
      </c>
    </row>
    <row r="2391" spans="1:5" x14ac:dyDescent="0.25">
      <c r="A2391" s="130" t="s">
        <v>4</v>
      </c>
      <c r="B2391" s="130" t="s">
        <v>579</v>
      </c>
      <c r="C2391" s="130" t="s">
        <v>608</v>
      </c>
      <c r="D2391" s="130" t="s">
        <v>510</v>
      </c>
      <c r="E2391" s="132">
        <v>42304</v>
      </c>
    </row>
    <row r="2392" spans="1:5" x14ac:dyDescent="0.25">
      <c r="A2392" s="130" t="s">
        <v>4</v>
      </c>
      <c r="B2392" s="130" t="s">
        <v>579</v>
      </c>
      <c r="C2392" s="130" t="s">
        <v>608</v>
      </c>
      <c r="D2392" s="130" t="s">
        <v>431</v>
      </c>
      <c r="E2392" s="132">
        <v>11586.56</v>
      </c>
    </row>
    <row r="2393" spans="1:5" x14ac:dyDescent="0.25">
      <c r="A2393" s="130" t="s">
        <v>4</v>
      </c>
      <c r="B2393" s="130" t="s">
        <v>579</v>
      </c>
      <c r="C2393" s="130" t="s">
        <v>608</v>
      </c>
      <c r="D2393" s="130" t="s">
        <v>630</v>
      </c>
      <c r="E2393" s="132">
        <v>11079.68</v>
      </c>
    </row>
    <row r="2394" spans="1:5" x14ac:dyDescent="0.25">
      <c r="A2394" s="130" t="s">
        <v>4</v>
      </c>
      <c r="B2394" s="130" t="s">
        <v>579</v>
      </c>
      <c r="C2394" s="130" t="s">
        <v>608</v>
      </c>
      <c r="D2394" s="130" t="s">
        <v>277</v>
      </c>
      <c r="E2394" s="132">
        <v>23051.52</v>
      </c>
    </row>
    <row r="2395" spans="1:5" x14ac:dyDescent="0.25">
      <c r="A2395" s="130" t="s">
        <v>4</v>
      </c>
      <c r="B2395" s="130" t="s">
        <v>579</v>
      </c>
      <c r="C2395" s="130" t="s">
        <v>608</v>
      </c>
      <c r="D2395" s="130" t="s">
        <v>234</v>
      </c>
      <c r="E2395" s="132">
        <v>20350.080000000002</v>
      </c>
    </row>
    <row r="2396" spans="1:5" x14ac:dyDescent="0.25">
      <c r="A2396" s="130" t="s">
        <v>4</v>
      </c>
      <c r="B2396" s="130" t="s">
        <v>579</v>
      </c>
      <c r="C2396" s="130" t="s">
        <v>608</v>
      </c>
      <c r="D2396" s="130" t="s">
        <v>656</v>
      </c>
      <c r="E2396" s="132">
        <v>12822.4</v>
      </c>
    </row>
    <row r="2397" spans="1:5" x14ac:dyDescent="0.25">
      <c r="A2397" s="130" t="s">
        <v>4</v>
      </c>
      <c r="B2397" s="130" t="s">
        <v>579</v>
      </c>
      <c r="C2397" s="130" t="s">
        <v>608</v>
      </c>
      <c r="D2397" s="130" t="s">
        <v>462</v>
      </c>
      <c r="E2397" s="132">
        <v>14712.32</v>
      </c>
    </row>
    <row r="2398" spans="1:5" x14ac:dyDescent="0.25">
      <c r="A2398" s="130" t="s">
        <v>4</v>
      </c>
      <c r="B2398" s="130" t="s">
        <v>579</v>
      </c>
      <c r="C2398" s="130" t="s">
        <v>608</v>
      </c>
      <c r="D2398" s="130" t="s">
        <v>278</v>
      </c>
      <c r="E2398" s="132">
        <v>12074.5</v>
      </c>
    </row>
    <row r="2399" spans="1:5" x14ac:dyDescent="0.25">
      <c r="A2399" s="130" t="s">
        <v>4</v>
      </c>
      <c r="B2399" s="130" t="s">
        <v>579</v>
      </c>
      <c r="C2399" s="130" t="s">
        <v>608</v>
      </c>
      <c r="D2399" s="130" t="s">
        <v>522</v>
      </c>
      <c r="E2399" s="132">
        <v>5857.15</v>
      </c>
    </row>
    <row r="2400" spans="1:5" x14ac:dyDescent="0.25">
      <c r="A2400" s="130" t="s">
        <v>4</v>
      </c>
      <c r="B2400" s="130" t="s">
        <v>579</v>
      </c>
      <c r="C2400" s="130" t="s">
        <v>608</v>
      </c>
      <c r="D2400" s="130" t="s">
        <v>536</v>
      </c>
      <c r="E2400" s="132">
        <v>5371.01</v>
      </c>
    </row>
    <row r="2401" spans="1:5" x14ac:dyDescent="0.25">
      <c r="A2401" s="130" t="s">
        <v>4</v>
      </c>
      <c r="B2401" s="130" t="s">
        <v>579</v>
      </c>
      <c r="C2401" s="130" t="s">
        <v>608</v>
      </c>
      <c r="D2401" s="130" t="s">
        <v>279</v>
      </c>
      <c r="E2401" s="132">
        <v>11864.96</v>
      </c>
    </row>
    <row r="2402" spans="1:5" x14ac:dyDescent="0.25">
      <c r="A2402" s="130" t="s">
        <v>4</v>
      </c>
      <c r="B2402" s="130" t="s">
        <v>579</v>
      </c>
      <c r="C2402" s="130" t="s">
        <v>608</v>
      </c>
      <c r="D2402" s="130" t="s">
        <v>679</v>
      </c>
      <c r="E2402" s="132">
        <v>1966.34</v>
      </c>
    </row>
    <row r="2403" spans="1:5" x14ac:dyDescent="0.25">
      <c r="A2403" s="130" t="s">
        <v>4</v>
      </c>
      <c r="B2403" s="130" t="s">
        <v>579</v>
      </c>
      <c r="C2403" s="130" t="s">
        <v>608</v>
      </c>
      <c r="D2403" s="130" t="s">
        <v>496</v>
      </c>
      <c r="E2403" s="132">
        <v>28573.439999999999</v>
      </c>
    </row>
    <row r="2404" spans="1:5" x14ac:dyDescent="0.25">
      <c r="A2404" s="130" t="s">
        <v>4</v>
      </c>
      <c r="B2404" s="130" t="s">
        <v>579</v>
      </c>
      <c r="C2404" s="130" t="s">
        <v>608</v>
      </c>
      <c r="D2404" s="130" t="s">
        <v>338</v>
      </c>
      <c r="E2404" s="132">
        <v>22912</v>
      </c>
    </row>
    <row r="2405" spans="1:5" x14ac:dyDescent="0.25">
      <c r="A2405" s="130" t="s">
        <v>4</v>
      </c>
      <c r="B2405" s="130" t="s">
        <v>579</v>
      </c>
      <c r="C2405" s="130" t="s">
        <v>608</v>
      </c>
      <c r="D2405" s="130" t="s">
        <v>294</v>
      </c>
      <c r="E2405" s="132">
        <v>1710.08</v>
      </c>
    </row>
    <row r="2406" spans="1:5" x14ac:dyDescent="0.25">
      <c r="A2406" s="130" t="s">
        <v>4</v>
      </c>
      <c r="B2406" s="130" t="s">
        <v>579</v>
      </c>
      <c r="C2406" s="130" t="s">
        <v>608</v>
      </c>
      <c r="D2406" s="130" t="s">
        <v>748</v>
      </c>
      <c r="E2406" s="132">
        <v>1445.89</v>
      </c>
    </row>
    <row r="2407" spans="1:5" x14ac:dyDescent="0.25">
      <c r="A2407" s="130" t="s">
        <v>4</v>
      </c>
      <c r="B2407" s="130" t="s">
        <v>579</v>
      </c>
      <c r="C2407" s="130" t="s">
        <v>608</v>
      </c>
      <c r="D2407" s="130" t="s">
        <v>237</v>
      </c>
      <c r="E2407" s="132">
        <v>27820.799999999999</v>
      </c>
    </row>
    <row r="2408" spans="1:5" x14ac:dyDescent="0.25">
      <c r="A2408" s="130" t="s">
        <v>4</v>
      </c>
      <c r="B2408" s="130" t="s">
        <v>579</v>
      </c>
      <c r="C2408" s="130" t="s">
        <v>608</v>
      </c>
      <c r="D2408" s="130" t="s">
        <v>239</v>
      </c>
      <c r="E2408" s="132">
        <v>3866.24</v>
      </c>
    </row>
    <row r="2409" spans="1:5" x14ac:dyDescent="0.25">
      <c r="A2409" s="130" t="s">
        <v>4</v>
      </c>
      <c r="B2409" s="130" t="s">
        <v>579</v>
      </c>
      <c r="C2409" s="130" t="s">
        <v>608</v>
      </c>
      <c r="D2409" s="130" t="s">
        <v>282</v>
      </c>
      <c r="E2409" s="132">
        <v>1535.1</v>
      </c>
    </row>
    <row r="2410" spans="1:5" x14ac:dyDescent="0.25">
      <c r="A2410" s="130" t="s">
        <v>4</v>
      </c>
      <c r="B2410" s="130" t="s">
        <v>579</v>
      </c>
      <c r="C2410" s="130" t="s">
        <v>608</v>
      </c>
      <c r="D2410" s="130" t="s">
        <v>451</v>
      </c>
      <c r="E2410" s="132">
        <v>8149.76</v>
      </c>
    </row>
    <row r="2411" spans="1:5" x14ac:dyDescent="0.25">
      <c r="A2411" s="130" t="s">
        <v>4</v>
      </c>
      <c r="B2411" s="130" t="s">
        <v>579</v>
      </c>
      <c r="C2411" s="130" t="s">
        <v>608</v>
      </c>
      <c r="D2411" s="130" t="s">
        <v>276</v>
      </c>
      <c r="E2411" s="132">
        <v>8902.7199999999993</v>
      </c>
    </row>
    <row r="2412" spans="1:5" x14ac:dyDescent="0.25">
      <c r="A2412" s="130" t="s">
        <v>4</v>
      </c>
      <c r="B2412" s="130" t="s">
        <v>579</v>
      </c>
      <c r="C2412" s="130" t="s">
        <v>608</v>
      </c>
      <c r="D2412" s="130" t="s">
        <v>410</v>
      </c>
      <c r="E2412" s="132">
        <v>2955.52</v>
      </c>
    </row>
    <row r="2413" spans="1:5" x14ac:dyDescent="0.25">
      <c r="A2413" s="130" t="s">
        <v>4</v>
      </c>
      <c r="B2413" s="130" t="s">
        <v>579</v>
      </c>
      <c r="C2413" s="130" t="s">
        <v>608</v>
      </c>
      <c r="D2413" s="130" t="s">
        <v>242</v>
      </c>
      <c r="E2413" s="132">
        <v>3011.2</v>
      </c>
    </row>
    <row r="2414" spans="1:5" x14ac:dyDescent="0.25">
      <c r="A2414" s="130" t="s">
        <v>4</v>
      </c>
      <c r="B2414" s="130" t="s">
        <v>579</v>
      </c>
      <c r="C2414" s="130" t="s">
        <v>608</v>
      </c>
      <c r="D2414" s="130" t="s">
        <v>280</v>
      </c>
      <c r="E2414" s="132">
        <v>1685.76</v>
      </c>
    </row>
    <row r="2415" spans="1:5" x14ac:dyDescent="0.25">
      <c r="A2415" s="130" t="s">
        <v>4</v>
      </c>
      <c r="B2415" s="130" t="s">
        <v>579</v>
      </c>
      <c r="C2415" s="130" t="s">
        <v>608</v>
      </c>
      <c r="D2415" s="130" t="s">
        <v>313</v>
      </c>
      <c r="E2415" s="132">
        <v>1968</v>
      </c>
    </row>
    <row r="2416" spans="1:5" x14ac:dyDescent="0.25">
      <c r="A2416" s="130" t="s">
        <v>4</v>
      </c>
      <c r="B2416" s="130" t="s">
        <v>579</v>
      </c>
      <c r="C2416" s="130" t="s">
        <v>608</v>
      </c>
      <c r="D2416" s="130" t="s">
        <v>459</v>
      </c>
      <c r="E2416" s="132">
        <v>2540.8000000000002</v>
      </c>
    </row>
    <row r="2417" spans="1:5" x14ac:dyDescent="0.25">
      <c r="A2417" s="130" t="s">
        <v>4</v>
      </c>
      <c r="B2417" s="130" t="s">
        <v>579</v>
      </c>
      <c r="C2417" s="130" t="s">
        <v>608</v>
      </c>
      <c r="D2417" s="130" t="s">
        <v>413</v>
      </c>
      <c r="E2417" s="132">
        <v>1191.42</v>
      </c>
    </row>
    <row r="2418" spans="1:5" x14ac:dyDescent="0.25">
      <c r="A2418" s="130" t="s">
        <v>4</v>
      </c>
      <c r="B2418" s="130" t="s">
        <v>579</v>
      </c>
      <c r="C2418" s="130" t="s">
        <v>608</v>
      </c>
      <c r="D2418" s="130" t="s">
        <v>340</v>
      </c>
      <c r="E2418" s="132">
        <v>4240.29</v>
      </c>
    </row>
    <row r="2419" spans="1:5" x14ac:dyDescent="0.25">
      <c r="A2419" s="130" t="s">
        <v>4</v>
      </c>
      <c r="B2419" s="130" t="s">
        <v>579</v>
      </c>
      <c r="C2419" s="130" t="s">
        <v>608</v>
      </c>
      <c r="D2419" s="130" t="s">
        <v>359</v>
      </c>
      <c r="E2419" s="132">
        <v>7573.12</v>
      </c>
    </row>
    <row r="2420" spans="1:5" x14ac:dyDescent="0.25">
      <c r="A2420" s="130" t="s">
        <v>4</v>
      </c>
      <c r="B2420" s="130" t="s">
        <v>579</v>
      </c>
      <c r="C2420" s="130" t="s">
        <v>608</v>
      </c>
      <c r="D2420" s="130" t="s">
        <v>494</v>
      </c>
      <c r="E2420" s="132">
        <v>5307.2</v>
      </c>
    </row>
    <row r="2421" spans="1:5" x14ac:dyDescent="0.25">
      <c r="A2421" s="130" t="s">
        <v>4</v>
      </c>
      <c r="B2421" s="130" t="s">
        <v>579</v>
      </c>
      <c r="C2421" s="130" t="s">
        <v>608</v>
      </c>
      <c r="D2421" s="130" t="s">
        <v>488</v>
      </c>
      <c r="E2421" s="132">
        <v>11824</v>
      </c>
    </row>
    <row r="2422" spans="1:5" x14ac:dyDescent="0.25">
      <c r="A2422" s="130" t="s">
        <v>4</v>
      </c>
      <c r="B2422" s="130" t="s">
        <v>579</v>
      </c>
      <c r="C2422" s="130" t="s">
        <v>608</v>
      </c>
      <c r="D2422" s="130" t="s">
        <v>489</v>
      </c>
      <c r="E2422" s="132">
        <v>2670.08</v>
      </c>
    </row>
    <row r="2423" spans="1:5" x14ac:dyDescent="0.25">
      <c r="A2423" s="130" t="s">
        <v>4</v>
      </c>
      <c r="B2423" s="130" t="s">
        <v>579</v>
      </c>
      <c r="C2423" s="130" t="s">
        <v>608</v>
      </c>
      <c r="D2423" s="130" t="s">
        <v>376</v>
      </c>
      <c r="E2423" s="132">
        <v>984.58</v>
      </c>
    </row>
    <row r="2424" spans="1:5" x14ac:dyDescent="0.25">
      <c r="A2424" s="130" t="s">
        <v>4</v>
      </c>
      <c r="B2424" s="130" t="s">
        <v>579</v>
      </c>
      <c r="C2424" s="130" t="s">
        <v>608</v>
      </c>
      <c r="D2424" s="130" t="s">
        <v>418</v>
      </c>
      <c r="E2424" s="132">
        <v>1206.53</v>
      </c>
    </row>
    <row r="2425" spans="1:5" x14ac:dyDescent="0.25">
      <c r="A2425" s="130" t="s">
        <v>4</v>
      </c>
      <c r="B2425" s="130" t="s">
        <v>579</v>
      </c>
      <c r="C2425" s="130" t="s">
        <v>608</v>
      </c>
      <c r="D2425" s="130" t="s">
        <v>352</v>
      </c>
      <c r="E2425" s="132">
        <v>2793.22</v>
      </c>
    </row>
    <row r="2426" spans="1:5" x14ac:dyDescent="0.25">
      <c r="A2426" s="130" t="s">
        <v>4</v>
      </c>
      <c r="B2426" s="130" t="s">
        <v>579</v>
      </c>
      <c r="C2426" s="130" t="s">
        <v>608</v>
      </c>
      <c r="D2426" s="130" t="s">
        <v>315</v>
      </c>
      <c r="E2426" s="132">
        <v>1598.21</v>
      </c>
    </row>
    <row r="2427" spans="1:5" x14ac:dyDescent="0.25">
      <c r="A2427" s="130" t="s">
        <v>4</v>
      </c>
      <c r="B2427" s="130" t="s">
        <v>579</v>
      </c>
      <c r="C2427" s="130" t="s">
        <v>608</v>
      </c>
      <c r="D2427" s="130" t="s">
        <v>523</v>
      </c>
      <c r="E2427" s="132">
        <v>361.86</v>
      </c>
    </row>
    <row r="2428" spans="1:5" x14ac:dyDescent="0.25">
      <c r="A2428" s="130" t="s">
        <v>4</v>
      </c>
      <c r="B2428" s="130" t="s">
        <v>579</v>
      </c>
      <c r="C2428" s="130" t="s">
        <v>608</v>
      </c>
      <c r="D2428" s="130" t="s">
        <v>384</v>
      </c>
      <c r="E2428" s="132">
        <v>34124.800000000003</v>
      </c>
    </row>
    <row r="2429" spans="1:5" x14ac:dyDescent="0.25">
      <c r="A2429" s="130" t="s">
        <v>4</v>
      </c>
      <c r="B2429" s="130" t="s">
        <v>579</v>
      </c>
      <c r="C2429" s="130" t="s">
        <v>608</v>
      </c>
      <c r="D2429" s="130" t="s">
        <v>825</v>
      </c>
      <c r="E2429" s="132">
        <v>7622.4</v>
      </c>
    </row>
    <row r="2430" spans="1:5" x14ac:dyDescent="0.25">
      <c r="A2430" s="130" t="s">
        <v>4</v>
      </c>
      <c r="B2430" s="130" t="s">
        <v>579</v>
      </c>
      <c r="C2430" s="130" t="s">
        <v>608</v>
      </c>
      <c r="D2430" s="130" t="s">
        <v>245</v>
      </c>
      <c r="E2430" s="132">
        <v>2758.4</v>
      </c>
    </row>
    <row r="2431" spans="1:5" x14ac:dyDescent="0.25">
      <c r="A2431" s="130" t="s">
        <v>4</v>
      </c>
      <c r="B2431" s="130" t="s">
        <v>579</v>
      </c>
      <c r="C2431" s="130" t="s">
        <v>608</v>
      </c>
      <c r="D2431" s="130" t="s">
        <v>321</v>
      </c>
      <c r="E2431" s="132">
        <v>16105.57</v>
      </c>
    </row>
    <row r="2432" spans="1:5" x14ac:dyDescent="0.25">
      <c r="A2432" s="130" t="s">
        <v>4</v>
      </c>
      <c r="B2432" s="130" t="s">
        <v>579</v>
      </c>
      <c r="C2432" s="130" t="s">
        <v>608</v>
      </c>
      <c r="D2432" s="130" t="s">
        <v>287</v>
      </c>
      <c r="E2432" s="132">
        <v>5939.35</v>
      </c>
    </row>
    <row r="2433" spans="1:5" x14ac:dyDescent="0.25">
      <c r="A2433" s="130" t="s">
        <v>4</v>
      </c>
      <c r="B2433" s="130" t="s">
        <v>579</v>
      </c>
      <c r="C2433" s="130" t="s">
        <v>608</v>
      </c>
      <c r="D2433" s="130" t="s">
        <v>288</v>
      </c>
      <c r="E2433" s="132">
        <v>6873.16</v>
      </c>
    </row>
    <row r="2434" spans="1:5" x14ac:dyDescent="0.25">
      <c r="A2434" s="130" t="s">
        <v>4</v>
      </c>
      <c r="B2434" s="130" t="s">
        <v>579</v>
      </c>
      <c r="C2434" s="130" t="s">
        <v>608</v>
      </c>
      <c r="D2434" s="130" t="s">
        <v>270</v>
      </c>
      <c r="E2434" s="132">
        <v>13031.48</v>
      </c>
    </row>
    <row r="2435" spans="1:5" x14ac:dyDescent="0.25">
      <c r="A2435" s="130" t="s">
        <v>4</v>
      </c>
      <c r="B2435" s="130" t="s">
        <v>579</v>
      </c>
      <c r="C2435" s="130" t="s">
        <v>608</v>
      </c>
      <c r="D2435" s="130" t="s">
        <v>379</v>
      </c>
      <c r="E2435" s="132">
        <v>7066.6</v>
      </c>
    </row>
    <row r="2436" spans="1:5" x14ac:dyDescent="0.25">
      <c r="A2436" s="130" t="s">
        <v>4</v>
      </c>
      <c r="B2436" s="130" t="s">
        <v>579</v>
      </c>
      <c r="C2436" s="130" t="s">
        <v>608</v>
      </c>
      <c r="D2436" s="130" t="s">
        <v>714</v>
      </c>
      <c r="E2436" s="132">
        <v>7540.22</v>
      </c>
    </row>
    <row r="2437" spans="1:5" x14ac:dyDescent="0.25">
      <c r="A2437" s="130" t="s">
        <v>4</v>
      </c>
      <c r="B2437" s="130" t="s">
        <v>579</v>
      </c>
      <c r="C2437" s="130" t="s">
        <v>608</v>
      </c>
      <c r="D2437" s="130" t="s">
        <v>380</v>
      </c>
      <c r="E2437" s="132">
        <v>13402.32</v>
      </c>
    </row>
    <row r="2438" spans="1:5" x14ac:dyDescent="0.25">
      <c r="A2438" s="130" t="s">
        <v>4</v>
      </c>
      <c r="B2438" s="130" t="s">
        <v>579</v>
      </c>
      <c r="C2438" s="130" t="s">
        <v>608</v>
      </c>
      <c r="D2438" s="130" t="s">
        <v>251</v>
      </c>
      <c r="E2438" s="132">
        <v>16741.759999999998</v>
      </c>
    </row>
    <row r="2439" spans="1:5" x14ac:dyDescent="0.25">
      <c r="A2439" s="130" t="s">
        <v>4</v>
      </c>
      <c r="B2439" s="130" t="s">
        <v>579</v>
      </c>
      <c r="C2439" s="130" t="s">
        <v>608</v>
      </c>
      <c r="D2439" s="130" t="s">
        <v>480</v>
      </c>
      <c r="E2439" s="132">
        <v>8358.7199999999993</v>
      </c>
    </row>
    <row r="2440" spans="1:5" x14ac:dyDescent="0.25">
      <c r="A2440" s="130" t="s">
        <v>4</v>
      </c>
      <c r="B2440" s="130" t="s">
        <v>579</v>
      </c>
      <c r="C2440" s="130" t="s">
        <v>608</v>
      </c>
      <c r="D2440" s="130" t="s">
        <v>687</v>
      </c>
      <c r="E2440" s="132">
        <v>39857.919999999998</v>
      </c>
    </row>
    <row r="2441" spans="1:5" x14ac:dyDescent="0.25">
      <c r="A2441" s="130" t="s">
        <v>4</v>
      </c>
      <c r="B2441" s="130" t="s">
        <v>579</v>
      </c>
      <c r="C2441" s="130" t="s">
        <v>608</v>
      </c>
      <c r="D2441" s="130" t="s">
        <v>481</v>
      </c>
      <c r="E2441" s="132">
        <v>39833.599999999999</v>
      </c>
    </row>
    <row r="2442" spans="1:5" x14ac:dyDescent="0.25">
      <c r="A2442" s="130" t="s">
        <v>4</v>
      </c>
      <c r="B2442" s="130" t="s">
        <v>579</v>
      </c>
      <c r="C2442" s="130" t="s">
        <v>608</v>
      </c>
      <c r="D2442" s="130" t="s">
        <v>482</v>
      </c>
      <c r="E2442" s="132">
        <v>18195.07</v>
      </c>
    </row>
    <row r="2443" spans="1:5" x14ac:dyDescent="0.25">
      <c r="A2443" s="130" t="s">
        <v>4</v>
      </c>
      <c r="B2443" s="130" t="s">
        <v>579</v>
      </c>
      <c r="C2443" s="130" t="s">
        <v>608</v>
      </c>
      <c r="D2443" s="130" t="s">
        <v>520</v>
      </c>
      <c r="E2443" s="132">
        <v>13656.96</v>
      </c>
    </row>
    <row r="2444" spans="1:5" x14ac:dyDescent="0.25">
      <c r="A2444" s="130" t="s">
        <v>4</v>
      </c>
      <c r="B2444" s="130" t="s">
        <v>579</v>
      </c>
      <c r="C2444" s="130" t="s">
        <v>608</v>
      </c>
      <c r="D2444" s="130" t="s">
        <v>525</v>
      </c>
      <c r="E2444" s="132">
        <v>10698.24</v>
      </c>
    </row>
    <row r="2445" spans="1:5" x14ac:dyDescent="0.25">
      <c r="A2445" s="130" t="s">
        <v>4</v>
      </c>
      <c r="B2445" s="130" t="s">
        <v>579</v>
      </c>
      <c r="C2445" s="130" t="s">
        <v>608</v>
      </c>
      <c r="D2445" s="130" t="s">
        <v>350</v>
      </c>
      <c r="E2445" s="132">
        <v>7655.04</v>
      </c>
    </row>
    <row r="2446" spans="1:5" x14ac:dyDescent="0.25">
      <c r="A2446" s="130" t="s">
        <v>4</v>
      </c>
      <c r="B2446" s="130" t="s">
        <v>579</v>
      </c>
      <c r="C2446" s="130" t="s">
        <v>608</v>
      </c>
      <c r="D2446" s="130" t="s">
        <v>558</v>
      </c>
      <c r="E2446" s="132">
        <v>11534.34</v>
      </c>
    </row>
    <row r="2447" spans="1:5" x14ac:dyDescent="0.25">
      <c r="A2447" s="130" t="s">
        <v>4</v>
      </c>
      <c r="B2447" s="130" t="s">
        <v>579</v>
      </c>
      <c r="C2447" s="130" t="s">
        <v>608</v>
      </c>
      <c r="D2447" s="130" t="s">
        <v>569</v>
      </c>
      <c r="E2447" s="132">
        <v>24644.58</v>
      </c>
    </row>
    <row r="2448" spans="1:5" x14ac:dyDescent="0.25">
      <c r="A2448" s="130" t="s">
        <v>4</v>
      </c>
      <c r="B2448" s="130" t="s">
        <v>579</v>
      </c>
      <c r="C2448" s="130" t="s">
        <v>608</v>
      </c>
      <c r="D2448" s="130" t="s">
        <v>419</v>
      </c>
      <c r="E2448" s="132">
        <v>21373.439999999999</v>
      </c>
    </row>
    <row r="2449" spans="1:5" x14ac:dyDescent="0.25">
      <c r="A2449" s="130" t="s">
        <v>4</v>
      </c>
      <c r="B2449" s="130" t="s">
        <v>579</v>
      </c>
      <c r="C2449" s="130" t="s">
        <v>608</v>
      </c>
      <c r="D2449" s="130" t="s">
        <v>972</v>
      </c>
      <c r="E2449" s="132">
        <v>2557.12</v>
      </c>
    </row>
    <row r="2450" spans="1:5" x14ac:dyDescent="0.25">
      <c r="A2450" s="130" t="s">
        <v>4</v>
      </c>
      <c r="B2450" s="130" t="s">
        <v>579</v>
      </c>
      <c r="C2450" s="130" t="s">
        <v>608</v>
      </c>
      <c r="D2450" s="130" t="s">
        <v>974</v>
      </c>
      <c r="E2450" s="132">
        <v>8959.68</v>
      </c>
    </row>
    <row r="2451" spans="1:5" x14ac:dyDescent="0.25">
      <c r="A2451" s="130" t="s">
        <v>4</v>
      </c>
      <c r="B2451" s="130" t="s">
        <v>579</v>
      </c>
      <c r="C2451" s="130" t="s">
        <v>608</v>
      </c>
      <c r="D2451" s="130" t="s">
        <v>399</v>
      </c>
      <c r="E2451" s="132">
        <v>8600.32</v>
      </c>
    </row>
    <row r="2452" spans="1:5" x14ac:dyDescent="0.25">
      <c r="A2452" s="130" t="s">
        <v>4</v>
      </c>
      <c r="B2452" s="130" t="s">
        <v>579</v>
      </c>
      <c r="C2452" s="130" t="s">
        <v>608</v>
      </c>
      <c r="D2452" s="130" t="s">
        <v>470</v>
      </c>
      <c r="E2452" s="132">
        <v>7973.38</v>
      </c>
    </row>
    <row r="2453" spans="1:5" x14ac:dyDescent="0.25">
      <c r="A2453" s="130" t="s">
        <v>4</v>
      </c>
      <c r="B2453" s="130" t="s">
        <v>579</v>
      </c>
      <c r="C2453" s="130" t="s">
        <v>608</v>
      </c>
      <c r="D2453" s="130" t="s">
        <v>491</v>
      </c>
      <c r="E2453" s="132">
        <v>9773.57</v>
      </c>
    </row>
    <row r="2454" spans="1:5" x14ac:dyDescent="0.25">
      <c r="A2454" s="130" t="s">
        <v>4</v>
      </c>
      <c r="B2454" s="130" t="s">
        <v>579</v>
      </c>
      <c r="C2454" s="130" t="s">
        <v>608</v>
      </c>
      <c r="D2454" s="130" t="s">
        <v>401</v>
      </c>
      <c r="E2454" s="132">
        <v>2844.29</v>
      </c>
    </row>
    <row r="2455" spans="1:5" x14ac:dyDescent="0.25">
      <c r="A2455" s="130" t="s">
        <v>4</v>
      </c>
      <c r="B2455" s="130" t="s">
        <v>579</v>
      </c>
      <c r="C2455" s="130" t="s">
        <v>608</v>
      </c>
      <c r="D2455" s="130" t="s">
        <v>327</v>
      </c>
      <c r="E2455" s="132">
        <v>13288.96</v>
      </c>
    </row>
    <row r="2456" spans="1:5" x14ac:dyDescent="0.25">
      <c r="A2456" s="130" t="s">
        <v>4</v>
      </c>
      <c r="B2456" s="130" t="s">
        <v>579</v>
      </c>
      <c r="C2456" s="130" t="s">
        <v>608</v>
      </c>
      <c r="D2456" s="130" t="s">
        <v>278</v>
      </c>
      <c r="E2456" s="132">
        <v>5174.78</v>
      </c>
    </row>
    <row r="2457" spans="1:5" x14ac:dyDescent="0.25">
      <c r="A2457" s="130" t="s">
        <v>4</v>
      </c>
      <c r="B2457" s="130" t="s">
        <v>579</v>
      </c>
      <c r="C2457" s="130" t="s">
        <v>608</v>
      </c>
      <c r="D2457" s="130" t="s">
        <v>1072</v>
      </c>
      <c r="E2457" s="132">
        <v>6614.78</v>
      </c>
    </row>
    <row r="2458" spans="1:5" x14ac:dyDescent="0.25">
      <c r="A2458" s="130" t="s">
        <v>4</v>
      </c>
      <c r="B2458" s="130" t="s">
        <v>579</v>
      </c>
      <c r="C2458" s="130" t="s">
        <v>608</v>
      </c>
      <c r="D2458" s="130" t="s">
        <v>457</v>
      </c>
      <c r="E2458" s="132">
        <v>2250.2399999999998</v>
      </c>
    </row>
    <row r="2459" spans="1:5" x14ac:dyDescent="0.25">
      <c r="A2459" s="130" t="s">
        <v>4</v>
      </c>
      <c r="B2459" s="130" t="s">
        <v>579</v>
      </c>
      <c r="C2459" s="130" t="s">
        <v>608</v>
      </c>
      <c r="D2459" s="130" t="s">
        <v>523</v>
      </c>
      <c r="E2459" s="132">
        <v>3256.7</v>
      </c>
    </row>
    <row r="2460" spans="1:5" x14ac:dyDescent="0.25">
      <c r="A2460" s="130" t="s">
        <v>4</v>
      </c>
      <c r="B2460" s="130" t="s">
        <v>579</v>
      </c>
      <c r="C2460" s="130" t="s">
        <v>608</v>
      </c>
      <c r="D2460" s="130" t="s">
        <v>551</v>
      </c>
      <c r="E2460" s="132">
        <v>25701.759999999998</v>
      </c>
    </row>
    <row r="2461" spans="1:5" x14ac:dyDescent="0.25">
      <c r="A2461" s="130" t="s">
        <v>4</v>
      </c>
      <c r="B2461" s="130" t="s">
        <v>579</v>
      </c>
      <c r="C2461" s="130" t="s">
        <v>608</v>
      </c>
      <c r="D2461" s="130" t="s">
        <v>569</v>
      </c>
      <c r="E2461" s="132">
        <v>20163.740000000002</v>
      </c>
    </row>
    <row r="2462" spans="1:5" x14ac:dyDescent="0.25">
      <c r="A2462" s="130" t="s">
        <v>4</v>
      </c>
      <c r="B2462" s="130" t="s">
        <v>579</v>
      </c>
      <c r="C2462" s="130" t="s">
        <v>608</v>
      </c>
      <c r="D2462" s="130" t="s">
        <v>516</v>
      </c>
      <c r="E2462" s="132">
        <v>11398.4</v>
      </c>
    </row>
    <row r="2463" spans="1:5" x14ac:dyDescent="0.25">
      <c r="A2463" s="130" t="s">
        <v>4</v>
      </c>
      <c r="B2463" s="130" t="s">
        <v>579</v>
      </c>
      <c r="C2463" s="130" t="s">
        <v>608</v>
      </c>
      <c r="D2463" s="130" t="s">
        <v>328</v>
      </c>
      <c r="E2463" s="132">
        <v>4497.28</v>
      </c>
    </row>
    <row r="2464" spans="1:5" x14ac:dyDescent="0.25">
      <c r="A2464" s="130" t="s">
        <v>4</v>
      </c>
      <c r="B2464" s="130" t="s">
        <v>579</v>
      </c>
      <c r="C2464" s="130" t="s">
        <v>608</v>
      </c>
      <c r="D2464" s="130" t="s">
        <v>305</v>
      </c>
      <c r="E2464" s="132">
        <v>1077.43</v>
      </c>
    </row>
    <row r="2465" spans="1:5" x14ac:dyDescent="0.25">
      <c r="A2465" s="130" t="s">
        <v>4</v>
      </c>
      <c r="B2465" s="130" t="s">
        <v>579</v>
      </c>
      <c r="C2465" s="130" t="s">
        <v>608</v>
      </c>
      <c r="D2465" s="130" t="s">
        <v>577</v>
      </c>
      <c r="E2465" s="132">
        <v>5175.5200000000004</v>
      </c>
    </row>
    <row r="2466" spans="1:5" x14ac:dyDescent="0.25">
      <c r="A2466" s="130" t="s">
        <v>4</v>
      </c>
      <c r="B2466" s="130" t="s">
        <v>579</v>
      </c>
      <c r="C2466" s="130" t="s">
        <v>608</v>
      </c>
      <c r="D2466" s="130" t="s">
        <v>990</v>
      </c>
      <c r="E2466" s="132">
        <v>3051.33</v>
      </c>
    </row>
    <row r="2467" spans="1:5" x14ac:dyDescent="0.25">
      <c r="A2467" s="130" t="s">
        <v>4</v>
      </c>
      <c r="B2467" s="130" t="s">
        <v>579</v>
      </c>
      <c r="C2467" s="130" t="s">
        <v>608</v>
      </c>
      <c r="D2467" s="130" t="s">
        <v>572</v>
      </c>
      <c r="E2467" s="132">
        <v>2918.78</v>
      </c>
    </row>
    <row r="2468" spans="1:5" x14ac:dyDescent="0.25">
      <c r="A2468" s="130" t="s">
        <v>4</v>
      </c>
      <c r="B2468" s="130" t="s">
        <v>579</v>
      </c>
      <c r="C2468" s="130" t="s">
        <v>608</v>
      </c>
      <c r="D2468" s="130" t="s">
        <v>576</v>
      </c>
      <c r="E2468" s="132">
        <v>12536</v>
      </c>
    </row>
    <row r="2469" spans="1:5" x14ac:dyDescent="0.25">
      <c r="A2469" s="130" t="s">
        <v>4</v>
      </c>
      <c r="B2469" s="130" t="s">
        <v>579</v>
      </c>
      <c r="C2469" s="130" t="s">
        <v>608</v>
      </c>
      <c r="D2469" s="130" t="s">
        <v>578</v>
      </c>
      <c r="E2469" s="132">
        <v>10597.44</v>
      </c>
    </row>
    <row r="2470" spans="1:5" x14ac:dyDescent="0.25">
      <c r="A2470" s="130" t="s">
        <v>4</v>
      </c>
      <c r="B2470" s="130" t="s">
        <v>579</v>
      </c>
      <c r="C2470" s="130" t="s">
        <v>608</v>
      </c>
      <c r="D2470" s="130" t="s">
        <v>759</v>
      </c>
      <c r="E2470" s="132">
        <v>4339.33</v>
      </c>
    </row>
    <row r="2471" spans="1:5" x14ac:dyDescent="0.25">
      <c r="A2471" s="130" t="s">
        <v>4</v>
      </c>
      <c r="B2471" s="130" t="s">
        <v>579</v>
      </c>
      <c r="C2471" s="130" t="s">
        <v>608</v>
      </c>
      <c r="D2471" s="130" t="s">
        <v>653</v>
      </c>
      <c r="E2471" s="132">
        <v>4358.1400000000003</v>
      </c>
    </row>
    <row r="2472" spans="1:5" x14ac:dyDescent="0.25">
      <c r="A2472" s="130" t="s">
        <v>4</v>
      </c>
      <c r="B2472" s="130" t="s">
        <v>579</v>
      </c>
      <c r="C2472" s="130" t="s">
        <v>608</v>
      </c>
      <c r="D2472" s="130" t="s">
        <v>1073</v>
      </c>
      <c r="E2472" s="132">
        <v>3253.63</v>
      </c>
    </row>
    <row r="2473" spans="1:5" x14ac:dyDescent="0.25">
      <c r="A2473" s="130" t="s">
        <v>4</v>
      </c>
      <c r="B2473" s="130" t="s">
        <v>579</v>
      </c>
      <c r="C2473" s="130" t="s">
        <v>608</v>
      </c>
      <c r="D2473" s="130" t="s">
        <v>377</v>
      </c>
      <c r="E2473" s="132">
        <v>5942.62</v>
      </c>
    </row>
    <row r="2474" spans="1:5" x14ac:dyDescent="0.25">
      <c r="A2474" s="130" t="s">
        <v>4</v>
      </c>
      <c r="B2474" s="130" t="s">
        <v>579</v>
      </c>
      <c r="C2474" s="130" t="s">
        <v>608</v>
      </c>
      <c r="D2474" s="130" t="s">
        <v>337</v>
      </c>
      <c r="E2474" s="132">
        <v>11512.7</v>
      </c>
    </row>
    <row r="2475" spans="1:5" x14ac:dyDescent="0.25">
      <c r="A2475" s="130" t="s">
        <v>4</v>
      </c>
      <c r="B2475" s="130" t="s">
        <v>579</v>
      </c>
      <c r="C2475" s="130" t="s">
        <v>608</v>
      </c>
      <c r="D2475" s="130" t="s">
        <v>333</v>
      </c>
      <c r="E2475" s="132">
        <v>13059.2</v>
      </c>
    </row>
    <row r="2476" spans="1:5" x14ac:dyDescent="0.25">
      <c r="A2476" s="130" t="s">
        <v>4</v>
      </c>
      <c r="B2476" s="130" t="s">
        <v>579</v>
      </c>
      <c r="C2476" s="130" t="s">
        <v>608</v>
      </c>
      <c r="D2476" s="130" t="s">
        <v>273</v>
      </c>
      <c r="E2476" s="132">
        <v>1922.94</v>
      </c>
    </row>
    <row r="2477" spans="1:5" x14ac:dyDescent="0.25">
      <c r="A2477" s="130" t="s">
        <v>4</v>
      </c>
      <c r="B2477" s="130" t="s">
        <v>579</v>
      </c>
      <c r="C2477" s="130" t="s">
        <v>608</v>
      </c>
      <c r="D2477" s="130" t="s">
        <v>275</v>
      </c>
      <c r="E2477" s="132">
        <v>2835.33</v>
      </c>
    </row>
    <row r="2478" spans="1:5" x14ac:dyDescent="0.25">
      <c r="A2478" s="130" t="s">
        <v>4</v>
      </c>
      <c r="B2478" s="130" t="s">
        <v>579</v>
      </c>
      <c r="C2478" s="130" t="s">
        <v>608</v>
      </c>
      <c r="D2478" s="130" t="s">
        <v>629</v>
      </c>
      <c r="E2478" s="132">
        <v>2815.26</v>
      </c>
    </row>
    <row r="2479" spans="1:5" x14ac:dyDescent="0.25">
      <c r="A2479" s="130" t="s">
        <v>4</v>
      </c>
      <c r="B2479" s="130" t="s">
        <v>579</v>
      </c>
      <c r="C2479" s="130" t="s">
        <v>608</v>
      </c>
      <c r="D2479" s="130" t="s">
        <v>393</v>
      </c>
      <c r="E2479" s="132">
        <v>1191.81</v>
      </c>
    </row>
    <row r="2480" spans="1:5" x14ac:dyDescent="0.25">
      <c r="A2480" s="130" t="s">
        <v>4</v>
      </c>
      <c r="B2480" s="130" t="s">
        <v>579</v>
      </c>
      <c r="C2480" s="130" t="s">
        <v>608</v>
      </c>
      <c r="D2480" s="130" t="s">
        <v>263</v>
      </c>
      <c r="E2480" s="132">
        <v>2997.31</v>
      </c>
    </row>
    <row r="2481" spans="1:5" x14ac:dyDescent="0.25">
      <c r="A2481" s="130" t="s">
        <v>4</v>
      </c>
      <c r="B2481" s="130" t="s">
        <v>579</v>
      </c>
      <c r="C2481" s="130" t="s">
        <v>608</v>
      </c>
      <c r="D2481" s="130" t="s">
        <v>496</v>
      </c>
      <c r="E2481" s="132">
        <v>4286.0200000000004</v>
      </c>
    </row>
    <row r="2482" spans="1:5" x14ac:dyDescent="0.25">
      <c r="A2482" s="130" t="s">
        <v>4</v>
      </c>
      <c r="B2482" s="130" t="s">
        <v>579</v>
      </c>
      <c r="C2482" s="130" t="s">
        <v>608</v>
      </c>
      <c r="D2482" s="130" t="s">
        <v>497</v>
      </c>
      <c r="E2482" s="132">
        <v>3910.53</v>
      </c>
    </row>
    <row r="2483" spans="1:5" x14ac:dyDescent="0.25">
      <c r="A2483" s="130" t="s">
        <v>4</v>
      </c>
      <c r="B2483" s="130" t="s">
        <v>579</v>
      </c>
      <c r="C2483" s="130" t="s">
        <v>608</v>
      </c>
      <c r="D2483" s="130" t="s">
        <v>498</v>
      </c>
      <c r="E2483" s="132">
        <v>1381.66</v>
      </c>
    </row>
    <row r="2484" spans="1:5" x14ac:dyDescent="0.25">
      <c r="A2484" s="130" t="s">
        <v>4</v>
      </c>
      <c r="B2484" s="130" t="s">
        <v>579</v>
      </c>
      <c r="C2484" s="130" t="s">
        <v>608</v>
      </c>
      <c r="D2484" s="130" t="s">
        <v>403</v>
      </c>
      <c r="E2484" s="132">
        <v>362.5</v>
      </c>
    </row>
    <row r="2485" spans="1:5" x14ac:dyDescent="0.25">
      <c r="A2485" s="130" t="s">
        <v>4</v>
      </c>
      <c r="B2485" s="130" t="s">
        <v>579</v>
      </c>
      <c r="C2485" s="130" t="s">
        <v>608</v>
      </c>
      <c r="D2485" s="130" t="s">
        <v>716</v>
      </c>
      <c r="E2485" s="132">
        <v>1638.21</v>
      </c>
    </row>
    <row r="2486" spans="1:5" x14ac:dyDescent="0.25">
      <c r="A2486" s="130" t="s">
        <v>4</v>
      </c>
      <c r="B2486" s="130" t="s">
        <v>579</v>
      </c>
      <c r="C2486" s="130" t="s">
        <v>608</v>
      </c>
      <c r="D2486" s="130" t="s">
        <v>444</v>
      </c>
      <c r="E2486" s="132">
        <v>544.96</v>
      </c>
    </row>
    <row r="2487" spans="1:5" x14ac:dyDescent="0.25">
      <c r="A2487" s="130" t="s">
        <v>4</v>
      </c>
      <c r="B2487" s="130" t="s">
        <v>579</v>
      </c>
      <c r="C2487" s="130" t="s">
        <v>608</v>
      </c>
      <c r="D2487" s="130" t="s">
        <v>266</v>
      </c>
      <c r="E2487" s="132">
        <v>644.79999999999995</v>
      </c>
    </row>
    <row r="2488" spans="1:5" x14ac:dyDescent="0.25">
      <c r="A2488" s="130" t="s">
        <v>4</v>
      </c>
      <c r="B2488" s="130" t="s">
        <v>579</v>
      </c>
      <c r="C2488" s="130" t="s">
        <v>608</v>
      </c>
      <c r="D2488" s="130" t="s">
        <v>282</v>
      </c>
      <c r="E2488" s="132">
        <v>767.55</v>
      </c>
    </row>
    <row r="2489" spans="1:5" x14ac:dyDescent="0.25">
      <c r="A2489" s="130" t="s">
        <v>4</v>
      </c>
      <c r="B2489" s="130" t="s">
        <v>579</v>
      </c>
      <c r="C2489" s="130" t="s">
        <v>608</v>
      </c>
      <c r="D2489" s="130" t="s">
        <v>365</v>
      </c>
      <c r="E2489" s="132">
        <v>693.89</v>
      </c>
    </row>
    <row r="2490" spans="1:5" x14ac:dyDescent="0.25">
      <c r="A2490" s="130" t="s">
        <v>4</v>
      </c>
      <c r="B2490" s="130" t="s">
        <v>579</v>
      </c>
      <c r="C2490" s="130" t="s">
        <v>608</v>
      </c>
      <c r="D2490" s="130" t="s">
        <v>946</v>
      </c>
      <c r="E2490" s="132">
        <v>1599.33</v>
      </c>
    </row>
    <row r="2491" spans="1:5" x14ac:dyDescent="0.25">
      <c r="A2491" s="130" t="s">
        <v>4</v>
      </c>
      <c r="B2491" s="130" t="s">
        <v>579</v>
      </c>
      <c r="C2491" s="130" t="s">
        <v>608</v>
      </c>
      <c r="D2491" s="130" t="s">
        <v>346</v>
      </c>
      <c r="E2491" s="132">
        <v>1065.3800000000001</v>
      </c>
    </row>
    <row r="2492" spans="1:5" x14ac:dyDescent="0.25">
      <c r="A2492" s="130" t="s">
        <v>4</v>
      </c>
      <c r="B2492" s="130" t="s">
        <v>579</v>
      </c>
      <c r="C2492" s="130" t="s">
        <v>608</v>
      </c>
      <c r="D2492" s="130" t="s">
        <v>394</v>
      </c>
      <c r="E2492" s="132">
        <v>594.88</v>
      </c>
    </row>
    <row r="2493" spans="1:5" x14ac:dyDescent="0.25">
      <c r="A2493" s="130" t="s">
        <v>4</v>
      </c>
      <c r="B2493" s="130" t="s">
        <v>579</v>
      </c>
      <c r="C2493" s="130" t="s">
        <v>608</v>
      </c>
      <c r="D2493" s="130" t="s">
        <v>348</v>
      </c>
      <c r="E2493" s="132">
        <v>478.72</v>
      </c>
    </row>
    <row r="2494" spans="1:5" x14ac:dyDescent="0.25">
      <c r="A2494" s="130" t="s">
        <v>4</v>
      </c>
      <c r="B2494" s="130" t="s">
        <v>579</v>
      </c>
      <c r="C2494" s="130" t="s">
        <v>608</v>
      </c>
      <c r="D2494" s="130" t="s">
        <v>349</v>
      </c>
      <c r="E2494" s="132">
        <v>635.01</v>
      </c>
    </row>
    <row r="2495" spans="1:5" x14ac:dyDescent="0.25">
      <c r="A2495" s="130" t="s">
        <v>4</v>
      </c>
      <c r="B2495" s="130" t="s">
        <v>579</v>
      </c>
      <c r="C2495" s="130" t="s">
        <v>608</v>
      </c>
      <c r="D2495" s="130" t="s">
        <v>541</v>
      </c>
      <c r="E2495" s="132">
        <v>767.55</v>
      </c>
    </row>
    <row r="2496" spans="1:5" x14ac:dyDescent="0.25">
      <c r="A2496" s="130" t="s">
        <v>4</v>
      </c>
      <c r="B2496" s="130" t="s">
        <v>579</v>
      </c>
      <c r="C2496" s="130" t="s">
        <v>608</v>
      </c>
      <c r="D2496" s="130" t="s">
        <v>550</v>
      </c>
      <c r="E2496" s="132">
        <v>1016.32</v>
      </c>
    </row>
    <row r="2497" spans="1:5" x14ac:dyDescent="0.25">
      <c r="A2497" s="130" t="s">
        <v>4</v>
      </c>
      <c r="B2497" s="130" t="s">
        <v>579</v>
      </c>
      <c r="C2497" s="130" t="s">
        <v>608</v>
      </c>
      <c r="D2497" s="130" t="s">
        <v>410</v>
      </c>
      <c r="E2497" s="132">
        <v>1477.76</v>
      </c>
    </row>
    <row r="2498" spans="1:5" x14ac:dyDescent="0.25">
      <c r="A2498" s="130" t="s">
        <v>4</v>
      </c>
      <c r="B2498" s="130" t="s">
        <v>579</v>
      </c>
      <c r="C2498" s="130" t="s">
        <v>608</v>
      </c>
      <c r="D2498" s="130" t="s">
        <v>242</v>
      </c>
      <c r="E2498" s="132">
        <v>301.12</v>
      </c>
    </row>
    <row r="2499" spans="1:5" x14ac:dyDescent="0.25">
      <c r="A2499" s="130" t="s">
        <v>4</v>
      </c>
      <c r="B2499" s="130" t="s">
        <v>579</v>
      </c>
      <c r="C2499" s="130" t="s">
        <v>608</v>
      </c>
      <c r="D2499" s="130" t="s">
        <v>243</v>
      </c>
      <c r="E2499" s="132">
        <v>516.35</v>
      </c>
    </row>
    <row r="2500" spans="1:5" x14ac:dyDescent="0.25">
      <c r="A2500" s="130" t="s">
        <v>4</v>
      </c>
      <c r="B2500" s="130" t="s">
        <v>579</v>
      </c>
      <c r="C2500" s="130" t="s">
        <v>608</v>
      </c>
      <c r="D2500" s="130" t="s">
        <v>434</v>
      </c>
      <c r="E2500" s="132">
        <v>468.06</v>
      </c>
    </row>
    <row r="2501" spans="1:5" x14ac:dyDescent="0.25">
      <c r="A2501" s="130" t="s">
        <v>4</v>
      </c>
      <c r="B2501" s="130" t="s">
        <v>579</v>
      </c>
      <c r="C2501" s="130" t="s">
        <v>608</v>
      </c>
      <c r="D2501" s="130" t="s">
        <v>681</v>
      </c>
      <c r="E2501" s="132">
        <v>468.45</v>
      </c>
    </row>
    <row r="2502" spans="1:5" x14ac:dyDescent="0.25">
      <c r="A2502" s="130" t="s">
        <v>4</v>
      </c>
      <c r="B2502" s="130" t="s">
        <v>579</v>
      </c>
      <c r="C2502" s="130" t="s">
        <v>608</v>
      </c>
      <c r="D2502" s="130" t="s">
        <v>361</v>
      </c>
      <c r="E2502" s="132">
        <v>112.9</v>
      </c>
    </row>
    <row r="2503" spans="1:5" x14ac:dyDescent="0.25">
      <c r="A2503" s="130" t="s">
        <v>4</v>
      </c>
      <c r="B2503" s="130" t="s">
        <v>579</v>
      </c>
      <c r="C2503" s="130" t="s">
        <v>608</v>
      </c>
      <c r="D2503" s="130" t="s">
        <v>316</v>
      </c>
      <c r="E2503" s="132">
        <v>139.13999999999999</v>
      </c>
    </row>
    <row r="2504" spans="1:5" x14ac:dyDescent="0.25">
      <c r="A2504" s="130" t="s">
        <v>4</v>
      </c>
      <c r="B2504" s="130" t="s">
        <v>579</v>
      </c>
      <c r="C2504" s="130" t="s">
        <v>608</v>
      </c>
      <c r="D2504" s="130" t="s">
        <v>384</v>
      </c>
      <c r="E2504" s="132">
        <v>682.5</v>
      </c>
    </row>
    <row r="2505" spans="1:5" x14ac:dyDescent="0.25">
      <c r="A2505" s="130" t="s">
        <v>4</v>
      </c>
      <c r="B2505" s="130" t="s">
        <v>579</v>
      </c>
      <c r="C2505" s="130" t="s">
        <v>608</v>
      </c>
      <c r="D2505" s="130" t="s">
        <v>965</v>
      </c>
      <c r="E2505" s="132">
        <v>540.22</v>
      </c>
    </row>
    <row r="2506" spans="1:5" x14ac:dyDescent="0.25">
      <c r="A2506" s="130" t="s">
        <v>4</v>
      </c>
      <c r="B2506" s="130" t="s">
        <v>579</v>
      </c>
      <c r="C2506" s="130" t="s">
        <v>608</v>
      </c>
      <c r="D2506" s="130" t="s">
        <v>261</v>
      </c>
      <c r="E2506" s="132">
        <v>40788.480000000003</v>
      </c>
    </row>
    <row r="2507" spans="1:5" x14ac:dyDescent="0.25">
      <c r="A2507" s="130" t="s">
        <v>4</v>
      </c>
      <c r="B2507" s="130" t="s">
        <v>579</v>
      </c>
      <c r="C2507" s="130" t="s">
        <v>608</v>
      </c>
      <c r="D2507" s="130" t="s">
        <v>330</v>
      </c>
      <c r="E2507" s="132">
        <v>6816.96</v>
      </c>
    </row>
    <row r="2508" spans="1:5" x14ac:dyDescent="0.25">
      <c r="A2508" s="130" t="s">
        <v>4</v>
      </c>
      <c r="B2508" s="130" t="s">
        <v>579</v>
      </c>
      <c r="C2508" s="130" t="s">
        <v>608</v>
      </c>
      <c r="D2508" s="130" t="s">
        <v>739</v>
      </c>
      <c r="E2508" s="132">
        <v>662.14</v>
      </c>
    </row>
    <row r="2509" spans="1:5" x14ac:dyDescent="0.25">
      <c r="A2509" s="130" t="s">
        <v>4</v>
      </c>
      <c r="B2509" s="130" t="s">
        <v>579</v>
      </c>
      <c r="C2509" s="130" t="s">
        <v>608</v>
      </c>
      <c r="D2509" s="130" t="s">
        <v>259</v>
      </c>
      <c r="E2509" s="132">
        <v>17536.37</v>
      </c>
    </row>
    <row r="2510" spans="1:5" x14ac:dyDescent="0.25">
      <c r="A2510" s="130" t="s">
        <v>4</v>
      </c>
      <c r="B2510" s="130" t="s">
        <v>579</v>
      </c>
      <c r="C2510" s="130" t="s">
        <v>608</v>
      </c>
      <c r="D2510" s="130" t="s">
        <v>357</v>
      </c>
      <c r="E2510" s="132">
        <v>11120.32</v>
      </c>
    </row>
    <row r="2511" spans="1:5" x14ac:dyDescent="0.25">
      <c r="A2511" s="130" t="s">
        <v>4</v>
      </c>
      <c r="B2511" s="130" t="s">
        <v>579</v>
      </c>
      <c r="C2511" s="130" t="s">
        <v>608</v>
      </c>
      <c r="D2511" s="130" t="s">
        <v>318</v>
      </c>
      <c r="E2511" s="132">
        <v>10102.9</v>
      </c>
    </row>
    <row r="2512" spans="1:5" x14ac:dyDescent="0.25">
      <c r="A2512" s="130" t="s">
        <v>4</v>
      </c>
      <c r="B2512" s="130" t="s">
        <v>579</v>
      </c>
      <c r="C2512" s="130" t="s">
        <v>608</v>
      </c>
      <c r="D2512" s="130" t="s">
        <v>336</v>
      </c>
      <c r="E2512" s="132">
        <v>5372.67</v>
      </c>
    </row>
    <row r="2513" spans="1:5" x14ac:dyDescent="0.25">
      <c r="A2513" s="130" t="s">
        <v>4</v>
      </c>
      <c r="B2513" s="130" t="s">
        <v>579</v>
      </c>
      <c r="C2513" s="130" t="s">
        <v>608</v>
      </c>
      <c r="D2513" s="130" t="s">
        <v>526</v>
      </c>
      <c r="E2513" s="132">
        <v>652.12</v>
      </c>
    </row>
    <row r="2514" spans="1:5" x14ac:dyDescent="0.25">
      <c r="A2514" s="130" t="s">
        <v>4</v>
      </c>
      <c r="B2514" s="130" t="s">
        <v>579</v>
      </c>
      <c r="C2514" s="130" t="s">
        <v>608</v>
      </c>
      <c r="D2514" s="130" t="s">
        <v>347</v>
      </c>
      <c r="E2514" s="132">
        <v>796.33</v>
      </c>
    </row>
    <row r="2515" spans="1:5" x14ac:dyDescent="0.25">
      <c r="A2515" s="130" t="s">
        <v>4</v>
      </c>
      <c r="B2515" s="130" t="s">
        <v>579</v>
      </c>
      <c r="C2515" s="130" t="s">
        <v>608</v>
      </c>
      <c r="D2515" s="130" t="s">
        <v>540</v>
      </c>
      <c r="E2515" s="132">
        <v>967.82</v>
      </c>
    </row>
    <row r="2516" spans="1:5" x14ac:dyDescent="0.25">
      <c r="A2516" s="130" t="s">
        <v>4</v>
      </c>
      <c r="B2516" s="130" t="s">
        <v>579</v>
      </c>
      <c r="C2516" s="130" t="s">
        <v>608</v>
      </c>
      <c r="D2516" s="130" t="s">
        <v>541</v>
      </c>
      <c r="E2516" s="132">
        <v>1503</v>
      </c>
    </row>
    <row r="2517" spans="1:5" x14ac:dyDescent="0.25">
      <c r="A2517" s="130" t="s">
        <v>4</v>
      </c>
      <c r="B2517" s="130" t="s">
        <v>579</v>
      </c>
      <c r="C2517" s="130" t="s">
        <v>608</v>
      </c>
      <c r="D2517" s="130" t="s">
        <v>684</v>
      </c>
      <c r="E2517" s="132">
        <v>1490.17</v>
      </c>
    </row>
    <row r="2518" spans="1:5" x14ac:dyDescent="0.25">
      <c r="A2518" s="130" t="s">
        <v>4</v>
      </c>
      <c r="B2518" s="130" t="s">
        <v>579</v>
      </c>
      <c r="C2518" s="130" t="s">
        <v>608</v>
      </c>
      <c r="D2518" s="130" t="s">
        <v>685</v>
      </c>
      <c r="E2518" s="132">
        <v>159.47999999999999</v>
      </c>
    </row>
    <row r="2519" spans="1:5" x14ac:dyDescent="0.25">
      <c r="A2519" s="130" t="s">
        <v>4</v>
      </c>
      <c r="B2519" s="130" t="s">
        <v>579</v>
      </c>
      <c r="C2519" s="130" t="s">
        <v>608</v>
      </c>
      <c r="D2519" s="130" t="s">
        <v>475</v>
      </c>
      <c r="E2519" s="132">
        <v>1818.77</v>
      </c>
    </row>
    <row r="2520" spans="1:5" x14ac:dyDescent="0.25">
      <c r="A2520" s="130" t="s">
        <v>4</v>
      </c>
      <c r="B2520" s="130" t="s">
        <v>579</v>
      </c>
      <c r="C2520" s="130" t="s">
        <v>608</v>
      </c>
      <c r="D2520" s="130" t="s">
        <v>686</v>
      </c>
      <c r="E2520" s="132">
        <v>3781.38</v>
      </c>
    </row>
    <row r="2521" spans="1:5" x14ac:dyDescent="0.25">
      <c r="A2521" s="130" t="s">
        <v>4</v>
      </c>
      <c r="B2521" s="130" t="s">
        <v>579</v>
      </c>
      <c r="C2521" s="130" t="s">
        <v>608</v>
      </c>
      <c r="D2521" s="130" t="s">
        <v>313</v>
      </c>
      <c r="E2521" s="132">
        <v>1926.96</v>
      </c>
    </row>
    <row r="2522" spans="1:5" x14ac:dyDescent="0.25">
      <c r="A2522" s="130" t="s">
        <v>4</v>
      </c>
      <c r="B2522" s="130" t="s">
        <v>579</v>
      </c>
      <c r="C2522" s="130" t="s">
        <v>608</v>
      </c>
      <c r="D2522" s="130" t="s">
        <v>457</v>
      </c>
      <c r="E2522" s="132">
        <v>1321.9</v>
      </c>
    </row>
    <row r="2523" spans="1:5" x14ac:dyDescent="0.25">
      <c r="A2523" s="130" t="s">
        <v>4</v>
      </c>
      <c r="B2523" s="130" t="s">
        <v>579</v>
      </c>
      <c r="C2523" s="130" t="s">
        <v>608</v>
      </c>
      <c r="D2523" s="130" t="s">
        <v>635</v>
      </c>
      <c r="E2523" s="132">
        <v>1045.51</v>
      </c>
    </row>
    <row r="2524" spans="1:5" x14ac:dyDescent="0.25">
      <c r="A2524" s="130" t="s">
        <v>4</v>
      </c>
      <c r="B2524" s="130" t="s">
        <v>579</v>
      </c>
      <c r="C2524" s="130" t="s">
        <v>608</v>
      </c>
      <c r="D2524" s="130" t="s">
        <v>458</v>
      </c>
      <c r="E2524" s="132">
        <v>3933.9</v>
      </c>
    </row>
    <row r="2525" spans="1:5" x14ac:dyDescent="0.25">
      <c r="A2525" s="130" t="s">
        <v>4</v>
      </c>
      <c r="B2525" s="130" t="s">
        <v>579</v>
      </c>
      <c r="C2525" s="130" t="s">
        <v>608</v>
      </c>
      <c r="D2525" s="130" t="s">
        <v>476</v>
      </c>
      <c r="E2525" s="132">
        <v>2059.02</v>
      </c>
    </row>
    <row r="2526" spans="1:5" x14ac:dyDescent="0.25">
      <c r="A2526" s="130" t="s">
        <v>4</v>
      </c>
      <c r="B2526" s="130" t="s">
        <v>579</v>
      </c>
      <c r="C2526" s="130" t="s">
        <v>608</v>
      </c>
      <c r="D2526" s="130" t="s">
        <v>459</v>
      </c>
      <c r="E2526" s="132">
        <v>995.1</v>
      </c>
    </row>
    <row r="2527" spans="1:5" x14ac:dyDescent="0.25">
      <c r="A2527" s="130" t="s">
        <v>4</v>
      </c>
      <c r="B2527" s="130" t="s">
        <v>579</v>
      </c>
      <c r="C2527" s="130" t="s">
        <v>608</v>
      </c>
      <c r="D2527" s="130" t="s">
        <v>1037</v>
      </c>
      <c r="E2527" s="132">
        <v>17666.400000000001</v>
      </c>
    </row>
    <row r="2528" spans="1:5" x14ac:dyDescent="0.25">
      <c r="A2528" s="130" t="s">
        <v>4</v>
      </c>
      <c r="B2528" s="130" t="s">
        <v>579</v>
      </c>
      <c r="C2528" s="130" t="s">
        <v>608</v>
      </c>
      <c r="D2528" s="130" t="s">
        <v>1039</v>
      </c>
      <c r="E2528" s="132">
        <v>4658.99</v>
      </c>
    </row>
    <row r="2529" spans="1:5" x14ac:dyDescent="0.25">
      <c r="A2529" s="130" t="s">
        <v>4</v>
      </c>
      <c r="B2529" s="130" t="s">
        <v>579</v>
      </c>
      <c r="C2529" s="130" t="s">
        <v>608</v>
      </c>
      <c r="D2529" s="130" t="s">
        <v>1040</v>
      </c>
      <c r="E2529" s="132">
        <v>2121.52</v>
      </c>
    </row>
    <row r="2530" spans="1:5" x14ac:dyDescent="0.25">
      <c r="A2530" s="130" t="s">
        <v>4</v>
      </c>
      <c r="B2530" s="130" t="s">
        <v>579</v>
      </c>
      <c r="C2530" s="130" t="s">
        <v>608</v>
      </c>
      <c r="D2530" s="130" t="s">
        <v>415</v>
      </c>
      <c r="E2530" s="132">
        <v>3578.83</v>
      </c>
    </row>
    <row r="2531" spans="1:5" x14ac:dyDescent="0.25">
      <c r="A2531" s="130" t="s">
        <v>4</v>
      </c>
      <c r="B2531" s="130" t="s">
        <v>579</v>
      </c>
      <c r="C2531" s="130" t="s">
        <v>608</v>
      </c>
      <c r="D2531" s="130" t="s">
        <v>1074</v>
      </c>
      <c r="E2531" s="132">
        <v>2704.81</v>
      </c>
    </row>
    <row r="2532" spans="1:5" x14ac:dyDescent="0.25">
      <c r="A2532" s="130" t="s">
        <v>4</v>
      </c>
      <c r="B2532" s="130" t="s">
        <v>579</v>
      </c>
      <c r="C2532" s="130" t="s">
        <v>608</v>
      </c>
      <c r="D2532" s="130" t="s">
        <v>416</v>
      </c>
      <c r="E2532" s="132">
        <v>8845.0400000000009</v>
      </c>
    </row>
    <row r="2533" spans="1:5" x14ac:dyDescent="0.25">
      <c r="A2533" s="130" t="s">
        <v>4</v>
      </c>
      <c r="B2533" s="130" t="s">
        <v>579</v>
      </c>
      <c r="C2533" s="130" t="s">
        <v>608</v>
      </c>
      <c r="D2533" s="130" t="s">
        <v>478</v>
      </c>
      <c r="E2533" s="132">
        <v>3869.67</v>
      </c>
    </row>
    <row r="2534" spans="1:5" x14ac:dyDescent="0.25">
      <c r="A2534" s="130" t="s">
        <v>4</v>
      </c>
      <c r="B2534" s="130" t="s">
        <v>579</v>
      </c>
      <c r="C2534" s="130" t="s">
        <v>608</v>
      </c>
      <c r="D2534" s="130" t="s">
        <v>1075</v>
      </c>
      <c r="E2534" s="132">
        <v>2228.9</v>
      </c>
    </row>
    <row r="2535" spans="1:5" x14ac:dyDescent="0.25">
      <c r="A2535" s="130" t="s">
        <v>4</v>
      </c>
      <c r="B2535" s="130" t="s">
        <v>579</v>
      </c>
      <c r="C2535" s="130" t="s">
        <v>608</v>
      </c>
      <c r="D2535" s="130" t="s">
        <v>417</v>
      </c>
      <c r="E2535" s="132">
        <v>1265.8499999999999</v>
      </c>
    </row>
    <row r="2536" spans="1:5" x14ac:dyDescent="0.25">
      <c r="A2536" s="130" t="s">
        <v>4</v>
      </c>
      <c r="B2536" s="130" t="s">
        <v>579</v>
      </c>
      <c r="C2536" s="130" t="s">
        <v>608</v>
      </c>
      <c r="D2536" s="130" t="s">
        <v>563</v>
      </c>
      <c r="E2536" s="132">
        <v>4658.99</v>
      </c>
    </row>
    <row r="2537" spans="1:5" x14ac:dyDescent="0.25">
      <c r="A2537" s="130" t="s">
        <v>4</v>
      </c>
      <c r="B2537" s="130" t="s">
        <v>579</v>
      </c>
      <c r="C2537" s="130" t="s">
        <v>608</v>
      </c>
      <c r="D2537" s="130" t="s">
        <v>803</v>
      </c>
      <c r="E2537" s="132">
        <v>10607.58</v>
      </c>
    </row>
    <row r="2538" spans="1:5" x14ac:dyDescent="0.25">
      <c r="A2538" s="130" t="s">
        <v>4</v>
      </c>
      <c r="B2538" s="130" t="s">
        <v>579</v>
      </c>
      <c r="C2538" s="130" t="s">
        <v>608</v>
      </c>
      <c r="D2538" s="130" t="s">
        <v>537</v>
      </c>
      <c r="E2538" s="132">
        <v>11929.42</v>
      </c>
    </row>
    <row r="2539" spans="1:5" x14ac:dyDescent="0.25">
      <c r="A2539" s="130" t="s">
        <v>4</v>
      </c>
      <c r="B2539" s="130" t="s">
        <v>579</v>
      </c>
      <c r="C2539" s="130" t="s">
        <v>608</v>
      </c>
      <c r="D2539" s="130" t="s">
        <v>1076</v>
      </c>
      <c r="E2539" s="132">
        <v>8790.64</v>
      </c>
    </row>
    <row r="2540" spans="1:5" x14ac:dyDescent="0.25">
      <c r="A2540" s="130" t="s">
        <v>4</v>
      </c>
      <c r="B2540" s="130" t="s">
        <v>579</v>
      </c>
      <c r="C2540" s="130" t="s">
        <v>608</v>
      </c>
      <c r="D2540" s="130" t="s">
        <v>487</v>
      </c>
      <c r="E2540" s="132">
        <v>17690.09</v>
      </c>
    </row>
    <row r="2541" spans="1:5" x14ac:dyDescent="0.25">
      <c r="A2541" s="130" t="s">
        <v>4</v>
      </c>
      <c r="B2541" s="130" t="s">
        <v>579</v>
      </c>
      <c r="C2541" s="130" t="s">
        <v>608</v>
      </c>
      <c r="D2541" s="130" t="s">
        <v>479</v>
      </c>
      <c r="E2541" s="132">
        <v>7739.34</v>
      </c>
    </row>
    <row r="2542" spans="1:5" x14ac:dyDescent="0.25">
      <c r="A2542" s="130" t="s">
        <v>4</v>
      </c>
      <c r="B2542" s="130" t="s">
        <v>579</v>
      </c>
      <c r="C2542" s="130" t="s">
        <v>608</v>
      </c>
      <c r="D2542" s="130" t="s">
        <v>1077</v>
      </c>
      <c r="E2542" s="132">
        <v>7801.15</v>
      </c>
    </row>
    <row r="2543" spans="1:5" x14ac:dyDescent="0.25">
      <c r="A2543" s="130" t="s">
        <v>4</v>
      </c>
      <c r="B2543" s="130" t="s">
        <v>579</v>
      </c>
      <c r="C2543" s="130" t="s">
        <v>608</v>
      </c>
      <c r="D2543" s="130" t="s">
        <v>1041</v>
      </c>
      <c r="E2543" s="132">
        <v>2788.14</v>
      </c>
    </row>
    <row r="2544" spans="1:5" x14ac:dyDescent="0.25">
      <c r="A2544" s="130" t="s">
        <v>4</v>
      </c>
      <c r="B2544" s="130" t="s">
        <v>579</v>
      </c>
      <c r="C2544" s="130" t="s">
        <v>608</v>
      </c>
      <c r="D2544" s="130" t="s">
        <v>718</v>
      </c>
      <c r="E2544" s="132">
        <v>3400.2</v>
      </c>
    </row>
    <row r="2545" spans="1:5" x14ac:dyDescent="0.25">
      <c r="A2545" s="130" t="s">
        <v>4</v>
      </c>
      <c r="B2545" s="130" t="s">
        <v>579</v>
      </c>
      <c r="C2545" s="130" t="s">
        <v>608</v>
      </c>
      <c r="D2545" s="130" t="s">
        <v>486</v>
      </c>
      <c r="E2545" s="132">
        <v>1847.54</v>
      </c>
    </row>
    <row r="2546" spans="1:5" x14ac:dyDescent="0.25">
      <c r="A2546" s="130" t="s">
        <v>4</v>
      </c>
      <c r="B2546" s="130" t="s">
        <v>579</v>
      </c>
      <c r="C2546" s="130" t="s">
        <v>608</v>
      </c>
      <c r="D2546" s="130" t="s">
        <v>773</v>
      </c>
      <c r="E2546" s="132">
        <v>4142.1000000000004</v>
      </c>
    </row>
    <row r="2547" spans="1:5" x14ac:dyDescent="0.25">
      <c r="A2547" s="130" t="s">
        <v>4</v>
      </c>
      <c r="B2547" s="130" t="s">
        <v>579</v>
      </c>
      <c r="C2547" s="130" t="s">
        <v>608</v>
      </c>
      <c r="D2547" s="130" t="s">
        <v>812</v>
      </c>
      <c r="E2547" s="132">
        <v>2929.13</v>
      </c>
    </row>
    <row r="2548" spans="1:5" x14ac:dyDescent="0.25">
      <c r="A2548" s="130" t="s">
        <v>4</v>
      </c>
      <c r="B2548" s="130" t="s">
        <v>579</v>
      </c>
      <c r="C2548" s="130" t="s">
        <v>608</v>
      </c>
      <c r="D2548" s="130" t="s">
        <v>433</v>
      </c>
      <c r="E2548" s="132">
        <v>8055.97</v>
      </c>
    </row>
    <row r="2549" spans="1:5" x14ac:dyDescent="0.25">
      <c r="A2549" s="130" t="s">
        <v>4</v>
      </c>
      <c r="B2549" s="130" t="s">
        <v>579</v>
      </c>
      <c r="C2549" s="130" t="s">
        <v>608</v>
      </c>
      <c r="D2549" s="130" t="s">
        <v>813</v>
      </c>
      <c r="E2549" s="132">
        <v>17625.98</v>
      </c>
    </row>
    <row r="2550" spans="1:5" x14ac:dyDescent="0.25">
      <c r="A2550" s="130" t="s">
        <v>4</v>
      </c>
      <c r="B2550" s="130" t="s">
        <v>579</v>
      </c>
      <c r="C2550" s="130" t="s">
        <v>608</v>
      </c>
      <c r="D2550" s="130" t="s">
        <v>804</v>
      </c>
      <c r="E2550" s="132">
        <v>9550.17</v>
      </c>
    </row>
    <row r="2551" spans="1:5" x14ac:dyDescent="0.25">
      <c r="A2551" s="130" t="s">
        <v>4</v>
      </c>
      <c r="B2551" s="130" t="s">
        <v>579</v>
      </c>
      <c r="C2551" s="130" t="s">
        <v>608</v>
      </c>
      <c r="D2551" s="130" t="s">
        <v>1043</v>
      </c>
      <c r="E2551" s="132">
        <v>21383.8</v>
      </c>
    </row>
    <row r="2552" spans="1:5" x14ac:dyDescent="0.25">
      <c r="A2552" s="130" t="s">
        <v>4</v>
      </c>
      <c r="B2552" s="130" t="s">
        <v>579</v>
      </c>
      <c r="C2552" s="130" t="s">
        <v>608</v>
      </c>
      <c r="D2552" s="130" t="s">
        <v>1078</v>
      </c>
      <c r="E2552" s="132">
        <v>5023.3599999999997</v>
      </c>
    </row>
    <row r="2553" spans="1:5" x14ac:dyDescent="0.25">
      <c r="A2553" s="130" t="s">
        <v>4</v>
      </c>
      <c r="B2553" s="130" t="s">
        <v>579</v>
      </c>
      <c r="C2553" s="130" t="s">
        <v>608</v>
      </c>
      <c r="D2553" s="130" t="s">
        <v>1079</v>
      </c>
      <c r="E2553" s="132">
        <v>2887.46</v>
      </c>
    </row>
    <row r="2554" spans="1:5" x14ac:dyDescent="0.25">
      <c r="A2554" s="130" t="s">
        <v>4</v>
      </c>
      <c r="B2554" s="130" t="s">
        <v>579</v>
      </c>
      <c r="C2554" s="130" t="s">
        <v>608</v>
      </c>
      <c r="D2554" s="130" t="s">
        <v>330</v>
      </c>
      <c r="E2554" s="132">
        <v>11124.35</v>
      </c>
    </row>
    <row r="2555" spans="1:5" x14ac:dyDescent="0.25">
      <c r="A2555" s="130" t="s">
        <v>4</v>
      </c>
      <c r="B2555" s="130" t="s">
        <v>579</v>
      </c>
      <c r="C2555" s="130" t="s">
        <v>608</v>
      </c>
      <c r="D2555" s="130" t="s">
        <v>323</v>
      </c>
      <c r="E2555" s="132">
        <v>7875.86</v>
      </c>
    </row>
    <row r="2556" spans="1:5" x14ac:dyDescent="0.25">
      <c r="A2556" s="130" t="s">
        <v>4</v>
      </c>
      <c r="B2556" s="130" t="s">
        <v>579</v>
      </c>
      <c r="C2556" s="130" t="s">
        <v>608</v>
      </c>
      <c r="D2556" s="130" t="s">
        <v>324</v>
      </c>
      <c r="E2556" s="132">
        <v>5624.33</v>
      </c>
    </row>
    <row r="2557" spans="1:5" x14ac:dyDescent="0.25">
      <c r="A2557" s="130" t="s">
        <v>4</v>
      </c>
      <c r="B2557" s="130" t="s">
        <v>579</v>
      </c>
      <c r="C2557" s="130" t="s">
        <v>608</v>
      </c>
      <c r="D2557" s="130" t="s">
        <v>331</v>
      </c>
      <c r="E2557" s="132">
        <v>9365.7199999999993</v>
      </c>
    </row>
    <row r="2558" spans="1:5" x14ac:dyDescent="0.25">
      <c r="A2558" s="130" t="s">
        <v>4</v>
      </c>
      <c r="B2558" s="130" t="s">
        <v>579</v>
      </c>
      <c r="C2558" s="130" t="s">
        <v>608</v>
      </c>
      <c r="D2558" s="130" t="s">
        <v>699</v>
      </c>
      <c r="E2558" s="132">
        <v>27853.37</v>
      </c>
    </row>
    <row r="2559" spans="1:5" x14ac:dyDescent="0.25">
      <c r="A2559" s="130" t="s">
        <v>4</v>
      </c>
      <c r="B2559" s="130" t="s">
        <v>579</v>
      </c>
      <c r="C2559" s="130" t="s">
        <v>608</v>
      </c>
      <c r="D2559" s="130" t="s">
        <v>808</v>
      </c>
      <c r="E2559" s="132">
        <v>11031.3</v>
      </c>
    </row>
    <row r="2560" spans="1:5" x14ac:dyDescent="0.25">
      <c r="A2560" s="130" t="s">
        <v>4</v>
      </c>
      <c r="B2560" s="130" t="s">
        <v>579</v>
      </c>
      <c r="C2560" s="130" t="s">
        <v>608</v>
      </c>
      <c r="D2560" s="130" t="s">
        <v>502</v>
      </c>
      <c r="E2560" s="132">
        <v>15621.37</v>
      </c>
    </row>
    <row r="2561" spans="1:5" x14ac:dyDescent="0.25">
      <c r="A2561" s="130" t="s">
        <v>4</v>
      </c>
      <c r="B2561" s="130" t="s">
        <v>579</v>
      </c>
      <c r="C2561" s="130" t="s">
        <v>608</v>
      </c>
      <c r="D2561" s="130" t="s">
        <v>570</v>
      </c>
      <c r="E2561" s="132">
        <v>9885.35</v>
      </c>
    </row>
    <row r="2562" spans="1:5" x14ac:dyDescent="0.25">
      <c r="A2562" s="130" t="s">
        <v>4</v>
      </c>
      <c r="B2562" s="130" t="s">
        <v>579</v>
      </c>
      <c r="C2562" s="130" t="s">
        <v>608</v>
      </c>
      <c r="D2562" s="130" t="s">
        <v>377</v>
      </c>
      <c r="E2562" s="132">
        <v>18466.13</v>
      </c>
    </row>
    <row r="2563" spans="1:5" x14ac:dyDescent="0.25">
      <c r="A2563" s="130" t="s">
        <v>4</v>
      </c>
      <c r="B2563" s="130" t="s">
        <v>579</v>
      </c>
      <c r="C2563" s="130" t="s">
        <v>608</v>
      </c>
      <c r="D2563" s="130" t="s">
        <v>258</v>
      </c>
      <c r="E2563" s="132">
        <v>7647.43</v>
      </c>
    </row>
    <row r="2564" spans="1:5" x14ac:dyDescent="0.25">
      <c r="A2564" s="130" t="s">
        <v>4</v>
      </c>
      <c r="B2564" s="130" t="s">
        <v>579</v>
      </c>
      <c r="C2564" s="130" t="s">
        <v>608</v>
      </c>
      <c r="D2564" s="130" t="s">
        <v>506</v>
      </c>
      <c r="E2564" s="132">
        <v>4299.75</v>
      </c>
    </row>
    <row r="2565" spans="1:5" x14ac:dyDescent="0.25">
      <c r="A2565" s="130" t="s">
        <v>4</v>
      </c>
      <c r="B2565" s="130" t="s">
        <v>579</v>
      </c>
      <c r="C2565" s="130" t="s">
        <v>608</v>
      </c>
      <c r="D2565" s="130" t="s">
        <v>285</v>
      </c>
      <c r="E2565" s="132">
        <v>1107.4000000000001</v>
      </c>
    </row>
    <row r="2566" spans="1:5" x14ac:dyDescent="0.25">
      <c r="A2566" s="130" t="s">
        <v>4</v>
      </c>
      <c r="B2566" s="130" t="s">
        <v>579</v>
      </c>
      <c r="C2566" s="130" t="s">
        <v>608</v>
      </c>
      <c r="D2566" s="130" t="s">
        <v>679</v>
      </c>
      <c r="E2566" s="132">
        <v>2036.71</v>
      </c>
    </row>
    <row r="2567" spans="1:5" x14ac:dyDescent="0.25">
      <c r="A2567" s="130" t="s">
        <v>4</v>
      </c>
      <c r="B2567" s="130" t="s">
        <v>579</v>
      </c>
      <c r="C2567" s="130" t="s">
        <v>608</v>
      </c>
      <c r="D2567" s="130" t="s">
        <v>294</v>
      </c>
      <c r="E2567" s="132">
        <v>1286.44</v>
      </c>
    </row>
    <row r="2568" spans="1:5" x14ac:dyDescent="0.25">
      <c r="A2568" s="130" t="s">
        <v>4</v>
      </c>
      <c r="B2568" s="130" t="s">
        <v>579</v>
      </c>
      <c r="C2568" s="130" t="s">
        <v>608</v>
      </c>
      <c r="D2568" s="130" t="s">
        <v>383</v>
      </c>
      <c r="E2568" s="132">
        <v>1603.27</v>
      </c>
    </row>
    <row r="2569" spans="1:5" x14ac:dyDescent="0.25">
      <c r="A2569" s="130" t="s">
        <v>4</v>
      </c>
      <c r="B2569" s="130" t="s">
        <v>579</v>
      </c>
      <c r="C2569" s="130" t="s">
        <v>608</v>
      </c>
      <c r="D2569" s="130" t="s">
        <v>1080</v>
      </c>
      <c r="E2569" s="132">
        <v>2476.41</v>
      </c>
    </row>
    <row r="2570" spans="1:5" x14ac:dyDescent="0.25">
      <c r="A2570" s="130" t="s">
        <v>4</v>
      </c>
      <c r="B2570" s="130" t="s">
        <v>579</v>
      </c>
      <c r="C2570" s="130" t="s">
        <v>608</v>
      </c>
      <c r="D2570" s="130" t="s">
        <v>814</v>
      </c>
      <c r="E2570" s="132">
        <v>2403.42</v>
      </c>
    </row>
    <row r="2571" spans="1:5" x14ac:dyDescent="0.25">
      <c r="A2571" s="130" t="s">
        <v>4</v>
      </c>
      <c r="B2571" s="130" t="s">
        <v>579</v>
      </c>
      <c r="C2571" s="130" t="s">
        <v>608</v>
      </c>
      <c r="D2571" s="130" t="s">
        <v>617</v>
      </c>
      <c r="E2571" s="132">
        <v>3398.87</v>
      </c>
    </row>
    <row r="2572" spans="1:5" x14ac:dyDescent="0.25">
      <c r="A2572" s="130" t="s">
        <v>4</v>
      </c>
      <c r="B2572" s="130" t="s">
        <v>579</v>
      </c>
      <c r="C2572" s="130" t="s">
        <v>608</v>
      </c>
      <c r="D2572" s="130" t="s">
        <v>955</v>
      </c>
      <c r="E2572" s="132">
        <v>810.9</v>
      </c>
    </row>
    <row r="2573" spans="1:5" x14ac:dyDescent="0.25">
      <c r="A2573" s="130" t="s">
        <v>4</v>
      </c>
      <c r="B2573" s="130" t="s">
        <v>579</v>
      </c>
      <c r="C2573" s="130" t="s">
        <v>608</v>
      </c>
      <c r="D2573" s="130" t="s">
        <v>288</v>
      </c>
      <c r="E2573" s="132">
        <v>12924.12</v>
      </c>
    </row>
    <row r="2574" spans="1:5" x14ac:dyDescent="0.25">
      <c r="A2574" s="130" t="s">
        <v>4</v>
      </c>
      <c r="B2574" s="130" t="s">
        <v>579</v>
      </c>
      <c r="C2574" s="130" t="s">
        <v>608</v>
      </c>
      <c r="D2574" s="130" t="s">
        <v>261</v>
      </c>
      <c r="E2574" s="132">
        <v>3195.79</v>
      </c>
    </row>
    <row r="2575" spans="1:5" x14ac:dyDescent="0.25">
      <c r="A2575" s="130" t="s">
        <v>4</v>
      </c>
      <c r="B2575" s="130" t="s">
        <v>579</v>
      </c>
      <c r="C2575" s="130" t="s">
        <v>608</v>
      </c>
      <c r="D2575" s="130" t="s">
        <v>1081</v>
      </c>
      <c r="E2575" s="132">
        <v>5941.54</v>
      </c>
    </row>
    <row r="2576" spans="1:5" x14ac:dyDescent="0.25">
      <c r="A2576" s="130" t="s">
        <v>4</v>
      </c>
      <c r="B2576" s="130" t="s">
        <v>579</v>
      </c>
      <c r="C2576" s="130" t="s">
        <v>608</v>
      </c>
      <c r="D2576" s="130" t="s">
        <v>253</v>
      </c>
      <c r="E2576" s="132">
        <v>3228.13</v>
      </c>
    </row>
    <row r="2577" spans="1:5" x14ac:dyDescent="0.25">
      <c r="A2577" s="130" t="s">
        <v>4</v>
      </c>
      <c r="B2577" s="130" t="s">
        <v>579</v>
      </c>
      <c r="C2577" s="130" t="s">
        <v>608</v>
      </c>
      <c r="D2577" s="130" t="s">
        <v>254</v>
      </c>
      <c r="E2577" s="132">
        <v>6098.48</v>
      </c>
    </row>
    <row r="2578" spans="1:5" x14ac:dyDescent="0.25">
      <c r="A2578" s="130" t="s">
        <v>4</v>
      </c>
      <c r="B2578" s="130" t="s">
        <v>579</v>
      </c>
      <c r="C2578" s="130" t="s">
        <v>608</v>
      </c>
      <c r="D2578" s="130" t="s">
        <v>853</v>
      </c>
      <c r="E2578" s="132">
        <v>2414.16</v>
      </c>
    </row>
    <row r="2579" spans="1:5" x14ac:dyDescent="0.25">
      <c r="A2579" s="130" t="s">
        <v>4</v>
      </c>
      <c r="B2579" s="130" t="s">
        <v>579</v>
      </c>
      <c r="C2579" s="130" t="s">
        <v>608</v>
      </c>
      <c r="D2579" s="130" t="s">
        <v>560</v>
      </c>
      <c r="E2579" s="132">
        <v>13588.95</v>
      </c>
    </row>
    <row r="2580" spans="1:5" x14ac:dyDescent="0.25">
      <c r="A2580" s="130" t="s">
        <v>4</v>
      </c>
      <c r="B2580" s="130" t="s">
        <v>579</v>
      </c>
      <c r="C2580" s="130" t="s">
        <v>608</v>
      </c>
      <c r="D2580" s="130" t="s">
        <v>310</v>
      </c>
      <c r="E2580" s="132">
        <v>1265.98</v>
      </c>
    </row>
    <row r="2581" spans="1:5" x14ac:dyDescent="0.25">
      <c r="A2581" s="130" t="s">
        <v>4</v>
      </c>
      <c r="B2581" s="130" t="s">
        <v>579</v>
      </c>
      <c r="C2581" s="130" t="s">
        <v>608</v>
      </c>
      <c r="D2581" s="130" t="s">
        <v>259</v>
      </c>
      <c r="E2581" s="132">
        <v>29000.51</v>
      </c>
    </row>
    <row r="2582" spans="1:5" x14ac:dyDescent="0.25">
      <c r="A2582" s="130" t="s">
        <v>4</v>
      </c>
      <c r="B2582" s="130" t="s">
        <v>579</v>
      </c>
      <c r="C2582" s="130" t="s">
        <v>608</v>
      </c>
      <c r="D2582" s="130" t="s">
        <v>726</v>
      </c>
      <c r="E2582" s="132">
        <v>5249.98</v>
      </c>
    </row>
    <row r="2583" spans="1:5" x14ac:dyDescent="0.25">
      <c r="A2583" s="130" t="s">
        <v>4</v>
      </c>
      <c r="B2583" s="130" t="s">
        <v>579</v>
      </c>
      <c r="C2583" s="130" t="s">
        <v>608</v>
      </c>
      <c r="D2583" s="130" t="s">
        <v>541</v>
      </c>
      <c r="E2583" s="132">
        <v>782.78</v>
      </c>
    </row>
    <row r="2584" spans="1:5" x14ac:dyDescent="0.25">
      <c r="A2584" s="130" t="s">
        <v>4</v>
      </c>
      <c r="B2584" s="130" t="s">
        <v>579</v>
      </c>
      <c r="C2584" s="130" t="s">
        <v>608</v>
      </c>
      <c r="D2584" s="130" t="s">
        <v>550</v>
      </c>
      <c r="E2584" s="132">
        <v>1036.48</v>
      </c>
    </row>
    <row r="2585" spans="1:5" x14ac:dyDescent="0.25">
      <c r="A2585" s="130" t="s">
        <v>4</v>
      </c>
      <c r="B2585" s="130" t="s">
        <v>579</v>
      </c>
      <c r="C2585" s="130" t="s">
        <v>608</v>
      </c>
      <c r="D2585" s="130" t="s">
        <v>251</v>
      </c>
      <c r="E2585" s="132">
        <v>11952.19</v>
      </c>
    </row>
    <row r="2586" spans="1:5" x14ac:dyDescent="0.25">
      <c r="A2586" s="130" t="s">
        <v>4</v>
      </c>
      <c r="B2586" s="130" t="s">
        <v>579</v>
      </c>
      <c r="C2586" s="130" t="s">
        <v>608</v>
      </c>
      <c r="D2586" s="130" t="s">
        <v>382</v>
      </c>
      <c r="E2586" s="132">
        <v>1228.5</v>
      </c>
    </row>
    <row r="2587" spans="1:5" x14ac:dyDescent="0.25">
      <c r="A2587" s="130" t="s">
        <v>4</v>
      </c>
      <c r="B2587" s="130" t="s">
        <v>579</v>
      </c>
      <c r="C2587" s="130" t="s">
        <v>608</v>
      </c>
      <c r="D2587" s="130" t="s">
        <v>310</v>
      </c>
      <c r="E2587" s="132">
        <v>35976.6</v>
      </c>
    </row>
    <row r="2588" spans="1:5" x14ac:dyDescent="0.25">
      <c r="A2588" s="130" t="s">
        <v>4</v>
      </c>
      <c r="B2588" s="130" t="s">
        <v>579</v>
      </c>
      <c r="C2588" s="130" t="s">
        <v>608</v>
      </c>
      <c r="D2588" s="130" t="s">
        <v>338</v>
      </c>
      <c r="E2588" s="132">
        <v>19920.599999999999</v>
      </c>
    </row>
    <row r="2589" spans="1:5" x14ac:dyDescent="0.25">
      <c r="A2589" s="130" t="s">
        <v>4</v>
      </c>
      <c r="B2589" s="130" t="s">
        <v>579</v>
      </c>
      <c r="C2589" s="130" t="s">
        <v>608</v>
      </c>
      <c r="D2589" s="130" t="s">
        <v>303</v>
      </c>
      <c r="E2589" s="132">
        <v>10395</v>
      </c>
    </row>
    <row r="2590" spans="1:5" x14ac:dyDescent="0.25">
      <c r="A2590" s="130" t="s">
        <v>4</v>
      </c>
      <c r="B2590" s="130" t="s">
        <v>579</v>
      </c>
      <c r="C2590" s="130" t="s">
        <v>608</v>
      </c>
      <c r="D2590" s="130" t="s">
        <v>238</v>
      </c>
      <c r="E2590" s="132">
        <v>2016</v>
      </c>
    </row>
    <row r="2591" spans="1:5" x14ac:dyDescent="0.25">
      <c r="A2591" s="130" t="s">
        <v>4</v>
      </c>
      <c r="B2591" s="130" t="s">
        <v>579</v>
      </c>
      <c r="C2591" s="130" t="s">
        <v>608</v>
      </c>
      <c r="D2591" s="130" t="s">
        <v>526</v>
      </c>
      <c r="E2591" s="132">
        <v>321.72000000000003</v>
      </c>
    </row>
    <row r="2592" spans="1:5" x14ac:dyDescent="0.25">
      <c r="A2592" s="130" t="s">
        <v>4</v>
      </c>
      <c r="B2592" s="130" t="s">
        <v>579</v>
      </c>
      <c r="C2592" s="130" t="s">
        <v>608</v>
      </c>
      <c r="D2592" s="130" t="s">
        <v>569</v>
      </c>
      <c r="E2592" s="132">
        <v>2164.4699999999998</v>
      </c>
    </row>
    <row r="2593" spans="1:5" x14ac:dyDescent="0.25">
      <c r="A2593" s="130" t="s">
        <v>4</v>
      </c>
      <c r="B2593" s="130" t="s">
        <v>579</v>
      </c>
      <c r="C2593" s="130" t="s">
        <v>608</v>
      </c>
      <c r="D2593" s="130" t="s">
        <v>232</v>
      </c>
      <c r="E2593" s="132">
        <v>17075.52</v>
      </c>
    </row>
    <row r="2594" spans="1:5" x14ac:dyDescent="0.25">
      <c r="A2594" s="130" t="s">
        <v>4</v>
      </c>
      <c r="B2594" s="130" t="s">
        <v>579</v>
      </c>
      <c r="C2594" s="130" t="s">
        <v>608</v>
      </c>
      <c r="D2594" s="130" t="s">
        <v>576</v>
      </c>
      <c r="E2594" s="132">
        <v>27855.3</v>
      </c>
    </row>
    <row r="2595" spans="1:5" x14ac:dyDescent="0.25">
      <c r="A2595" s="130" t="s">
        <v>4</v>
      </c>
      <c r="B2595" s="130" t="s">
        <v>579</v>
      </c>
      <c r="C2595" s="130" t="s">
        <v>608</v>
      </c>
      <c r="D2595" s="130" t="s">
        <v>337</v>
      </c>
      <c r="E2595" s="132">
        <v>30456.6</v>
      </c>
    </row>
    <row r="2596" spans="1:5" x14ac:dyDescent="0.25">
      <c r="A2596" s="130" t="s">
        <v>4</v>
      </c>
      <c r="B2596" s="130" t="s">
        <v>579</v>
      </c>
      <c r="C2596" s="130" t="s">
        <v>608</v>
      </c>
      <c r="D2596" s="130" t="s">
        <v>277</v>
      </c>
      <c r="E2596" s="132">
        <v>15366.02</v>
      </c>
    </row>
    <row r="2597" spans="1:5" x14ac:dyDescent="0.25">
      <c r="A2597" s="130" t="s">
        <v>4</v>
      </c>
      <c r="B2597" s="130" t="s">
        <v>579</v>
      </c>
      <c r="C2597" s="130" t="s">
        <v>608</v>
      </c>
      <c r="D2597" s="130" t="s">
        <v>278</v>
      </c>
      <c r="E2597" s="132">
        <v>15331.25</v>
      </c>
    </row>
    <row r="2598" spans="1:5" x14ac:dyDescent="0.25">
      <c r="A2598" s="130" t="s">
        <v>4</v>
      </c>
      <c r="B2598" s="130" t="s">
        <v>579</v>
      </c>
      <c r="C2598" s="130" t="s">
        <v>608</v>
      </c>
      <c r="D2598" s="130" t="s">
        <v>393</v>
      </c>
      <c r="E2598" s="132">
        <v>26482.2</v>
      </c>
    </row>
    <row r="2599" spans="1:5" x14ac:dyDescent="0.25">
      <c r="A2599" s="130" t="s">
        <v>4</v>
      </c>
      <c r="B2599" s="130" t="s">
        <v>579</v>
      </c>
      <c r="C2599" s="130" t="s">
        <v>608</v>
      </c>
      <c r="D2599" s="130" t="s">
        <v>347</v>
      </c>
      <c r="E2599" s="132">
        <v>2259.06</v>
      </c>
    </row>
    <row r="2600" spans="1:5" x14ac:dyDescent="0.25">
      <c r="A2600" s="130" t="s">
        <v>4</v>
      </c>
      <c r="B2600" s="130" t="s">
        <v>579</v>
      </c>
      <c r="C2600" s="130" t="s">
        <v>608</v>
      </c>
      <c r="D2600" s="130" t="s">
        <v>348</v>
      </c>
      <c r="E2600" s="132">
        <v>2659.26</v>
      </c>
    </row>
    <row r="2601" spans="1:5" x14ac:dyDescent="0.25">
      <c r="A2601" s="130" t="s">
        <v>4</v>
      </c>
      <c r="B2601" s="130" t="s">
        <v>579</v>
      </c>
      <c r="C2601" s="130" t="s">
        <v>608</v>
      </c>
      <c r="D2601" s="130" t="s">
        <v>549</v>
      </c>
      <c r="E2601" s="132">
        <v>3309.24</v>
      </c>
    </row>
    <row r="2602" spans="1:5" x14ac:dyDescent="0.25">
      <c r="A2602" s="130" t="s">
        <v>4</v>
      </c>
      <c r="B2602" s="130" t="s">
        <v>579</v>
      </c>
      <c r="C2602" s="130" t="s">
        <v>608</v>
      </c>
      <c r="D2602" s="130" t="s">
        <v>349</v>
      </c>
      <c r="E2602" s="132">
        <v>7054.56</v>
      </c>
    </row>
    <row r="2603" spans="1:5" x14ac:dyDescent="0.25">
      <c r="A2603" s="130" t="s">
        <v>4</v>
      </c>
      <c r="B2603" s="130" t="s">
        <v>579</v>
      </c>
      <c r="C2603" s="130" t="s">
        <v>608</v>
      </c>
      <c r="D2603" s="130" t="s">
        <v>528</v>
      </c>
      <c r="E2603" s="132">
        <v>5231.92</v>
      </c>
    </row>
    <row r="2604" spans="1:5" x14ac:dyDescent="0.25">
      <c r="A2604" s="130" t="s">
        <v>4</v>
      </c>
      <c r="B2604" s="130" t="s">
        <v>579</v>
      </c>
      <c r="C2604" s="130" t="s">
        <v>608</v>
      </c>
      <c r="D2604" s="130" t="s">
        <v>529</v>
      </c>
      <c r="E2604" s="132">
        <v>6127.54</v>
      </c>
    </row>
    <row r="2605" spans="1:5" x14ac:dyDescent="0.25">
      <c r="A2605" s="130" t="s">
        <v>4</v>
      </c>
      <c r="B2605" s="130" t="s">
        <v>579</v>
      </c>
      <c r="C2605" s="130" t="s">
        <v>608</v>
      </c>
      <c r="D2605" s="130" t="s">
        <v>459</v>
      </c>
      <c r="E2605" s="132">
        <v>11291.16</v>
      </c>
    </row>
    <row r="2606" spans="1:5" x14ac:dyDescent="0.25">
      <c r="A2606" s="130" t="s">
        <v>4</v>
      </c>
      <c r="B2606" s="130" t="s">
        <v>579</v>
      </c>
      <c r="C2606" s="130" t="s">
        <v>608</v>
      </c>
      <c r="D2606" s="130" t="s">
        <v>1037</v>
      </c>
      <c r="E2606" s="132">
        <v>20045.47</v>
      </c>
    </row>
    <row r="2607" spans="1:5" x14ac:dyDescent="0.25">
      <c r="A2607" s="130" t="s">
        <v>4</v>
      </c>
      <c r="B2607" s="130" t="s">
        <v>579</v>
      </c>
      <c r="C2607" s="130" t="s">
        <v>608</v>
      </c>
      <c r="D2607" s="130" t="s">
        <v>802</v>
      </c>
      <c r="E2607" s="132">
        <v>4613.68</v>
      </c>
    </row>
    <row r="2608" spans="1:5" x14ac:dyDescent="0.25">
      <c r="A2608" s="130" t="s">
        <v>4</v>
      </c>
      <c r="B2608" s="130" t="s">
        <v>579</v>
      </c>
      <c r="C2608" s="130" t="s">
        <v>608</v>
      </c>
      <c r="D2608" s="130" t="s">
        <v>1082</v>
      </c>
      <c r="E2608" s="132">
        <v>4936.6000000000004</v>
      </c>
    </row>
    <row r="2609" spans="1:5" x14ac:dyDescent="0.25">
      <c r="A2609" s="130" t="s">
        <v>4</v>
      </c>
      <c r="B2609" s="130" t="s">
        <v>579</v>
      </c>
      <c r="C2609" s="130" t="s">
        <v>608</v>
      </c>
      <c r="D2609" s="130" t="s">
        <v>563</v>
      </c>
      <c r="E2609" s="132">
        <v>12687.44</v>
      </c>
    </row>
    <row r="2610" spans="1:5" x14ac:dyDescent="0.25">
      <c r="A2610" s="130" t="s">
        <v>4</v>
      </c>
      <c r="B2610" s="130" t="s">
        <v>579</v>
      </c>
      <c r="C2610" s="130" t="s">
        <v>608</v>
      </c>
      <c r="D2610" s="130" t="s">
        <v>803</v>
      </c>
      <c r="E2610" s="132">
        <v>12036.36</v>
      </c>
    </row>
    <row r="2611" spans="1:5" x14ac:dyDescent="0.25">
      <c r="A2611" s="130" t="s">
        <v>4</v>
      </c>
      <c r="B2611" s="130" t="s">
        <v>579</v>
      </c>
      <c r="C2611" s="130" t="s">
        <v>608</v>
      </c>
      <c r="D2611" s="130" t="s">
        <v>487</v>
      </c>
      <c r="E2611" s="132">
        <v>20073.2</v>
      </c>
    </row>
    <row r="2612" spans="1:5" x14ac:dyDescent="0.25">
      <c r="A2612" s="130" t="s">
        <v>4</v>
      </c>
      <c r="B2612" s="130" t="s">
        <v>579</v>
      </c>
      <c r="C2612" s="130" t="s">
        <v>608</v>
      </c>
      <c r="D2612" s="130" t="s">
        <v>1083</v>
      </c>
      <c r="E2612" s="132">
        <v>7134.71</v>
      </c>
    </row>
    <row r="2613" spans="1:5" x14ac:dyDescent="0.25">
      <c r="A2613" s="130" t="s">
        <v>4</v>
      </c>
      <c r="B2613" s="130" t="s">
        <v>579</v>
      </c>
      <c r="C2613" s="130" t="s">
        <v>608</v>
      </c>
      <c r="D2613" s="130" t="s">
        <v>1084</v>
      </c>
      <c r="E2613" s="132">
        <v>7881.87</v>
      </c>
    </row>
    <row r="2614" spans="1:5" x14ac:dyDescent="0.25">
      <c r="A2614" s="130" t="s">
        <v>4</v>
      </c>
      <c r="B2614" s="130" t="s">
        <v>579</v>
      </c>
      <c r="C2614" s="130" t="s">
        <v>608</v>
      </c>
      <c r="D2614" s="130" t="s">
        <v>959</v>
      </c>
      <c r="E2614" s="132">
        <v>3542.1</v>
      </c>
    </row>
    <row r="2615" spans="1:5" x14ac:dyDescent="0.25">
      <c r="A2615" s="130" t="s">
        <v>4</v>
      </c>
      <c r="B2615" s="130" t="s">
        <v>579</v>
      </c>
      <c r="C2615" s="130" t="s">
        <v>608</v>
      </c>
      <c r="D2615" s="130" t="s">
        <v>418</v>
      </c>
      <c r="E2615" s="132">
        <v>1625.98</v>
      </c>
    </row>
    <row r="2616" spans="1:5" x14ac:dyDescent="0.25">
      <c r="A2616" s="130" t="s">
        <v>4</v>
      </c>
      <c r="B2616" s="130" t="s">
        <v>579</v>
      </c>
      <c r="C2616" s="130" t="s">
        <v>608</v>
      </c>
      <c r="D2616" s="130" t="s">
        <v>315</v>
      </c>
      <c r="E2616" s="132">
        <v>3101.52</v>
      </c>
    </row>
    <row r="2617" spans="1:5" x14ac:dyDescent="0.25">
      <c r="A2617" s="130" t="s">
        <v>4</v>
      </c>
      <c r="B2617" s="130" t="s">
        <v>579</v>
      </c>
      <c r="C2617" s="130" t="s">
        <v>608</v>
      </c>
      <c r="D2617" s="130" t="s">
        <v>438</v>
      </c>
      <c r="E2617" s="132">
        <v>22887.58</v>
      </c>
    </row>
    <row r="2618" spans="1:5" x14ac:dyDescent="0.25">
      <c r="A2618" s="130" t="s">
        <v>4</v>
      </c>
      <c r="B2618" s="130" t="s">
        <v>579</v>
      </c>
      <c r="C2618" s="130" t="s">
        <v>608</v>
      </c>
      <c r="D2618" s="130" t="s">
        <v>357</v>
      </c>
      <c r="E2618" s="132">
        <v>11726.82</v>
      </c>
    </row>
    <row r="2619" spans="1:5" x14ac:dyDescent="0.25">
      <c r="A2619" s="130" t="s">
        <v>4</v>
      </c>
      <c r="B2619" s="130" t="s">
        <v>579</v>
      </c>
      <c r="C2619" s="130" t="s">
        <v>608</v>
      </c>
      <c r="D2619" s="130" t="s">
        <v>318</v>
      </c>
      <c r="E2619" s="132">
        <v>21306.6</v>
      </c>
    </row>
    <row r="2620" spans="1:5" x14ac:dyDescent="0.25">
      <c r="A2620" s="130" t="s">
        <v>4</v>
      </c>
      <c r="B2620" s="130" t="s">
        <v>579</v>
      </c>
      <c r="C2620" s="130" t="s">
        <v>608</v>
      </c>
      <c r="D2620" s="130" t="s">
        <v>336</v>
      </c>
      <c r="E2620" s="132">
        <v>8498.2000000000007</v>
      </c>
    </row>
    <row r="2621" spans="1:5" x14ac:dyDescent="0.25">
      <c r="A2621" s="130" t="s">
        <v>4</v>
      </c>
      <c r="B2621" s="130" t="s">
        <v>579</v>
      </c>
      <c r="C2621" s="130" t="s">
        <v>608</v>
      </c>
      <c r="D2621" s="130" t="s">
        <v>1053</v>
      </c>
      <c r="E2621" s="132">
        <v>745.26</v>
      </c>
    </row>
    <row r="2622" spans="1:5" x14ac:dyDescent="0.25">
      <c r="A2622" s="130" t="s">
        <v>4</v>
      </c>
      <c r="B2622" s="130" t="s">
        <v>579</v>
      </c>
      <c r="C2622" s="130" t="s">
        <v>608</v>
      </c>
      <c r="D2622" s="130" t="s">
        <v>437</v>
      </c>
      <c r="E2622" s="132">
        <v>1151.29</v>
      </c>
    </row>
    <row r="2623" spans="1:5" x14ac:dyDescent="0.25">
      <c r="A2623" s="130" t="s">
        <v>4</v>
      </c>
      <c r="B2623" s="130" t="s">
        <v>579</v>
      </c>
      <c r="C2623" s="130" t="s">
        <v>608</v>
      </c>
      <c r="D2623" s="130" t="s">
        <v>662</v>
      </c>
      <c r="E2623" s="132">
        <v>682.29</v>
      </c>
    </row>
    <row r="2624" spans="1:5" x14ac:dyDescent="0.25">
      <c r="A2624" s="130" t="s">
        <v>4</v>
      </c>
      <c r="B2624" s="130" t="s">
        <v>579</v>
      </c>
      <c r="C2624" s="130" t="s">
        <v>608</v>
      </c>
      <c r="D2624" s="130" t="s">
        <v>663</v>
      </c>
      <c r="E2624" s="132">
        <v>932.78</v>
      </c>
    </row>
    <row r="2625" spans="1:5" x14ac:dyDescent="0.25">
      <c r="A2625" s="130" t="s">
        <v>4</v>
      </c>
      <c r="B2625" s="130" t="s">
        <v>579</v>
      </c>
      <c r="C2625" s="130" t="s">
        <v>608</v>
      </c>
      <c r="D2625" s="130" t="s">
        <v>736</v>
      </c>
      <c r="E2625" s="132">
        <v>2005.16</v>
      </c>
    </row>
    <row r="2626" spans="1:5" x14ac:dyDescent="0.25">
      <c r="A2626" s="130" t="s">
        <v>4</v>
      </c>
      <c r="B2626" s="130" t="s">
        <v>579</v>
      </c>
      <c r="C2626" s="130" t="s">
        <v>608</v>
      </c>
      <c r="D2626" s="130" t="s">
        <v>699</v>
      </c>
      <c r="E2626" s="132">
        <v>2142.5700000000002</v>
      </c>
    </row>
    <row r="2627" spans="1:5" x14ac:dyDescent="0.25">
      <c r="A2627" s="130" t="s">
        <v>4</v>
      </c>
      <c r="B2627" s="130" t="s">
        <v>579</v>
      </c>
      <c r="C2627" s="130" t="s">
        <v>608</v>
      </c>
      <c r="D2627" s="130" t="s">
        <v>361</v>
      </c>
      <c r="E2627" s="132">
        <v>1166.1300000000001</v>
      </c>
    </row>
    <row r="2628" spans="1:5" x14ac:dyDescent="0.25">
      <c r="A2628" s="130" t="s">
        <v>4</v>
      </c>
      <c r="B2628" s="130" t="s">
        <v>579</v>
      </c>
      <c r="C2628" s="130" t="s">
        <v>608</v>
      </c>
      <c r="D2628" s="130" t="s">
        <v>384</v>
      </c>
      <c r="E2628" s="132">
        <v>3522.96</v>
      </c>
    </row>
    <row r="2629" spans="1:5" x14ac:dyDescent="0.25">
      <c r="A2629" s="130" t="s">
        <v>4</v>
      </c>
      <c r="B2629" s="130" t="s">
        <v>579</v>
      </c>
      <c r="C2629" s="130" t="s">
        <v>608</v>
      </c>
      <c r="D2629" s="130" t="s">
        <v>267</v>
      </c>
      <c r="E2629" s="132">
        <v>5682.28</v>
      </c>
    </row>
    <row r="2630" spans="1:5" x14ac:dyDescent="0.25">
      <c r="A2630" s="130" t="s">
        <v>4</v>
      </c>
      <c r="B2630" s="130" t="s">
        <v>579</v>
      </c>
      <c r="C2630" s="130" t="s">
        <v>608</v>
      </c>
      <c r="D2630" s="130" t="s">
        <v>853</v>
      </c>
      <c r="E2630" s="132">
        <v>13255.51</v>
      </c>
    </row>
    <row r="2631" spans="1:5" x14ac:dyDescent="0.25">
      <c r="A2631" s="130" t="s">
        <v>4</v>
      </c>
      <c r="B2631" s="130" t="s">
        <v>579</v>
      </c>
      <c r="C2631" s="130" t="s">
        <v>608</v>
      </c>
      <c r="D2631" s="130" t="s">
        <v>331</v>
      </c>
      <c r="E2631" s="132">
        <v>9876.19</v>
      </c>
    </row>
    <row r="2632" spans="1:5" x14ac:dyDescent="0.25">
      <c r="A2632" s="130" t="s">
        <v>4</v>
      </c>
      <c r="B2632" s="130" t="s">
        <v>579</v>
      </c>
      <c r="C2632" s="130" t="s">
        <v>608</v>
      </c>
      <c r="D2632" s="130" t="s">
        <v>701</v>
      </c>
      <c r="E2632" s="132">
        <v>4401.5600000000004</v>
      </c>
    </row>
    <row r="2633" spans="1:5" x14ac:dyDescent="0.25">
      <c r="A2633" s="130" t="s">
        <v>4</v>
      </c>
      <c r="B2633" s="130" t="s">
        <v>579</v>
      </c>
      <c r="C2633" s="130" t="s">
        <v>608</v>
      </c>
      <c r="D2633" s="130" t="s">
        <v>702</v>
      </c>
      <c r="E2633" s="132">
        <v>7319.59</v>
      </c>
    </row>
    <row r="2634" spans="1:5" x14ac:dyDescent="0.25">
      <c r="A2634" s="130" t="s">
        <v>4</v>
      </c>
      <c r="B2634" s="130" t="s">
        <v>579</v>
      </c>
      <c r="C2634" s="130" t="s">
        <v>608</v>
      </c>
      <c r="D2634" s="130" t="s">
        <v>353</v>
      </c>
      <c r="E2634" s="132">
        <v>10467.450000000001</v>
      </c>
    </row>
    <row r="2635" spans="1:5" x14ac:dyDescent="0.25">
      <c r="A2635" s="130" t="s">
        <v>4</v>
      </c>
      <c r="B2635" s="130" t="s">
        <v>579</v>
      </c>
      <c r="C2635" s="130" t="s">
        <v>608</v>
      </c>
      <c r="D2635" s="130" t="s">
        <v>809</v>
      </c>
      <c r="E2635" s="132">
        <v>3107.35</v>
      </c>
    </row>
    <row r="2636" spans="1:5" x14ac:dyDescent="0.25">
      <c r="A2636" s="130" t="s">
        <v>4</v>
      </c>
      <c r="B2636" s="130" t="s">
        <v>579</v>
      </c>
      <c r="C2636" s="130" t="s">
        <v>608</v>
      </c>
      <c r="D2636" s="130" t="s">
        <v>738</v>
      </c>
      <c r="E2636" s="132">
        <v>9005.09</v>
      </c>
    </row>
    <row r="2637" spans="1:5" x14ac:dyDescent="0.25">
      <c r="A2637" s="130" t="s">
        <v>4</v>
      </c>
      <c r="B2637" s="130" t="s">
        <v>579</v>
      </c>
      <c r="C2637" s="130" t="s">
        <v>608</v>
      </c>
      <c r="D2637" s="130" t="s">
        <v>974</v>
      </c>
      <c r="E2637" s="132">
        <v>577.54999999999995</v>
      </c>
    </row>
    <row r="2638" spans="1:5" x14ac:dyDescent="0.25">
      <c r="A2638" s="130" t="s">
        <v>4</v>
      </c>
      <c r="B2638" s="130" t="s">
        <v>579</v>
      </c>
      <c r="C2638" s="130" t="s">
        <v>608</v>
      </c>
      <c r="D2638" s="130" t="s">
        <v>397</v>
      </c>
      <c r="E2638" s="132">
        <v>660.62</v>
      </c>
    </row>
    <row r="2639" spans="1:5" x14ac:dyDescent="0.25">
      <c r="A2639" s="130" t="s">
        <v>4</v>
      </c>
      <c r="B2639" s="130" t="s">
        <v>579</v>
      </c>
      <c r="C2639" s="130" t="s">
        <v>608</v>
      </c>
      <c r="D2639" s="130" t="s">
        <v>399</v>
      </c>
      <c r="E2639" s="132">
        <v>831.55</v>
      </c>
    </row>
    <row r="2640" spans="1:5" x14ac:dyDescent="0.25">
      <c r="A2640" s="130" t="s">
        <v>4</v>
      </c>
      <c r="B2640" s="130" t="s">
        <v>579</v>
      </c>
      <c r="C2640" s="130" t="s">
        <v>608</v>
      </c>
      <c r="D2640" s="130" t="s">
        <v>401</v>
      </c>
      <c r="E2640" s="132">
        <v>1375.11</v>
      </c>
    </row>
    <row r="2641" spans="1:5" x14ac:dyDescent="0.25">
      <c r="A2641" s="130" t="s">
        <v>4</v>
      </c>
      <c r="B2641" s="130" t="s">
        <v>579</v>
      </c>
      <c r="C2641" s="130" t="s">
        <v>608</v>
      </c>
      <c r="D2641" s="130" t="s">
        <v>723</v>
      </c>
      <c r="E2641" s="132">
        <v>764.29</v>
      </c>
    </row>
    <row r="2642" spans="1:5" x14ac:dyDescent="0.25">
      <c r="A2642" s="130" t="s">
        <v>4</v>
      </c>
      <c r="B2642" s="130" t="s">
        <v>579</v>
      </c>
      <c r="C2642" s="130" t="s">
        <v>608</v>
      </c>
      <c r="D2642" s="130" t="s">
        <v>614</v>
      </c>
      <c r="E2642" s="132">
        <v>814.91</v>
      </c>
    </row>
    <row r="2643" spans="1:5" x14ac:dyDescent="0.25">
      <c r="A2643" s="130" t="s">
        <v>4</v>
      </c>
      <c r="B2643" s="130" t="s">
        <v>579</v>
      </c>
      <c r="C2643" s="130" t="s">
        <v>608</v>
      </c>
      <c r="D2643" s="130" t="s">
        <v>382</v>
      </c>
      <c r="E2643" s="132">
        <v>1229.5</v>
      </c>
    </row>
    <row r="2644" spans="1:5" x14ac:dyDescent="0.25">
      <c r="A2644" s="130" t="s">
        <v>4</v>
      </c>
      <c r="B2644" s="130" t="s">
        <v>579</v>
      </c>
      <c r="C2644" s="130" t="s">
        <v>608</v>
      </c>
      <c r="D2644" s="130" t="s">
        <v>706</v>
      </c>
      <c r="E2644" s="132">
        <v>1439.19</v>
      </c>
    </row>
    <row r="2645" spans="1:5" x14ac:dyDescent="0.25">
      <c r="A2645" s="130" t="s">
        <v>4</v>
      </c>
      <c r="B2645" s="130" t="s">
        <v>579</v>
      </c>
      <c r="C2645" s="130" t="s">
        <v>608</v>
      </c>
      <c r="D2645" s="130" t="s">
        <v>440</v>
      </c>
      <c r="E2645" s="132">
        <v>1652.77</v>
      </c>
    </row>
    <row r="2646" spans="1:5" x14ac:dyDescent="0.25">
      <c r="A2646" s="130" t="s">
        <v>4</v>
      </c>
      <c r="B2646" s="130" t="s">
        <v>579</v>
      </c>
      <c r="C2646" s="130" t="s">
        <v>608</v>
      </c>
      <c r="D2646" s="130" t="s">
        <v>691</v>
      </c>
      <c r="E2646" s="132">
        <v>1924.17</v>
      </c>
    </row>
    <row r="2647" spans="1:5" x14ac:dyDescent="0.25">
      <c r="A2647" s="130" t="s">
        <v>4</v>
      </c>
      <c r="B2647" s="130" t="s">
        <v>579</v>
      </c>
      <c r="C2647" s="130" t="s">
        <v>608</v>
      </c>
      <c r="D2647" s="130" t="s">
        <v>665</v>
      </c>
      <c r="E2647" s="132">
        <v>2120.4</v>
      </c>
    </row>
    <row r="2648" spans="1:5" x14ac:dyDescent="0.25">
      <c r="A2648" s="130" t="s">
        <v>4</v>
      </c>
      <c r="B2648" s="130" t="s">
        <v>579</v>
      </c>
      <c r="C2648" s="130" t="s">
        <v>608</v>
      </c>
      <c r="D2648" s="130" t="s">
        <v>692</v>
      </c>
      <c r="E2648" s="132">
        <v>1219.23</v>
      </c>
    </row>
    <row r="2649" spans="1:5" x14ac:dyDescent="0.25">
      <c r="A2649" s="130" t="s">
        <v>4</v>
      </c>
      <c r="B2649" s="130" t="s">
        <v>579</v>
      </c>
      <c r="C2649" s="130" t="s">
        <v>608</v>
      </c>
      <c r="D2649" s="130" t="s">
        <v>693</v>
      </c>
      <c r="E2649" s="132">
        <v>2826.93</v>
      </c>
    </row>
    <row r="2650" spans="1:5" x14ac:dyDescent="0.25">
      <c r="A2650" s="130" t="s">
        <v>4</v>
      </c>
      <c r="B2650" s="130" t="s">
        <v>579</v>
      </c>
      <c r="C2650" s="130" t="s">
        <v>608</v>
      </c>
      <c r="D2650" s="130" t="s">
        <v>428</v>
      </c>
      <c r="E2650" s="132">
        <v>3655.69</v>
      </c>
    </row>
    <row r="2651" spans="1:5" x14ac:dyDescent="0.25">
      <c r="A2651" s="130" t="s">
        <v>4</v>
      </c>
      <c r="B2651" s="130" t="s">
        <v>579</v>
      </c>
      <c r="C2651" s="130" t="s">
        <v>608</v>
      </c>
      <c r="D2651" s="130" t="s">
        <v>429</v>
      </c>
      <c r="E2651" s="132">
        <v>4351.3900000000003</v>
      </c>
    </row>
    <row r="2652" spans="1:5" x14ac:dyDescent="0.25">
      <c r="A2652" s="130" t="s">
        <v>4</v>
      </c>
      <c r="B2652" s="130" t="s">
        <v>579</v>
      </c>
      <c r="C2652" s="130" t="s">
        <v>608</v>
      </c>
      <c r="D2652" s="130" t="s">
        <v>337</v>
      </c>
      <c r="E2652" s="132">
        <v>795.08</v>
      </c>
    </row>
    <row r="2653" spans="1:5" x14ac:dyDescent="0.25">
      <c r="A2653" s="130" t="s">
        <v>4</v>
      </c>
      <c r="B2653" s="130" t="s">
        <v>579</v>
      </c>
      <c r="C2653" s="130" t="s">
        <v>608</v>
      </c>
      <c r="D2653" s="130" t="s">
        <v>357</v>
      </c>
      <c r="E2653" s="132">
        <v>1098.23</v>
      </c>
    </row>
    <row r="2654" spans="1:5" x14ac:dyDescent="0.25">
      <c r="A2654" s="130" t="s">
        <v>4</v>
      </c>
      <c r="B2654" s="130" t="s">
        <v>579</v>
      </c>
      <c r="C2654" s="130" t="s">
        <v>608</v>
      </c>
      <c r="D2654" s="130" t="s">
        <v>320</v>
      </c>
      <c r="E2654" s="132">
        <v>8180.94</v>
      </c>
    </row>
    <row r="2655" spans="1:5" x14ac:dyDescent="0.25">
      <c r="A2655" s="130" t="s">
        <v>4</v>
      </c>
      <c r="B2655" s="130" t="s">
        <v>579</v>
      </c>
      <c r="C2655" s="130" t="s">
        <v>608</v>
      </c>
      <c r="D2655" s="130" t="s">
        <v>327</v>
      </c>
      <c r="E2655" s="132">
        <v>1284.9000000000001</v>
      </c>
    </row>
    <row r="2656" spans="1:5" x14ac:dyDescent="0.25">
      <c r="A2656" s="130" t="s">
        <v>4</v>
      </c>
      <c r="B2656" s="130" t="s">
        <v>579</v>
      </c>
      <c r="C2656" s="130" t="s">
        <v>608</v>
      </c>
      <c r="D2656" s="130" t="s">
        <v>277</v>
      </c>
      <c r="E2656" s="132">
        <v>742.93</v>
      </c>
    </row>
    <row r="2657" spans="1:5" x14ac:dyDescent="0.25">
      <c r="A2657" s="130" t="s">
        <v>4</v>
      </c>
      <c r="B2657" s="130" t="s">
        <v>579</v>
      </c>
      <c r="C2657" s="130" t="s">
        <v>608</v>
      </c>
      <c r="D2657" s="130" t="s">
        <v>358</v>
      </c>
      <c r="E2657" s="132">
        <v>4785.1400000000003</v>
      </c>
    </row>
    <row r="2658" spans="1:5" x14ac:dyDescent="0.25">
      <c r="A2658" s="130" t="s">
        <v>4</v>
      </c>
      <c r="B2658" s="130" t="s">
        <v>579</v>
      </c>
      <c r="C2658" s="130" t="s">
        <v>608</v>
      </c>
      <c r="D2658" s="130" t="s">
        <v>391</v>
      </c>
      <c r="E2658" s="132">
        <v>1970.07</v>
      </c>
    </row>
    <row r="2659" spans="1:5" x14ac:dyDescent="0.25">
      <c r="A2659" s="130" t="s">
        <v>4</v>
      </c>
      <c r="B2659" s="130" t="s">
        <v>579</v>
      </c>
      <c r="C2659" s="130" t="s">
        <v>608</v>
      </c>
      <c r="D2659" s="130" t="s">
        <v>522</v>
      </c>
      <c r="E2659" s="132">
        <v>1887.76</v>
      </c>
    </row>
    <row r="2660" spans="1:5" x14ac:dyDescent="0.25">
      <c r="A2660" s="130" t="s">
        <v>4</v>
      </c>
      <c r="B2660" s="130" t="s">
        <v>579</v>
      </c>
      <c r="C2660" s="130" t="s">
        <v>608</v>
      </c>
      <c r="D2660" s="130" t="s">
        <v>639</v>
      </c>
      <c r="E2660" s="132">
        <v>4610.1400000000003</v>
      </c>
    </row>
    <row r="2661" spans="1:5" x14ac:dyDescent="0.25">
      <c r="A2661" s="130" t="s">
        <v>4</v>
      </c>
      <c r="B2661" s="130" t="s">
        <v>579</v>
      </c>
      <c r="C2661" s="130" t="s">
        <v>608</v>
      </c>
      <c r="D2661" s="130" t="s">
        <v>1085</v>
      </c>
      <c r="E2661" s="132">
        <v>4597.1899999999996</v>
      </c>
    </row>
    <row r="2662" spans="1:5" x14ac:dyDescent="0.25">
      <c r="A2662" s="130" t="s">
        <v>4</v>
      </c>
      <c r="B2662" s="130" t="s">
        <v>579</v>
      </c>
      <c r="C2662" s="130" t="s">
        <v>608</v>
      </c>
      <c r="D2662" s="130" t="s">
        <v>793</v>
      </c>
      <c r="E2662" s="132">
        <v>2813.12</v>
      </c>
    </row>
    <row r="2663" spans="1:5" x14ac:dyDescent="0.25">
      <c r="A2663" s="130" t="s">
        <v>4</v>
      </c>
      <c r="B2663" s="130" t="s">
        <v>579</v>
      </c>
      <c r="C2663" s="130" t="s">
        <v>608</v>
      </c>
      <c r="D2663" s="130" t="s">
        <v>821</v>
      </c>
      <c r="E2663" s="132">
        <v>833.14</v>
      </c>
    </row>
    <row r="2664" spans="1:5" x14ac:dyDescent="0.25">
      <c r="A2664" s="130" t="s">
        <v>4</v>
      </c>
      <c r="B2664" s="130" t="s">
        <v>579</v>
      </c>
      <c r="C2664" s="130" t="s">
        <v>608</v>
      </c>
      <c r="D2664" s="130" t="s">
        <v>832</v>
      </c>
      <c r="E2664" s="132">
        <v>1252.45</v>
      </c>
    </row>
    <row r="2665" spans="1:5" x14ac:dyDescent="0.25">
      <c r="A2665" s="130" t="s">
        <v>4</v>
      </c>
      <c r="B2665" s="130" t="s">
        <v>579</v>
      </c>
      <c r="C2665" s="130" t="s">
        <v>608</v>
      </c>
      <c r="D2665" s="130" t="s">
        <v>795</v>
      </c>
      <c r="E2665" s="132">
        <v>945.47</v>
      </c>
    </row>
    <row r="2666" spans="1:5" x14ac:dyDescent="0.25">
      <c r="A2666" s="130" t="s">
        <v>4</v>
      </c>
      <c r="B2666" s="130" t="s">
        <v>579</v>
      </c>
      <c r="C2666" s="130" t="s">
        <v>608</v>
      </c>
      <c r="D2666" s="130" t="s">
        <v>847</v>
      </c>
      <c r="E2666" s="132">
        <v>2462.19</v>
      </c>
    </row>
    <row r="2667" spans="1:5" x14ac:dyDescent="0.25">
      <c r="A2667" s="130" t="s">
        <v>4</v>
      </c>
      <c r="B2667" s="130" t="s">
        <v>579</v>
      </c>
      <c r="C2667" s="130" t="s">
        <v>608</v>
      </c>
      <c r="D2667" s="130" t="s">
        <v>834</v>
      </c>
      <c r="E2667" s="132">
        <v>3019.97</v>
      </c>
    </row>
    <row r="2668" spans="1:5" x14ac:dyDescent="0.25">
      <c r="A2668" s="130" t="s">
        <v>4</v>
      </c>
      <c r="B2668" s="130" t="s">
        <v>579</v>
      </c>
      <c r="C2668" s="130" t="s">
        <v>608</v>
      </c>
      <c r="D2668" s="130" t="s">
        <v>822</v>
      </c>
      <c r="E2668" s="132">
        <v>1299.1199999999999</v>
      </c>
    </row>
    <row r="2669" spans="1:5" x14ac:dyDescent="0.25">
      <c r="A2669" s="130" t="s">
        <v>4</v>
      </c>
      <c r="B2669" s="130" t="s">
        <v>579</v>
      </c>
      <c r="C2669" s="130" t="s">
        <v>608</v>
      </c>
      <c r="D2669" s="130" t="s">
        <v>848</v>
      </c>
      <c r="E2669" s="132">
        <v>2800.85</v>
      </c>
    </row>
    <row r="2670" spans="1:5" x14ac:dyDescent="0.25">
      <c r="A2670" s="130" t="s">
        <v>4</v>
      </c>
      <c r="B2670" s="130" t="s">
        <v>579</v>
      </c>
      <c r="C2670" s="130" t="s">
        <v>608</v>
      </c>
      <c r="D2670" s="130" t="s">
        <v>1086</v>
      </c>
      <c r="E2670" s="132">
        <v>1287.67</v>
      </c>
    </row>
    <row r="2671" spans="1:5" x14ac:dyDescent="0.25">
      <c r="A2671" s="130" t="s">
        <v>4</v>
      </c>
      <c r="B2671" s="130" t="s">
        <v>579</v>
      </c>
      <c r="C2671" s="130" t="s">
        <v>608</v>
      </c>
      <c r="D2671" s="130" t="s">
        <v>728</v>
      </c>
      <c r="E2671" s="132">
        <v>1500.13</v>
      </c>
    </row>
    <row r="2672" spans="1:5" x14ac:dyDescent="0.25">
      <c r="A2672" s="130" t="s">
        <v>4</v>
      </c>
      <c r="B2672" s="130" t="s">
        <v>579</v>
      </c>
      <c r="C2672" s="130" t="s">
        <v>608</v>
      </c>
      <c r="D2672" s="130" t="s">
        <v>640</v>
      </c>
      <c r="E2672" s="132">
        <v>1715.25</v>
      </c>
    </row>
    <row r="2673" spans="1:5" x14ac:dyDescent="0.25">
      <c r="A2673" s="130" t="s">
        <v>4</v>
      </c>
      <c r="B2673" s="130" t="s">
        <v>579</v>
      </c>
      <c r="C2673" s="130" t="s">
        <v>608</v>
      </c>
      <c r="D2673" s="130" t="s">
        <v>835</v>
      </c>
      <c r="E2673" s="132">
        <v>1434.41</v>
      </c>
    </row>
    <row r="2674" spans="1:5" x14ac:dyDescent="0.25">
      <c r="A2674" s="130" t="s">
        <v>4</v>
      </c>
      <c r="B2674" s="130" t="s">
        <v>579</v>
      </c>
      <c r="C2674" s="130" t="s">
        <v>608</v>
      </c>
      <c r="D2674" s="130" t="s">
        <v>849</v>
      </c>
      <c r="E2674" s="132">
        <v>1235.05</v>
      </c>
    </row>
    <row r="2675" spans="1:5" x14ac:dyDescent="0.25">
      <c r="A2675" s="130" t="s">
        <v>4</v>
      </c>
      <c r="B2675" s="130" t="s">
        <v>579</v>
      </c>
      <c r="C2675" s="130" t="s">
        <v>608</v>
      </c>
      <c r="D2675" s="130" t="s">
        <v>796</v>
      </c>
      <c r="E2675" s="132">
        <v>1032.5</v>
      </c>
    </row>
    <row r="2676" spans="1:5" x14ac:dyDescent="0.25">
      <c r="A2676" s="130" t="s">
        <v>4</v>
      </c>
      <c r="B2676" s="130" t="s">
        <v>579</v>
      </c>
      <c r="C2676" s="130" t="s">
        <v>608</v>
      </c>
      <c r="D2676" s="130" t="s">
        <v>1087</v>
      </c>
      <c r="E2676" s="132">
        <v>2629.92</v>
      </c>
    </row>
    <row r="2677" spans="1:5" x14ac:dyDescent="0.25">
      <c r="A2677" s="130" t="s">
        <v>4</v>
      </c>
      <c r="B2677" s="130" t="s">
        <v>579</v>
      </c>
      <c r="C2677" s="130" t="s">
        <v>608</v>
      </c>
      <c r="D2677" s="130" t="s">
        <v>1088</v>
      </c>
      <c r="E2677" s="132">
        <v>332.76</v>
      </c>
    </row>
    <row r="2678" spans="1:5" x14ac:dyDescent="0.25">
      <c r="A2678" s="130" t="s">
        <v>4</v>
      </c>
      <c r="B2678" s="130" t="s">
        <v>579</v>
      </c>
      <c r="C2678" s="130" t="s">
        <v>608</v>
      </c>
      <c r="D2678" s="130" t="s">
        <v>1089</v>
      </c>
      <c r="E2678" s="132">
        <v>377.36</v>
      </c>
    </row>
    <row r="2679" spans="1:5" x14ac:dyDescent="0.25">
      <c r="A2679" s="130" t="s">
        <v>4</v>
      </c>
      <c r="B2679" s="130" t="s">
        <v>579</v>
      </c>
      <c r="C2679" s="130" t="s">
        <v>608</v>
      </c>
      <c r="D2679" s="130" t="s">
        <v>797</v>
      </c>
      <c r="E2679" s="132">
        <v>220.72</v>
      </c>
    </row>
    <row r="2680" spans="1:5" x14ac:dyDescent="0.25">
      <c r="A2680" s="130" t="s">
        <v>4</v>
      </c>
      <c r="B2680" s="130" t="s">
        <v>579</v>
      </c>
      <c r="C2680" s="130" t="s">
        <v>608</v>
      </c>
      <c r="D2680" s="130" t="s">
        <v>622</v>
      </c>
      <c r="E2680" s="132">
        <v>618.66999999999996</v>
      </c>
    </row>
    <row r="2681" spans="1:5" x14ac:dyDescent="0.25">
      <c r="A2681" s="130" t="s">
        <v>4</v>
      </c>
      <c r="B2681" s="130" t="s">
        <v>579</v>
      </c>
      <c r="C2681" s="130" t="s">
        <v>608</v>
      </c>
      <c r="D2681" s="130" t="s">
        <v>1090</v>
      </c>
      <c r="E2681" s="132">
        <v>1564.92</v>
      </c>
    </row>
    <row r="2682" spans="1:5" x14ac:dyDescent="0.25">
      <c r="A2682" s="130" t="s">
        <v>4</v>
      </c>
      <c r="B2682" s="130" t="s">
        <v>579</v>
      </c>
      <c r="C2682" s="130" t="s">
        <v>608</v>
      </c>
      <c r="D2682" s="130" t="s">
        <v>1091</v>
      </c>
      <c r="E2682" s="132">
        <v>1216.05</v>
      </c>
    </row>
    <row r="2683" spans="1:5" x14ac:dyDescent="0.25">
      <c r="A2683" s="130" t="s">
        <v>4</v>
      </c>
      <c r="B2683" s="130" t="s">
        <v>579</v>
      </c>
      <c r="C2683" s="130" t="s">
        <v>608</v>
      </c>
      <c r="D2683" s="130" t="s">
        <v>623</v>
      </c>
      <c r="E2683" s="132">
        <v>656.67</v>
      </c>
    </row>
    <row r="2684" spans="1:5" x14ac:dyDescent="0.25">
      <c r="A2684" s="130" t="s">
        <v>4</v>
      </c>
      <c r="B2684" s="130" t="s">
        <v>579</v>
      </c>
      <c r="C2684" s="130" t="s">
        <v>608</v>
      </c>
      <c r="D2684" s="130" t="s">
        <v>823</v>
      </c>
      <c r="E2684" s="132">
        <v>841.81</v>
      </c>
    </row>
    <row r="2685" spans="1:5" x14ac:dyDescent="0.25">
      <c r="A2685" s="130" t="s">
        <v>4</v>
      </c>
      <c r="B2685" s="130" t="s">
        <v>579</v>
      </c>
      <c r="C2685" s="130" t="s">
        <v>608</v>
      </c>
      <c r="D2685" s="130" t="s">
        <v>769</v>
      </c>
      <c r="E2685" s="132">
        <v>579.14</v>
      </c>
    </row>
    <row r="2686" spans="1:5" x14ac:dyDescent="0.25">
      <c r="A2686" s="130" t="s">
        <v>4</v>
      </c>
      <c r="B2686" s="130" t="s">
        <v>579</v>
      </c>
      <c r="C2686" s="130" t="s">
        <v>608</v>
      </c>
      <c r="D2686" s="130" t="s">
        <v>1092</v>
      </c>
      <c r="E2686" s="132">
        <v>607.64</v>
      </c>
    </row>
    <row r="2687" spans="1:5" x14ac:dyDescent="0.25">
      <c r="A2687" s="130" t="s">
        <v>4</v>
      </c>
      <c r="B2687" s="130" t="s">
        <v>579</v>
      </c>
      <c r="C2687" s="130" t="s">
        <v>608</v>
      </c>
      <c r="D2687" s="130" t="s">
        <v>841</v>
      </c>
      <c r="E2687" s="132">
        <v>930.43</v>
      </c>
    </row>
    <row r="2688" spans="1:5" x14ac:dyDescent="0.25">
      <c r="A2688" s="130" t="s">
        <v>4</v>
      </c>
      <c r="B2688" s="130" t="s">
        <v>579</v>
      </c>
      <c r="C2688" s="130" t="s">
        <v>608</v>
      </c>
      <c r="D2688" s="130" t="s">
        <v>801</v>
      </c>
      <c r="E2688" s="132">
        <v>930.43</v>
      </c>
    </row>
    <row r="2689" spans="1:5" x14ac:dyDescent="0.25">
      <c r="A2689" s="130" t="s">
        <v>4</v>
      </c>
      <c r="B2689" s="130" t="s">
        <v>579</v>
      </c>
      <c r="C2689" s="130" t="s">
        <v>608</v>
      </c>
      <c r="D2689" s="130" t="s">
        <v>1093</v>
      </c>
      <c r="E2689" s="132">
        <v>1867.23</v>
      </c>
    </row>
    <row r="2690" spans="1:5" x14ac:dyDescent="0.25">
      <c r="A2690" s="130" t="s">
        <v>4</v>
      </c>
      <c r="B2690" s="130" t="s">
        <v>579</v>
      </c>
      <c r="C2690" s="130" t="s">
        <v>608</v>
      </c>
      <c r="D2690" s="130" t="s">
        <v>1094</v>
      </c>
      <c r="E2690" s="132">
        <v>901.33</v>
      </c>
    </row>
    <row r="2691" spans="1:5" x14ac:dyDescent="0.25">
      <c r="A2691" s="130" t="s">
        <v>4</v>
      </c>
      <c r="B2691" s="130" t="s">
        <v>579</v>
      </c>
      <c r="C2691" s="130" t="s">
        <v>608</v>
      </c>
      <c r="D2691" s="130" t="s">
        <v>770</v>
      </c>
      <c r="E2691" s="132">
        <v>137.65</v>
      </c>
    </row>
    <row r="2692" spans="1:5" x14ac:dyDescent="0.25">
      <c r="A2692" s="130" t="s">
        <v>4</v>
      </c>
      <c r="B2692" s="130" t="s">
        <v>579</v>
      </c>
      <c r="C2692" s="130" t="s">
        <v>608</v>
      </c>
      <c r="D2692" s="130" t="s">
        <v>1095</v>
      </c>
      <c r="E2692" s="132">
        <v>512.77</v>
      </c>
    </row>
    <row r="2693" spans="1:5" x14ac:dyDescent="0.25">
      <c r="A2693" s="130" t="s">
        <v>4</v>
      </c>
      <c r="B2693" s="130" t="s">
        <v>579</v>
      </c>
      <c r="C2693" s="130" t="s">
        <v>608</v>
      </c>
      <c r="D2693" s="130" t="s">
        <v>771</v>
      </c>
      <c r="E2693" s="132">
        <v>153.52000000000001</v>
      </c>
    </row>
    <row r="2694" spans="1:5" x14ac:dyDescent="0.25">
      <c r="A2694" s="130" t="s">
        <v>4</v>
      </c>
      <c r="B2694" s="130" t="s">
        <v>579</v>
      </c>
      <c r="C2694" s="130" t="s">
        <v>608</v>
      </c>
      <c r="D2694" s="130" t="s">
        <v>729</v>
      </c>
      <c r="E2694" s="132">
        <v>424.09</v>
      </c>
    </row>
    <row r="2695" spans="1:5" x14ac:dyDescent="0.25">
      <c r="A2695" s="130" t="s">
        <v>4</v>
      </c>
      <c r="B2695" s="130" t="s">
        <v>579</v>
      </c>
      <c r="C2695" s="130" t="s">
        <v>608</v>
      </c>
      <c r="D2695" s="130" t="s">
        <v>1096</v>
      </c>
      <c r="E2695" s="132">
        <v>438.31</v>
      </c>
    </row>
    <row r="2696" spans="1:5" x14ac:dyDescent="0.25">
      <c r="A2696" s="130" t="s">
        <v>4</v>
      </c>
      <c r="B2696" s="130" t="s">
        <v>579</v>
      </c>
      <c r="C2696" s="130" t="s">
        <v>608</v>
      </c>
      <c r="D2696" s="130" t="s">
        <v>1097</v>
      </c>
      <c r="E2696" s="132">
        <v>489.76</v>
      </c>
    </row>
    <row r="2697" spans="1:5" x14ac:dyDescent="0.25">
      <c r="A2697" s="130" t="s">
        <v>4</v>
      </c>
      <c r="B2697" s="130" t="s">
        <v>579</v>
      </c>
      <c r="C2697" s="130" t="s">
        <v>608</v>
      </c>
      <c r="D2697" s="130" t="s">
        <v>772</v>
      </c>
      <c r="E2697" s="132">
        <v>1070.5</v>
      </c>
    </row>
    <row r="2698" spans="1:5" x14ac:dyDescent="0.25">
      <c r="A2698" s="130" t="s">
        <v>4</v>
      </c>
      <c r="B2698" s="130" t="s">
        <v>579</v>
      </c>
      <c r="C2698" s="130" t="s">
        <v>608</v>
      </c>
      <c r="D2698" s="130" t="s">
        <v>743</v>
      </c>
      <c r="E2698" s="132">
        <v>338.44</v>
      </c>
    </row>
    <row r="2699" spans="1:5" x14ac:dyDescent="0.25">
      <c r="A2699" s="130" t="s">
        <v>4</v>
      </c>
      <c r="B2699" s="130" t="s">
        <v>579</v>
      </c>
      <c r="C2699" s="130" t="s">
        <v>608</v>
      </c>
      <c r="D2699" s="130" t="s">
        <v>1098</v>
      </c>
      <c r="E2699" s="132">
        <v>933.62</v>
      </c>
    </row>
    <row r="2700" spans="1:5" x14ac:dyDescent="0.25">
      <c r="A2700" s="130" t="s">
        <v>4</v>
      </c>
      <c r="B2700" s="130" t="s">
        <v>579</v>
      </c>
      <c r="C2700" s="130" t="s">
        <v>608</v>
      </c>
      <c r="D2700" s="130" t="s">
        <v>844</v>
      </c>
      <c r="E2700" s="132">
        <v>837.09</v>
      </c>
    </row>
    <row r="2701" spans="1:5" x14ac:dyDescent="0.25">
      <c r="A2701" s="130" t="s">
        <v>4</v>
      </c>
      <c r="B2701" s="130" t="s">
        <v>579</v>
      </c>
      <c r="C2701" s="130" t="s">
        <v>608</v>
      </c>
      <c r="D2701" s="130" t="s">
        <v>1023</v>
      </c>
      <c r="E2701" s="132">
        <v>1693.12</v>
      </c>
    </row>
    <row r="2702" spans="1:5" x14ac:dyDescent="0.25">
      <c r="A2702" s="130" t="s">
        <v>4</v>
      </c>
      <c r="B2702" s="130" t="s">
        <v>579</v>
      </c>
      <c r="C2702" s="130" t="s">
        <v>608</v>
      </c>
      <c r="D2702" s="130" t="s">
        <v>263</v>
      </c>
      <c r="E2702" s="132">
        <v>966.07</v>
      </c>
    </row>
    <row r="2703" spans="1:5" x14ac:dyDescent="0.25">
      <c r="A2703" s="130" t="s">
        <v>4</v>
      </c>
      <c r="B2703" s="130" t="s">
        <v>579</v>
      </c>
      <c r="C2703" s="130" t="s">
        <v>608</v>
      </c>
      <c r="D2703" s="130" t="s">
        <v>496</v>
      </c>
      <c r="E2703" s="132">
        <v>2762.85</v>
      </c>
    </row>
    <row r="2704" spans="1:5" x14ac:dyDescent="0.25">
      <c r="A2704" s="130" t="s">
        <v>4</v>
      </c>
      <c r="B2704" s="130" t="s">
        <v>579</v>
      </c>
      <c r="C2704" s="130" t="s">
        <v>608</v>
      </c>
      <c r="D2704" s="130" t="s">
        <v>556</v>
      </c>
      <c r="E2704" s="132">
        <v>2205.0700000000002</v>
      </c>
    </row>
    <row r="2705" spans="1:5" x14ac:dyDescent="0.25">
      <c r="A2705" s="130" t="s">
        <v>4</v>
      </c>
      <c r="B2705" s="130" t="s">
        <v>579</v>
      </c>
      <c r="C2705" s="130" t="s">
        <v>608</v>
      </c>
      <c r="D2705" s="130" t="s">
        <v>338</v>
      </c>
      <c r="E2705" s="132">
        <v>664.63</v>
      </c>
    </row>
    <row r="2706" spans="1:5" x14ac:dyDescent="0.25">
      <c r="A2706" s="130" t="s">
        <v>4</v>
      </c>
      <c r="B2706" s="130" t="s">
        <v>579</v>
      </c>
      <c r="C2706" s="130" t="s">
        <v>608</v>
      </c>
      <c r="D2706" s="130" t="s">
        <v>295</v>
      </c>
      <c r="E2706" s="132">
        <v>549.88</v>
      </c>
    </row>
    <row r="2707" spans="1:5" x14ac:dyDescent="0.25">
      <c r="A2707" s="130" t="s">
        <v>4</v>
      </c>
      <c r="B2707" s="130" t="s">
        <v>579</v>
      </c>
      <c r="C2707" s="130" t="s">
        <v>608</v>
      </c>
      <c r="D2707" s="130" t="s">
        <v>451</v>
      </c>
      <c r="E2707" s="132">
        <v>665.8</v>
      </c>
    </row>
    <row r="2708" spans="1:5" x14ac:dyDescent="0.25">
      <c r="A2708" s="130" t="s">
        <v>4</v>
      </c>
      <c r="B2708" s="130" t="s">
        <v>579</v>
      </c>
      <c r="C2708" s="130" t="s">
        <v>608</v>
      </c>
      <c r="D2708" s="130" t="s">
        <v>359</v>
      </c>
      <c r="E2708" s="132">
        <v>698.15</v>
      </c>
    </row>
    <row r="2709" spans="1:5" x14ac:dyDescent="0.25">
      <c r="A2709" s="130" t="s">
        <v>4</v>
      </c>
      <c r="B2709" s="130" t="s">
        <v>579</v>
      </c>
      <c r="C2709" s="130" t="s">
        <v>608</v>
      </c>
      <c r="D2709" s="130" t="s">
        <v>960</v>
      </c>
      <c r="E2709" s="132">
        <v>757.88</v>
      </c>
    </row>
    <row r="2710" spans="1:5" x14ac:dyDescent="0.25">
      <c r="A2710" s="130" t="s">
        <v>4</v>
      </c>
      <c r="B2710" s="130" t="s">
        <v>579</v>
      </c>
      <c r="C2710" s="130" t="s">
        <v>608</v>
      </c>
      <c r="D2710" s="130" t="s">
        <v>315</v>
      </c>
      <c r="E2710" s="132">
        <v>736.67</v>
      </c>
    </row>
    <row r="2711" spans="1:5" x14ac:dyDescent="0.25">
      <c r="A2711" s="130" t="s">
        <v>4</v>
      </c>
      <c r="B2711" s="130" t="s">
        <v>579</v>
      </c>
      <c r="C2711" s="130" t="s">
        <v>608</v>
      </c>
      <c r="D2711" s="130" t="s">
        <v>811</v>
      </c>
      <c r="E2711" s="132">
        <v>10688.44</v>
      </c>
    </row>
    <row r="2712" spans="1:5" x14ac:dyDescent="0.25">
      <c r="A2712" s="130" t="s">
        <v>4</v>
      </c>
      <c r="B2712" s="130" t="s">
        <v>579</v>
      </c>
      <c r="C2712" s="130" t="s">
        <v>608</v>
      </c>
      <c r="D2712" s="130" t="s">
        <v>663</v>
      </c>
      <c r="E2712" s="132">
        <v>436.78</v>
      </c>
    </row>
    <row r="2713" spans="1:5" x14ac:dyDescent="0.25">
      <c r="A2713" s="130" t="s">
        <v>4</v>
      </c>
      <c r="B2713" s="130" t="s">
        <v>579</v>
      </c>
      <c r="C2713" s="130" t="s">
        <v>608</v>
      </c>
      <c r="D2713" s="130" t="s">
        <v>288</v>
      </c>
      <c r="E2713" s="132">
        <v>4984.2700000000004</v>
      </c>
    </row>
    <row r="2714" spans="1:5" x14ac:dyDescent="0.25">
      <c r="A2714" s="130" t="s">
        <v>4</v>
      </c>
      <c r="B2714" s="130" t="s">
        <v>579</v>
      </c>
      <c r="C2714" s="130" t="s">
        <v>608</v>
      </c>
      <c r="D2714" s="130" t="s">
        <v>637</v>
      </c>
      <c r="E2714" s="132">
        <v>2954.31</v>
      </c>
    </row>
    <row r="2715" spans="1:5" x14ac:dyDescent="0.25">
      <c r="A2715" s="130" t="s">
        <v>4</v>
      </c>
      <c r="B2715" s="130" t="s">
        <v>579</v>
      </c>
      <c r="C2715" s="130" t="s">
        <v>608</v>
      </c>
      <c r="D2715" s="130" t="s">
        <v>420</v>
      </c>
      <c r="E2715" s="132">
        <v>410.93</v>
      </c>
    </row>
    <row r="2716" spans="1:5" x14ac:dyDescent="0.25">
      <c r="A2716" s="130" t="s">
        <v>4</v>
      </c>
      <c r="B2716" s="130" t="s">
        <v>579</v>
      </c>
      <c r="C2716" s="130" t="s">
        <v>608</v>
      </c>
      <c r="D2716" s="130" t="s">
        <v>323</v>
      </c>
      <c r="E2716" s="132">
        <v>1555.48</v>
      </c>
    </row>
    <row r="2717" spans="1:5" x14ac:dyDescent="0.25">
      <c r="A2717" s="130" t="s">
        <v>4</v>
      </c>
      <c r="B2717" s="130" t="s">
        <v>579</v>
      </c>
      <c r="C2717" s="130" t="s">
        <v>608</v>
      </c>
      <c r="D2717" s="130" t="s">
        <v>1099</v>
      </c>
      <c r="E2717" s="132">
        <v>970.79</v>
      </c>
    </row>
    <row r="2718" spans="1:5" x14ac:dyDescent="0.25">
      <c r="A2718" s="130" t="s">
        <v>4</v>
      </c>
      <c r="B2718" s="130" t="s">
        <v>579</v>
      </c>
      <c r="C2718" s="130" t="s">
        <v>608</v>
      </c>
      <c r="D2718" s="130" t="s">
        <v>531</v>
      </c>
      <c r="E2718" s="132">
        <v>13913.99</v>
      </c>
    </row>
    <row r="2719" spans="1:5" x14ac:dyDescent="0.25">
      <c r="A2719" s="130" t="s">
        <v>4</v>
      </c>
      <c r="B2719" s="130" t="s">
        <v>579</v>
      </c>
      <c r="C2719" s="130" t="s">
        <v>608</v>
      </c>
      <c r="D2719" s="130" t="s">
        <v>484</v>
      </c>
      <c r="E2719" s="132">
        <v>5332.6</v>
      </c>
    </row>
    <row r="2720" spans="1:5" x14ac:dyDescent="0.25">
      <c r="A2720" s="130" t="s">
        <v>4</v>
      </c>
      <c r="B2720" s="130" t="s">
        <v>579</v>
      </c>
      <c r="C2720" s="130" t="s">
        <v>608</v>
      </c>
      <c r="D2720" s="130" t="s">
        <v>485</v>
      </c>
      <c r="E2720" s="132">
        <v>5607.95</v>
      </c>
    </row>
    <row r="2721" spans="1:5" x14ac:dyDescent="0.25">
      <c r="A2721" s="130" t="s">
        <v>4</v>
      </c>
      <c r="B2721" s="130" t="s">
        <v>579</v>
      </c>
      <c r="C2721" s="130" t="s">
        <v>608</v>
      </c>
      <c r="D2721" s="130" t="s">
        <v>667</v>
      </c>
      <c r="E2721" s="132">
        <v>3074.17</v>
      </c>
    </row>
    <row r="2722" spans="1:5" x14ac:dyDescent="0.25">
      <c r="A2722" s="130" t="s">
        <v>4</v>
      </c>
      <c r="B2722" s="130" t="s">
        <v>579</v>
      </c>
      <c r="C2722" s="130" t="s">
        <v>608</v>
      </c>
      <c r="D2722" s="130" t="s">
        <v>972</v>
      </c>
      <c r="E2722" s="132">
        <v>1039.24</v>
      </c>
    </row>
    <row r="2723" spans="1:5" x14ac:dyDescent="0.25">
      <c r="A2723" s="130" t="s">
        <v>4</v>
      </c>
      <c r="B2723" s="130" t="s">
        <v>579</v>
      </c>
      <c r="C2723" s="130" t="s">
        <v>608</v>
      </c>
      <c r="D2723" s="130" t="s">
        <v>973</v>
      </c>
      <c r="E2723" s="132">
        <v>1129.02</v>
      </c>
    </row>
    <row r="2724" spans="1:5" x14ac:dyDescent="0.25">
      <c r="A2724" s="130" t="s">
        <v>4</v>
      </c>
      <c r="B2724" s="130" t="s">
        <v>579</v>
      </c>
      <c r="C2724" s="130" t="s">
        <v>608</v>
      </c>
      <c r="D2724" s="130" t="s">
        <v>974</v>
      </c>
      <c r="E2724" s="132">
        <v>1213.8399999999999</v>
      </c>
    </row>
    <row r="2725" spans="1:5" x14ac:dyDescent="0.25">
      <c r="A2725" s="130" t="s">
        <v>4</v>
      </c>
      <c r="B2725" s="130" t="s">
        <v>579</v>
      </c>
      <c r="C2725" s="130" t="s">
        <v>608</v>
      </c>
      <c r="D2725" s="130" t="s">
        <v>470</v>
      </c>
      <c r="E2725" s="132">
        <v>1012.65</v>
      </c>
    </row>
    <row r="2726" spans="1:5" x14ac:dyDescent="0.25">
      <c r="A2726" s="130" t="s">
        <v>4</v>
      </c>
      <c r="B2726" s="130" t="s">
        <v>579</v>
      </c>
      <c r="C2726" s="130" t="s">
        <v>608</v>
      </c>
      <c r="D2726" s="130" t="s">
        <v>493</v>
      </c>
      <c r="E2726" s="132">
        <v>1282.04</v>
      </c>
    </row>
    <row r="2727" spans="1:5" x14ac:dyDescent="0.25">
      <c r="A2727" s="130" t="s">
        <v>4</v>
      </c>
      <c r="B2727" s="130" t="s">
        <v>579</v>
      </c>
      <c r="C2727" s="130" t="s">
        <v>608</v>
      </c>
      <c r="D2727" s="130" t="s">
        <v>439</v>
      </c>
      <c r="E2727" s="132">
        <v>1366.85</v>
      </c>
    </row>
    <row r="2728" spans="1:5" x14ac:dyDescent="0.25">
      <c r="A2728" s="130" t="s">
        <v>4</v>
      </c>
      <c r="B2728" s="130" t="s">
        <v>579</v>
      </c>
      <c r="C2728" s="130" t="s">
        <v>608</v>
      </c>
      <c r="D2728" s="130" t="s">
        <v>1100</v>
      </c>
      <c r="E2728" s="132">
        <v>771.53</v>
      </c>
    </row>
    <row r="2729" spans="1:5" x14ac:dyDescent="0.25">
      <c r="A2729" s="130" t="s">
        <v>4</v>
      </c>
      <c r="B2729" s="130" t="s">
        <v>579</v>
      </c>
      <c r="C2729" s="130" t="s">
        <v>608</v>
      </c>
      <c r="D2729" s="130" t="s">
        <v>1101</v>
      </c>
      <c r="E2729" s="132">
        <v>858.89</v>
      </c>
    </row>
    <row r="2730" spans="1:5" x14ac:dyDescent="0.25">
      <c r="A2730" s="130" t="s">
        <v>4</v>
      </c>
      <c r="B2730" s="130" t="s">
        <v>579</v>
      </c>
      <c r="C2730" s="130" t="s">
        <v>608</v>
      </c>
      <c r="D2730" s="130" t="s">
        <v>1071</v>
      </c>
      <c r="E2730" s="132">
        <v>951.14</v>
      </c>
    </row>
    <row r="2731" spans="1:5" x14ac:dyDescent="0.25">
      <c r="A2731" s="130" t="s">
        <v>4</v>
      </c>
      <c r="B2731" s="130" t="s">
        <v>579</v>
      </c>
      <c r="C2731" s="130" t="s">
        <v>608</v>
      </c>
      <c r="D2731" s="130" t="s">
        <v>1102</v>
      </c>
      <c r="E2731" s="132">
        <v>1090.02</v>
      </c>
    </row>
    <row r="2732" spans="1:5" x14ac:dyDescent="0.25">
      <c r="A2732" s="130" t="s">
        <v>4</v>
      </c>
      <c r="B2732" s="130" t="s">
        <v>579</v>
      </c>
      <c r="C2732" s="130" t="s">
        <v>608</v>
      </c>
      <c r="D2732" s="130" t="s">
        <v>975</v>
      </c>
      <c r="E2732" s="132">
        <v>1094.18</v>
      </c>
    </row>
    <row r="2733" spans="1:5" x14ac:dyDescent="0.25">
      <c r="A2733" s="130" t="s">
        <v>4</v>
      </c>
      <c r="B2733" s="130" t="s">
        <v>579</v>
      </c>
      <c r="C2733" s="130" t="s">
        <v>608</v>
      </c>
      <c r="D2733" s="130" t="s">
        <v>976</v>
      </c>
      <c r="E2733" s="132">
        <v>3544.42</v>
      </c>
    </row>
    <row r="2734" spans="1:5" x14ac:dyDescent="0.25">
      <c r="A2734" s="130" t="s">
        <v>4</v>
      </c>
      <c r="B2734" s="130" t="s">
        <v>579</v>
      </c>
      <c r="C2734" s="130" t="s">
        <v>608</v>
      </c>
      <c r="D2734" s="130" t="s">
        <v>400</v>
      </c>
      <c r="E2734" s="132">
        <v>2539.15</v>
      </c>
    </row>
    <row r="2735" spans="1:5" x14ac:dyDescent="0.25">
      <c r="A2735" s="130" t="s">
        <v>4</v>
      </c>
      <c r="B2735" s="130" t="s">
        <v>579</v>
      </c>
      <c r="C2735" s="130" t="s">
        <v>608</v>
      </c>
      <c r="D2735" s="130" t="s">
        <v>472</v>
      </c>
      <c r="E2735" s="132">
        <v>3239.25</v>
      </c>
    </row>
    <row r="2736" spans="1:5" x14ac:dyDescent="0.25">
      <c r="A2736" s="130" t="s">
        <v>4</v>
      </c>
      <c r="B2736" s="130" t="s">
        <v>579</v>
      </c>
      <c r="C2736" s="130" t="s">
        <v>608</v>
      </c>
      <c r="D2736" s="130" t="s">
        <v>258</v>
      </c>
      <c r="E2736" s="132">
        <v>7501.73</v>
      </c>
    </row>
    <row r="2737" spans="1:5" x14ac:dyDescent="0.25">
      <c r="A2737" s="130" t="s">
        <v>4</v>
      </c>
      <c r="B2737" s="130" t="s">
        <v>579</v>
      </c>
      <c r="C2737" s="130" t="s">
        <v>608</v>
      </c>
      <c r="D2737" s="130" t="s">
        <v>309</v>
      </c>
      <c r="E2737" s="132">
        <v>4643.49</v>
      </c>
    </row>
    <row r="2738" spans="1:5" x14ac:dyDescent="0.25">
      <c r="A2738" s="130" t="s">
        <v>4</v>
      </c>
      <c r="B2738" s="130" t="s">
        <v>579</v>
      </c>
      <c r="C2738" s="130" t="s">
        <v>608</v>
      </c>
      <c r="D2738" s="130" t="s">
        <v>275</v>
      </c>
      <c r="E2738" s="132">
        <v>5761.78</v>
      </c>
    </row>
    <row r="2739" spans="1:5" x14ac:dyDescent="0.25">
      <c r="A2739" s="130" t="s">
        <v>4</v>
      </c>
      <c r="B2739" s="130" t="s">
        <v>579</v>
      </c>
      <c r="C2739" s="130" t="s">
        <v>608</v>
      </c>
      <c r="D2739" s="130" t="s">
        <v>336</v>
      </c>
      <c r="E2739" s="132">
        <v>4181.6499999999996</v>
      </c>
    </row>
    <row r="2740" spans="1:5" x14ac:dyDescent="0.25">
      <c r="A2740" s="130" t="s">
        <v>4</v>
      </c>
      <c r="B2740" s="130" t="s">
        <v>579</v>
      </c>
      <c r="C2740" s="130" t="s">
        <v>608</v>
      </c>
      <c r="D2740" s="130" t="s">
        <v>431</v>
      </c>
      <c r="E2740" s="132">
        <v>5886.28</v>
      </c>
    </row>
    <row r="2741" spans="1:5" x14ac:dyDescent="0.25">
      <c r="A2741" s="130" t="s">
        <v>4</v>
      </c>
      <c r="B2741" s="130" t="s">
        <v>579</v>
      </c>
      <c r="C2741" s="130" t="s">
        <v>608</v>
      </c>
      <c r="D2741" s="130" t="s">
        <v>363</v>
      </c>
      <c r="E2741" s="132">
        <v>17780.05</v>
      </c>
    </row>
    <row r="2742" spans="1:5" x14ac:dyDescent="0.25">
      <c r="A2742" s="130" t="s">
        <v>4</v>
      </c>
      <c r="B2742" s="130" t="s">
        <v>579</v>
      </c>
      <c r="C2742" s="130" t="s">
        <v>608</v>
      </c>
      <c r="D2742" s="130" t="s">
        <v>394</v>
      </c>
      <c r="E2742" s="132">
        <v>1208.8800000000001</v>
      </c>
    </row>
    <row r="2743" spans="1:5" x14ac:dyDescent="0.25">
      <c r="A2743" s="130" t="s">
        <v>4</v>
      </c>
      <c r="B2743" s="130" t="s">
        <v>579</v>
      </c>
      <c r="C2743" s="130" t="s">
        <v>608</v>
      </c>
      <c r="D2743" s="130" t="s">
        <v>298</v>
      </c>
      <c r="E2743" s="132">
        <v>1783.37</v>
      </c>
    </row>
    <row r="2744" spans="1:5" x14ac:dyDescent="0.25">
      <c r="A2744" s="130" t="s">
        <v>4</v>
      </c>
      <c r="B2744" s="130" t="s">
        <v>579</v>
      </c>
      <c r="C2744" s="130" t="s">
        <v>608</v>
      </c>
      <c r="D2744" s="130" t="s">
        <v>526</v>
      </c>
      <c r="E2744" s="132">
        <v>1691.98</v>
      </c>
    </row>
    <row r="2745" spans="1:5" x14ac:dyDescent="0.25">
      <c r="A2745" s="130" t="s">
        <v>4</v>
      </c>
      <c r="B2745" s="130" t="s">
        <v>579</v>
      </c>
      <c r="C2745" s="130" t="s">
        <v>608</v>
      </c>
      <c r="D2745" s="130" t="s">
        <v>347</v>
      </c>
      <c r="E2745" s="132">
        <v>2066.15</v>
      </c>
    </row>
    <row r="2746" spans="1:5" x14ac:dyDescent="0.25">
      <c r="A2746" s="130" t="s">
        <v>4</v>
      </c>
      <c r="B2746" s="130" t="s">
        <v>579</v>
      </c>
      <c r="C2746" s="130" t="s">
        <v>608</v>
      </c>
      <c r="D2746" s="130" t="s">
        <v>348</v>
      </c>
      <c r="E2746" s="132">
        <v>3404.73</v>
      </c>
    </row>
    <row r="2747" spans="1:5" x14ac:dyDescent="0.25">
      <c r="A2747" s="130" t="s">
        <v>4</v>
      </c>
      <c r="B2747" s="130" t="s">
        <v>579</v>
      </c>
      <c r="C2747" s="130" t="s">
        <v>608</v>
      </c>
      <c r="D2747" s="130" t="s">
        <v>349</v>
      </c>
      <c r="E2747" s="132">
        <v>6451.72</v>
      </c>
    </row>
    <row r="2748" spans="1:5" x14ac:dyDescent="0.25">
      <c r="A2748" s="130" t="s">
        <v>4</v>
      </c>
      <c r="B2748" s="130" t="s">
        <v>579</v>
      </c>
      <c r="C2748" s="130" t="s">
        <v>608</v>
      </c>
      <c r="D2748" s="130" t="s">
        <v>527</v>
      </c>
      <c r="E2748" s="132">
        <v>6378.56</v>
      </c>
    </row>
    <row r="2749" spans="1:5" x14ac:dyDescent="0.25">
      <c r="A2749" s="130" t="s">
        <v>4</v>
      </c>
      <c r="B2749" s="130" t="s">
        <v>579</v>
      </c>
      <c r="C2749" s="130" t="s">
        <v>608</v>
      </c>
      <c r="D2749" s="130" t="s">
        <v>528</v>
      </c>
      <c r="E2749" s="132">
        <v>4784.8500000000004</v>
      </c>
    </row>
    <row r="2750" spans="1:5" x14ac:dyDescent="0.25">
      <c r="A2750" s="130" t="s">
        <v>4</v>
      </c>
      <c r="B2750" s="130" t="s">
        <v>579</v>
      </c>
      <c r="C2750" s="130" t="s">
        <v>608</v>
      </c>
      <c r="D2750" s="130" t="s">
        <v>242</v>
      </c>
      <c r="E2750" s="132">
        <v>917.91</v>
      </c>
    </row>
    <row r="2751" spans="1:5" x14ac:dyDescent="0.25">
      <c r="A2751" s="130" t="s">
        <v>4</v>
      </c>
      <c r="B2751" s="130" t="s">
        <v>579</v>
      </c>
      <c r="C2751" s="130" t="s">
        <v>608</v>
      </c>
      <c r="D2751" s="130" t="s">
        <v>243</v>
      </c>
      <c r="E2751" s="132">
        <v>1049.29</v>
      </c>
    </row>
    <row r="2752" spans="1:5" x14ac:dyDescent="0.25">
      <c r="A2752" s="130" t="s">
        <v>4</v>
      </c>
      <c r="B2752" s="130" t="s">
        <v>579</v>
      </c>
      <c r="C2752" s="130" t="s">
        <v>608</v>
      </c>
      <c r="D2752" s="130" t="s">
        <v>465</v>
      </c>
      <c r="E2752" s="132">
        <v>1549.75</v>
      </c>
    </row>
    <row r="2753" spans="1:5" x14ac:dyDescent="0.25">
      <c r="A2753" s="130" t="s">
        <v>4</v>
      </c>
      <c r="B2753" s="130" t="s">
        <v>579</v>
      </c>
      <c r="C2753" s="130" t="s">
        <v>608</v>
      </c>
      <c r="D2753" s="130" t="s">
        <v>754</v>
      </c>
      <c r="E2753" s="132">
        <v>868.62</v>
      </c>
    </row>
    <row r="2754" spans="1:5" x14ac:dyDescent="0.25">
      <c r="A2754" s="130" t="s">
        <v>4</v>
      </c>
      <c r="B2754" s="130" t="s">
        <v>579</v>
      </c>
      <c r="C2754" s="130" t="s">
        <v>608</v>
      </c>
      <c r="D2754" s="130" t="s">
        <v>756</v>
      </c>
      <c r="E2754" s="132">
        <v>1173.6600000000001</v>
      </c>
    </row>
    <row r="2755" spans="1:5" x14ac:dyDescent="0.25">
      <c r="A2755" s="130" t="s">
        <v>4</v>
      </c>
      <c r="B2755" s="130" t="s">
        <v>579</v>
      </c>
      <c r="C2755" s="130" t="s">
        <v>608</v>
      </c>
      <c r="D2755" s="130" t="s">
        <v>813</v>
      </c>
      <c r="E2755" s="132">
        <v>18291.240000000002</v>
      </c>
    </row>
    <row r="2756" spans="1:5" x14ac:dyDescent="0.25">
      <c r="A2756" s="130" t="s">
        <v>4</v>
      </c>
      <c r="B2756" s="130" t="s">
        <v>579</v>
      </c>
      <c r="C2756" s="130" t="s">
        <v>608</v>
      </c>
      <c r="D2756" s="130" t="s">
        <v>713</v>
      </c>
      <c r="E2756" s="132">
        <v>1790.25</v>
      </c>
    </row>
    <row r="2757" spans="1:5" x14ac:dyDescent="0.25">
      <c r="A2757" s="130" t="s">
        <v>4</v>
      </c>
      <c r="B2757" s="130" t="s">
        <v>579</v>
      </c>
      <c r="C2757" s="130" t="s">
        <v>608</v>
      </c>
      <c r="D2757" s="130" t="s">
        <v>384</v>
      </c>
      <c r="E2757" s="132">
        <v>17335.2</v>
      </c>
    </row>
    <row r="2758" spans="1:5" x14ac:dyDescent="0.25">
      <c r="A2758" s="130" t="s">
        <v>4</v>
      </c>
      <c r="B2758" s="130" t="s">
        <v>579</v>
      </c>
      <c r="C2758" s="130" t="s">
        <v>608</v>
      </c>
      <c r="D2758" s="130" t="s">
        <v>637</v>
      </c>
      <c r="E2758" s="132">
        <v>3104.53</v>
      </c>
    </row>
    <row r="2759" spans="1:5" x14ac:dyDescent="0.25">
      <c r="A2759" s="130" t="s">
        <v>4</v>
      </c>
      <c r="B2759" s="130" t="s">
        <v>579</v>
      </c>
      <c r="C2759" s="130" t="s">
        <v>608</v>
      </c>
      <c r="D2759" s="130" t="s">
        <v>332</v>
      </c>
      <c r="E2759" s="132">
        <v>5946.64</v>
      </c>
    </row>
    <row r="2760" spans="1:5" x14ac:dyDescent="0.25">
      <c r="A2760" s="130" t="s">
        <v>4</v>
      </c>
      <c r="B2760" s="130" t="s">
        <v>579</v>
      </c>
      <c r="C2760" s="130" t="s">
        <v>608</v>
      </c>
      <c r="D2760" s="130" t="s">
        <v>396</v>
      </c>
      <c r="E2760" s="132">
        <v>11519.29</v>
      </c>
    </row>
    <row r="2761" spans="1:5" x14ac:dyDescent="0.25">
      <c r="A2761" s="130" t="s">
        <v>4</v>
      </c>
      <c r="B2761" s="130" t="s">
        <v>579</v>
      </c>
      <c r="C2761" s="130" t="s">
        <v>608</v>
      </c>
      <c r="D2761" s="130" t="s">
        <v>330</v>
      </c>
      <c r="E2761" s="132">
        <v>4617.76</v>
      </c>
    </row>
    <row r="2762" spans="1:5" x14ac:dyDescent="0.25">
      <c r="A2762" s="130" t="s">
        <v>4</v>
      </c>
      <c r="B2762" s="130" t="s">
        <v>579</v>
      </c>
      <c r="C2762" s="130" t="s">
        <v>608</v>
      </c>
      <c r="D2762" s="130" t="s">
        <v>342</v>
      </c>
      <c r="E2762" s="132">
        <v>7138.49</v>
      </c>
    </row>
    <row r="2763" spans="1:5" x14ac:dyDescent="0.25">
      <c r="A2763" s="130" t="s">
        <v>4</v>
      </c>
      <c r="B2763" s="130" t="s">
        <v>579</v>
      </c>
      <c r="C2763" s="130" t="s">
        <v>608</v>
      </c>
      <c r="D2763" s="130" t="s">
        <v>702</v>
      </c>
      <c r="E2763" s="132">
        <v>2401.14</v>
      </c>
    </row>
    <row r="2764" spans="1:5" x14ac:dyDescent="0.25">
      <c r="A2764" s="130" t="s">
        <v>4</v>
      </c>
      <c r="B2764" s="130" t="s">
        <v>579</v>
      </c>
      <c r="C2764" s="130" t="s">
        <v>608</v>
      </c>
      <c r="D2764" s="130" t="s">
        <v>353</v>
      </c>
      <c r="E2764" s="132">
        <v>5150.6499999999996</v>
      </c>
    </row>
    <row r="2765" spans="1:5" x14ac:dyDescent="0.25">
      <c r="A2765" s="130" t="s">
        <v>4</v>
      </c>
      <c r="B2765" s="130" t="s">
        <v>579</v>
      </c>
      <c r="C2765" s="130" t="s">
        <v>608</v>
      </c>
      <c r="D2765" s="130" t="s">
        <v>738</v>
      </c>
      <c r="E2765" s="132">
        <v>2954.05</v>
      </c>
    </row>
    <row r="2766" spans="1:5" x14ac:dyDescent="0.25">
      <c r="A2766" s="130" t="s">
        <v>4</v>
      </c>
      <c r="B2766" s="130" t="s">
        <v>579</v>
      </c>
      <c r="C2766" s="130" t="s">
        <v>608</v>
      </c>
      <c r="D2766" s="130" t="s">
        <v>1103</v>
      </c>
      <c r="E2766" s="132">
        <v>3176.56</v>
      </c>
    </row>
    <row r="2767" spans="1:5" x14ac:dyDescent="0.25">
      <c r="A2767" s="130" t="s">
        <v>4</v>
      </c>
      <c r="B2767" s="130" t="s">
        <v>579</v>
      </c>
      <c r="C2767" s="130" t="s">
        <v>608</v>
      </c>
      <c r="D2767" s="130" t="s">
        <v>283</v>
      </c>
      <c r="E2767" s="132">
        <v>3269.85</v>
      </c>
    </row>
    <row r="2768" spans="1:5" x14ac:dyDescent="0.25">
      <c r="A2768" s="130" t="s">
        <v>4</v>
      </c>
      <c r="B2768" s="130" t="s">
        <v>579</v>
      </c>
      <c r="C2768" s="130" t="s">
        <v>608</v>
      </c>
      <c r="D2768" s="130" t="s">
        <v>674</v>
      </c>
      <c r="E2768" s="132">
        <v>2876.64</v>
      </c>
    </row>
    <row r="2769" spans="1:5" x14ac:dyDescent="0.25">
      <c r="A2769" s="130" t="s">
        <v>4</v>
      </c>
      <c r="B2769" s="130" t="s">
        <v>579</v>
      </c>
      <c r="C2769" s="130" t="s">
        <v>608</v>
      </c>
      <c r="D2769" s="130" t="s">
        <v>337</v>
      </c>
      <c r="E2769" s="132">
        <v>4244.9399999999996</v>
      </c>
    </row>
    <row r="2770" spans="1:5" x14ac:dyDescent="0.25">
      <c r="A2770" s="130" t="s">
        <v>4</v>
      </c>
      <c r="B2770" s="130" t="s">
        <v>579</v>
      </c>
      <c r="C2770" s="130" t="s">
        <v>608</v>
      </c>
      <c r="D2770" s="130" t="s">
        <v>259</v>
      </c>
      <c r="E2770" s="132">
        <v>16776.3</v>
      </c>
    </row>
    <row r="2771" spans="1:5" x14ac:dyDescent="0.25">
      <c r="A2771" s="130" t="s">
        <v>4</v>
      </c>
      <c r="B2771" s="130" t="s">
        <v>579</v>
      </c>
      <c r="C2771" s="130" t="s">
        <v>608</v>
      </c>
      <c r="D2771" s="130" t="s">
        <v>497</v>
      </c>
      <c r="E2771" s="132">
        <v>2018.71</v>
      </c>
    </row>
    <row r="2772" spans="1:5" x14ac:dyDescent="0.25">
      <c r="A2772" s="130" t="s">
        <v>4</v>
      </c>
      <c r="B2772" s="130" t="s">
        <v>579</v>
      </c>
      <c r="C2772" s="130" t="s">
        <v>608</v>
      </c>
      <c r="D2772" s="130" t="s">
        <v>779</v>
      </c>
      <c r="E2772" s="132">
        <v>1440.61</v>
      </c>
    </row>
    <row r="2773" spans="1:5" x14ac:dyDescent="0.25">
      <c r="A2773" s="130" t="s">
        <v>4</v>
      </c>
      <c r="B2773" s="130" t="s">
        <v>579</v>
      </c>
      <c r="C2773" s="130" t="s">
        <v>608</v>
      </c>
      <c r="D2773" s="130" t="s">
        <v>708</v>
      </c>
      <c r="E2773" s="132">
        <v>2521.83</v>
      </c>
    </row>
    <row r="2774" spans="1:5" x14ac:dyDescent="0.25">
      <c r="A2774" s="130" t="s">
        <v>4</v>
      </c>
      <c r="B2774" s="130" t="s">
        <v>579</v>
      </c>
      <c r="C2774" s="130" t="s">
        <v>608</v>
      </c>
      <c r="D2774" s="130" t="s">
        <v>407</v>
      </c>
      <c r="E2774" s="132">
        <v>1745.41</v>
      </c>
    </row>
    <row r="2775" spans="1:5" x14ac:dyDescent="0.25">
      <c r="A2775" s="130" t="s">
        <v>4</v>
      </c>
      <c r="B2775" s="130" t="s">
        <v>579</v>
      </c>
      <c r="C2775" s="130" t="s">
        <v>608</v>
      </c>
      <c r="D2775" s="130" t="s">
        <v>660</v>
      </c>
      <c r="E2775" s="132">
        <v>2493.1</v>
      </c>
    </row>
    <row r="2776" spans="1:5" x14ac:dyDescent="0.25">
      <c r="A2776" s="130" t="s">
        <v>4</v>
      </c>
      <c r="B2776" s="130" t="s">
        <v>579</v>
      </c>
      <c r="C2776" s="130" t="s">
        <v>608</v>
      </c>
      <c r="D2776" s="130" t="s">
        <v>409</v>
      </c>
      <c r="E2776" s="132">
        <v>2473.63</v>
      </c>
    </row>
    <row r="2777" spans="1:5" x14ac:dyDescent="0.25">
      <c r="A2777" s="130" t="s">
        <v>4</v>
      </c>
      <c r="B2777" s="130" t="s">
        <v>579</v>
      </c>
      <c r="C2777" s="130" t="s">
        <v>608</v>
      </c>
      <c r="D2777" s="130" t="s">
        <v>349</v>
      </c>
      <c r="E2777" s="132">
        <v>1311.16</v>
      </c>
    </row>
    <row r="2778" spans="1:5" x14ac:dyDescent="0.25">
      <c r="A2778" s="130" t="s">
        <v>4</v>
      </c>
      <c r="B2778" s="130" t="s">
        <v>579</v>
      </c>
      <c r="C2778" s="130" t="s">
        <v>608</v>
      </c>
      <c r="D2778" s="130" t="s">
        <v>752</v>
      </c>
      <c r="E2778" s="132">
        <v>1096.17</v>
      </c>
    </row>
    <row r="2779" spans="1:5" x14ac:dyDescent="0.25">
      <c r="A2779" s="130" t="s">
        <v>4</v>
      </c>
      <c r="B2779" s="130" t="s">
        <v>579</v>
      </c>
      <c r="C2779" s="130" t="s">
        <v>608</v>
      </c>
      <c r="D2779" s="130" t="s">
        <v>434</v>
      </c>
      <c r="E2779" s="132">
        <v>966.48</v>
      </c>
    </row>
    <row r="2780" spans="1:5" x14ac:dyDescent="0.25">
      <c r="A2780" s="130" t="s">
        <v>4</v>
      </c>
      <c r="B2780" s="130" t="s">
        <v>579</v>
      </c>
      <c r="C2780" s="130" t="s">
        <v>608</v>
      </c>
      <c r="D2780" s="130" t="s">
        <v>435</v>
      </c>
      <c r="E2780" s="132">
        <v>2318.21</v>
      </c>
    </row>
    <row r="2781" spans="1:5" x14ac:dyDescent="0.25">
      <c r="A2781" s="130" t="s">
        <v>4</v>
      </c>
      <c r="B2781" s="130" t="s">
        <v>579</v>
      </c>
      <c r="C2781" s="130" t="s">
        <v>608</v>
      </c>
      <c r="D2781" s="130" t="s">
        <v>475</v>
      </c>
      <c r="E2781" s="132">
        <v>383.54</v>
      </c>
    </row>
    <row r="2782" spans="1:5" x14ac:dyDescent="0.25">
      <c r="A2782" s="130" t="s">
        <v>4</v>
      </c>
      <c r="B2782" s="130" t="s">
        <v>579</v>
      </c>
      <c r="C2782" s="130" t="s">
        <v>608</v>
      </c>
      <c r="D2782" s="130" t="s">
        <v>457</v>
      </c>
      <c r="E2782" s="132">
        <v>464.69</v>
      </c>
    </row>
    <row r="2783" spans="1:5" x14ac:dyDescent="0.25">
      <c r="A2783" s="130" t="s">
        <v>4</v>
      </c>
      <c r="B2783" s="130" t="s">
        <v>579</v>
      </c>
      <c r="C2783" s="130" t="s">
        <v>608</v>
      </c>
      <c r="D2783" s="130" t="s">
        <v>412</v>
      </c>
      <c r="E2783" s="132">
        <v>345.55</v>
      </c>
    </row>
    <row r="2784" spans="1:5" x14ac:dyDescent="0.25">
      <c r="A2784" s="130" t="s">
        <v>4</v>
      </c>
      <c r="B2784" s="130" t="s">
        <v>579</v>
      </c>
      <c r="C2784" s="130" t="s">
        <v>608</v>
      </c>
      <c r="D2784" s="130" t="s">
        <v>635</v>
      </c>
      <c r="E2784" s="132">
        <v>367.48</v>
      </c>
    </row>
    <row r="2785" spans="1:5" x14ac:dyDescent="0.25">
      <c r="A2785" s="130" t="s">
        <v>4</v>
      </c>
      <c r="B2785" s="130" t="s">
        <v>579</v>
      </c>
      <c r="C2785" s="130" t="s">
        <v>608</v>
      </c>
      <c r="D2785" s="130" t="s">
        <v>964</v>
      </c>
      <c r="E2785" s="132">
        <v>1913.18</v>
      </c>
    </row>
    <row r="2786" spans="1:5" x14ac:dyDescent="0.25">
      <c r="A2786" s="130" t="s">
        <v>4</v>
      </c>
      <c r="B2786" s="130" t="s">
        <v>579</v>
      </c>
      <c r="C2786" s="130" t="s">
        <v>608</v>
      </c>
      <c r="D2786" s="130" t="s">
        <v>361</v>
      </c>
      <c r="E2786" s="132">
        <v>1166.1300000000001</v>
      </c>
    </row>
    <row r="2787" spans="1:5" x14ac:dyDescent="0.25">
      <c r="A2787" s="130" t="s">
        <v>4</v>
      </c>
      <c r="B2787" s="130" t="s">
        <v>579</v>
      </c>
      <c r="C2787" s="130" t="s">
        <v>608</v>
      </c>
      <c r="D2787" s="130" t="s">
        <v>384</v>
      </c>
      <c r="E2787" s="132">
        <v>1761.48</v>
      </c>
    </row>
    <row r="2788" spans="1:5" x14ac:dyDescent="0.25">
      <c r="A2788" s="130" t="s">
        <v>4</v>
      </c>
      <c r="B2788" s="130" t="s">
        <v>579</v>
      </c>
      <c r="C2788" s="130" t="s">
        <v>608</v>
      </c>
      <c r="D2788" s="130" t="s">
        <v>558</v>
      </c>
      <c r="E2788" s="132">
        <v>2977.19</v>
      </c>
    </row>
    <row r="2789" spans="1:5" x14ac:dyDescent="0.25">
      <c r="A2789" s="130" t="s">
        <v>4</v>
      </c>
      <c r="B2789" s="130" t="s">
        <v>579</v>
      </c>
      <c r="C2789" s="130" t="s">
        <v>608</v>
      </c>
      <c r="D2789" s="130" t="s">
        <v>702</v>
      </c>
      <c r="E2789" s="132">
        <v>4879.7299999999996</v>
      </c>
    </row>
    <row r="2790" spans="1:5" x14ac:dyDescent="0.25">
      <c r="A2790" s="130" t="s">
        <v>4</v>
      </c>
      <c r="B2790" s="130" t="s">
        <v>579</v>
      </c>
      <c r="C2790" s="130" t="s">
        <v>608</v>
      </c>
      <c r="D2790" s="130" t="s">
        <v>1037</v>
      </c>
      <c r="E2790" s="132">
        <v>0.18</v>
      </c>
    </row>
    <row r="2791" spans="1:5" x14ac:dyDescent="0.25">
      <c r="A2791" s="130" t="s">
        <v>4</v>
      </c>
      <c r="B2791" s="130" t="s">
        <v>579</v>
      </c>
      <c r="C2791" s="130" t="s">
        <v>608</v>
      </c>
      <c r="D2791" s="130" t="s">
        <v>487</v>
      </c>
      <c r="E2791" s="132">
        <v>0.27</v>
      </c>
    </row>
    <row r="2792" spans="1:5" x14ac:dyDescent="0.25">
      <c r="A2792" s="130" t="s">
        <v>4</v>
      </c>
      <c r="B2792" s="130" t="s">
        <v>579</v>
      </c>
      <c r="C2792" s="130" t="s">
        <v>608</v>
      </c>
      <c r="D2792" s="130" t="s">
        <v>433</v>
      </c>
      <c r="E2792" s="132">
        <v>0.28999999999999998</v>
      </c>
    </row>
    <row r="2793" spans="1:5" x14ac:dyDescent="0.25">
      <c r="A2793" s="130" t="s">
        <v>4</v>
      </c>
      <c r="B2793" s="130" t="s">
        <v>579</v>
      </c>
      <c r="C2793" s="130" t="s">
        <v>608</v>
      </c>
      <c r="D2793" s="130" t="s">
        <v>813</v>
      </c>
      <c r="E2793" s="132">
        <v>0.26</v>
      </c>
    </row>
    <row r="2794" spans="1:5" x14ac:dyDescent="0.25">
      <c r="A2794" s="130" t="s">
        <v>4</v>
      </c>
      <c r="B2794" s="130" t="s">
        <v>579</v>
      </c>
      <c r="C2794" s="130" t="s">
        <v>608</v>
      </c>
      <c r="D2794" s="130" t="s">
        <v>620</v>
      </c>
      <c r="E2794" s="132">
        <v>46278</v>
      </c>
    </row>
    <row r="2795" spans="1:5" x14ac:dyDescent="0.25">
      <c r="A2795" s="130" t="s">
        <v>4</v>
      </c>
      <c r="B2795" s="130" t="s">
        <v>579</v>
      </c>
      <c r="C2795" s="130" t="s">
        <v>608</v>
      </c>
      <c r="D2795" s="130" t="s">
        <v>639</v>
      </c>
      <c r="E2795" s="132">
        <v>46882.8</v>
      </c>
    </row>
    <row r="2796" spans="1:5" x14ac:dyDescent="0.25">
      <c r="A2796" s="130" t="s">
        <v>4</v>
      </c>
      <c r="B2796" s="130" t="s">
        <v>579</v>
      </c>
      <c r="C2796" s="130" t="s">
        <v>608</v>
      </c>
      <c r="D2796" s="130" t="s">
        <v>621</v>
      </c>
      <c r="E2796" s="132">
        <v>23961</v>
      </c>
    </row>
    <row r="2797" spans="1:5" x14ac:dyDescent="0.25">
      <c r="A2797" s="130" t="s">
        <v>4</v>
      </c>
      <c r="B2797" s="130" t="s">
        <v>579</v>
      </c>
      <c r="C2797" s="130" t="s">
        <v>608</v>
      </c>
      <c r="D2797" s="130" t="s">
        <v>639</v>
      </c>
      <c r="E2797" s="132">
        <v>46882.8</v>
      </c>
    </row>
    <row r="2798" spans="1:5" x14ac:dyDescent="0.25">
      <c r="A2798" s="130" t="s">
        <v>4</v>
      </c>
      <c r="B2798" s="130" t="s">
        <v>579</v>
      </c>
      <c r="C2798" s="130" t="s">
        <v>608</v>
      </c>
      <c r="D2798" s="130" t="s">
        <v>811</v>
      </c>
      <c r="E2798" s="132">
        <v>56159.6</v>
      </c>
    </row>
    <row r="2799" spans="1:5" x14ac:dyDescent="0.25">
      <c r="A2799" s="130" t="s">
        <v>4</v>
      </c>
      <c r="B2799" s="130" t="s">
        <v>579</v>
      </c>
      <c r="C2799" s="130" t="s">
        <v>608</v>
      </c>
      <c r="D2799" s="130" t="s">
        <v>305</v>
      </c>
      <c r="E2799" s="132">
        <v>14466.62</v>
      </c>
    </row>
    <row r="2800" spans="1:5" x14ac:dyDescent="0.25">
      <c r="A2800" s="130" t="s">
        <v>4</v>
      </c>
      <c r="B2800" s="130" t="s">
        <v>579</v>
      </c>
      <c r="C2800" s="130" t="s">
        <v>608</v>
      </c>
      <c r="D2800" s="130" t="s">
        <v>310</v>
      </c>
      <c r="E2800" s="132">
        <v>16671.560000000001</v>
      </c>
    </row>
    <row r="2801" spans="1:5" x14ac:dyDescent="0.25">
      <c r="A2801" s="130" t="s">
        <v>4</v>
      </c>
      <c r="B2801" s="130" t="s">
        <v>579</v>
      </c>
      <c r="C2801" s="130" t="s">
        <v>608</v>
      </c>
      <c r="D2801" s="130" t="s">
        <v>261</v>
      </c>
      <c r="E2801" s="132">
        <v>22815.69</v>
      </c>
    </row>
    <row r="2802" spans="1:5" x14ac:dyDescent="0.25">
      <c r="A2802" s="130" t="s">
        <v>4</v>
      </c>
      <c r="B2802" s="130" t="s">
        <v>579</v>
      </c>
      <c r="C2802" s="130" t="s">
        <v>608</v>
      </c>
      <c r="D2802" s="130" t="s">
        <v>511</v>
      </c>
      <c r="E2802" s="132">
        <v>2575.89</v>
      </c>
    </row>
    <row r="2803" spans="1:5" x14ac:dyDescent="0.25">
      <c r="A2803" s="130" t="s">
        <v>4</v>
      </c>
      <c r="B2803" s="130" t="s">
        <v>579</v>
      </c>
      <c r="C2803" s="130" t="s">
        <v>608</v>
      </c>
      <c r="D2803" s="130" t="s">
        <v>377</v>
      </c>
      <c r="E2803" s="132">
        <v>6200.74</v>
      </c>
    </row>
    <row r="2804" spans="1:5" x14ac:dyDescent="0.25">
      <c r="A2804" s="130" t="s">
        <v>4</v>
      </c>
      <c r="B2804" s="130" t="s">
        <v>579</v>
      </c>
      <c r="C2804" s="130" t="s">
        <v>608</v>
      </c>
      <c r="D2804" s="130" t="s">
        <v>560</v>
      </c>
      <c r="E2804" s="132">
        <v>27806.02</v>
      </c>
    </row>
    <row r="2805" spans="1:5" x14ac:dyDescent="0.25">
      <c r="A2805" s="130" t="s">
        <v>4</v>
      </c>
      <c r="B2805" s="130" t="s">
        <v>579</v>
      </c>
      <c r="C2805" s="130" t="s">
        <v>608</v>
      </c>
      <c r="D2805" s="130" t="s">
        <v>561</v>
      </c>
      <c r="E2805" s="132">
        <v>25367.25</v>
      </c>
    </row>
    <row r="2806" spans="1:5" x14ac:dyDescent="0.25">
      <c r="A2806" s="130" t="s">
        <v>4</v>
      </c>
      <c r="B2806" s="130" t="s">
        <v>579</v>
      </c>
      <c r="C2806" s="130" t="s">
        <v>608</v>
      </c>
      <c r="D2806" s="130" t="s">
        <v>309</v>
      </c>
      <c r="E2806" s="132">
        <v>21466.400000000001</v>
      </c>
    </row>
    <row r="2807" spans="1:5" x14ac:dyDescent="0.25">
      <c r="A2807" s="130" t="s">
        <v>4</v>
      </c>
      <c r="B2807" s="130" t="s">
        <v>579</v>
      </c>
      <c r="C2807" s="130" t="s">
        <v>608</v>
      </c>
      <c r="D2807" s="130" t="s">
        <v>655</v>
      </c>
      <c r="E2807" s="132">
        <v>25826.93</v>
      </c>
    </row>
    <row r="2808" spans="1:5" x14ac:dyDescent="0.25">
      <c r="A2808" s="130" t="s">
        <v>4</v>
      </c>
      <c r="B2808" s="130" t="s">
        <v>579</v>
      </c>
      <c r="C2808" s="130" t="s">
        <v>608</v>
      </c>
      <c r="D2808" s="130" t="s">
        <v>1104</v>
      </c>
      <c r="E2808" s="132">
        <v>5511.33</v>
      </c>
    </row>
    <row r="2809" spans="1:5" x14ac:dyDescent="0.25">
      <c r="A2809" s="130" t="s">
        <v>4</v>
      </c>
      <c r="B2809" s="130" t="s">
        <v>579</v>
      </c>
      <c r="C2809" s="130" t="s">
        <v>608</v>
      </c>
      <c r="D2809" s="130" t="s">
        <v>1105</v>
      </c>
      <c r="E2809" s="132">
        <v>678.58</v>
      </c>
    </row>
    <row r="2810" spans="1:5" x14ac:dyDescent="0.25">
      <c r="A2810" s="130" t="s">
        <v>4</v>
      </c>
      <c r="B2810" s="130" t="s">
        <v>579</v>
      </c>
      <c r="C2810" s="130" t="s">
        <v>608</v>
      </c>
      <c r="D2810" s="130" t="s">
        <v>754</v>
      </c>
      <c r="E2810" s="132">
        <v>2539.94</v>
      </c>
    </row>
    <row r="2811" spans="1:5" x14ac:dyDescent="0.25">
      <c r="A2811" s="130" t="s">
        <v>4</v>
      </c>
      <c r="B2811" s="130" t="s">
        <v>579</v>
      </c>
      <c r="C2811" s="130" t="s">
        <v>608</v>
      </c>
      <c r="D2811" s="130" t="s">
        <v>613</v>
      </c>
      <c r="E2811" s="132">
        <v>3982.46</v>
      </c>
    </row>
    <row r="2812" spans="1:5" x14ac:dyDescent="0.25">
      <c r="A2812" s="130" t="s">
        <v>4</v>
      </c>
      <c r="B2812" s="130" t="s">
        <v>579</v>
      </c>
      <c r="C2812" s="130" t="s">
        <v>608</v>
      </c>
      <c r="D2812" s="130" t="s">
        <v>757</v>
      </c>
      <c r="E2812" s="132">
        <v>3290.63</v>
      </c>
    </row>
    <row r="2813" spans="1:5" x14ac:dyDescent="0.25">
      <c r="A2813" s="130" t="s">
        <v>4</v>
      </c>
      <c r="B2813" s="130" t="s">
        <v>579</v>
      </c>
      <c r="C2813" s="130" t="s">
        <v>608</v>
      </c>
      <c r="D2813" s="130" t="s">
        <v>727</v>
      </c>
      <c r="E2813" s="132">
        <v>3017.02</v>
      </c>
    </row>
    <row r="2814" spans="1:5" x14ac:dyDescent="0.25">
      <c r="A2814" s="130" t="s">
        <v>4</v>
      </c>
      <c r="B2814" s="130" t="s">
        <v>579</v>
      </c>
      <c r="C2814" s="130" t="s">
        <v>608</v>
      </c>
      <c r="D2814" s="130" t="s">
        <v>852</v>
      </c>
      <c r="E2814" s="132">
        <v>3695.31</v>
      </c>
    </row>
    <row r="2815" spans="1:5" x14ac:dyDescent="0.25">
      <c r="A2815" s="130" t="s">
        <v>4</v>
      </c>
      <c r="B2815" s="130" t="s">
        <v>579</v>
      </c>
      <c r="C2815" s="130" t="s">
        <v>608</v>
      </c>
      <c r="D2815" s="130" t="s">
        <v>661</v>
      </c>
      <c r="E2815" s="132">
        <v>1943.19</v>
      </c>
    </row>
    <row r="2816" spans="1:5" x14ac:dyDescent="0.25">
      <c r="A2816" s="130" t="s">
        <v>4</v>
      </c>
      <c r="B2816" s="130" t="s">
        <v>579</v>
      </c>
      <c r="C2816" s="130" t="s">
        <v>608</v>
      </c>
      <c r="D2816" s="130" t="s">
        <v>713</v>
      </c>
      <c r="E2816" s="132">
        <v>369.53</v>
      </c>
    </row>
    <row r="2817" spans="1:5" x14ac:dyDescent="0.25">
      <c r="A2817" s="130" t="s">
        <v>4</v>
      </c>
      <c r="B2817" s="130" t="s">
        <v>579</v>
      </c>
      <c r="C2817" s="130" t="s">
        <v>608</v>
      </c>
      <c r="D2817" s="130" t="s">
        <v>437</v>
      </c>
      <c r="E2817" s="132">
        <v>77.959999999999994</v>
      </c>
    </row>
    <row r="2818" spans="1:5" x14ac:dyDescent="0.25">
      <c r="A2818" s="130" t="s">
        <v>4</v>
      </c>
      <c r="B2818" s="130" t="s">
        <v>579</v>
      </c>
      <c r="C2818" s="130" t="s">
        <v>608</v>
      </c>
      <c r="D2818" s="130" t="s">
        <v>964</v>
      </c>
      <c r="E2818" s="132">
        <v>5829.57</v>
      </c>
    </row>
    <row r="2819" spans="1:5" x14ac:dyDescent="0.25">
      <c r="A2819" s="130" t="s">
        <v>4</v>
      </c>
      <c r="B2819" s="130" t="s">
        <v>579</v>
      </c>
      <c r="C2819" s="130" t="s">
        <v>608</v>
      </c>
      <c r="D2819" s="130" t="s">
        <v>663</v>
      </c>
      <c r="E2819" s="132">
        <v>710.56</v>
      </c>
    </row>
    <row r="2820" spans="1:5" x14ac:dyDescent="0.25">
      <c r="A2820" s="130" t="s">
        <v>4</v>
      </c>
      <c r="B2820" s="130" t="s">
        <v>579</v>
      </c>
      <c r="C2820" s="130" t="s">
        <v>608</v>
      </c>
      <c r="D2820" s="130" t="s">
        <v>666</v>
      </c>
      <c r="E2820" s="132">
        <v>38.39</v>
      </c>
    </row>
    <row r="2821" spans="1:5" x14ac:dyDescent="0.25">
      <c r="A2821" s="130" t="s">
        <v>4</v>
      </c>
      <c r="B2821" s="130" t="s">
        <v>579</v>
      </c>
      <c r="C2821" s="130" t="s">
        <v>608</v>
      </c>
      <c r="D2821" s="130" t="s">
        <v>825</v>
      </c>
      <c r="E2821" s="132">
        <v>304.83999999999997</v>
      </c>
    </row>
    <row r="2822" spans="1:5" x14ac:dyDescent="0.25">
      <c r="A2822" s="130" t="s">
        <v>4</v>
      </c>
      <c r="B2822" s="130" t="s">
        <v>579</v>
      </c>
      <c r="C2822" s="130" t="s">
        <v>608</v>
      </c>
      <c r="D2822" s="130" t="s">
        <v>508</v>
      </c>
      <c r="E2822" s="132">
        <v>1486.74</v>
      </c>
    </row>
    <row r="2823" spans="1:5" x14ac:dyDescent="0.25">
      <c r="A2823" s="130" t="s">
        <v>4</v>
      </c>
      <c r="B2823" s="130" t="s">
        <v>579</v>
      </c>
      <c r="C2823" s="130" t="s">
        <v>608</v>
      </c>
      <c r="D2823" s="130" t="s">
        <v>341</v>
      </c>
      <c r="E2823" s="132">
        <v>21829.23</v>
      </c>
    </row>
    <row r="2824" spans="1:5" x14ac:dyDescent="0.25">
      <c r="A2824" s="130" t="s">
        <v>4</v>
      </c>
      <c r="B2824" s="130" t="s">
        <v>579</v>
      </c>
      <c r="C2824" s="130" t="s">
        <v>608</v>
      </c>
      <c r="D2824" s="130" t="s">
        <v>305</v>
      </c>
      <c r="E2824" s="132">
        <v>1891.34</v>
      </c>
    </row>
    <row r="2825" spans="1:5" x14ac:dyDescent="0.25">
      <c r="A2825" s="130" t="s">
        <v>4</v>
      </c>
      <c r="B2825" s="130" t="s">
        <v>579</v>
      </c>
      <c r="C2825" s="130" t="s">
        <v>608</v>
      </c>
      <c r="D2825" s="130" t="s">
        <v>831</v>
      </c>
      <c r="E2825" s="132">
        <v>2176.83</v>
      </c>
    </row>
    <row r="2826" spans="1:5" x14ac:dyDescent="0.25">
      <c r="A2826" s="130" t="s">
        <v>4</v>
      </c>
      <c r="B2826" s="130" t="s">
        <v>579</v>
      </c>
      <c r="C2826" s="130" t="s">
        <v>608</v>
      </c>
      <c r="D2826" s="130" t="s">
        <v>559</v>
      </c>
      <c r="E2826" s="132">
        <v>2479.7199999999998</v>
      </c>
    </row>
    <row r="2827" spans="1:5" x14ac:dyDescent="0.25">
      <c r="A2827" s="130" t="s">
        <v>4</v>
      </c>
      <c r="B2827" s="130" t="s">
        <v>579</v>
      </c>
      <c r="C2827" s="130" t="s">
        <v>608</v>
      </c>
      <c r="D2827" s="130" t="s">
        <v>531</v>
      </c>
      <c r="E2827" s="132">
        <v>2403.92</v>
      </c>
    </row>
    <row r="2828" spans="1:5" x14ac:dyDescent="0.25">
      <c r="A2828" s="130" t="s">
        <v>4</v>
      </c>
      <c r="B2828" s="130" t="s">
        <v>579</v>
      </c>
      <c r="C2828" s="130" t="s">
        <v>608</v>
      </c>
      <c r="D2828" s="130" t="s">
        <v>690</v>
      </c>
      <c r="E2828" s="132">
        <v>7632.31</v>
      </c>
    </row>
    <row r="2829" spans="1:5" x14ac:dyDescent="0.25">
      <c r="A2829" s="130" t="s">
        <v>4</v>
      </c>
      <c r="B2829" s="130" t="s">
        <v>579</v>
      </c>
      <c r="C2829" s="130" t="s">
        <v>608</v>
      </c>
      <c r="D2829" s="130" t="s">
        <v>381</v>
      </c>
      <c r="E2829" s="132">
        <v>10873.81</v>
      </c>
    </row>
    <row r="2830" spans="1:5" x14ac:dyDescent="0.25">
      <c r="A2830" s="130" t="s">
        <v>4</v>
      </c>
      <c r="B2830" s="130" t="s">
        <v>579</v>
      </c>
      <c r="C2830" s="130" t="s">
        <v>608</v>
      </c>
      <c r="D2830" s="130" t="s">
        <v>343</v>
      </c>
      <c r="E2830" s="132">
        <v>5990.08</v>
      </c>
    </row>
    <row r="2831" spans="1:5" x14ac:dyDescent="0.25">
      <c r="A2831" s="130" t="s">
        <v>4</v>
      </c>
      <c r="B2831" s="130" t="s">
        <v>579</v>
      </c>
      <c r="C2831" s="130" t="s">
        <v>608</v>
      </c>
      <c r="D2831" s="130" t="s">
        <v>675</v>
      </c>
      <c r="E2831" s="132">
        <v>9518.9500000000007</v>
      </c>
    </row>
    <row r="2832" spans="1:5" x14ac:dyDescent="0.25">
      <c r="A2832" s="130" t="s">
        <v>4</v>
      </c>
      <c r="B2832" s="130" t="s">
        <v>579</v>
      </c>
      <c r="C2832" s="130" t="s">
        <v>608</v>
      </c>
      <c r="D2832" s="130" t="s">
        <v>691</v>
      </c>
      <c r="E2832" s="132">
        <v>10479.4</v>
      </c>
    </row>
    <row r="2833" spans="1:5" x14ac:dyDescent="0.25">
      <c r="A2833" s="130" t="s">
        <v>4</v>
      </c>
      <c r="B2833" s="130" t="s">
        <v>579</v>
      </c>
      <c r="C2833" s="130" t="s">
        <v>608</v>
      </c>
      <c r="D2833" s="130" t="s">
        <v>307</v>
      </c>
      <c r="E2833" s="132">
        <v>12894.62</v>
      </c>
    </row>
    <row r="2834" spans="1:5" x14ac:dyDescent="0.25">
      <c r="A2834" s="130" t="s">
        <v>4</v>
      </c>
      <c r="B2834" s="130" t="s">
        <v>579</v>
      </c>
      <c r="C2834" s="130" t="s">
        <v>608</v>
      </c>
      <c r="D2834" s="130" t="s">
        <v>428</v>
      </c>
      <c r="E2834" s="132">
        <v>15928.66</v>
      </c>
    </row>
    <row r="2835" spans="1:5" x14ac:dyDescent="0.25">
      <c r="A2835" s="130" t="s">
        <v>4</v>
      </c>
      <c r="B2835" s="130" t="s">
        <v>579</v>
      </c>
      <c r="C2835" s="130" t="s">
        <v>608</v>
      </c>
      <c r="D2835" s="130" t="s">
        <v>429</v>
      </c>
      <c r="E2835" s="132">
        <v>18959.97</v>
      </c>
    </row>
    <row r="2836" spans="1:5" x14ac:dyDescent="0.25">
      <c r="A2836" s="130" t="s">
        <v>4</v>
      </c>
      <c r="B2836" s="130" t="s">
        <v>579</v>
      </c>
      <c r="C2836" s="130" t="s">
        <v>608</v>
      </c>
      <c r="D2836" s="130" t="s">
        <v>269</v>
      </c>
      <c r="E2836" s="132">
        <v>21998.13</v>
      </c>
    </row>
    <row r="2837" spans="1:5" x14ac:dyDescent="0.25">
      <c r="A2837" s="130" t="s">
        <v>4</v>
      </c>
      <c r="B2837" s="130" t="s">
        <v>579</v>
      </c>
      <c r="C2837" s="130" t="s">
        <v>608</v>
      </c>
      <c r="D2837" s="130" t="s">
        <v>258</v>
      </c>
      <c r="E2837" s="132">
        <v>31105.08</v>
      </c>
    </row>
    <row r="2838" spans="1:5" x14ac:dyDescent="0.25">
      <c r="A2838" s="130" t="s">
        <v>4</v>
      </c>
      <c r="B2838" s="130" t="s">
        <v>579</v>
      </c>
      <c r="C2838" s="130" t="s">
        <v>608</v>
      </c>
      <c r="D2838" s="130" t="s">
        <v>561</v>
      </c>
      <c r="E2838" s="132">
        <v>8535.2999999999993</v>
      </c>
    </row>
    <row r="2839" spans="1:5" x14ac:dyDescent="0.25">
      <c r="A2839" s="130" t="s">
        <v>4</v>
      </c>
      <c r="B2839" s="130" t="s">
        <v>579</v>
      </c>
      <c r="C2839" s="130" t="s">
        <v>608</v>
      </c>
      <c r="D2839" s="130" t="s">
        <v>337</v>
      </c>
      <c r="E2839" s="132">
        <v>2890.05</v>
      </c>
    </row>
    <row r="2840" spans="1:5" x14ac:dyDescent="0.25">
      <c r="A2840" s="130" t="s">
        <v>4</v>
      </c>
      <c r="B2840" s="130" t="s">
        <v>579</v>
      </c>
      <c r="C2840" s="130" t="s">
        <v>608</v>
      </c>
      <c r="D2840" s="130" t="s">
        <v>308</v>
      </c>
      <c r="E2840" s="132">
        <v>2178.2399999999998</v>
      </c>
    </row>
    <row r="2841" spans="1:5" x14ac:dyDescent="0.25">
      <c r="A2841" s="130" t="s">
        <v>4</v>
      </c>
      <c r="B2841" s="130" t="s">
        <v>579</v>
      </c>
      <c r="C2841" s="130" t="s">
        <v>608</v>
      </c>
      <c r="D2841" s="130" t="s">
        <v>378</v>
      </c>
      <c r="E2841" s="132">
        <v>2641.29</v>
      </c>
    </row>
    <row r="2842" spans="1:5" x14ac:dyDescent="0.25">
      <c r="A2842" s="130" t="s">
        <v>4</v>
      </c>
      <c r="B2842" s="130" t="s">
        <v>579</v>
      </c>
      <c r="C2842" s="130" t="s">
        <v>608</v>
      </c>
      <c r="D2842" s="130" t="s">
        <v>309</v>
      </c>
      <c r="E2842" s="132">
        <v>2407.6</v>
      </c>
    </row>
    <row r="2843" spans="1:5" x14ac:dyDescent="0.25">
      <c r="A2843" s="130" t="s">
        <v>4</v>
      </c>
      <c r="B2843" s="130" t="s">
        <v>579</v>
      </c>
      <c r="C2843" s="130" t="s">
        <v>608</v>
      </c>
      <c r="D2843" s="130" t="s">
        <v>357</v>
      </c>
      <c r="E2843" s="132">
        <v>5977.23</v>
      </c>
    </row>
    <row r="2844" spans="1:5" x14ac:dyDescent="0.25">
      <c r="A2844" s="130" t="s">
        <v>4</v>
      </c>
      <c r="B2844" s="130" t="s">
        <v>579</v>
      </c>
      <c r="C2844" s="130" t="s">
        <v>608</v>
      </c>
      <c r="D2844" s="130" t="s">
        <v>318</v>
      </c>
      <c r="E2844" s="132">
        <v>10869.56</v>
      </c>
    </row>
    <row r="2845" spans="1:5" x14ac:dyDescent="0.25">
      <c r="A2845" s="130" t="s">
        <v>4</v>
      </c>
      <c r="B2845" s="130" t="s">
        <v>579</v>
      </c>
      <c r="C2845" s="130" t="s">
        <v>608</v>
      </c>
      <c r="D2845" s="130" t="s">
        <v>336</v>
      </c>
      <c r="E2845" s="132">
        <v>14449.87</v>
      </c>
    </row>
    <row r="2846" spans="1:5" x14ac:dyDescent="0.25">
      <c r="A2846" s="130" t="s">
        <v>4</v>
      </c>
      <c r="B2846" s="130" t="s">
        <v>579</v>
      </c>
      <c r="C2846" s="130" t="s">
        <v>608</v>
      </c>
      <c r="D2846" s="130" t="s">
        <v>259</v>
      </c>
      <c r="E2846" s="132">
        <v>25671.24</v>
      </c>
    </row>
    <row r="2847" spans="1:5" x14ac:dyDescent="0.25">
      <c r="A2847" s="130" t="s">
        <v>4</v>
      </c>
      <c r="B2847" s="130" t="s">
        <v>579</v>
      </c>
      <c r="C2847" s="130" t="s">
        <v>608</v>
      </c>
      <c r="D2847" s="130" t="s">
        <v>939</v>
      </c>
      <c r="E2847" s="132">
        <v>42626.23</v>
      </c>
    </row>
    <row r="2848" spans="1:5" x14ac:dyDescent="0.25">
      <c r="A2848" s="130" t="s">
        <v>4</v>
      </c>
      <c r="B2848" s="130" t="s">
        <v>579</v>
      </c>
      <c r="C2848" s="130" t="s">
        <v>608</v>
      </c>
      <c r="D2848" s="130" t="s">
        <v>390</v>
      </c>
      <c r="E2848" s="132">
        <v>2359.9899999999998</v>
      </c>
    </row>
    <row r="2849" spans="1:5" x14ac:dyDescent="0.25">
      <c r="A2849" s="130" t="s">
        <v>4</v>
      </c>
      <c r="B2849" s="130" t="s">
        <v>579</v>
      </c>
      <c r="C2849" s="130" t="s">
        <v>608</v>
      </c>
      <c r="D2849" s="130" t="s">
        <v>235</v>
      </c>
      <c r="E2849" s="132">
        <v>3684.1</v>
      </c>
    </row>
    <row r="2850" spans="1:5" x14ac:dyDescent="0.25">
      <c r="A2850" s="130" t="s">
        <v>4</v>
      </c>
      <c r="B2850" s="130" t="s">
        <v>579</v>
      </c>
      <c r="C2850" s="130" t="s">
        <v>608</v>
      </c>
      <c r="D2850" s="130" t="s">
        <v>236</v>
      </c>
      <c r="E2850" s="132">
        <v>3910.48</v>
      </c>
    </row>
    <row r="2851" spans="1:5" x14ac:dyDescent="0.25">
      <c r="A2851" s="130" t="s">
        <v>4</v>
      </c>
      <c r="B2851" s="130" t="s">
        <v>579</v>
      </c>
      <c r="C2851" s="130" t="s">
        <v>608</v>
      </c>
      <c r="D2851" s="130" t="s">
        <v>497</v>
      </c>
      <c r="E2851" s="132">
        <v>6178.31</v>
      </c>
    </row>
    <row r="2852" spans="1:5" x14ac:dyDescent="0.25">
      <c r="A2852" s="130" t="s">
        <v>4</v>
      </c>
      <c r="B2852" s="130" t="s">
        <v>579</v>
      </c>
      <c r="C2852" s="130" t="s">
        <v>608</v>
      </c>
      <c r="D2852" s="130" t="s">
        <v>404</v>
      </c>
      <c r="E2852" s="132">
        <v>2733.91</v>
      </c>
    </row>
    <row r="2853" spans="1:5" x14ac:dyDescent="0.25">
      <c r="A2853" s="130" t="s">
        <v>4</v>
      </c>
      <c r="B2853" s="130" t="s">
        <v>579</v>
      </c>
      <c r="C2853" s="130" t="s">
        <v>608</v>
      </c>
      <c r="D2853" s="130" t="s">
        <v>442</v>
      </c>
      <c r="E2853" s="132">
        <v>3661.77</v>
      </c>
    </row>
    <row r="2854" spans="1:5" x14ac:dyDescent="0.25">
      <c r="A2854" s="130" t="s">
        <v>4</v>
      </c>
      <c r="B2854" s="130" t="s">
        <v>579</v>
      </c>
      <c r="C2854" s="130" t="s">
        <v>608</v>
      </c>
      <c r="D2854" s="130" t="s">
        <v>443</v>
      </c>
      <c r="E2854" s="132">
        <v>3572.6</v>
      </c>
    </row>
    <row r="2855" spans="1:5" x14ac:dyDescent="0.25">
      <c r="A2855" s="130" t="s">
        <v>4</v>
      </c>
      <c r="B2855" s="130" t="s">
        <v>579</v>
      </c>
      <c r="C2855" s="130" t="s">
        <v>608</v>
      </c>
      <c r="D2855" s="130" t="s">
        <v>615</v>
      </c>
      <c r="E2855" s="132">
        <v>5279.15</v>
      </c>
    </row>
    <row r="2856" spans="1:5" x14ac:dyDescent="0.25">
      <c r="A2856" s="130" t="s">
        <v>4</v>
      </c>
      <c r="B2856" s="130" t="s">
        <v>579</v>
      </c>
      <c r="C2856" s="130" t="s">
        <v>608</v>
      </c>
      <c r="D2856" s="130" t="s">
        <v>237</v>
      </c>
      <c r="E2856" s="132">
        <v>11731.45</v>
      </c>
    </row>
    <row r="2857" spans="1:5" x14ac:dyDescent="0.25">
      <c r="A2857" s="130" t="s">
        <v>4</v>
      </c>
      <c r="B2857" s="130" t="s">
        <v>579</v>
      </c>
      <c r="C2857" s="130" t="s">
        <v>608</v>
      </c>
      <c r="D2857" s="130" t="s">
        <v>406</v>
      </c>
      <c r="E2857" s="132">
        <v>7707.73</v>
      </c>
    </row>
    <row r="2858" spans="1:5" x14ac:dyDescent="0.25">
      <c r="A2858" s="130" t="s">
        <v>4</v>
      </c>
      <c r="B2858" s="130" t="s">
        <v>579</v>
      </c>
      <c r="C2858" s="130" t="s">
        <v>608</v>
      </c>
      <c r="D2858" s="130" t="s">
        <v>708</v>
      </c>
      <c r="E2858" s="132">
        <v>9004.3799999999992</v>
      </c>
    </row>
    <row r="2859" spans="1:5" x14ac:dyDescent="0.25">
      <c r="A2859" s="130" t="s">
        <v>4</v>
      </c>
      <c r="B2859" s="130" t="s">
        <v>579</v>
      </c>
      <c r="C2859" s="130" t="s">
        <v>608</v>
      </c>
      <c r="D2859" s="130" t="s">
        <v>282</v>
      </c>
      <c r="E2859" s="132">
        <v>2426.0300000000002</v>
      </c>
    </row>
    <row r="2860" spans="1:5" x14ac:dyDescent="0.25">
      <c r="A2860" s="130" t="s">
        <v>4</v>
      </c>
      <c r="B2860" s="130" t="s">
        <v>579</v>
      </c>
      <c r="C2860" s="130" t="s">
        <v>608</v>
      </c>
      <c r="D2860" s="130" t="s">
        <v>446</v>
      </c>
      <c r="E2860" s="132">
        <v>2691.02</v>
      </c>
    </row>
    <row r="2861" spans="1:5" x14ac:dyDescent="0.25">
      <c r="A2861" s="130" t="s">
        <v>4</v>
      </c>
      <c r="B2861" s="130" t="s">
        <v>579</v>
      </c>
      <c r="C2861" s="130" t="s">
        <v>608</v>
      </c>
      <c r="D2861" s="130" t="s">
        <v>297</v>
      </c>
      <c r="E2861" s="132">
        <v>2689.73</v>
      </c>
    </row>
    <row r="2862" spans="1:5" x14ac:dyDescent="0.25">
      <c r="A2862" s="130" t="s">
        <v>4</v>
      </c>
      <c r="B2862" s="130" t="s">
        <v>579</v>
      </c>
      <c r="C2862" s="130" t="s">
        <v>608</v>
      </c>
      <c r="D2862" s="130" t="s">
        <v>697</v>
      </c>
      <c r="E2862" s="132">
        <v>1844.62</v>
      </c>
    </row>
    <row r="2863" spans="1:5" x14ac:dyDescent="0.25">
      <c r="A2863" s="130" t="s">
        <v>4</v>
      </c>
      <c r="B2863" s="130" t="s">
        <v>579</v>
      </c>
      <c r="C2863" s="130" t="s">
        <v>608</v>
      </c>
      <c r="D2863" s="130" t="s">
        <v>463</v>
      </c>
      <c r="E2863" s="132">
        <v>4785.16</v>
      </c>
    </row>
    <row r="2864" spans="1:5" x14ac:dyDescent="0.25">
      <c r="A2864" s="130" t="s">
        <v>4</v>
      </c>
      <c r="B2864" s="130" t="s">
        <v>579</v>
      </c>
      <c r="C2864" s="130" t="s">
        <v>608</v>
      </c>
      <c r="D2864" s="130" t="s">
        <v>1036</v>
      </c>
      <c r="E2864" s="132">
        <v>2612.14</v>
      </c>
    </row>
    <row r="2865" spans="1:5" x14ac:dyDescent="0.25">
      <c r="A2865" s="130" t="s">
        <v>4</v>
      </c>
      <c r="B2865" s="130" t="s">
        <v>579</v>
      </c>
      <c r="C2865" s="130" t="s">
        <v>608</v>
      </c>
      <c r="D2865" s="130" t="s">
        <v>451</v>
      </c>
      <c r="E2865" s="132">
        <v>10301.06</v>
      </c>
    </row>
    <row r="2866" spans="1:5" x14ac:dyDescent="0.25">
      <c r="A2866" s="130" t="s">
        <v>4</v>
      </c>
      <c r="B2866" s="130" t="s">
        <v>579</v>
      </c>
      <c r="C2866" s="130" t="s">
        <v>608</v>
      </c>
      <c r="D2866" s="130" t="s">
        <v>298</v>
      </c>
      <c r="E2866" s="132">
        <v>3082.94</v>
      </c>
    </row>
    <row r="2867" spans="1:5" x14ac:dyDescent="0.25">
      <c r="A2867" s="130" t="s">
        <v>4</v>
      </c>
      <c r="B2867" s="130" t="s">
        <v>579</v>
      </c>
      <c r="C2867" s="130" t="s">
        <v>608</v>
      </c>
      <c r="D2867" s="130" t="s">
        <v>650</v>
      </c>
      <c r="E2867" s="132">
        <v>2646.45</v>
      </c>
    </row>
    <row r="2868" spans="1:5" x14ac:dyDescent="0.25">
      <c r="A2868" s="130" t="s">
        <v>4</v>
      </c>
      <c r="B2868" s="130" t="s">
        <v>579</v>
      </c>
      <c r="C2868" s="130" t="s">
        <v>608</v>
      </c>
      <c r="D2868" s="130" t="s">
        <v>681</v>
      </c>
      <c r="E2868" s="132">
        <v>1974.09</v>
      </c>
    </row>
    <row r="2869" spans="1:5" x14ac:dyDescent="0.25">
      <c r="A2869" s="130" t="s">
        <v>4</v>
      </c>
      <c r="B2869" s="130" t="s">
        <v>579</v>
      </c>
      <c r="C2869" s="130" t="s">
        <v>608</v>
      </c>
      <c r="D2869" s="130" t="s">
        <v>828</v>
      </c>
      <c r="E2869" s="132">
        <v>2456.91</v>
      </c>
    </row>
    <row r="2870" spans="1:5" x14ac:dyDescent="0.25">
      <c r="A2870" s="130" t="s">
        <v>4</v>
      </c>
      <c r="B2870" s="130" t="s">
        <v>579</v>
      </c>
      <c r="C2870" s="130" t="s">
        <v>608</v>
      </c>
      <c r="D2870" s="130" t="s">
        <v>458</v>
      </c>
      <c r="E2870" s="132">
        <v>2113.87</v>
      </c>
    </row>
    <row r="2871" spans="1:5" x14ac:dyDescent="0.25">
      <c r="A2871" s="130" t="s">
        <v>4</v>
      </c>
      <c r="B2871" s="130" t="s">
        <v>579</v>
      </c>
      <c r="C2871" s="130" t="s">
        <v>608</v>
      </c>
      <c r="D2871" s="130" t="s">
        <v>753</v>
      </c>
      <c r="E2871" s="132">
        <v>7035.21</v>
      </c>
    </row>
    <row r="2872" spans="1:5" x14ac:dyDescent="0.25">
      <c r="A2872" s="130" t="s">
        <v>4</v>
      </c>
      <c r="B2872" s="130" t="s">
        <v>579</v>
      </c>
      <c r="C2872" s="130" t="s">
        <v>608</v>
      </c>
      <c r="D2872" s="130" t="s">
        <v>547</v>
      </c>
      <c r="E2872" s="132">
        <v>7164.91</v>
      </c>
    </row>
    <row r="2873" spans="1:5" x14ac:dyDescent="0.25">
      <c r="A2873" s="130" t="s">
        <v>4</v>
      </c>
      <c r="B2873" s="130" t="s">
        <v>579</v>
      </c>
      <c r="C2873" s="130" t="s">
        <v>608</v>
      </c>
      <c r="D2873" s="130" t="s">
        <v>314</v>
      </c>
      <c r="E2873" s="132">
        <v>3658.13</v>
      </c>
    </row>
    <row r="2874" spans="1:5" x14ac:dyDescent="0.25">
      <c r="A2874" s="130" t="s">
        <v>4</v>
      </c>
      <c r="B2874" s="130" t="s">
        <v>579</v>
      </c>
      <c r="C2874" s="130" t="s">
        <v>608</v>
      </c>
      <c r="D2874" s="130" t="s">
        <v>963</v>
      </c>
      <c r="E2874" s="132">
        <v>1573.79</v>
      </c>
    </row>
    <row r="2875" spans="1:5" x14ac:dyDescent="0.25">
      <c r="A2875" s="130" t="s">
        <v>4</v>
      </c>
      <c r="B2875" s="130" t="s">
        <v>579</v>
      </c>
      <c r="C2875" s="130" t="s">
        <v>608</v>
      </c>
      <c r="D2875" s="130" t="s">
        <v>1053</v>
      </c>
      <c r="E2875" s="132">
        <v>3056.26</v>
      </c>
    </row>
    <row r="2876" spans="1:5" x14ac:dyDescent="0.25">
      <c r="A2876" s="130" t="s">
        <v>4</v>
      </c>
      <c r="B2876" s="130" t="s">
        <v>579</v>
      </c>
      <c r="C2876" s="130" t="s">
        <v>608</v>
      </c>
      <c r="D2876" s="130" t="s">
        <v>437</v>
      </c>
      <c r="E2876" s="132">
        <v>1495.1</v>
      </c>
    </row>
    <row r="2877" spans="1:5" x14ac:dyDescent="0.25">
      <c r="A2877" s="130" t="s">
        <v>4</v>
      </c>
      <c r="B2877" s="130" t="s">
        <v>579</v>
      </c>
      <c r="C2877" s="130" t="s">
        <v>608</v>
      </c>
      <c r="D2877" s="130" t="s">
        <v>1106</v>
      </c>
      <c r="E2877" s="132">
        <v>3056.26</v>
      </c>
    </row>
    <row r="2878" spans="1:5" x14ac:dyDescent="0.25">
      <c r="A2878" s="130" t="s">
        <v>4</v>
      </c>
      <c r="B2878" s="130" t="s">
        <v>579</v>
      </c>
      <c r="C2878" s="130" t="s">
        <v>608</v>
      </c>
      <c r="D2878" s="130" t="s">
        <v>663</v>
      </c>
      <c r="E2878" s="132">
        <v>239.08</v>
      </c>
    </row>
    <row r="2879" spans="1:5" x14ac:dyDescent="0.25">
      <c r="A2879" s="130" t="s">
        <v>4</v>
      </c>
      <c r="B2879" s="130" t="s">
        <v>579</v>
      </c>
      <c r="C2879" s="130" t="s">
        <v>608</v>
      </c>
      <c r="D2879" s="130" t="s">
        <v>666</v>
      </c>
      <c r="E2879" s="132">
        <v>3061.06</v>
      </c>
    </row>
    <row r="2880" spans="1:5" x14ac:dyDescent="0.25">
      <c r="A2880" s="130" t="s">
        <v>4</v>
      </c>
      <c r="B2880" s="130" t="s">
        <v>579</v>
      </c>
      <c r="C2880" s="130" t="s">
        <v>608</v>
      </c>
      <c r="D2880" s="130" t="s">
        <v>825</v>
      </c>
      <c r="E2880" s="132">
        <v>7384.94</v>
      </c>
    </row>
    <row r="2881" spans="1:5" x14ac:dyDescent="0.25">
      <c r="A2881" s="130" t="s">
        <v>4</v>
      </c>
      <c r="B2881" s="130" t="s">
        <v>579</v>
      </c>
      <c r="C2881" s="130" t="s">
        <v>608</v>
      </c>
      <c r="D2881" s="130" t="s">
        <v>247</v>
      </c>
      <c r="E2881" s="132">
        <v>7346.09</v>
      </c>
    </row>
    <row r="2882" spans="1:5" x14ac:dyDescent="0.25">
      <c r="A2882" s="130" t="s">
        <v>4</v>
      </c>
      <c r="B2882" s="130" t="s">
        <v>579</v>
      </c>
      <c r="C2882" s="130" t="s">
        <v>608</v>
      </c>
      <c r="D2882" s="130" t="s">
        <v>248</v>
      </c>
      <c r="E2882" s="132">
        <v>13675.92</v>
      </c>
    </row>
    <row r="2883" spans="1:5" x14ac:dyDescent="0.25">
      <c r="A2883" s="130" t="s">
        <v>4</v>
      </c>
      <c r="B2883" s="130" t="s">
        <v>579</v>
      </c>
      <c r="C2883" s="130" t="s">
        <v>608</v>
      </c>
      <c r="D2883" s="130" t="s">
        <v>816</v>
      </c>
      <c r="E2883" s="132">
        <v>3055.32</v>
      </c>
    </row>
    <row r="2884" spans="1:5" x14ac:dyDescent="0.25">
      <c r="A2884" s="130" t="s">
        <v>4</v>
      </c>
      <c r="B2884" s="130" t="s">
        <v>579</v>
      </c>
      <c r="C2884" s="130" t="s">
        <v>608</v>
      </c>
      <c r="D2884" s="130" t="s">
        <v>552</v>
      </c>
      <c r="E2884" s="132">
        <v>11767.44</v>
      </c>
    </row>
    <row r="2885" spans="1:5" x14ac:dyDescent="0.25">
      <c r="A2885" s="130" t="s">
        <v>4</v>
      </c>
      <c r="B2885" s="130" t="s">
        <v>579</v>
      </c>
      <c r="C2885" s="130" t="s">
        <v>608</v>
      </c>
      <c r="D2885" s="130" t="s">
        <v>555</v>
      </c>
      <c r="E2885" s="132">
        <v>6665.8</v>
      </c>
    </row>
    <row r="2886" spans="1:5" x14ac:dyDescent="0.25">
      <c r="A2886" s="130" t="s">
        <v>4</v>
      </c>
      <c r="B2886" s="130" t="s">
        <v>579</v>
      </c>
      <c r="C2886" s="130" t="s">
        <v>608</v>
      </c>
      <c r="D2886" s="130" t="s">
        <v>709</v>
      </c>
      <c r="E2886" s="132">
        <v>3226.13</v>
      </c>
    </row>
    <row r="2887" spans="1:5" x14ac:dyDescent="0.25">
      <c r="A2887" s="130" t="s">
        <v>4</v>
      </c>
      <c r="B2887" s="130" t="s">
        <v>579</v>
      </c>
      <c r="C2887" s="130" t="s">
        <v>608</v>
      </c>
      <c r="D2887" s="130" t="s">
        <v>329</v>
      </c>
      <c r="E2887" s="132">
        <v>4368.3999999999996</v>
      </c>
    </row>
    <row r="2888" spans="1:5" x14ac:dyDescent="0.25">
      <c r="A2888" s="130" t="s">
        <v>4</v>
      </c>
      <c r="B2888" s="130" t="s">
        <v>579</v>
      </c>
      <c r="C2888" s="130" t="s">
        <v>608</v>
      </c>
      <c r="D2888" s="130" t="s">
        <v>353</v>
      </c>
      <c r="E2888" s="132">
        <v>5338.33</v>
      </c>
    </row>
    <row r="2889" spans="1:5" x14ac:dyDescent="0.25">
      <c r="A2889" s="130" t="s">
        <v>4</v>
      </c>
      <c r="B2889" s="130" t="s">
        <v>579</v>
      </c>
      <c r="C2889" s="130" t="s">
        <v>608</v>
      </c>
      <c r="D2889" s="130" t="s">
        <v>762</v>
      </c>
      <c r="E2889" s="132">
        <v>42788.13</v>
      </c>
    </row>
    <row r="2890" spans="1:5" x14ac:dyDescent="0.25">
      <c r="A2890" s="130" t="s">
        <v>4</v>
      </c>
      <c r="B2890" s="130" t="s">
        <v>579</v>
      </c>
      <c r="C2890" s="130" t="s">
        <v>608</v>
      </c>
      <c r="D2890" s="130" t="s">
        <v>309</v>
      </c>
      <c r="E2890" s="132">
        <v>5343.68</v>
      </c>
    </row>
    <row r="2891" spans="1:5" x14ac:dyDescent="0.25">
      <c r="A2891" s="130" t="s">
        <v>4</v>
      </c>
      <c r="B2891" s="130" t="s">
        <v>579</v>
      </c>
      <c r="C2891" s="130" t="s">
        <v>608</v>
      </c>
      <c r="D2891" s="130" t="s">
        <v>320</v>
      </c>
      <c r="E2891" s="132">
        <v>49487.49</v>
      </c>
    </row>
    <row r="2892" spans="1:5" x14ac:dyDescent="0.25">
      <c r="A2892" s="130" t="s">
        <v>4</v>
      </c>
      <c r="B2892" s="130" t="s">
        <v>579</v>
      </c>
      <c r="C2892" s="130" t="s">
        <v>608</v>
      </c>
      <c r="D2892" s="130" t="s">
        <v>431</v>
      </c>
      <c r="E2892" s="132">
        <v>67759.460000000006</v>
      </c>
    </row>
    <row r="2893" spans="1:5" x14ac:dyDescent="0.25">
      <c r="A2893" s="130" t="s">
        <v>4</v>
      </c>
      <c r="B2893" s="130" t="s">
        <v>579</v>
      </c>
      <c r="C2893" s="130" t="s">
        <v>608</v>
      </c>
      <c r="D2893" s="130" t="s">
        <v>259</v>
      </c>
      <c r="E2893" s="132">
        <v>18992.41</v>
      </c>
    </row>
    <row r="2894" spans="1:5" x14ac:dyDescent="0.25">
      <c r="A2894" s="130" t="s">
        <v>4</v>
      </c>
      <c r="B2894" s="130" t="s">
        <v>579</v>
      </c>
      <c r="C2894" s="130" t="s">
        <v>608</v>
      </c>
      <c r="D2894" s="130" t="s">
        <v>371</v>
      </c>
      <c r="E2894" s="132">
        <v>7939.64</v>
      </c>
    </row>
    <row r="2895" spans="1:5" x14ac:dyDescent="0.25">
      <c r="A2895" s="130" t="s">
        <v>4</v>
      </c>
      <c r="B2895" s="130" t="s">
        <v>579</v>
      </c>
      <c r="C2895" s="130" t="s">
        <v>608</v>
      </c>
      <c r="D2895" s="130" t="s">
        <v>1061</v>
      </c>
      <c r="E2895" s="132">
        <v>4248.24</v>
      </c>
    </row>
    <row r="2896" spans="1:5" x14ac:dyDescent="0.25">
      <c r="A2896" s="130" t="s">
        <v>4</v>
      </c>
      <c r="B2896" s="130" t="s">
        <v>579</v>
      </c>
      <c r="C2896" s="130" t="s">
        <v>608</v>
      </c>
      <c r="D2896" s="130" t="s">
        <v>731</v>
      </c>
      <c r="E2896" s="132">
        <v>4529.47</v>
      </c>
    </row>
    <row r="2897" spans="1:5" x14ac:dyDescent="0.25">
      <c r="A2897" s="130" t="s">
        <v>4</v>
      </c>
      <c r="B2897" s="130" t="s">
        <v>579</v>
      </c>
      <c r="C2897" s="130" t="s">
        <v>608</v>
      </c>
      <c r="D2897" s="130" t="s">
        <v>367</v>
      </c>
      <c r="E2897" s="132">
        <v>3351.05</v>
      </c>
    </row>
    <row r="2898" spans="1:5" x14ac:dyDescent="0.25">
      <c r="A2898" s="130" t="s">
        <v>4</v>
      </c>
      <c r="B2898" s="130" t="s">
        <v>579</v>
      </c>
      <c r="C2898" s="130" t="s">
        <v>608</v>
      </c>
      <c r="D2898" s="130" t="s">
        <v>1107</v>
      </c>
      <c r="E2898" s="132">
        <v>1781.41</v>
      </c>
    </row>
    <row r="2899" spans="1:5" x14ac:dyDescent="0.25">
      <c r="A2899" s="130" t="s">
        <v>4</v>
      </c>
      <c r="B2899" s="130" t="s">
        <v>579</v>
      </c>
      <c r="C2899" s="130" t="s">
        <v>608</v>
      </c>
      <c r="D2899" s="130" t="s">
        <v>740</v>
      </c>
      <c r="E2899" s="132">
        <v>4426.72</v>
      </c>
    </row>
    <row r="2900" spans="1:5" x14ac:dyDescent="0.25">
      <c r="A2900" s="130" t="s">
        <v>4</v>
      </c>
      <c r="B2900" s="130" t="s">
        <v>579</v>
      </c>
      <c r="C2900" s="130" t="s">
        <v>608</v>
      </c>
      <c r="D2900" s="130" t="s">
        <v>576</v>
      </c>
      <c r="E2900" s="132">
        <v>5361.31</v>
      </c>
    </row>
    <row r="2901" spans="1:5" x14ac:dyDescent="0.25">
      <c r="A2901" s="130" t="s">
        <v>4</v>
      </c>
      <c r="B2901" s="130" t="s">
        <v>579</v>
      </c>
      <c r="C2901" s="130" t="s">
        <v>608</v>
      </c>
      <c r="D2901" s="130" t="s">
        <v>1022</v>
      </c>
      <c r="E2901" s="132">
        <v>1911.11</v>
      </c>
    </row>
    <row r="2902" spans="1:5" x14ac:dyDescent="0.25">
      <c r="A2902" s="130" t="s">
        <v>4</v>
      </c>
      <c r="B2902" s="130" t="s">
        <v>579</v>
      </c>
      <c r="C2902" s="130" t="s">
        <v>608</v>
      </c>
      <c r="D2902" s="130" t="s">
        <v>991</v>
      </c>
      <c r="E2902" s="132">
        <v>1150.1099999999999</v>
      </c>
    </row>
    <row r="2903" spans="1:5" x14ac:dyDescent="0.25">
      <c r="A2903" s="130" t="s">
        <v>4</v>
      </c>
      <c r="B2903" s="130" t="s">
        <v>579</v>
      </c>
      <c r="C2903" s="130" t="s">
        <v>608</v>
      </c>
      <c r="D2903" s="130" t="s">
        <v>1108</v>
      </c>
      <c r="E2903" s="132">
        <v>1596.1</v>
      </c>
    </row>
    <row r="2904" spans="1:5" x14ac:dyDescent="0.25">
      <c r="A2904" s="130" t="s">
        <v>4</v>
      </c>
      <c r="B2904" s="130" t="s">
        <v>579</v>
      </c>
      <c r="C2904" s="130" t="s">
        <v>608</v>
      </c>
      <c r="D2904" s="130" t="s">
        <v>277</v>
      </c>
      <c r="E2904" s="132">
        <v>26847.360000000001</v>
      </c>
    </row>
    <row r="2905" spans="1:5" x14ac:dyDescent="0.25">
      <c r="A2905" s="130" t="s">
        <v>4</v>
      </c>
      <c r="B2905" s="130" t="s">
        <v>579</v>
      </c>
      <c r="C2905" s="130" t="s">
        <v>608</v>
      </c>
      <c r="D2905" s="130" t="s">
        <v>234</v>
      </c>
      <c r="E2905" s="132">
        <v>31605.119999999999</v>
      </c>
    </row>
    <row r="2906" spans="1:5" x14ac:dyDescent="0.25">
      <c r="A2906" s="130" t="s">
        <v>4</v>
      </c>
      <c r="B2906" s="130" t="s">
        <v>579</v>
      </c>
      <c r="C2906" s="130" t="s">
        <v>608</v>
      </c>
      <c r="D2906" s="130" t="s">
        <v>473</v>
      </c>
      <c r="E2906" s="132">
        <v>1958.7</v>
      </c>
    </row>
    <row r="2907" spans="1:5" x14ac:dyDescent="0.25">
      <c r="A2907" s="130" t="s">
        <v>4</v>
      </c>
      <c r="B2907" s="130" t="s">
        <v>579</v>
      </c>
      <c r="C2907" s="130" t="s">
        <v>608</v>
      </c>
      <c r="D2907" s="130" t="s">
        <v>390</v>
      </c>
      <c r="E2907" s="132">
        <v>5436.11</v>
      </c>
    </row>
    <row r="2908" spans="1:5" x14ac:dyDescent="0.25">
      <c r="A2908" s="130" t="s">
        <v>4</v>
      </c>
      <c r="B2908" s="130" t="s">
        <v>579</v>
      </c>
      <c r="C2908" s="130" t="s">
        <v>608</v>
      </c>
      <c r="D2908" s="130" t="s">
        <v>235</v>
      </c>
      <c r="E2908" s="132">
        <v>11315.71</v>
      </c>
    </row>
    <row r="2909" spans="1:5" x14ac:dyDescent="0.25">
      <c r="A2909" s="130" t="s">
        <v>4</v>
      </c>
      <c r="B2909" s="130" t="s">
        <v>579</v>
      </c>
      <c r="C2909" s="130" t="s">
        <v>608</v>
      </c>
      <c r="D2909" s="130" t="s">
        <v>656</v>
      </c>
      <c r="E2909" s="132">
        <v>14928.77</v>
      </c>
    </row>
    <row r="2910" spans="1:5" x14ac:dyDescent="0.25">
      <c r="A2910" s="130" t="s">
        <v>4</v>
      </c>
      <c r="B2910" s="130" t="s">
        <v>579</v>
      </c>
      <c r="C2910" s="130" t="s">
        <v>608</v>
      </c>
      <c r="D2910" s="130" t="s">
        <v>533</v>
      </c>
      <c r="E2910" s="132">
        <v>7580.27</v>
      </c>
    </row>
    <row r="2911" spans="1:5" x14ac:dyDescent="0.25">
      <c r="A2911" s="130" t="s">
        <v>4</v>
      </c>
      <c r="B2911" s="130" t="s">
        <v>579</v>
      </c>
      <c r="C2911" s="130" t="s">
        <v>608</v>
      </c>
      <c r="D2911" s="130" t="s">
        <v>278</v>
      </c>
      <c r="E2911" s="132">
        <v>6696.7</v>
      </c>
    </row>
    <row r="2912" spans="1:5" x14ac:dyDescent="0.25">
      <c r="A2912" s="130" t="s">
        <v>4</v>
      </c>
      <c r="B2912" s="130" t="s">
        <v>579</v>
      </c>
      <c r="C2912" s="130" t="s">
        <v>608</v>
      </c>
      <c r="D2912" s="130" t="s">
        <v>791</v>
      </c>
      <c r="E2912" s="132">
        <v>6348.69</v>
      </c>
    </row>
    <row r="2913" spans="1:5" x14ac:dyDescent="0.25">
      <c r="A2913" s="130" t="s">
        <v>4</v>
      </c>
      <c r="B2913" s="130" t="s">
        <v>579</v>
      </c>
      <c r="C2913" s="130" t="s">
        <v>608</v>
      </c>
      <c r="D2913" s="130" t="s">
        <v>657</v>
      </c>
      <c r="E2913" s="132">
        <v>6255.32</v>
      </c>
    </row>
    <row r="2914" spans="1:5" x14ac:dyDescent="0.25">
      <c r="A2914" s="130" t="s">
        <v>4</v>
      </c>
      <c r="B2914" s="130" t="s">
        <v>579</v>
      </c>
      <c r="C2914" s="130" t="s">
        <v>608</v>
      </c>
      <c r="D2914" s="130" t="s">
        <v>1109</v>
      </c>
      <c r="E2914" s="132">
        <v>4739.37</v>
      </c>
    </row>
    <row r="2915" spans="1:5" x14ac:dyDescent="0.25">
      <c r="A2915" s="130" t="s">
        <v>4</v>
      </c>
      <c r="B2915" s="130" t="s">
        <v>579</v>
      </c>
      <c r="C2915" s="130" t="s">
        <v>608</v>
      </c>
      <c r="D2915" s="130" t="s">
        <v>522</v>
      </c>
      <c r="E2915" s="132">
        <v>1895.17</v>
      </c>
    </row>
    <row r="2916" spans="1:5" x14ac:dyDescent="0.25">
      <c r="A2916" s="130" t="s">
        <v>4</v>
      </c>
      <c r="B2916" s="130" t="s">
        <v>579</v>
      </c>
      <c r="C2916" s="130" t="s">
        <v>608</v>
      </c>
      <c r="D2916" s="130" t="s">
        <v>536</v>
      </c>
      <c r="E2916" s="132">
        <v>3475.49</v>
      </c>
    </row>
    <row r="2917" spans="1:5" x14ac:dyDescent="0.25">
      <c r="A2917" s="130" t="s">
        <v>4</v>
      </c>
      <c r="B2917" s="130" t="s">
        <v>579</v>
      </c>
      <c r="C2917" s="130" t="s">
        <v>608</v>
      </c>
      <c r="D2917" s="130" t="s">
        <v>279</v>
      </c>
      <c r="E2917" s="132">
        <v>27634.42</v>
      </c>
    </row>
    <row r="2918" spans="1:5" x14ac:dyDescent="0.25">
      <c r="A2918" s="130" t="s">
        <v>4</v>
      </c>
      <c r="B2918" s="130" t="s">
        <v>579</v>
      </c>
      <c r="C2918" s="130" t="s">
        <v>608</v>
      </c>
      <c r="D2918" s="130" t="s">
        <v>311</v>
      </c>
      <c r="E2918" s="132">
        <v>2145.34</v>
      </c>
    </row>
    <row r="2919" spans="1:5" x14ac:dyDescent="0.25">
      <c r="A2919" s="130" t="s">
        <v>4</v>
      </c>
      <c r="B2919" s="130" t="s">
        <v>579</v>
      </c>
      <c r="C2919" s="130" t="s">
        <v>608</v>
      </c>
      <c r="D2919" s="130" t="s">
        <v>658</v>
      </c>
      <c r="E2919" s="132">
        <v>2220.4699999999998</v>
      </c>
    </row>
    <row r="2920" spans="1:5" x14ac:dyDescent="0.25">
      <c r="A2920" s="130" t="s">
        <v>4</v>
      </c>
      <c r="B2920" s="130" t="s">
        <v>579</v>
      </c>
      <c r="C2920" s="130" t="s">
        <v>608</v>
      </c>
      <c r="D2920" s="130" t="s">
        <v>393</v>
      </c>
      <c r="E2920" s="132">
        <v>4626.87</v>
      </c>
    </row>
    <row r="2921" spans="1:5" x14ac:dyDescent="0.25">
      <c r="A2921" s="130" t="s">
        <v>4</v>
      </c>
      <c r="B2921" s="130" t="s">
        <v>579</v>
      </c>
      <c r="C2921" s="130" t="s">
        <v>608</v>
      </c>
      <c r="D2921" s="130" t="s">
        <v>284</v>
      </c>
      <c r="E2921" s="132">
        <v>1688.77</v>
      </c>
    </row>
    <row r="2922" spans="1:5" x14ac:dyDescent="0.25">
      <c r="A2922" s="130" t="s">
        <v>4</v>
      </c>
      <c r="B2922" s="130" t="s">
        <v>579</v>
      </c>
      <c r="C2922" s="130" t="s">
        <v>608</v>
      </c>
      <c r="D2922" s="130" t="s">
        <v>286</v>
      </c>
      <c r="E2922" s="132">
        <v>7064.66</v>
      </c>
    </row>
    <row r="2923" spans="1:5" x14ac:dyDescent="0.25">
      <c r="A2923" s="130" t="s">
        <v>4</v>
      </c>
      <c r="B2923" s="130" t="s">
        <v>579</v>
      </c>
      <c r="C2923" s="130" t="s">
        <v>608</v>
      </c>
      <c r="D2923" s="130" t="s">
        <v>475</v>
      </c>
      <c r="E2923" s="132">
        <v>1081.9100000000001</v>
      </c>
    </row>
    <row r="2924" spans="1:5" x14ac:dyDescent="0.25">
      <c r="A2924" s="130" t="s">
        <v>4</v>
      </c>
      <c r="B2924" s="130" t="s">
        <v>579</v>
      </c>
      <c r="C2924" s="130" t="s">
        <v>608</v>
      </c>
      <c r="D2924" s="130" t="s">
        <v>686</v>
      </c>
      <c r="E2924" s="132">
        <v>1872.76</v>
      </c>
    </row>
    <row r="2925" spans="1:5" x14ac:dyDescent="0.25">
      <c r="A2925" s="130" t="s">
        <v>4</v>
      </c>
      <c r="B2925" s="130" t="s">
        <v>579</v>
      </c>
      <c r="C2925" s="130" t="s">
        <v>608</v>
      </c>
      <c r="D2925" s="130" t="s">
        <v>313</v>
      </c>
      <c r="E2925" s="132">
        <v>1909.14</v>
      </c>
    </row>
    <row r="2926" spans="1:5" x14ac:dyDescent="0.25">
      <c r="A2926" s="130" t="s">
        <v>4</v>
      </c>
      <c r="B2926" s="130" t="s">
        <v>579</v>
      </c>
      <c r="C2926" s="130" t="s">
        <v>608</v>
      </c>
      <c r="D2926" s="130" t="s">
        <v>411</v>
      </c>
      <c r="E2926" s="132">
        <v>5631.55</v>
      </c>
    </row>
    <row r="2927" spans="1:5" x14ac:dyDescent="0.25">
      <c r="A2927" s="130" t="s">
        <v>4</v>
      </c>
      <c r="B2927" s="130" t="s">
        <v>579</v>
      </c>
      <c r="C2927" s="130" t="s">
        <v>608</v>
      </c>
      <c r="D2927" s="130" t="s">
        <v>465</v>
      </c>
      <c r="E2927" s="132">
        <v>2219.4299999999998</v>
      </c>
    </row>
    <row r="2928" spans="1:5" x14ac:dyDescent="0.25">
      <c r="A2928" s="130" t="s">
        <v>4</v>
      </c>
      <c r="B2928" s="130" t="s">
        <v>579</v>
      </c>
      <c r="C2928" s="130" t="s">
        <v>608</v>
      </c>
      <c r="D2928" s="130" t="s">
        <v>466</v>
      </c>
      <c r="E2928" s="132">
        <v>2882.44</v>
      </c>
    </row>
    <row r="2929" spans="1:5" x14ac:dyDescent="0.25">
      <c r="A2929" s="130" t="s">
        <v>4</v>
      </c>
      <c r="B2929" s="130" t="s">
        <v>579</v>
      </c>
      <c r="C2929" s="130" t="s">
        <v>608</v>
      </c>
      <c r="D2929" s="130" t="s">
        <v>467</v>
      </c>
      <c r="E2929" s="132">
        <v>1049.51</v>
      </c>
    </row>
    <row r="2930" spans="1:5" x14ac:dyDescent="0.25">
      <c r="A2930" s="130" t="s">
        <v>4</v>
      </c>
      <c r="B2930" s="130" t="s">
        <v>579</v>
      </c>
      <c r="C2930" s="130" t="s">
        <v>608</v>
      </c>
      <c r="D2930" s="130" t="s">
        <v>412</v>
      </c>
      <c r="E2930" s="132">
        <v>1624.47</v>
      </c>
    </row>
    <row r="2931" spans="1:5" x14ac:dyDescent="0.25">
      <c r="A2931" s="130" t="s">
        <v>4</v>
      </c>
      <c r="B2931" s="130" t="s">
        <v>579</v>
      </c>
      <c r="C2931" s="130" t="s">
        <v>608</v>
      </c>
      <c r="D2931" s="130" t="s">
        <v>635</v>
      </c>
      <c r="E2931" s="132">
        <v>1727.22</v>
      </c>
    </row>
    <row r="2932" spans="1:5" x14ac:dyDescent="0.25">
      <c r="A2932" s="130" t="s">
        <v>4</v>
      </c>
      <c r="B2932" s="130" t="s">
        <v>579</v>
      </c>
      <c r="C2932" s="130" t="s">
        <v>608</v>
      </c>
      <c r="D2932" s="130" t="s">
        <v>468</v>
      </c>
      <c r="E2932" s="132">
        <v>1852.84</v>
      </c>
    </row>
    <row r="2933" spans="1:5" x14ac:dyDescent="0.25">
      <c r="A2933" s="130" t="s">
        <v>4</v>
      </c>
      <c r="B2933" s="130" t="s">
        <v>579</v>
      </c>
      <c r="C2933" s="130" t="s">
        <v>608</v>
      </c>
      <c r="D2933" s="130" t="s">
        <v>458</v>
      </c>
      <c r="E2933" s="132">
        <v>1948.72</v>
      </c>
    </row>
    <row r="2934" spans="1:5" x14ac:dyDescent="0.25">
      <c r="A2934" s="130" t="s">
        <v>4</v>
      </c>
      <c r="B2934" s="130" t="s">
        <v>579</v>
      </c>
      <c r="C2934" s="130" t="s">
        <v>608</v>
      </c>
      <c r="D2934" s="130" t="s">
        <v>476</v>
      </c>
      <c r="E2934" s="132">
        <v>2041.4</v>
      </c>
    </row>
    <row r="2935" spans="1:5" x14ac:dyDescent="0.25">
      <c r="A2935" s="130" t="s">
        <v>4</v>
      </c>
      <c r="B2935" s="130" t="s">
        <v>579</v>
      </c>
      <c r="C2935" s="130" t="s">
        <v>608</v>
      </c>
      <c r="D2935" s="130" t="s">
        <v>459</v>
      </c>
      <c r="E2935" s="132">
        <v>4929.9399999999996</v>
      </c>
    </row>
    <row r="2936" spans="1:5" x14ac:dyDescent="0.25">
      <c r="A2936" s="130" t="s">
        <v>4</v>
      </c>
      <c r="B2936" s="130" t="s">
        <v>579</v>
      </c>
      <c r="C2936" s="130" t="s">
        <v>608</v>
      </c>
      <c r="D2936" s="130" t="s">
        <v>413</v>
      </c>
      <c r="E2936" s="132">
        <v>5783.47</v>
      </c>
    </row>
    <row r="2937" spans="1:5" x14ac:dyDescent="0.25">
      <c r="A2937" s="130" t="s">
        <v>4</v>
      </c>
      <c r="B2937" s="130" t="s">
        <v>579</v>
      </c>
      <c r="C2937" s="130" t="s">
        <v>608</v>
      </c>
      <c r="D2937" s="130" t="s">
        <v>300</v>
      </c>
      <c r="E2937" s="132">
        <v>2934.07</v>
      </c>
    </row>
    <row r="2938" spans="1:5" x14ac:dyDescent="0.25">
      <c r="A2938" s="130" t="s">
        <v>4</v>
      </c>
      <c r="B2938" s="130" t="s">
        <v>579</v>
      </c>
      <c r="C2938" s="130" t="s">
        <v>608</v>
      </c>
      <c r="D2938" s="130" t="s">
        <v>395</v>
      </c>
      <c r="E2938" s="132">
        <v>1993.12</v>
      </c>
    </row>
    <row r="2939" spans="1:5" x14ac:dyDescent="0.25">
      <c r="A2939" s="130" t="s">
        <v>4</v>
      </c>
      <c r="B2939" s="130" t="s">
        <v>579</v>
      </c>
      <c r="C2939" s="130" t="s">
        <v>608</v>
      </c>
      <c r="D2939" s="130" t="s">
        <v>340</v>
      </c>
      <c r="E2939" s="132">
        <v>8230.01</v>
      </c>
    </row>
    <row r="2940" spans="1:5" x14ac:dyDescent="0.25">
      <c r="A2940" s="130" t="s">
        <v>4</v>
      </c>
      <c r="B2940" s="130" t="s">
        <v>579</v>
      </c>
      <c r="C2940" s="130" t="s">
        <v>608</v>
      </c>
      <c r="D2940" s="130" t="s">
        <v>460</v>
      </c>
      <c r="E2940" s="132">
        <v>24447.040000000001</v>
      </c>
    </row>
    <row r="2941" spans="1:5" x14ac:dyDescent="0.25">
      <c r="A2941" s="130" t="s">
        <v>4</v>
      </c>
      <c r="B2941" s="130" t="s">
        <v>579</v>
      </c>
      <c r="C2941" s="130" t="s">
        <v>608</v>
      </c>
      <c r="D2941" s="130" t="s">
        <v>436</v>
      </c>
      <c r="E2941" s="132">
        <v>19102.919999999998</v>
      </c>
    </row>
    <row r="2942" spans="1:5" x14ac:dyDescent="0.25">
      <c r="A2942" s="130" t="s">
        <v>4</v>
      </c>
      <c r="B2942" s="130" t="s">
        <v>579</v>
      </c>
      <c r="C2942" s="130" t="s">
        <v>608</v>
      </c>
      <c r="D2942" s="130" t="s">
        <v>507</v>
      </c>
      <c r="E2942" s="132">
        <v>11716</v>
      </c>
    </row>
    <row r="2943" spans="1:5" x14ac:dyDescent="0.25">
      <c r="A2943" s="130" t="s">
        <v>4</v>
      </c>
      <c r="B2943" s="130" t="s">
        <v>579</v>
      </c>
      <c r="C2943" s="130" t="s">
        <v>608</v>
      </c>
      <c r="D2943" s="130" t="s">
        <v>247</v>
      </c>
      <c r="E2943" s="132">
        <v>4929.17</v>
      </c>
    </row>
    <row r="2944" spans="1:5" x14ac:dyDescent="0.25">
      <c r="A2944" s="130" t="s">
        <v>4</v>
      </c>
      <c r="B2944" s="130" t="s">
        <v>579</v>
      </c>
      <c r="C2944" s="130" t="s">
        <v>608</v>
      </c>
      <c r="D2944" s="130" t="s">
        <v>248</v>
      </c>
      <c r="E2944" s="132">
        <v>2752.37</v>
      </c>
    </row>
    <row r="2945" spans="1:5" x14ac:dyDescent="0.25">
      <c r="A2945" s="130" t="s">
        <v>4</v>
      </c>
      <c r="B2945" s="130" t="s">
        <v>579</v>
      </c>
      <c r="C2945" s="130" t="s">
        <v>608</v>
      </c>
      <c r="D2945" s="130" t="s">
        <v>469</v>
      </c>
      <c r="E2945" s="132">
        <v>7186.4</v>
      </c>
    </row>
    <row r="2946" spans="1:5" x14ac:dyDescent="0.25">
      <c r="A2946" s="130" t="s">
        <v>4</v>
      </c>
      <c r="B2946" s="130" t="s">
        <v>579</v>
      </c>
      <c r="C2946" s="130" t="s">
        <v>608</v>
      </c>
      <c r="D2946" s="130" t="s">
        <v>396</v>
      </c>
      <c r="E2946" s="132">
        <v>11001.28</v>
      </c>
    </row>
    <row r="2947" spans="1:5" x14ac:dyDescent="0.25">
      <c r="A2947" s="130" t="s">
        <v>4</v>
      </c>
      <c r="B2947" s="130" t="s">
        <v>579</v>
      </c>
      <c r="C2947" s="130" t="s">
        <v>608</v>
      </c>
      <c r="D2947" s="130" t="s">
        <v>515</v>
      </c>
      <c r="E2947" s="132">
        <v>10782.98</v>
      </c>
    </row>
    <row r="2948" spans="1:5" x14ac:dyDescent="0.25">
      <c r="A2948" s="130" t="s">
        <v>4</v>
      </c>
      <c r="B2948" s="130" t="s">
        <v>579</v>
      </c>
      <c r="C2948" s="130" t="s">
        <v>608</v>
      </c>
      <c r="D2948" s="130" t="s">
        <v>683</v>
      </c>
      <c r="E2948" s="132">
        <v>11900.69</v>
      </c>
    </row>
    <row r="2949" spans="1:5" x14ac:dyDescent="0.25">
      <c r="A2949" s="130" t="s">
        <v>4</v>
      </c>
      <c r="B2949" s="130" t="s">
        <v>579</v>
      </c>
      <c r="C2949" s="130" t="s">
        <v>608</v>
      </c>
      <c r="D2949" s="130" t="s">
        <v>554</v>
      </c>
      <c r="E2949" s="132">
        <v>4558.09</v>
      </c>
    </row>
    <row r="2950" spans="1:5" x14ac:dyDescent="0.25">
      <c r="A2950" s="130" t="s">
        <v>4</v>
      </c>
      <c r="B2950" s="130" t="s">
        <v>579</v>
      </c>
      <c r="C2950" s="130" t="s">
        <v>608</v>
      </c>
      <c r="D2950" s="130" t="s">
        <v>323</v>
      </c>
      <c r="E2950" s="132">
        <v>7808.65</v>
      </c>
    </row>
    <row r="2951" spans="1:5" x14ac:dyDescent="0.25">
      <c r="A2951" s="130" t="s">
        <v>4</v>
      </c>
      <c r="B2951" s="130" t="s">
        <v>579</v>
      </c>
      <c r="C2951" s="130" t="s">
        <v>608</v>
      </c>
      <c r="D2951" s="130" t="s">
        <v>324</v>
      </c>
      <c r="E2951" s="132">
        <v>2230</v>
      </c>
    </row>
    <row r="2952" spans="1:5" x14ac:dyDescent="0.25">
      <c r="A2952" s="130" t="s">
        <v>4</v>
      </c>
      <c r="B2952" s="130" t="s">
        <v>579</v>
      </c>
      <c r="C2952" s="130" t="s">
        <v>608</v>
      </c>
      <c r="D2952" s="130" t="s">
        <v>305</v>
      </c>
      <c r="E2952" s="132">
        <v>92079.3</v>
      </c>
    </row>
    <row r="2953" spans="1:5" x14ac:dyDescent="0.25">
      <c r="A2953" s="130" t="s">
        <v>4</v>
      </c>
      <c r="B2953" s="130" t="s">
        <v>579</v>
      </c>
      <c r="C2953" s="130" t="s">
        <v>608</v>
      </c>
      <c r="D2953" s="130" t="s">
        <v>829</v>
      </c>
      <c r="E2953" s="132">
        <v>3198</v>
      </c>
    </row>
    <row r="2954" spans="1:5" x14ac:dyDescent="0.25">
      <c r="A2954" s="130" t="s">
        <v>4</v>
      </c>
      <c r="B2954" s="130" t="s">
        <v>579</v>
      </c>
      <c r="C2954" s="130" t="s">
        <v>608</v>
      </c>
      <c r="D2954" s="130" t="s">
        <v>830</v>
      </c>
      <c r="E2954" s="132">
        <v>3083.6</v>
      </c>
    </row>
    <row r="2955" spans="1:5" x14ac:dyDescent="0.25">
      <c r="A2955" s="130" t="s">
        <v>4</v>
      </c>
      <c r="B2955" s="130" t="s">
        <v>579</v>
      </c>
      <c r="C2955" s="130" t="s">
        <v>608</v>
      </c>
      <c r="D2955" s="130" t="s">
        <v>620</v>
      </c>
      <c r="E2955" s="132">
        <v>10026.9</v>
      </c>
    </row>
    <row r="2956" spans="1:5" x14ac:dyDescent="0.25">
      <c r="A2956" s="130" t="s">
        <v>4</v>
      </c>
      <c r="B2956" s="130" t="s">
        <v>579</v>
      </c>
      <c r="C2956" s="130" t="s">
        <v>608</v>
      </c>
      <c r="D2956" s="130" t="s">
        <v>621</v>
      </c>
      <c r="E2956" s="132">
        <v>15574.65</v>
      </c>
    </row>
    <row r="2957" spans="1:5" x14ac:dyDescent="0.25">
      <c r="A2957" s="130" t="s">
        <v>4</v>
      </c>
      <c r="B2957" s="130" t="s">
        <v>579</v>
      </c>
      <c r="C2957" s="130" t="s">
        <v>608</v>
      </c>
      <c r="D2957" s="130" t="s">
        <v>794</v>
      </c>
      <c r="E2957" s="132">
        <v>1511.51</v>
      </c>
    </row>
    <row r="2958" spans="1:5" x14ac:dyDescent="0.25">
      <c r="A2958" s="130" t="s">
        <v>4</v>
      </c>
      <c r="B2958" s="130" t="s">
        <v>579</v>
      </c>
      <c r="C2958" s="130" t="s">
        <v>608</v>
      </c>
      <c r="D2958" s="130" t="s">
        <v>795</v>
      </c>
      <c r="E2958" s="132">
        <v>2102.62</v>
      </c>
    </row>
    <row r="2959" spans="1:5" x14ac:dyDescent="0.25">
      <c r="A2959" s="130" t="s">
        <v>4</v>
      </c>
      <c r="B2959" s="130" t="s">
        <v>579</v>
      </c>
      <c r="C2959" s="130" t="s">
        <v>608</v>
      </c>
      <c r="D2959" s="130" t="s">
        <v>728</v>
      </c>
      <c r="E2959" s="132">
        <v>1668.03</v>
      </c>
    </row>
    <row r="2960" spans="1:5" x14ac:dyDescent="0.25">
      <c r="A2960" s="130" t="s">
        <v>4</v>
      </c>
      <c r="B2960" s="130" t="s">
        <v>579</v>
      </c>
      <c r="C2960" s="130" t="s">
        <v>608</v>
      </c>
      <c r="D2960" s="130" t="s">
        <v>796</v>
      </c>
      <c r="E2960" s="132">
        <v>2296.19</v>
      </c>
    </row>
    <row r="2961" spans="1:5" x14ac:dyDescent="0.25">
      <c r="A2961" s="130" t="s">
        <v>4</v>
      </c>
      <c r="B2961" s="130" t="s">
        <v>579</v>
      </c>
      <c r="C2961" s="130" t="s">
        <v>608</v>
      </c>
      <c r="D2961" s="130" t="s">
        <v>641</v>
      </c>
      <c r="E2961" s="132">
        <v>123.17</v>
      </c>
    </row>
    <row r="2962" spans="1:5" x14ac:dyDescent="0.25">
      <c r="A2962" s="130" t="s">
        <v>4</v>
      </c>
      <c r="B2962" s="130" t="s">
        <v>579</v>
      </c>
      <c r="C2962" s="130" t="s">
        <v>608</v>
      </c>
      <c r="D2962" s="130" t="s">
        <v>622</v>
      </c>
      <c r="E2962" s="132">
        <v>3439.8</v>
      </c>
    </row>
    <row r="2963" spans="1:5" x14ac:dyDescent="0.25">
      <c r="A2963" s="130" t="s">
        <v>4</v>
      </c>
      <c r="B2963" s="130" t="s">
        <v>579</v>
      </c>
      <c r="C2963" s="130" t="s">
        <v>608</v>
      </c>
      <c r="D2963" s="130" t="s">
        <v>623</v>
      </c>
      <c r="E2963" s="132">
        <v>730.21</v>
      </c>
    </row>
    <row r="2964" spans="1:5" x14ac:dyDescent="0.25">
      <c r="A2964" s="130" t="s">
        <v>4</v>
      </c>
      <c r="B2964" s="130" t="s">
        <v>579</v>
      </c>
      <c r="C2964" s="130" t="s">
        <v>608</v>
      </c>
      <c r="D2964" s="130" t="s">
        <v>785</v>
      </c>
      <c r="E2964" s="132">
        <v>246.35</v>
      </c>
    </row>
    <row r="2965" spans="1:5" x14ac:dyDescent="0.25">
      <c r="A2965" s="130" t="s">
        <v>4</v>
      </c>
      <c r="B2965" s="130" t="s">
        <v>579</v>
      </c>
      <c r="C2965" s="130" t="s">
        <v>608</v>
      </c>
      <c r="D2965" s="130" t="s">
        <v>1048</v>
      </c>
      <c r="E2965" s="132">
        <v>1178.97</v>
      </c>
    </row>
    <row r="2966" spans="1:5" x14ac:dyDescent="0.25">
      <c r="A2966" s="130" t="s">
        <v>4</v>
      </c>
      <c r="B2966" s="130" t="s">
        <v>579</v>
      </c>
      <c r="C2966" s="130" t="s">
        <v>608</v>
      </c>
      <c r="D2966" s="130" t="s">
        <v>643</v>
      </c>
      <c r="E2966" s="132">
        <v>337.74</v>
      </c>
    </row>
    <row r="2967" spans="1:5" x14ac:dyDescent="0.25">
      <c r="A2967" s="130" t="s">
        <v>4</v>
      </c>
      <c r="B2967" s="130" t="s">
        <v>579</v>
      </c>
      <c r="C2967" s="130" t="s">
        <v>608</v>
      </c>
      <c r="D2967" s="130" t="s">
        <v>625</v>
      </c>
      <c r="E2967" s="132">
        <v>725.4</v>
      </c>
    </row>
    <row r="2968" spans="1:5" x14ac:dyDescent="0.25">
      <c r="A2968" s="130" t="s">
        <v>4</v>
      </c>
      <c r="B2968" s="130" t="s">
        <v>579</v>
      </c>
      <c r="C2968" s="130" t="s">
        <v>608</v>
      </c>
      <c r="D2968" s="130" t="s">
        <v>645</v>
      </c>
      <c r="E2968" s="132">
        <v>880.1</v>
      </c>
    </row>
    <row r="2969" spans="1:5" x14ac:dyDescent="0.25">
      <c r="A2969" s="130" t="s">
        <v>4</v>
      </c>
      <c r="B2969" s="130" t="s">
        <v>579</v>
      </c>
      <c r="C2969" s="130" t="s">
        <v>608</v>
      </c>
      <c r="D2969" s="130" t="s">
        <v>845</v>
      </c>
      <c r="E2969" s="132">
        <v>1588.86</v>
      </c>
    </row>
    <row r="2970" spans="1:5" x14ac:dyDescent="0.25">
      <c r="A2970" s="130" t="s">
        <v>4</v>
      </c>
      <c r="B2970" s="130" t="s">
        <v>579</v>
      </c>
      <c r="C2970" s="130" t="s">
        <v>608</v>
      </c>
      <c r="D2970" s="130" t="s">
        <v>846</v>
      </c>
      <c r="E2970" s="132">
        <v>1158.69</v>
      </c>
    </row>
    <row r="2971" spans="1:5" x14ac:dyDescent="0.25">
      <c r="A2971" s="130" t="s">
        <v>4</v>
      </c>
      <c r="B2971" s="130" t="s">
        <v>579</v>
      </c>
      <c r="C2971" s="130" t="s">
        <v>608</v>
      </c>
      <c r="D2971" s="130" t="s">
        <v>610</v>
      </c>
      <c r="E2971" s="132">
        <v>5511.09</v>
      </c>
    </row>
    <row r="2972" spans="1:5" x14ac:dyDescent="0.25">
      <c r="A2972" s="130" t="s">
        <v>4</v>
      </c>
      <c r="B2972" s="130" t="s">
        <v>579</v>
      </c>
      <c r="C2972" s="130" t="s">
        <v>608</v>
      </c>
      <c r="D2972" s="130" t="s">
        <v>611</v>
      </c>
      <c r="E2972" s="132">
        <v>6761.82</v>
      </c>
    </row>
    <row r="2973" spans="1:5" x14ac:dyDescent="0.25">
      <c r="A2973" s="130" t="s">
        <v>4</v>
      </c>
      <c r="B2973" s="130" t="s">
        <v>579</v>
      </c>
      <c r="C2973" s="130" t="s">
        <v>608</v>
      </c>
      <c r="D2973" s="130" t="s">
        <v>649</v>
      </c>
      <c r="E2973" s="132">
        <v>3786.64</v>
      </c>
    </row>
    <row r="2974" spans="1:5" x14ac:dyDescent="0.25">
      <c r="A2974" s="130" t="s">
        <v>4</v>
      </c>
      <c r="B2974" s="130" t="s">
        <v>579</v>
      </c>
      <c r="C2974" s="130" t="s">
        <v>608</v>
      </c>
      <c r="D2974" s="130" t="s">
        <v>652</v>
      </c>
      <c r="E2974" s="132">
        <v>64647.73</v>
      </c>
    </row>
    <row r="2975" spans="1:5" x14ac:dyDescent="0.25">
      <c r="A2975" s="130" t="s">
        <v>4</v>
      </c>
      <c r="B2975" s="130" t="s">
        <v>579</v>
      </c>
      <c r="C2975" s="130" t="s">
        <v>608</v>
      </c>
      <c r="D2975" s="130" t="s">
        <v>578</v>
      </c>
      <c r="E2975" s="132">
        <v>98027.83</v>
      </c>
    </row>
    <row r="2976" spans="1:5" x14ac:dyDescent="0.25">
      <c r="A2976" s="130" t="s">
        <v>4</v>
      </c>
      <c r="B2976" s="130" t="s">
        <v>579</v>
      </c>
      <c r="C2976" s="130" t="s">
        <v>608</v>
      </c>
      <c r="D2976" s="130" t="s">
        <v>653</v>
      </c>
      <c r="E2976" s="132">
        <v>60456.77</v>
      </c>
    </row>
    <row r="2977" spans="1:5" x14ac:dyDescent="0.25">
      <c r="A2977" s="130" t="s">
        <v>4</v>
      </c>
      <c r="B2977" s="130" t="s">
        <v>579</v>
      </c>
      <c r="C2977" s="130" t="s">
        <v>608</v>
      </c>
      <c r="D2977" s="130" t="s">
        <v>511</v>
      </c>
      <c r="E2977" s="132">
        <v>21379.08</v>
      </c>
    </row>
    <row r="2978" spans="1:5" x14ac:dyDescent="0.25">
      <c r="A2978" s="130" t="s">
        <v>4</v>
      </c>
      <c r="B2978" s="130" t="s">
        <v>579</v>
      </c>
      <c r="C2978" s="130" t="s">
        <v>608</v>
      </c>
      <c r="D2978" s="130" t="s">
        <v>619</v>
      </c>
      <c r="E2978" s="132">
        <v>3287.04</v>
      </c>
    </row>
    <row r="2979" spans="1:5" x14ac:dyDescent="0.25">
      <c r="A2979" s="130" t="s">
        <v>4</v>
      </c>
      <c r="B2979" s="130" t="s">
        <v>579</v>
      </c>
      <c r="C2979" s="130" t="s">
        <v>608</v>
      </c>
      <c r="D2979" s="130" t="s">
        <v>679</v>
      </c>
      <c r="E2979" s="132">
        <v>3073.34</v>
      </c>
    </row>
    <row r="2980" spans="1:5" x14ac:dyDescent="0.25">
      <c r="A2980" s="130" t="s">
        <v>4</v>
      </c>
      <c r="B2980" s="130" t="s">
        <v>579</v>
      </c>
      <c r="C2980" s="130" t="s">
        <v>608</v>
      </c>
      <c r="D2980" s="130" t="s">
        <v>1110</v>
      </c>
      <c r="E2980" s="132">
        <v>2915.2</v>
      </c>
    </row>
    <row r="2981" spans="1:5" x14ac:dyDescent="0.25">
      <c r="A2981" s="130" t="s">
        <v>4</v>
      </c>
      <c r="B2981" s="130" t="s">
        <v>579</v>
      </c>
      <c r="C2981" s="130" t="s">
        <v>608</v>
      </c>
      <c r="D2981" s="130" t="s">
        <v>442</v>
      </c>
      <c r="E2981" s="132">
        <v>5433.02</v>
      </c>
    </row>
    <row r="2982" spans="1:5" x14ac:dyDescent="0.25">
      <c r="A2982" s="130" t="s">
        <v>4</v>
      </c>
      <c r="B2982" s="130" t="s">
        <v>579</v>
      </c>
      <c r="C2982" s="130" t="s">
        <v>608</v>
      </c>
      <c r="D2982" s="130" t="s">
        <v>474</v>
      </c>
      <c r="E2982" s="132">
        <v>2351.62</v>
      </c>
    </row>
    <row r="2983" spans="1:5" x14ac:dyDescent="0.25">
      <c r="A2983" s="130" t="s">
        <v>4</v>
      </c>
      <c r="B2983" s="130" t="s">
        <v>579</v>
      </c>
      <c r="C2983" s="130" t="s">
        <v>608</v>
      </c>
      <c r="D2983" s="130" t="s">
        <v>240</v>
      </c>
      <c r="E2983" s="132">
        <v>1227.8399999999999</v>
      </c>
    </row>
    <row r="2984" spans="1:5" x14ac:dyDescent="0.25">
      <c r="A2984" s="130" t="s">
        <v>4</v>
      </c>
      <c r="B2984" s="130" t="s">
        <v>579</v>
      </c>
      <c r="C2984" s="130" t="s">
        <v>608</v>
      </c>
      <c r="D2984" s="130" t="s">
        <v>312</v>
      </c>
      <c r="E2984" s="132">
        <v>3883.84</v>
      </c>
    </row>
    <row r="2985" spans="1:5" x14ac:dyDescent="0.25">
      <c r="A2985" s="130" t="s">
        <v>4</v>
      </c>
      <c r="B2985" s="130" t="s">
        <v>579</v>
      </c>
      <c r="C2985" s="130" t="s">
        <v>608</v>
      </c>
      <c r="D2985" s="130" t="s">
        <v>507</v>
      </c>
      <c r="E2985" s="132">
        <v>7548.02</v>
      </c>
    </row>
    <row r="2986" spans="1:5" x14ac:dyDescent="0.25">
      <c r="A2986" s="130" t="s">
        <v>4</v>
      </c>
      <c r="B2986" s="130" t="s">
        <v>579</v>
      </c>
      <c r="C2986" s="130" t="s">
        <v>608</v>
      </c>
      <c r="D2986" s="130" t="s">
        <v>550</v>
      </c>
      <c r="E2986" s="132">
        <v>314.93</v>
      </c>
    </row>
    <row r="2987" spans="1:5" x14ac:dyDescent="0.25">
      <c r="A2987" s="130" t="s">
        <v>4</v>
      </c>
      <c r="B2987" s="130" t="s">
        <v>579</v>
      </c>
      <c r="C2987" s="130" t="s">
        <v>608</v>
      </c>
      <c r="D2987" s="130" t="s">
        <v>690</v>
      </c>
      <c r="E2987" s="132">
        <v>1446.4</v>
      </c>
    </row>
    <row r="2988" spans="1:5" x14ac:dyDescent="0.25">
      <c r="A2988" s="130" t="s">
        <v>4</v>
      </c>
      <c r="B2988" s="130" t="s">
        <v>579</v>
      </c>
      <c r="C2988" s="130" t="s">
        <v>608</v>
      </c>
      <c r="D2988" s="130" t="s">
        <v>614</v>
      </c>
      <c r="E2988" s="132">
        <v>1681.54</v>
      </c>
    </row>
    <row r="2989" spans="1:5" x14ac:dyDescent="0.25">
      <c r="A2989" s="130" t="s">
        <v>4</v>
      </c>
      <c r="B2989" s="130" t="s">
        <v>579</v>
      </c>
      <c r="C2989" s="130" t="s">
        <v>608</v>
      </c>
      <c r="D2989" s="130" t="s">
        <v>264</v>
      </c>
      <c r="E2989" s="132">
        <v>1794.18</v>
      </c>
    </row>
    <row r="2990" spans="1:5" x14ac:dyDescent="0.25">
      <c r="A2990" s="130" t="s">
        <v>4</v>
      </c>
      <c r="B2990" s="130" t="s">
        <v>579</v>
      </c>
      <c r="C2990" s="130" t="s">
        <v>608</v>
      </c>
      <c r="D2990" s="130" t="s">
        <v>381</v>
      </c>
      <c r="E2990" s="132">
        <v>1030.1400000000001</v>
      </c>
    </row>
    <row r="2991" spans="1:5" x14ac:dyDescent="0.25">
      <c r="A2991" s="130" t="s">
        <v>4</v>
      </c>
      <c r="B2991" s="130" t="s">
        <v>579</v>
      </c>
      <c r="C2991" s="130" t="s">
        <v>608</v>
      </c>
      <c r="D2991" s="130" t="s">
        <v>731</v>
      </c>
      <c r="E2991" s="132">
        <v>931.39</v>
      </c>
    </row>
    <row r="2992" spans="1:5" x14ac:dyDescent="0.25">
      <c r="A2992" s="130" t="s">
        <v>4</v>
      </c>
      <c r="B2992" s="130" t="s">
        <v>579</v>
      </c>
      <c r="C2992" s="130" t="s">
        <v>608</v>
      </c>
      <c r="D2992" s="130" t="s">
        <v>1062</v>
      </c>
      <c r="E2992" s="132">
        <v>1064.45</v>
      </c>
    </row>
    <row r="2993" spans="1:5" x14ac:dyDescent="0.25">
      <c r="A2993" s="130" t="s">
        <v>4</v>
      </c>
      <c r="B2993" s="130" t="s">
        <v>579</v>
      </c>
      <c r="C2993" s="130" t="s">
        <v>608</v>
      </c>
      <c r="D2993" s="130" t="s">
        <v>367</v>
      </c>
      <c r="E2993" s="132">
        <v>1148.54</v>
      </c>
    </row>
    <row r="2994" spans="1:5" x14ac:dyDescent="0.25">
      <c r="A2994" s="130" t="s">
        <v>4</v>
      </c>
      <c r="B2994" s="130" t="s">
        <v>579</v>
      </c>
      <c r="C2994" s="130" t="s">
        <v>608</v>
      </c>
      <c r="D2994" s="130" t="s">
        <v>703</v>
      </c>
      <c r="E2994" s="132">
        <v>4373.76</v>
      </c>
    </row>
    <row r="2995" spans="1:5" x14ac:dyDescent="0.25">
      <c r="A2995" s="130" t="s">
        <v>4</v>
      </c>
      <c r="B2995" s="130" t="s">
        <v>579</v>
      </c>
      <c r="C2995" s="130" t="s">
        <v>608</v>
      </c>
      <c r="D2995" s="130" t="s">
        <v>704</v>
      </c>
      <c r="E2995" s="132">
        <v>4731.26</v>
      </c>
    </row>
    <row r="2996" spans="1:5" x14ac:dyDescent="0.25">
      <c r="A2996" s="130" t="s">
        <v>4</v>
      </c>
      <c r="B2996" s="130" t="s">
        <v>579</v>
      </c>
      <c r="C2996" s="130" t="s">
        <v>608</v>
      </c>
      <c r="D2996" s="130" t="s">
        <v>440</v>
      </c>
      <c r="E2996" s="132">
        <v>6820.86</v>
      </c>
    </row>
    <row r="2997" spans="1:5" x14ac:dyDescent="0.25">
      <c r="A2997" s="130" t="s">
        <v>4</v>
      </c>
      <c r="B2997" s="130" t="s">
        <v>579</v>
      </c>
      <c r="C2997" s="130" t="s">
        <v>608</v>
      </c>
      <c r="D2997" s="130" t="s">
        <v>691</v>
      </c>
      <c r="E2997" s="132">
        <v>7940.86</v>
      </c>
    </row>
    <row r="2998" spans="1:5" x14ac:dyDescent="0.25">
      <c r="A2998" s="130" t="s">
        <v>4</v>
      </c>
      <c r="B2998" s="130" t="s">
        <v>579</v>
      </c>
      <c r="C2998" s="130" t="s">
        <v>608</v>
      </c>
      <c r="D2998" s="130" t="s">
        <v>665</v>
      </c>
      <c r="E2998" s="132">
        <v>4375.3</v>
      </c>
    </row>
    <row r="2999" spans="1:5" x14ac:dyDescent="0.25">
      <c r="A2999" s="130" t="s">
        <v>4</v>
      </c>
      <c r="B2999" s="130" t="s">
        <v>579</v>
      </c>
      <c r="C2999" s="130" t="s">
        <v>608</v>
      </c>
      <c r="D2999" s="130" t="s">
        <v>982</v>
      </c>
      <c r="E2999" s="132">
        <v>2346.8200000000002</v>
      </c>
    </row>
    <row r="3000" spans="1:5" x14ac:dyDescent="0.25">
      <c r="A3000" s="130" t="s">
        <v>4</v>
      </c>
      <c r="B3000" s="130" t="s">
        <v>579</v>
      </c>
      <c r="C3000" s="130" t="s">
        <v>608</v>
      </c>
      <c r="D3000" s="130" t="s">
        <v>577</v>
      </c>
      <c r="E3000" s="132">
        <v>6195.65</v>
      </c>
    </row>
    <row r="3001" spans="1:5" x14ac:dyDescent="0.25">
      <c r="A3001" s="130" t="s">
        <v>4</v>
      </c>
      <c r="B3001" s="130" t="s">
        <v>579</v>
      </c>
      <c r="C3001" s="130" t="s">
        <v>608</v>
      </c>
      <c r="D3001" s="130" t="s">
        <v>990</v>
      </c>
      <c r="E3001" s="132">
        <v>3043.97</v>
      </c>
    </row>
    <row r="3002" spans="1:5" x14ac:dyDescent="0.25">
      <c r="A3002" s="130" t="s">
        <v>4</v>
      </c>
      <c r="B3002" s="130" t="s">
        <v>579</v>
      </c>
      <c r="C3002" s="130" t="s">
        <v>608</v>
      </c>
      <c r="D3002" s="130" t="s">
        <v>310</v>
      </c>
      <c r="E3002" s="132">
        <v>1238.3399999999999</v>
      </c>
    </row>
    <row r="3003" spans="1:5" x14ac:dyDescent="0.25">
      <c r="A3003" s="130" t="s">
        <v>4</v>
      </c>
      <c r="B3003" s="130" t="s">
        <v>579</v>
      </c>
      <c r="C3003" s="130" t="s">
        <v>608</v>
      </c>
      <c r="D3003" s="130" t="s">
        <v>273</v>
      </c>
      <c r="E3003" s="132">
        <v>1918.27</v>
      </c>
    </row>
    <row r="3004" spans="1:5" x14ac:dyDescent="0.25">
      <c r="A3004" s="130" t="s">
        <v>4</v>
      </c>
      <c r="B3004" s="130" t="s">
        <v>579</v>
      </c>
      <c r="C3004" s="130" t="s">
        <v>608</v>
      </c>
      <c r="D3004" s="130" t="s">
        <v>275</v>
      </c>
      <c r="E3004" s="132">
        <v>2828.42</v>
      </c>
    </row>
    <row r="3005" spans="1:5" x14ac:dyDescent="0.25">
      <c r="A3005" s="130" t="s">
        <v>4</v>
      </c>
      <c r="B3005" s="130" t="s">
        <v>579</v>
      </c>
      <c r="C3005" s="130" t="s">
        <v>608</v>
      </c>
      <c r="D3005" s="130" t="s">
        <v>629</v>
      </c>
      <c r="E3005" s="132">
        <v>2808.45</v>
      </c>
    </row>
    <row r="3006" spans="1:5" x14ac:dyDescent="0.25">
      <c r="A3006" s="130" t="s">
        <v>4</v>
      </c>
      <c r="B3006" s="130" t="s">
        <v>579</v>
      </c>
      <c r="C3006" s="130" t="s">
        <v>608</v>
      </c>
      <c r="D3006" s="130" t="s">
        <v>619</v>
      </c>
      <c r="E3006" s="132">
        <v>1643.52</v>
      </c>
    </row>
    <row r="3007" spans="1:5" x14ac:dyDescent="0.25">
      <c r="A3007" s="130" t="s">
        <v>4</v>
      </c>
      <c r="B3007" s="130" t="s">
        <v>579</v>
      </c>
      <c r="C3007" s="130" t="s">
        <v>608</v>
      </c>
      <c r="D3007" s="130" t="s">
        <v>262</v>
      </c>
      <c r="E3007" s="132">
        <v>1256.32</v>
      </c>
    </row>
    <row r="3008" spans="1:5" x14ac:dyDescent="0.25">
      <c r="A3008" s="130" t="s">
        <v>4</v>
      </c>
      <c r="B3008" s="130" t="s">
        <v>579</v>
      </c>
      <c r="C3008" s="130" t="s">
        <v>608</v>
      </c>
      <c r="D3008" s="130" t="s">
        <v>357</v>
      </c>
      <c r="E3008" s="132">
        <v>283.26</v>
      </c>
    </row>
    <row r="3009" spans="1:5" x14ac:dyDescent="0.25">
      <c r="A3009" s="130" t="s">
        <v>4</v>
      </c>
      <c r="B3009" s="130" t="s">
        <v>579</v>
      </c>
      <c r="C3009" s="130" t="s">
        <v>608</v>
      </c>
      <c r="D3009" s="130" t="s">
        <v>318</v>
      </c>
      <c r="E3009" s="132">
        <v>1029.3399999999999</v>
      </c>
    </row>
    <row r="3010" spans="1:5" x14ac:dyDescent="0.25">
      <c r="A3010" s="130" t="s">
        <v>4</v>
      </c>
      <c r="B3010" s="130" t="s">
        <v>579</v>
      </c>
      <c r="C3010" s="130" t="s">
        <v>608</v>
      </c>
      <c r="D3010" s="130" t="s">
        <v>336</v>
      </c>
      <c r="E3010" s="132">
        <v>1368.51</v>
      </c>
    </row>
    <row r="3011" spans="1:5" x14ac:dyDescent="0.25">
      <c r="A3011" s="130" t="s">
        <v>4</v>
      </c>
      <c r="B3011" s="130" t="s">
        <v>579</v>
      </c>
      <c r="C3011" s="130" t="s">
        <v>608</v>
      </c>
      <c r="D3011" s="130" t="s">
        <v>277</v>
      </c>
      <c r="E3011" s="132">
        <v>766.46</v>
      </c>
    </row>
    <row r="3012" spans="1:5" x14ac:dyDescent="0.25">
      <c r="A3012" s="130" t="s">
        <v>4</v>
      </c>
      <c r="B3012" s="130" t="s">
        <v>579</v>
      </c>
      <c r="C3012" s="130" t="s">
        <v>608</v>
      </c>
      <c r="D3012" s="130" t="s">
        <v>234</v>
      </c>
      <c r="E3012" s="132">
        <v>676.67</v>
      </c>
    </row>
    <row r="3013" spans="1:5" x14ac:dyDescent="0.25">
      <c r="A3013" s="130" t="s">
        <v>4</v>
      </c>
      <c r="B3013" s="130" t="s">
        <v>579</v>
      </c>
      <c r="C3013" s="130" t="s">
        <v>608</v>
      </c>
      <c r="D3013" s="130" t="s">
        <v>358</v>
      </c>
      <c r="E3013" s="132">
        <v>1234.24</v>
      </c>
    </row>
    <row r="3014" spans="1:5" x14ac:dyDescent="0.25">
      <c r="A3014" s="130" t="s">
        <v>4</v>
      </c>
      <c r="B3014" s="130" t="s">
        <v>579</v>
      </c>
      <c r="C3014" s="130" t="s">
        <v>608</v>
      </c>
      <c r="D3014" s="130" t="s">
        <v>255</v>
      </c>
      <c r="E3014" s="132">
        <v>1013.82</v>
      </c>
    </row>
    <row r="3015" spans="1:5" x14ac:dyDescent="0.25">
      <c r="A3015" s="130" t="s">
        <v>4</v>
      </c>
      <c r="B3015" s="130" t="s">
        <v>579</v>
      </c>
      <c r="C3015" s="130" t="s">
        <v>608</v>
      </c>
      <c r="D3015" s="130" t="s">
        <v>473</v>
      </c>
      <c r="E3015" s="132">
        <v>1006.46</v>
      </c>
    </row>
    <row r="3016" spans="1:5" x14ac:dyDescent="0.25">
      <c r="A3016" s="130" t="s">
        <v>4</v>
      </c>
      <c r="B3016" s="130" t="s">
        <v>579</v>
      </c>
      <c r="C3016" s="130" t="s">
        <v>608</v>
      </c>
      <c r="D3016" s="130" t="s">
        <v>390</v>
      </c>
      <c r="E3016" s="132">
        <v>1117.5</v>
      </c>
    </row>
    <row r="3017" spans="1:5" x14ac:dyDescent="0.25">
      <c r="A3017" s="130" t="s">
        <v>4</v>
      </c>
      <c r="B3017" s="130" t="s">
        <v>579</v>
      </c>
      <c r="C3017" s="130" t="s">
        <v>608</v>
      </c>
      <c r="D3017" s="130" t="s">
        <v>235</v>
      </c>
      <c r="E3017" s="132">
        <v>1163.2</v>
      </c>
    </row>
    <row r="3018" spans="1:5" x14ac:dyDescent="0.25">
      <c r="A3018" s="130" t="s">
        <v>4</v>
      </c>
      <c r="B3018" s="130" t="s">
        <v>579</v>
      </c>
      <c r="C3018" s="130" t="s">
        <v>608</v>
      </c>
      <c r="D3018" s="130" t="s">
        <v>391</v>
      </c>
      <c r="E3018" s="132">
        <v>2032.58</v>
      </c>
    </row>
    <row r="3019" spans="1:5" x14ac:dyDescent="0.25">
      <c r="A3019" s="130" t="s">
        <v>4</v>
      </c>
      <c r="B3019" s="130" t="s">
        <v>579</v>
      </c>
      <c r="C3019" s="130" t="s">
        <v>608</v>
      </c>
      <c r="D3019" s="130" t="s">
        <v>656</v>
      </c>
      <c r="E3019" s="132">
        <v>1279.0999999999999</v>
      </c>
    </row>
    <row r="3020" spans="1:5" x14ac:dyDescent="0.25">
      <c r="A3020" s="130" t="s">
        <v>4</v>
      </c>
      <c r="B3020" s="130" t="s">
        <v>579</v>
      </c>
      <c r="C3020" s="130" t="s">
        <v>608</v>
      </c>
      <c r="D3020" s="130" t="s">
        <v>236</v>
      </c>
      <c r="E3020" s="132">
        <v>1234.24</v>
      </c>
    </row>
    <row r="3021" spans="1:5" x14ac:dyDescent="0.25">
      <c r="A3021" s="130" t="s">
        <v>4</v>
      </c>
      <c r="B3021" s="130" t="s">
        <v>579</v>
      </c>
      <c r="C3021" s="130" t="s">
        <v>608</v>
      </c>
      <c r="D3021" s="130" t="s">
        <v>278</v>
      </c>
      <c r="E3021" s="132">
        <v>1720.7</v>
      </c>
    </row>
    <row r="3022" spans="1:5" x14ac:dyDescent="0.25">
      <c r="A3022" s="130" t="s">
        <v>4</v>
      </c>
      <c r="B3022" s="130" t="s">
        <v>579</v>
      </c>
      <c r="C3022" s="130" t="s">
        <v>608</v>
      </c>
      <c r="D3022" s="130" t="s">
        <v>631</v>
      </c>
      <c r="E3022" s="132">
        <v>2714.94</v>
      </c>
    </row>
    <row r="3023" spans="1:5" x14ac:dyDescent="0.25">
      <c r="A3023" s="130" t="s">
        <v>4</v>
      </c>
      <c r="B3023" s="130" t="s">
        <v>579</v>
      </c>
      <c r="C3023" s="130" t="s">
        <v>608</v>
      </c>
      <c r="D3023" s="130" t="s">
        <v>522</v>
      </c>
      <c r="E3023" s="132">
        <v>973.82</v>
      </c>
    </row>
    <row r="3024" spans="1:5" x14ac:dyDescent="0.25">
      <c r="A3024" s="130" t="s">
        <v>4</v>
      </c>
      <c r="B3024" s="130" t="s">
        <v>579</v>
      </c>
      <c r="C3024" s="130" t="s">
        <v>608</v>
      </c>
      <c r="D3024" s="130" t="s">
        <v>536</v>
      </c>
      <c r="E3024" s="132">
        <v>892.99</v>
      </c>
    </row>
    <row r="3025" spans="1:5" x14ac:dyDescent="0.25">
      <c r="A3025" s="130" t="s">
        <v>4</v>
      </c>
      <c r="B3025" s="130" t="s">
        <v>579</v>
      </c>
      <c r="C3025" s="130" t="s">
        <v>608</v>
      </c>
      <c r="D3025" s="130" t="s">
        <v>279</v>
      </c>
      <c r="E3025" s="132">
        <v>1183.6199999999999</v>
      </c>
    </row>
    <row r="3026" spans="1:5" x14ac:dyDescent="0.25">
      <c r="A3026" s="130" t="s">
        <v>4</v>
      </c>
      <c r="B3026" s="130" t="s">
        <v>579</v>
      </c>
      <c r="C3026" s="130" t="s">
        <v>608</v>
      </c>
      <c r="D3026" s="130" t="s">
        <v>1111</v>
      </c>
      <c r="E3026" s="132">
        <v>1176.26</v>
      </c>
    </row>
    <row r="3027" spans="1:5" x14ac:dyDescent="0.25">
      <c r="A3027" s="130" t="s">
        <v>4</v>
      </c>
      <c r="B3027" s="130" t="s">
        <v>579</v>
      </c>
      <c r="C3027" s="130" t="s">
        <v>608</v>
      </c>
      <c r="D3027" s="130" t="s">
        <v>1112</v>
      </c>
      <c r="E3027" s="132">
        <v>1071.81</v>
      </c>
    </row>
    <row r="3028" spans="1:5" x14ac:dyDescent="0.25">
      <c r="A3028" s="130" t="s">
        <v>4</v>
      </c>
      <c r="B3028" s="130" t="s">
        <v>579</v>
      </c>
      <c r="C3028" s="130" t="s">
        <v>608</v>
      </c>
      <c r="D3028" s="130" t="s">
        <v>548</v>
      </c>
      <c r="E3028" s="132">
        <v>1298.69</v>
      </c>
    </row>
    <row r="3029" spans="1:5" x14ac:dyDescent="0.25">
      <c r="A3029" s="130" t="s">
        <v>4</v>
      </c>
      <c r="B3029" s="130" t="s">
        <v>579</v>
      </c>
      <c r="C3029" s="130" t="s">
        <v>608</v>
      </c>
      <c r="D3029" s="130" t="s">
        <v>1047</v>
      </c>
      <c r="E3029" s="132">
        <v>1266.8800000000001</v>
      </c>
    </row>
    <row r="3030" spans="1:5" x14ac:dyDescent="0.25">
      <c r="A3030" s="130" t="s">
        <v>4</v>
      </c>
      <c r="B3030" s="130" t="s">
        <v>579</v>
      </c>
      <c r="C3030" s="130" t="s">
        <v>608</v>
      </c>
      <c r="D3030" s="130" t="s">
        <v>392</v>
      </c>
      <c r="E3030" s="132">
        <v>1850.5</v>
      </c>
    </row>
    <row r="3031" spans="1:5" x14ac:dyDescent="0.25">
      <c r="A3031" s="130" t="s">
        <v>4</v>
      </c>
      <c r="B3031" s="130" t="s">
        <v>579</v>
      </c>
      <c r="C3031" s="130" t="s">
        <v>608</v>
      </c>
      <c r="D3031" s="130" t="s">
        <v>534</v>
      </c>
      <c r="E3031" s="132">
        <v>1454.66</v>
      </c>
    </row>
    <row r="3032" spans="1:5" x14ac:dyDescent="0.25">
      <c r="A3032" s="130" t="s">
        <v>4</v>
      </c>
      <c r="B3032" s="130" t="s">
        <v>579</v>
      </c>
      <c r="C3032" s="130" t="s">
        <v>608</v>
      </c>
      <c r="D3032" s="130" t="s">
        <v>1113</v>
      </c>
      <c r="E3032" s="132">
        <v>1428.48</v>
      </c>
    </row>
    <row r="3033" spans="1:5" x14ac:dyDescent="0.25">
      <c r="A3033" s="130" t="s">
        <v>4</v>
      </c>
      <c r="B3033" s="130" t="s">
        <v>579</v>
      </c>
      <c r="C3033" s="130" t="s">
        <v>608</v>
      </c>
      <c r="D3033" s="130" t="s">
        <v>319</v>
      </c>
      <c r="E3033" s="132">
        <v>3243.9</v>
      </c>
    </row>
    <row r="3034" spans="1:5" x14ac:dyDescent="0.25">
      <c r="A3034" s="130" t="s">
        <v>4</v>
      </c>
      <c r="B3034" s="130" t="s">
        <v>579</v>
      </c>
      <c r="C3034" s="130" t="s">
        <v>608</v>
      </c>
      <c r="D3034" s="130" t="s">
        <v>265</v>
      </c>
      <c r="E3034" s="132">
        <v>3651.26</v>
      </c>
    </row>
    <row r="3035" spans="1:5" x14ac:dyDescent="0.25">
      <c r="A3035" s="130" t="s">
        <v>4</v>
      </c>
      <c r="B3035" s="130" t="s">
        <v>579</v>
      </c>
      <c r="C3035" s="130" t="s">
        <v>608</v>
      </c>
      <c r="D3035" s="130" t="s">
        <v>363</v>
      </c>
      <c r="E3035" s="132">
        <v>3491.26</v>
      </c>
    </row>
    <row r="3036" spans="1:5" x14ac:dyDescent="0.25">
      <c r="A3036" s="130" t="s">
        <v>4</v>
      </c>
      <c r="B3036" s="130" t="s">
        <v>579</v>
      </c>
      <c r="C3036" s="130" t="s">
        <v>608</v>
      </c>
      <c r="D3036" s="130" t="s">
        <v>535</v>
      </c>
      <c r="E3036" s="132">
        <v>4296.7700000000004</v>
      </c>
    </row>
    <row r="3037" spans="1:5" x14ac:dyDescent="0.25">
      <c r="A3037" s="130" t="s">
        <v>4</v>
      </c>
      <c r="B3037" s="130" t="s">
        <v>579</v>
      </c>
      <c r="C3037" s="130" t="s">
        <v>608</v>
      </c>
      <c r="D3037" s="130" t="s">
        <v>632</v>
      </c>
      <c r="E3037" s="132">
        <v>2428.86</v>
      </c>
    </row>
    <row r="3038" spans="1:5" x14ac:dyDescent="0.25">
      <c r="A3038" s="130" t="s">
        <v>4</v>
      </c>
      <c r="B3038" s="130" t="s">
        <v>579</v>
      </c>
      <c r="C3038" s="130" t="s">
        <v>608</v>
      </c>
      <c r="D3038" s="130" t="s">
        <v>521</v>
      </c>
      <c r="E3038" s="132">
        <v>4149.3500000000004</v>
      </c>
    </row>
    <row r="3039" spans="1:5" x14ac:dyDescent="0.25">
      <c r="A3039" s="130" t="s">
        <v>4</v>
      </c>
      <c r="B3039" s="130" t="s">
        <v>579</v>
      </c>
      <c r="C3039" s="130" t="s">
        <v>608</v>
      </c>
      <c r="D3039" s="130" t="s">
        <v>1090</v>
      </c>
      <c r="E3039" s="132">
        <v>807.3</v>
      </c>
    </row>
    <row r="3040" spans="1:5" x14ac:dyDescent="0.25">
      <c r="A3040" s="130" t="s">
        <v>4</v>
      </c>
      <c r="B3040" s="130" t="s">
        <v>579</v>
      </c>
      <c r="C3040" s="130" t="s">
        <v>608</v>
      </c>
      <c r="D3040" s="130" t="s">
        <v>1091</v>
      </c>
      <c r="E3040" s="132">
        <v>1254.6600000000001</v>
      </c>
    </row>
    <row r="3041" spans="1:5" x14ac:dyDescent="0.25">
      <c r="A3041" s="130" t="s">
        <v>4</v>
      </c>
      <c r="B3041" s="130" t="s">
        <v>579</v>
      </c>
      <c r="C3041" s="130" t="s">
        <v>608</v>
      </c>
      <c r="D3041" s="130" t="s">
        <v>1065</v>
      </c>
      <c r="E3041" s="132">
        <v>1009.76</v>
      </c>
    </row>
    <row r="3042" spans="1:5" x14ac:dyDescent="0.25">
      <c r="A3042" s="130" t="s">
        <v>4</v>
      </c>
      <c r="B3042" s="130" t="s">
        <v>579</v>
      </c>
      <c r="C3042" s="130" t="s">
        <v>608</v>
      </c>
      <c r="D3042" s="130" t="s">
        <v>338</v>
      </c>
      <c r="E3042" s="132">
        <v>457.09</v>
      </c>
    </row>
    <row r="3043" spans="1:5" x14ac:dyDescent="0.25">
      <c r="A3043" s="130" t="s">
        <v>4</v>
      </c>
      <c r="B3043" s="130" t="s">
        <v>579</v>
      </c>
      <c r="C3043" s="130" t="s">
        <v>608</v>
      </c>
      <c r="D3043" s="130" t="s">
        <v>293</v>
      </c>
      <c r="E3043" s="132">
        <v>734.72</v>
      </c>
    </row>
    <row r="3044" spans="1:5" x14ac:dyDescent="0.25">
      <c r="A3044" s="130" t="s">
        <v>4</v>
      </c>
      <c r="B3044" s="130" t="s">
        <v>579</v>
      </c>
      <c r="C3044" s="130" t="s">
        <v>608</v>
      </c>
      <c r="D3044" s="130" t="s">
        <v>705</v>
      </c>
      <c r="E3044" s="132">
        <v>472.64</v>
      </c>
    </row>
    <row r="3045" spans="1:5" x14ac:dyDescent="0.25">
      <c r="A3045" s="130" t="s">
        <v>4</v>
      </c>
      <c r="B3045" s="130" t="s">
        <v>579</v>
      </c>
      <c r="C3045" s="130" t="s">
        <v>608</v>
      </c>
      <c r="D3045" s="130" t="s">
        <v>274</v>
      </c>
      <c r="E3045" s="132">
        <v>644.86</v>
      </c>
    </row>
    <row r="3046" spans="1:5" x14ac:dyDescent="0.25">
      <c r="A3046" s="130" t="s">
        <v>4</v>
      </c>
      <c r="B3046" s="130" t="s">
        <v>579</v>
      </c>
      <c r="C3046" s="130" t="s">
        <v>608</v>
      </c>
      <c r="D3046" s="130" t="s">
        <v>303</v>
      </c>
      <c r="E3046" s="132">
        <v>429.31</v>
      </c>
    </row>
    <row r="3047" spans="1:5" x14ac:dyDescent="0.25">
      <c r="A3047" s="130" t="s">
        <v>4</v>
      </c>
      <c r="B3047" s="130" t="s">
        <v>579</v>
      </c>
      <c r="C3047" s="130" t="s">
        <v>608</v>
      </c>
      <c r="D3047" s="130" t="s">
        <v>780</v>
      </c>
      <c r="E3047" s="132">
        <v>734.66</v>
      </c>
    </row>
    <row r="3048" spans="1:5" x14ac:dyDescent="0.25">
      <c r="A3048" s="130" t="s">
        <v>4</v>
      </c>
      <c r="B3048" s="130" t="s">
        <v>579</v>
      </c>
      <c r="C3048" s="130" t="s">
        <v>608</v>
      </c>
      <c r="D3048" s="130" t="s">
        <v>296</v>
      </c>
      <c r="E3048" s="132">
        <v>848.9</v>
      </c>
    </row>
    <row r="3049" spans="1:5" x14ac:dyDescent="0.25">
      <c r="A3049" s="130" t="s">
        <v>4</v>
      </c>
      <c r="B3049" s="130" t="s">
        <v>579</v>
      </c>
      <c r="C3049" s="130" t="s">
        <v>608</v>
      </c>
      <c r="D3049" s="130" t="s">
        <v>282</v>
      </c>
      <c r="E3049" s="132">
        <v>765.7</v>
      </c>
    </row>
    <row r="3050" spans="1:5" x14ac:dyDescent="0.25">
      <c r="A3050" s="130" t="s">
        <v>4</v>
      </c>
      <c r="B3050" s="130" t="s">
        <v>579</v>
      </c>
      <c r="C3050" s="130" t="s">
        <v>608</v>
      </c>
      <c r="D3050" s="130" t="s">
        <v>365</v>
      </c>
      <c r="E3050" s="132">
        <v>692.22</v>
      </c>
    </row>
    <row r="3051" spans="1:5" x14ac:dyDescent="0.25">
      <c r="A3051" s="130" t="s">
        <v>4</v>
      </c>
      <c r="B3051" s="130" t="s">
        <v>579</v>
      </c>
      <c r="C3051" s="130" t="s">
        <v>608</v>
      </c>
      <c r="D3051" s="130" t="s">
        <v>345</v>
      </c>
      <c r="E3051" s="132">
        <v>1103.6199999999999</v>
      </c>
    </row>
    <row r="3052" spans="1:5" x14ac:dyDescent="0.25">
      <c r="A3052" s="130" t="s">
        <v>4</v>
      </c>
      <c r="B3052" s="130" t="s">
        <v>579</v>
      </c>
      <c r="C3052" s="130" t="s">
        <v>608</v>
      </c>
      <c r="D3052" s="130" t="s">
        <v>448</v>
      </c>
      <c r="E3052" s="132">
        <v>1046.46</v>
      </c>
    </row>
    <row r="3053" spans="1:5" x14ac:dyDescent="0.25">
      <c r="A3053" s="130" t="s">
        <v>4</v>
      </c>
      <c r="B3053" s="130" t="s">
        <v>579</v>
      </c>
      <c r="C3053" s="130" t="s">
        <v>608</v>
      </c>
      <c r="D3053" s="130" t="s">
        <v>947</v>
      </c>
      <c r="E3053" s="132">
        <v>1532.16</v>
      </c>
    </row>
    <row r="3054" spans="1:5" x14ac:dyDescent="0.25">
      <c r="A3054" s="130" t="s">
        <v>4</v>
      </c>
      <c r="B3054" s="130" t="s">
        <v>579</v>
      </c>
      <c r="C3054" s="130" t="s">
        <v>608</v>
      </c>
      <c r="D3054" s="130" t="s">
        <v>948</v>
      </c>
      <c r="E3054" s="132">
        <v>1336.26</v>
      </c>
    </row>
    <row r="3055" spans="1:5" x14ac:dyDescent="0.25">
      <c r="A3055" s="130" t="s">
        <v>4</v>
      </c>
      <c r="B3055" s="130" t="s">
        <v>579</v>
      </c>
      <c r="C3055" s="130" t="s">
        <v>608</v>
      </c>
      <c r="D3055" s="130" t="s">
        <v>346</v>
      </c>
      <c r="E3055" s="132">
        <v>2125.63</v>
      </c>
    </row>
    <row r="3056" spans="1:5" x14ac:dyDescent="0.25">
      <c r="A3056" s="130" t="s">
        <v>4</v>
      </c>
      <c r="B3056" s="130" t="s">
        <v>579</v>
      </c>
      <c r="C3056" s="130" t="s">
        <v>608</v>
      </c>
      <c r="D3056" s="130" t="s">
        <v>617</v>
      </c>
      <c r="E3056" s="132">
        <v>1803.2</v>
      </c>
    </row>
    <row r="3057" spans="1:5" x14ac:dyDescent="0.25">
      <c r="A3057" s="130" t="s">
        <v>4</v>
      </c>
      <c r="B3057" s="130" t="s">
        <v>579</v>
      </c>
      <c r="C3057" s="130" t="s">
        <v>608</v>
      </c>
      <c r="D3057" s="130" t="s">
        <v>949</v>
      </c>
      <c r="E3057" s="132">
        <v>1874.18</v>
      </c>
    </row>
    <row r="3058" spans="1:5" x14ac:dyDescent="0.25">
      <c r="A3058" s="130" t="s">
        <v>4</v>
      </c>
      <c r="B3058" s="130" t="s">
        <v>579</v>
      </c>
      <c r="C3058" s="130" t="s">
        <v>608</v>
      </c>
      <c r="D3058" s="130" t="s">
        <v>1035</v>
      </c>
      <c r="E3058" s="132">
        <v>1336.27</v>
      </c>
    </row>
    <row r="3059" spans="1:5" x14ac:dyDescent="0.25">
      <c r="A3059" s="130" t="s">
        <v>4</v>
      </c>
      <c r="B3059" s="130" t="s">
        <v>579</v>
      </c>
      <c r="C3059" s="130" t="s">
        <v>608</v>
      </c>
      <c r="D3059" s="130" t="s">
        <v>463</v>
      </c>
      <c r="E3059" s="132">
        <v>906.05</v>
      </c>
    </row>
    <row r="3060" spans="1:5" x14ac:dyDescent="0.25">
      <c r="A3060" s="130" t="s">
        <v>4</v>
      </c>
      <c r="B3060" s="130" t="s">
        <v>579</v>
      </c>
      <c r="C3060" s="130" t="s">
        <v>608</v>
      </c>
      <c r="D3060" s="130" t="s">
        <v>449</v>
      </c>
      <c r="E3060" s="132">
        <v>1477.5</v>
      </c>
    </row>
    <row r="3061" spans="1:5" x14ac:dyDescent="0.25">
      <c r="A3061" s="130" t="s">
        <v>4</v>
      </c>
      <c r="B3061" s="130" t="s">
        <v>579</v>
      </c>
      <c r="C3061" s="130" t="s">
        <v>608</v>
      </c>
      <c r="D3061" s="130" t="s">
        <v>1036</v>
      </c>
      <c r="E3061" s="132">
        <v>1237.0899999999999</v>
      </c>
    </row>
    <row r="3062" spans="1:5" x14ac:dyDescent="0.25">
      <c r="A3062" s="130" t="s">
        <v>4</v>
      </c>
      <c r="B3062" s="130" t="s">
        <v>579</v>
      </c>
      <c r="C3062" s="130" t="s">
        <v>608</v>
      </c>
      <c r="D3062" s="130" t="s">
        <v>450</v>
      </c>
      <c r="E3062" s="132">
        <v>1297.0899999999999</v>
      </c>
    </row>
    <row r="3063" spans="1:5" x14ac:dyDescent="0.25">
      <c r="A3063" s="130" t="s">
        <v>4</v>
      </c>
      <c r="B3063" s="130" t="s">
        <v>579</v>
      </c>
      <c r="C3063" s="130" t="s">
        <v>608</v>
      </c>
      <c r="D3063" s="130" t="s">
        <v>805</v>
      </c>
      <c r="E3063" s="132">
        <v>1175.42</v>
      </c>
    </row>
    <row r="3064" spans="1:5" x14ac:dyDescent="0.25">
      <c r="A3064" s="130" t="s">
        <v>4</v>
      </c>
      <c r="B3064" s="130" t="s">
        <v>579</v>
      </c>
      <c r="C3064" s="130" t="s">
        <v>608</v>
      </c>
      <c r="D3064" s="130" t="s">
        <v>452</v>
      </c>
      <c r="E3064" s="132">
        <v>1402.37</v>
      </c>
    </row>
    <row r="3065" spans="1:5" x14ac:dyDescent="0.25">
      <c r="A3065" s="130" t="s">
        <v>4</v>
      </c>
      <c r="B3065" s="130" t="s">
        <v>579</v>
      </c>
      <c r="C3065" s="130" t="s">
        <v>608</v>
      </c>
      <c r="D3065" s="130" t="s">
        <v>950</v>
      </c>
      <c r="E3065" s="132">
        <v>1368.13</v>
      </c>
    </row>
    <row r="3066" spans="1:5" x14ac:dyDescent="0.25">
      <c r="A3066" s="130" t="s">
        <v>4</v>
      </c>
      <c r="B3066" s="130" t="s">
        <v>579</v>
      </c>
      <c r="C3066" s="130" t="s">
        <v>608</v>
      </c>
      <c r="D3066" s="130" t="s">
        <v>951</v>
      </c>
      <c r="E3066" s="132">
        <v>2306.8200000000002</v>
      </c>
    </row>
    <row r="3067" spans="1:5" x14ac:dyDescent="0.25">
      <c r="A3067" s="130" t="s">
        <v>4</v>
      </c>
      <c r="B3067" s="130" t="s">
        <v>579</v>
      </c>
      <c r="C3067" s="130" t="s">
        <v>608</v>
      </c>
      <c r="D3067" s="130" t="s">
        <v>312</v>
      </c>
      <c r="E3067" s="132">
        <v>743.62</v>
      </c>
    </row>
    <row r="3068" spans="1:5" x14ac:dyDescent="0.25">
      <c r="A3068" s="130" t="s">
        <v>4</v>
      </c>
      <c r="B3068" s="130" t="s">
        <v>579</v>
      </c>
      <c r="C3068" s="130" t="s">
        <v>608</v>
      </c>
      <c r="D3068" s="130" t="s">
        <v>952</v>
      </c>
      <c r="E3068" s="132">
        <v>1241.5999999999999</v>
      </c>
    </row>
    <row r="3069" spans="1:5" x14ac:dyDescent="0.25">
      <c r="A3069" s="130" t="s">
        <v>4</v>
      </c>
      <c r="B3069" s="130" t="s">
        <v>579</v>
      </c>
      <c r="C3069" s="130" t="s">
        <v>608</v>
      </c>
      <c r="D3069" s="130" t="s">
        <v>453</v>
      </c>
      <c r="E3069" s="132">
        <v>2390.08</v>
      </c>
    </row>
    <row r="3070" spans="1:5" x14ac:dyDescent="0.25">
      <c r="A3070" s="130" t="s">
        <v>4</v>
      </c>
      <c r="B3070" s="130" t="s">
        <v>579</v>
      </c>
      <c r="C3070" s="130" t="s">
        <v>608</v>
      </c>
      <c r="D3070" s="130" t="s">
        <v>526</v>
      </c>
      <c r="E3070" s="132">
        <v>332.22</v>
      </c>
    </row>
    <row r="3071" spans="1:5" x14ac:dyDescent="0.25">
      <c r="A3071" s="130" t="s">
        <v>4</v>
      </c>
      <c r="B3071" s="130" t="s">
        <v>579</v>
      </c>
      <c r="C3071" s="130" t="s">
        <v>608</v>
      </c>
      <c r="D3071" s="130" t="s">
        <v>549</v>
      </c>
      <c r="E3071" s="132">
        <v>594.24</v>
      </c>
    </row>
    <row r="3072" spans="1:5" x14ac:dyDescent="0.25">
      <c r="A3072" s="130" t="s">
        <v>4</v>
      </c>
      <c r="B3072" s="130" t="s">
        <v>579</v>
      </c>
      <c r="C3072" s="130" t="s">
        <v>608</v>
      </c>
      <c r="D3072" s="130" t="s">
        <v>527</v>
      </c>
      <c r="E3072" s="132">
        <v>782.85</v>
      </c>
    </row>
    <row r="3073" spans="1:5" x14ac:dyDescent="0.25">
      <c r="A3073" s="130" t="s">
        <v>4</v>
      </c>
      <c r="B3073" s="130" t="s">
        <v>579</v>
      </c>
      <c r="C3073" s="130" t="s">
        <v>608</v>
      </c>
      <c r="D3073" s="130" t="s">
        <v>540</v>
      </c>
      <c r="E3073" s="132">
        <v>493.06</v>
      </c>
    </row>
    <row r="3074" spans="1:5" x14ac:dyDescent="0.25">
      <c r="A3074" s="130" t="s">
        <v>4</v>
      </c>
      <c r="B3074" s="130" t="s">
        <v>579</v>
      </c>
      <c r="C3074" s="130" t="s">
        <v>608</v>
      </c>
      <c r="D3074" s="130" t="s">
        <v>541</v>
      </c>
      <c r="E3074" s="132">
        <v>765.7</v>
      </c>
    </row>
    <row r="3075" spans="1:5" x14ac:dyDescent="0.25">
      <c r="A3075" s="130" t="s">
        <v>4</v>
      </c>
      <c r="B3075" s="130" t="s">
        <v>579</v>
      </c>
      <c r="C3075" s="130" t="s">
        <v>608</v>
      </c>
      <c r="D3075" s="130" t="s">
        <v>550</v>
      </c>
      <c r="E3075" s="132">
        <v>1013.82</v>
      </c>
    </row>
    <row r="3076" spans="1:5" x14ac:dyDescent="0.25">
      <c r="A3076" s="130" t="s">
        <v>4</v>
      </c>
      <c r="B3076" s="130" t="s">
        <v>579</v>
      </c>
      <c r="C3076" s="130" t="s">
        <v>608</v>
      </c>
      <c r="D3076" s="130" t="s">
        <v>722</v>
      </c>
      <c r="E3076" s="132">
        <v>2861.95</v>
      </c>
    </row>
    <row r="3077" spans="1:5" x14ac:dyDescent="0.25">
      <c r="A3077" s="130" t="s">
        <v>4</v>
      </c>
      <c r="B3077" s="130" t="s">
        <v>579</v>
      </c>
      <c r="C3077" s="130" t="s">
        <v>608</v>
      </c>
      <c r="D3077" s="130" t="s">
        <v>410</v>
      </c>
      <c r="E3077" s="132">
        <v>1474.18</v>
      </c>
    </row>
    <row r="3078" spans="1:5" x14ac:dyDescent="0.25">
      <c r="A3078" s="130" t="s">
        <v>4</v>
      </c>
      <c r="B3078" s="130" t="s">
        <v>579</v>
      </c>
      <c r="C3078" s="130" t="s">
        <v>608</v>
      </c>
      <c r="D3078" s="130" t="s">
        <v>242</v>
      </c>
      <c r="E3078" s="132">
        <v>901.25</v>
      </c>
    </row>
    <row r="3079" spans="1:5" x14ac:dyDescent="0.25">
      <c r="A3079" s="130" t="s">
        <v>4</v>
      </c>
      <c r="B3079" s="130" t="s">
        <v>579</v>
      </c>
      <c r="C3079" s="130" t="s">
        <v>608</v>
      </c>
      <c r="D3079" s="130" t="s">
        <v>243</v>
      </c>
      <c r="E3079" s="132">
        <v>1030.1400000000001</v>
      </c>
    </row>
    <row r="3080" spans="1:5" x14ac:dyDescent="0.25">
      <c r="A3080" s="130" t="s">
        <v>4</v>
      </c>
      <c r="B3080" s="130" t="s">
        <v>579</v>
      </c>
      <c r="C3080" s="130" t="s">
        <v>608</v>
      </c>
      <c r="D3080" s="130" t="s">
        <v>475</v>
      </c>
      <c r="E3080" s="132">
        <v>370.62</v>
      </c>
    </row>
    <row r="3081" spans="1:5" x14ac:dyDescent="0.25">
      <c r="A3081" s="130" t="s">
        <v>4</v>
      </c>
      <c r="B3081" s="130" t="s">
        <v>579</v>
      </c>
      <c r="C3081" s="130" t="s">
        <v>608</v>
      </c>
      <c r="D3081" s="130" t="s">
        <v>686</v>
      </c>
      <c r="E3081" s="132">
        <v>385.28</v>
      </c>
    </row>
    <row r="3082" spans="1:5" x14ac:dyDescent="0.25">
      <c r="A3082" s="130" t="s">
        <v>4</v>
      </c>
      <c r="B3082" s="130" t="s">
        <v>579</v>
      </c>
      <c r="C3082" s="130" t="s">
        <v>608</v>
      </c>
      <c r="D3082" s="130" t="s">
        <v>313</v>
      </c>
      <c r="E3082" s="132">
        <v>392.64</v>
      </c>
    </row>
    <row r="3083" spans="1:5" x14ac:dyDescent="0.25">
      <c r="A3083" s="130" t="s">
        <v>4</v>
      </c>
      <c r="B3083" s="130" t="s">
        <v>579</v>
      </c>
      <c r="C3083" s="130" t="s">
        <v>608</v>
      </c>
      <c r="D3083" s="130" t="s">
        <v>412</v>
      </c>
      <c r="E3083" s="132">
        <v>333.89</v>
      </c>
    </row>
    <row r="3084" spans="1:5" x14ac:dyDescent="0.25">
      <c r="A3084" s="130" t="s">
        <v>4</v>
      </c>
      <c r="B3084" s="130" t="s">
        <v>579</v>
      </c>
      <c r="C3084" s="130" t="s">
        <v>608</v>
      </c>
      <c r="D3084" s="130" t="s">
        <v>468</v>
      </c>
      <c r="E3084" s="132">
        <v>381.18</v>
      </c>
    </row>
    <row r="3085" spans="1:5" x14ac:dyDescent="0.25">
      <c r="A3085" s="130" t="s">
        <v>4</v>
      </c>
      <c r="B3085" s="130" t="s">
        <v>579</v>
      </c>
      <c r="C3085" s="130" t="s">
        <v>608</v>
      </c>
      <c r="D3085" s="130" t="s">
        <v>458</v>
      </c>
      <c r="E3085" s="132">
        <v>400.77</v>
      </c>
    </row>
    <row r="3086" spans="1:5" x14ac:dyDescent="0.25">
      <c r="A3086" s="130" t="s">
        <v>4</v>
      </c>
      <c r="B3086" s="130" t="s">
        <v>579</v>
      </c>
      <c r="C3086" s="130" t="s">
        <v>608</v>
      </c>
      <c r="D3086" s="130" t="s">
        <v>476</v>
      </c>
      <c r="E3086" s="132">
        <v>419.58</v>
      </c>
    </row>
    <row r="3087" spans="1:5" x14ac:dyDescent="0.25">
      <c r="A3087" s="130" t="s">
        <v>4</v>
      </c>
      <c r="B3087" s="130" t="s">
        <v>579</v>
      </c>
      <c r="C3087" s="130" t="s">
        <v>608</v>
      </c>
      <c r="D3087" s="130" t="s">
        <v>459</v>
      </c>
      <c r="E3087" s="132">
        <v>506.94</v>
      </c>
    </row>
    <row r="3088" spans="1:5" x14ac:dyDescent="0.25">
      <c r="A3088" s="130" t="s">
        <v>4</v>
      </c>
      <c r="B3088" s="130" t="s">
        <v>579</v>
      </c>
      <c r="C3088" s="130" t="s">
        <v>608</v>
      </c>
      <c r="D3088" s="130" t="s">
        <v>754</v>
      </c>
      <c r="E3088" s="132">
        <v>1494.4</v>
      </c>
    </row>
    <row r="3089" spans="1:5" x14ac:dyDescent="0.25">
      <c r="A3089" s="130" t="s">
        <v>4</v>
      </c>
      <c r="B3089" s="130" t="s">
        <v>579</v>
      </c>
      <c r="C3089" s="130" t="s">
        <v>608</v>
      </c>
      <c r="D3089" s="130" t="s">
        <v>755</v>
      </c>
      <c r="E3089" s="132">
        <v>532.74</v>
      </c>
    </row>
    <row r="3090" spans="1:5" x14ac:dyDescent="0.25">
      <c r="A3090" s="130" t="s">
        <v>4</v>
      </c>
      <c r="B3090" s="130" t="s">
        <v>579</v>
      </c>
      <c r="C3090" s="130" t="s">
        <v>608</v>
      </c>
      <c r="D3090" s="130" t="s">
        <v>756</v>
      </c>
      <c r="E3090" s="132">
        <v>484.61</v>
      </c>
    </row>
    <row r="3091" spans="1:5" x14ac:dyDescent="0.25">
      <c r="A3091" s="130" t="s">
        <v>4</v>
      </c>
      <c r="B3091" s="130" t="s">
        <v>579</v>
      </c>
      <c r="C3091" s="130" t="s">
        <v>608</v>
      </c>
      <c r="D3091" s="130" t="s">
        <v>613</v>
      </c>
      <c r="E3091" s="132">
        <v>120.7</v>
      </c>
    </row>
    <row r="3092" spans="1:5" x14ac:dyDescent="0.25">
      <c r="A3092" s="130" t="s">
        <v>4</v>
      </c>
      <c r="B3092" s="130" t="s">
        <v>579</v>
      </c>
      <c r="C3092" s="130" t="s">
        <v>608</v>
      </c>
      <c r="D3092" s="130" t="s">
        <v>757</v>
      </c>
      <c r="E3092" s="132">
        <v>282.11</v>
      </c>
    </row>
    <row r="3093" spans="1:5" x14ac:dyDescent="0.25">
      <c r="A3093" s="130" t="s">
        <v>4</v>
      </c>
      <c r="B3093" s="130" t="s">
        <v>579</v>
      </c>
      <c r="C3093" s="130" t="s">
        <v>608</v>
      </c>
      <c r="D3093" s="130" t="s">
        <v>375</v>
      </c>
      <c r="E3093" s="132">
        <v>317.47000000000003</v>
      </c>
    </row>
    <row r="3094" spans="1:5" x14ac:dyDescent="0.25">
      <c r="A3094" s="130" t="s">
        <v>4</v>
      </c>
      <c r="B3094" s="130" t="s">
        <v>579</v>
      </c>
      <c r="C3094" s="130" t="s">
        <v>608</v>
      </c>
      <c r="D3094" s="130" t="s">
        <v>359</v>
      </c>
      <c r="E3094" s="132">
        <v>378.66</v>
      </c>
    </row>
    <row r="3095" spans="1:5" x14ac:dyDescent="0.25">
      <c r="A3095" s="130" t="s">
        <v>4</v>
      </c>
      <c r="B3095" s="130" t="s">
        <v>579</v>
      </c>
      <c r="C3095" s="130" t="s">
        <v>608</v>
      </c>
      <c r="D3095" s="130" t="s">
        <v>314</v>
      </c>
      <c r="E3095" s="132">
        <v>906.18</v>
      </c>
    </row>
    <row r="3096" spans="1:5" x14ac:dyDescent="0.25">
      <c r="A3096" s="130" t="s">
        <v>4</v>
      </c>
      <c r="B3096" s="130" t="s">
        <v>579</v>
      </c>
      <c r="C3096" s="130" t="s">
        <v>608</v>
      </c>
      <c r="D3096" s="130" t="s">
        <v>494</v>
      </c>
      <c r="E3096" s="132">
        <v>530.72</v>
      </c>
    </row>
    <row r="3097" spans="1:5" x14ac:dyDescent="0.25">
      <c r="A3097" s="130" t="s">
        <v>4</v>
      </c>
      <c r="B3097" s="130" t="s">
        <v>579</v>
      </c>
      <c r="C3097" s="130" t="s">
        <v>608</v>
      </c>
      <c r="D3097" s="130" t="s">
        <v>488</v>
      </c>
      <c r="E3097" s="132">
        <v>591.20000000000005</v>
      </c>
    </row>
    <row r="3098" spans="1:5" x14ac:dyDescent="0.25">
      <c r="A3098" s="130" t="s">
        <v>4</v>
      </c>
      <c r="B3098" s="130" t="s">
        <v>579</v>
      </c>
      <c r="C3098" s="130" t="s">
        <v>608</v>
      </c>
      <c r="D3098" s="130" t="s">
        <v>489</v>
      </c>
      <c r="E3098" s="132">
        <v>667.52</v>
      </c>
    </row>
    <row r="3099" spans="1:5" x14ac:dyDescent="0.25">
      <c r="A3099" s="130" t="s">
        <v>4</v>
      </c>
      <c r="B3099" s="130" t="s">
        <v>579</v>
      </c>
      <c r="C3099" s="130" t="s">
        <v>608</v>
      </c>
      <c r="D3099" s="130" t="s">
        <v>959</v>
      </c>
      <c r="E3099" s="132">
        <v>746.69</v>
      </c>
    </row>
    <row r="3100" spans="1:5" x14ac:dyDescent="0.25">
      <c r="A3100" s="130" t="s">
        <v>4</v>
      </c>
      <c r="B3100" s="130" t="s">
        <v>579</v>
      </c>
      <c r="C3100" s="130" t="s">
        <v>608</v>
      </c>
      <c r="D3100" s="130" t="s">
        <v>960</v>
      </c>
      <c r="E3100" s="132">
        <v>822.11</v>
      </c>
    </row>
    <row r="3101" spans="1:5" x14ac:dyDescent="0.25">
      <c r="A3101" s="130" t="s">
        <v>4</v>
      </c>
      <c r="B3101" s="130" t="s">
        <v>579</v>
      </c>
      <c r="C3101" s="130" t="s">
        <v>608</v>
      </c>
      <c r="D3101" s="130" t="s">
        <v>961</v>
      </c>
      <c r="E3101" s="132">
        <v>880.38</v>
      </c>
    </row>
    <row r="3102" spans="1:5" x14ac:dyDescent="0.25">
      <c r="A3102" s="130" t="s">
        <v>4</v>
      </c>
      <c r="B3102" s="130" t="s">
        <v>579</v>
      </c>
      <c r="C3102" s="130" t="s">
        <v>608</v>
      </c>
      <c r="D3102" s="130" t="s">
        <v>825</v>
      </c>
      <c r="E3102" s="132">
        <v>3048.96</v>
      </c>
    </row>
    <row r="3103" spans="1:5" x14ac:dyDescent="0.25">
      <c r="A3103" s="130" t="s">
        <v>4</v>
      </c>
      <c r="B3103" s="130" t="s">
        <v>579</v>
      </c>
      <c r="C3103" s="130" t="s">
        <v>608</v>
      </c>
      <c r="D3103" s="130" t="s">
        <v>246</v>
      </c>
      <c r="E3103" s="132">
        <v>2928.64</v>
      </c>
    </row>
    <row r="3104" spans="1:5" x14ac:dyDescent="0.25">
      <c r="A3104" s="130" t="s">
        <v>4</v>
      </c>
      <c r="B3104" s="130" t="s">
        <v>579</v>
      </c>
      <c r="C3104" s="130" t="s">
        <v>608</v>
      </c>
      <c r="D3104" s="130" t="s">
        <v>247</v>
      </c>
      <c r="E3104" s="132">
        <v>2426.37</v>
      </c>
    </row>
    <row r="3105" spans="1:5" x14ac:dyDescent="0.25">
      <c r="A3105" s="130" t="s">
        <v>4</v>
      </c>
      <c r="B3105" s="130" t="s">
        <v>579</v>
      </c>
      <c r="C3105" s="130" t="s">
        <v>608</v>
      </c>
      <c r="D3105" s="130" t="s">
        <v>248</v>
      </c>
      <c r="E3105" s="132">
        <v>2710.21</v>
      </c>
    </row>
    <row r="3106" spans="1:5" x14ac:dyDescent="0.25">
      <c r="A3106" s="130" t="s">
        <v>4</v>
      </c>
      <c r="B3106" s="130" t="s">
        <v>579</v>
      </c>
      <c r="C3106" s="130" t="s">
        <v>608</v>
      </c>
      <c r="D3106" s="130" t="s">
        <v>249</v>
      </c>
      <c r="E3106" s="132">
        <v>1966.08</v>
      </c>
    </row>
    <row r="3107" spans="1:5" x14ac:dyDescent="0.25">
      <c r="A3107" s="130" t="s">
        <v>4</v>
      </c>
      <c r="B3107" s="130" t="s">
        <v>579</v>
      </c>
      <c r="C3107" s="130" t="s">
        <v>608</v>
      </c>
      <c r="D3107" s="130" t="s">
        <v>250</v>
      </c>
      <c r="E3107" s="132">
        <v>2620.16</v>
      </c>
    </row>
    <row r="3108" spans="1:5" x14ac:dyDescent="0.25">
      <c r="A3108" s="130" t="s">
        <v>4</v>
      </c>
      <c r="B3108" s="130" t="s">
        <v>579</v>
      </c>
      <c r="C3108" s="130" t="s">
        <v>608</v>
      </c>
      <c r="D3108" s="130" t="s">
        <v>469</v>
      </c>
      <c r="E3108" s="132">
        <v>4717.57</v>
      </c>
    </row>
    <row r="3109" spans="1:5" x14ac:dyDescent="0.25">
      <c r="A3109" s="130" t="s">
        <v>4</v>
      </c>
      <c r="B3109" s="130" t="s">
        <v>579</v>
      </c>
      <c r="C3109" s="130" t="s">
        <v>608</v>
      </c>
      <c r="D3109" s="130" t="s">
        <v>396</v>
      </c>
      <c r="E3109" s="132">
        <v>1130.98</v>
      </c>
    </row>
    <row r="3110" spans="1:5" x14ac:dyDescent="0.25">
      <c r="A3110" s="130" t="s">
        <v>4</v>
      </c>
      <c r="B3110" s="130" t="s">
        <v>579</v>
      </c>
      <c r="C3110" s="130" t="s">
        <v>608</v>
      </c>
      <c r="D3110" s="130" t="s">
        <v>683</v>
      </c>
      <c r="E3110" s="132">
        <v>1529.31</v>
      </c>
    </row>
    <row r="3111" spans="1:5" x14ac:dyDescent="0.25">
      <c r="A3111" s="130" t="s">
        <v>4</v>
      </c>
      <c r="B3111" s="130" t="s">
        <v>579</v>
      </c>
      <c r="C3111" s="130" t="s">
        <v>608</v>
      </c>
      <c r="D3111" s="130" t="s">
        <v>438</v>
      </c>
      <c r="E3111" s="132">
        <v>1712.58</v>
      </c>
    </row>
    <row r="3112" spans="1:5" x14ac:dyDescent="0.25">
      <c r="A3112" s="130" t="s">
        <v>4</v>
      </c>
      <c r="B3112" s="130" t="s">
        <v>579</v>
      </c>
      <c r="C3112" s="130" t="s">
        <v>608</v>
      </c>
      <c r="D3112" s="130" t="s">
        <v>330</v>
      </c>
      <c r="E3112" s="132">
        <v>2266.8200000000002</v>
      </c>
    </row>
    <row r="3113" spans="1:5" x14ac:dyDescent="0.25">
      <c r="A3113" s="130" t="s">
        <v>4</v>
      </c>
      <c r="B3113" s="130" t="s">
        <v>579</v>
      </c>
      <c r="C3113" s="130" t="s">
        <v>608</v>
      </c>
      <c r="D3113" s="130" t="s">
        <v>342</v>
      </c>
      <c r="E3113" s="132">
        <v>2336.19</v>
      </c>
    </row>
    <row r="3114" spans="1:5" x14ac:dyDescent="0.25">
      <c r="A3114" s="130" t="s">
        <v>4</v>
      </c>
      <c r="B3114" s="130" t="s">
        <v>579</v>
      </c>
      <c r="C3114" s="130" t="s">
        <v>608</v>
      </c>
      <c r="D3114" s="130" t="s">
        <v>810</v>
      </c>
      <c r="E3114" s="132">
        <v>931.55</v>
      </c>
    </row>
    <row r="3115" spans="1:5" x14ac:dyDescent="0.25">
      <c r="A3115" s="130" t="s">
        <v>4</v>
      </c>
      <c r="B3115" s="130" t="s">
        <v>579</v>
      </c>
      <c r="C3115" s="130" t="s">
        <v>608</v>
      </c>
      <c r="D3115" s="130" t="s">
        <v>739</v>
      </c>
      <c r="E3115" s="132">
        <v>990.82</v>
      </c>
    </row>
    <row r="3116" spans="1:5" x14ac:dyDescent="0.25">
      <c r="A3116" s="130" t="s">
        <v>4</v>
      </c>
      <c r="B3116" s="130" t="s">
        <v>579</v>
      </c>
      <c r="C3116" s="130" t="s">
        <v>608</v>
      </c>
      <c r="D3116" s="130" t="s">
        <v>341</v>
      </c>
      <c r="E3116" s="132">
        <v>1335.6</v>
      </c>
    </row>
    <row r="3117" spans="1:5" x14ac:dyDescent="0.25">
      <c r="A3117" s="130" t="s">
        <v>4</v>
      </c>
      <c r="B3117" s="130" t="s">
        <v>579</v>
      </c>
      <c r="C3117" s="130" t="s">
        <v>608</v>
      </c>
      <c r="D3117" s="130" t="s">
        <v>831</v>
      </c>
      <c r="E3117" s="132">
        <v>1997.36</v>
      </c>
    </row>
    <row r="3118" spans="1:5" x14ac:dyDescent="0.25">
      <c r="A3118" s="130" t="s">
        <v>4</v>
      </c>
      <c r="B3118" s="130" t="s">
        <v>579</v>
      </c>
      <c r="C3118" s="130" t="s">
        <v>608</v>
      </c>
      <c r="D3118" s="130" t="s">
        <v>264</v>
      </c>
      <c r="E3118" s="132">
        <v>4345.5</v>
      </c>
    </row>
    <row r="3119" spans="1:5" x14ac:dyDescent="0.25">
      <c r="A3119" s="130" t="s">
        <v>4</v>
      </c>
      <c r="B3119" s="130" t="s">
        <v>579</v>
      </c>
      <c r="C3119" s="130" t="s">
        <v>608</v>
      </c>
      <c r="D3119" s="130" t="s">
        <v>731</v>
      </c>
      <c r="E3119" s="132">
        <v>4511.5</v>
      </c>
    </row>
    <row r="3120" spans="1:5" x14ac:dyDescent="0.25">
      <c r="A3120" s="130" t="s">
        <v>4</v>
      </c>
      <c r="B3120" s="130" t="s">
        <v>579</v>
      </c>
      <c r="C3120" s="130" t="s">
        <v>608</v>
      </c>
      <c r="D3120" s="130" t="s">
        <v>440</v>
      </c>
      <c r="E3120" s="132">
        <v>16519</v>
      </c>
    </row>
    <row r="3121" spans="1:5" x14ac:dyDescent="0.25">
      <c r="A3121" s="130" t="s">
        <v>4</v>
      </c>
      <c r="B3121" s="130" t="s">
        <v>579</v>
      </c>
      <c r="C3121" s="130" t="s">
        <v>608</v>
      </c>
      <c r="D3121" s="130" t="s">
        <v>328</v>
      </c>
      <c r="E3121" s="132">
        <v>2173.04</v>
      </c>
    </row>
    <row r="3122" spans="1:5" x14ac:dyDescent="0.25">
      <c r="A3122" s="130" t="s">
        <v>4</v>
      </c>
      <c r="B3122" s="130" t="s">
        <v>579</v>
      </c>
      <c r="C3122" s="130" t="s">
        <v>608</v>
      </c>
      <c r="D3122" s="130" t="s">
        <v>362</v>
      </c>
      <c r="E3122" s="132">
        <v>3633.47</v>
      </c>
    </row>
    <row r="3123" spans="1:5" x14ac:dyDescent="0.25">
      <c r="A3123" s="130" t="s">
        <v>4</v>
      </c>
      <c r="B3123" s="130" t="s">
        <v>579</v>
      </c>
      <c r="C3123" s="130" t="s">
        <v>608</v>
      </c>
      <c r="D3123" s="130" t="s">
        <v>774</v>
      </c>
      <c r="E3123" s="132">
        <v>4645.51</v>
      </c>
    </row>
    <row r="3124" spans="1:5" x14ac:dyDescent="0.25">
      <c r="A3124" s="130" t="s">
        <v>4</v>
      </c>
      <c r="B3124" s="130" t="s">
        <v>579</v>
      </c>
      <c r="C3124" s="130" t="s">
        <v>608</v>
      </c>
      <c r="D3124" s="130" t="s">
        <v>819</v>
      </c>
      <c r="E3124" s="132">
        <v>399.18</v>
      </c>
    </row>
    <row r="3125" spans="1:5" x14ac:dyDescent="0.25">
      <c r="A3125" s="130" t="s">
        <v>4</v>
      </c>
      <c r="B3125" s="130" t="s">
        <v>579</v>
      </c>
      <c r="C3125" s="130" t="s">
        <v>608</v>
      </c>
      <c r="D3125" s="130" t="s">
        <v>531</v>
      </c>
      <c r="E3125" s="132">
        <v>2205.64</v>
      </c>
    </row>
    <row r="3126" spans="1:5" x14ac:dyDescent="0.25">
      <c r="A3126" s="130" t="s">
        <v>4</v>
      </c>
      <c r="B3126" s="130" t="s">
        <v>579</v>
      </c>
      <c r="C3126" s="130" t="s">
        <v>608</v>
      </c>
      <c r="D3126" s="130" t="s">
        <v>577</v>
      </c>
      <c r="E3126" s="132">
        <v>2000.68</v>
      </c>
    </row>
    <row r="3127" spans="1:5" x14ac:dyDescent="0.25">
      <c r="A3127" s="130" t="s">
        <v>4</v>
      </c>
      <c r="B3127" s="130" t="s">
        <v>579</v>
      </c>
      <c r="C3127" s="130" t="s">
        <v>608</v>
      </c>
      <c r="D3127" s="130" t="s">
        <v>576</v>
      </c>
      <c r="E3127" s="132">
        <v>2422.96</v>
      </c>
    </row>
    <row r="3128" spans="1:5" x14ac:dyDescent="0.25">
      <c r="A3128" s="130" t="s">
        <v>4</v>
      </c>
      <c r="B3128" s="130" t="s">
        <v>579</v>
      </c>
      <c r="C3128" s="130" t="s">
        <v>608</v>
      </c>
      <c r="D3128" s="130" t="s">
        <v>1114</v>
      </c>
      <c r="E3128" s="132">
        <v>9999.36</v>
      </c>
    </row>
    <row r="3129" spans="1:5" x14ac:dyDescent="0.25">
      <c r="A3129" s="130" t="s">
        <v>4</v>
      </c>
      <c r="B3129" s="130" t="s">
        <v>579</v>
      </c>
      <c r="C3129" s="130" t="s">
        <v>608</v>
      </c>
      <c r="D3129" s="130" t="s">
        <v>1054</v>
      </c>
      <c r="E3129" s="132">
        <v>6555.25</v>
      </c>
    </row>
    <row r="3130" spans="1:5" x14ac:dyDescent="0.25">
      <c r="A3130" s="130" t="s">
        <v>4</v>
      </c>
      <c r="B3130" s="130" t="s">
        <v>579</v>
      </c>
      <c r="C3130" s="130" t="s">
        <v>608</v>
      </c>
      <c r="D3130" s="130" t="s">
        <v>1030</v>
      </c>
      <c r="E3130" s="132">
        <v>4528.96</v>
      </c>
    </row>
    <row r="3131" spans="1:5" x14ac:dyDescent="0.25">
      <c r="A3131" s="130" t="s">
        <v>4</v>
      </c>
      <c r="B3131" s="130" t="s">
        <v>579</v>
      </c>
      <c r="C3131" s="130" t="s">
        <v>608</v>
      </c>
      <c r="D3131" s="130" t="s">
        <v>776</v>
      </c>
      <c r="E3131" s="132">
        <v>5154.46</v>
      </c>
    </row>
    <row r="3132" spans="1:5" x14ac:dyDescent="0.25">
      <c r="A3132" s="130" t="s">
        <v>4</v>
      </c>
      <c r="B3132" s="130" t="s">
        <v>579</v>
      </c>
      <c r="C3132" s="130" t="s">
        <v>608</v>
      </c>
      <c r="D3132" s="130" t="s">
        <v>760</v>
      </c>
      <c r="E3132" s="132">
        <v>7031.45</v>
      </c>
    </row>
    <row r="3133" spans="1:5" x14ac:dyDescent="0.25">
      <c r="A3133" s="130" t="s">
        <v>4</v>
      </c>
      <c r="B3133" s="130" t="s">
        <v>579</v>
      </c>
      <c r="C3133" s="130" t="s">
        <v>608</v>
      </c>
      <c r="D3133" s="130" t="s">
        <v>257</v>
      </c>
      <c r="E3133" s="132">
        <v>8526.66</v>
      </c>
    </row>
    <row r="3134" spans="1:5" x14ac:dyDescent="0.25">
      <c r="A3134" s="130" t="s">
        <v>4</v>
      </c>
      <c r="B3134" s="130" t="s">
        <v>579</v>
      </c>
      <c r="C3134" s="130" t="s">
        <v>608</v>
      </c>
      <c r="D3134" s="130" t="s">
        <v>428</v>
      </c>
      <c r="E3134" s="132">
        <v>3653.8</v>
      </c>
    </row>
    <row r="3135" spans="1:5" x14ac:dyDescent="0.25">
      <c r="A3135" s="130" t="s">
        <v>4</v>
      </c>
      <c r="B3135" s="130" t="s">
        <v>579</v>
      </c>
      <c r="C3135" s="130" t="s">
        <v>608</v>
      </c>
      <c r="D3135" s="130" t="s">
        <v>258</v>
      </c>
      <c r="E3135" s="132">
        <v>7135.04</v>
      </c>
    </row>
    <row r="3136" spans="1:5" x14ac:dyDescent="0.25">
      <c r="A3136" s="130" t="s">
        <v>4</v>
      </c>
      <c r="B3136" s="130" t="s">
        <v>579</v>
      </c>
      <c r="C3136" s="130" t="s">
        <v>608</v>
      </c>
      <c r="D3136" s="130" t="s">
        <v>506</v>
      </c>
      <c r="E3136" s="132">
        <v>2674.43</v>
      </c>
    </row>
    <row r="3137" spans="1:5" x14ac:dyDescent="0.25">
      <c r="A3137" s="130" t="s">
        <v>4</v>
      </c>
      <c r="B3137" s="130" t="s">
        <v>579</v>
      </c>
      <c r="C3137" s="130" t="s">
        <v>608</v>
      </c>
      <c r="D3137" s="130" t="s">
        <v>309</v>
      </c>
      <c r="E3137" s="132">
        <v>11041.43</v>
      </c>
    </row>
    <row r="3138" spans="1:5" x14ac:dyDescent="0.25">
      <c r="A3138" s="130" t="s">
        <v>4</v>
      </c>
      <c r="B3138" s="130" t="s">
        <v>579</v>
      </c>
      <c r="C3138" s="130" t="s">
        <v>608</v>
      </c>
      <c r="D3138" s="130" t="s">
        <v>275</v>
      </c>
      <c r="E3138" s="132">
        <v>822</v>
      </c>
    </row>
    <row r="3139" spans="1:5" x14ac:dyDescent="0.25">
      <c r="A3139" s="130" t="s">
        <v>4</v>
      </c>
      <c r="B3139" s="130" t="s">
        <v>579</v>
      </c>
      <c r="C3139" s="130" t="s">
        <v>608</v>
      </c>
      <c r="D3139" s="130" t="s">
        <v>262</v>
      </c>
      <c r="E3139" s="132">
        <v>1217.06</v>
      </c>
    </row>
    <row r="3140" spans="1:5" x14ac:dyDescent="0.25">
      <c r="A3140" s="130" t="s">
        <v>4</v>
      </c>
      <c r="B3140" s="130" t="s">
        <v>579</v>
      </c>
      <c r="C3140" s="130" t="s">
        <v>608</v>
      </c>
      <c r="D3140" s="130" t="s">
        <v>259</v>
      </c>
      <c r="E3140" s="132">
        <v>23554.45</v>
      </c>
    </row>
    <row r="3141" spans="1:5" x14ac:dyDescent="0.25">
      <c r="A3141" s="130" t="s">
        <v>4</v>
      </c>
      <c r="B3141" s="130" t="s">
        <v>579</v>
      </c>
      <c r="C3141" s="130" t="s">
        <v>608</v>
      </c>
      <c r="D3141" s="130" t="s">
        <v>234</v>
      </c>
      <c r="E3141" s="132">
        <v>1311.05</v>
      </c>
    </row>
    <row r="3142" spans="1:5" x14ac:dyDescent="0.25">
      <c r="A3142" s="130" t="s">
        <v>4</v>
      </c>
      <c r="B3142" s="130" t="s">
        <v>579</v>
      </c>
      <c r="C3142" s="130" t="s">
        <v>608</v>
      </c>
      <c r="D3142" s="130" t="s">
        <v>319</v>
      </c>
      <c r="E3142" s="132">
        <v>157.13</v>
      </c>
    </row>
    <row r="3143" spans="1:5" x14ac:dyDescent="0.25">
      <c r="A3143" s="130" t="s">
        <v>4</v>
      </c>
      <c r="B3143" s="130" t="s">
        <v>579</v>
      </c>
      <c r="C3143" s="130" t="s">
        <v>608</v>
      </c>
      <c r="D3143" s="130" t="s">
        <v>237</v>
      </c>
      <c r="E3143" s="132">
        <v>537.79</v>
      </c>
    </row>
    <row r="3144" spans="1:5" x14ac:dyDescent="0.25">
      <c r="A3144" s="130" t="s">
        <v>4</v>
      </c>
      <c r="B3144" s="130" t="s">
        <v>579</v>
      </c>
      <c r="C3144" s="130" t="s">
        <v>608</v>
      </c>
      <c r="D3144" s="130" t="s">
        <v>1037</v>
      </c>
      <c r="E3144" s="132">
        <v>1245.45</v>
      </c>
    </row>
    <row r="3145" spans="1:5" x14ac:dyDescent="0.25">
      <c r="A3145" s="130" t="s">
        <v>4</v>
      </c>
      <c r="B3145" s="130" t="s">
        <v>579</v>
      </c>
      <c r="C3145" s="130" t="s">
        <v>608</v>
      </c>
      <c r="D3145" s="130" t="s">
        <v>803</v>
      </c>
      <c r="E3145" s="132">
        <v>314.10000000000002</v>
      </c>
    </row>
    <row r="3146" spans="1:5" x14ac:dyDescent="0.25">
      <c r="A3146" s="130" t="s">
        <v>4</v>
      </c>
      <c r="B3146" s="130" t="s">
        <v>579</v>
      </c>
      <c r="C3146" s="130" t="s">
        <v>608</v>
      </c>
      <c r="D3146" s="130" t="s">
        <v>1076</v>
      </c>
      <c r="E3146" s="132">
        <v>400.46</v>
      </c>
    </row>
    <row r="3147" spans="1:5" x14ac:dyDescent="0.25">
      <c r="A3147" s="130" t="s">
        <v>4</v>
      </c>
      <c r="B3147" s="130" t="s">
        <v>579</v>
      </c>
      <c r="C3147" s="130" t="s">
        <v>608</v>
      </c>
      <c r="D3147" s="130" t="s">
        <v>487</v>
      </c>
      <c r="E3147" s="132">
        <v>436.51</v>
      </c>
    </row>
    <row r="3148" spans="1:5" x14ac:dyDescent="0.25">
      <c r="A3148" s="130" t="s">
        <v>4</v>
      </c>
      <c r="B3148" s="130" t="s">
        <v>579</v>
      </c>
      <c r="C3148" s="130" t="s">
        <v>608</v>
      </c>
      <c r="D3148" s="130" t="s">
        <v>479</v>
      </c>
      <c r="E3148" s="132">
        <v>572.91999999999996</v>
      </c>
    </row>
    <row r="3149" spans="1:5" x14ac:dyDescent="0.25">
      <c r="A3149" s="130" t="s">
        <v>4</v>
      </c>
      <c r="B3149" s="130" t="s">
        <v>579</v>
      </c>
      <c r="C3149" s="130" t="s">
        <v>608</v>
      </c>
      <c r="D3149" s="130" t="s">
        <v>1077</v>
      </c>
      <c r="E3149" s="132">
        <v>439.99</v>
      </c>
    </row>
    <row r="3150" spans="1:5" x14ac:dyDescent="0.25">
      <c r="A3150" s="130" t="s">
        <v>4</v>
      </c>
      <c r="B3150" s="130" t="s">
        <v>579</v>
      </c>
      <c r="C3150" s="130" t="s">
        <v>608</v>
      </c>
      <c r="D3150" s="130" t="s">
        <v>813</v>
      </c>
      <c r="E3150" s="132">
        <v>1391.77</v>
      </c>
    </row>
    <row r="3151" spans="1:5" x14ac:dyDescent="0.25">
      <c r="A3151" s="130" t="s">
        <v>4</v>
      </c>
      <c r="B3151" s="130" t="s">
        <v>579</v>
      </c>
      <c r="C3151" s="130" t="s">
        <v>608</v>
      </c>
      <c r="D3151" s="130" t="s">
        <v>811</v>
      </c>
      <c r="E3151" s="132">
        <v>5615.96</v>
      </c>
    </row>
    <row r="3152" spans="1:5" x14ac:dyDescent="0.25">
      <c r="A3152" s="130" t="s">
        <v>4</v>
      </c>
      <c r="B3152" s="130" t="s">
        <v>579</v>
      </c>
      <c r="C3152" s="130" t="s">
        <v>608</v>
      </c>
      <c r="D3152" s="130" t="s">
        <v>371</v>
      </c>
      <c r="E3152" s="132">
        <v>9528.98</v>
      </c>
    </row>
    <row r="3153" spans="1:5" x14ac:dyDescent="0.25">
      <c r="A3153" s="130" t="s">
        <v>4</v>
      </c>
      <c r="B3153" s="130" t="s">
        <v>579</v>
      </c>
      <c r="C3153" s="130" t="s">
        <v>608</v>
      </c>
      <c r="D3153" s="130" t="s">
        <v>288</v>
      </c>
      <c r="E3153" s="132">
        <v>9641.9500000000007</v>
      </c>
    </row>
    <row r="3154" spans="1:5" x14ac:dyDescent="0.25">
      <c r="A3154" s="130" t="s">
        <v>4</v>
      </c>
      <c r="B3154" s="130" t="s">
        <v>579</v>
      </c>
      <c r="C3154" s="130" t="s">
        <v>608</v>
      </c>
      <c r="D3154" s="130" t="s">
        <v>251</v>
      </c>
      <c r="E3154" s="132">
        <v>1617.95</v>
      </c>
    </row>
    <row r="3155" spans="1:5" x14ac:dyDescent="0.25">
      <c r="A3155" s="130" t="s">
        <v>4</v>
      </c>
      <c r="B3155" s="130" t="s">
        <v>579</v>
      </c>
      <c r="C3155" s="130" t="s">
        <v>608</v>
      </c>
      <c r="D3155" s="130" t="s">
        <v>636</v>
      </c>
      <c r="E3155" s="132">
        <v>2260.83</v>
      </c>
    </row>
    <row r="3156" spans="1:5" x14ac:dyDescent="0.25">
      <c r="A3156" s="130" t="s">
        <v>4</v>
      </c>
      <c r="B3156" s="130" t="s">
        <v>579</v>
      </c>
      <c r="C3156" s="130" t="s">
        <v>608</v>
      </c>
      <c r="D3156" s="130" t="s">
        <v>322</v>
      </c>
      <c r="E3156" s="132">
        <v>1680.38</v>
      </c>
    </row>
    <row r="3157" spans="1:5" x14ac:dyDescent="0.25">
      <c r="A3157" s="130" t="s">
        <v>4</v>
      </c>
      <c r="B3157" s="130" t="s">
        <v>579</v>
      </c>
      <c r="C3157" s="130" t="s">
        <v>608</v>
      </c>
      <c r="D3157" s="130" t="s">
        <v>688</v>
      </c>
      <c r="E3157" s="132">
        <v>2327.23</v>
      </c>
    </row>
    <row r="3158" spans="1:5" x14ac:dyDescent="0.25">
      <c r="A3158" s="130" t="s">
        <v>4</v>
      </c>
      <c r="B3158" s="130" t="s">
        <v>579</v>
      </c>
      <c r="C3158" s="130" t="s">
        <v>608</v>
      </c>
      <c r="D3158" s="130" t="s">
        <v>252</v>
      </c>
      <c r="E3158" s="132">
        <v>2256.86</v>
      </c>
    </row>
    <row r="3159" spans="1:5" x14ac:dyDescent="0.25">
      <c r="A3159" s="130" t="s">
        <v>4</v>
      </c>
      <c r="B3159" s="130" t="s">
        <v>579</v>
      </c>
      <c r="C3159" s="130" t="s">
        <v>608</v>
      </c>
      <c r="D3159" s="130" t="s">
        <v>253</v>
      </c>
      <c r="E3159" s="132">
        <v>4977.17</v>
      </c>
    </row>
    <row r="3160" spans="1:5" x14ac:dyDescent="0.25">
      <c r="A3160" s="130" t="s">
        <v>4</v>
      </c>
      <c r="B3160" s="130" t="s">
        <v>579</v>
      </c>
      <c r="C3160" s="130" t="s">
        <v>608</v>
      </c>
      <c r="D3160" s="130" t="s">
        <v>438</v>
      </c>
      <c r="E3160" s="132">
        <v>3318.11</v>
      </c>
    </row>
    <row r="3161" spans="1:5" x14ac:dyDescent="0.25">
      <c r="A3161" s="130" t="s">
        <v>4</v>
      </c>
      <c r="B3161" s="130" t="s">
        <v>579</v>
      </c>
      <c r="C3161" s="130" t="s">
        <v>608</v>
      </c>
      <c r="D3161" s="130" t="s">
        <v>330</v>
      </c>
      <c r="E3161" s="132">
        <v>6587.94</v>
      </c>
    </row>
    <row r="3162" spans="1:5" x14ac:dyDescent="0.25">
      <c r="A3162" s="130" t="s">
        <v>4</v>
      </c>
      <c r="B3162" s="130" t="s">
        <v>579</v>
      </c>
      <c r="C3162" s="130" t="s">
        <v>608</v>
      </c>
      <c r="D3162" s="130" t="s">
        <v>531</v>
      </c>
      <c r="E3162" s="132">
        <v>2260.1</v>
      </c>
    </row>
    <row r="3163" spans="1:5" x14ac:dyDescent="0.25">
      <c r="A3163" s="130" t="s">
        <v>4</v>
      </c>
      <c r="B3163" s="130" t="s">
        <v>579</v>
      </c>
      <c r="C3163" s="130" t="s">
        <v>608</v>
      </c>
      <c r="D3163" s="130" t="s">
        <v>706</v>
      </c>
      <c r="E3163" s="132">
        <v>1403.76</v>
      </c>
    </row>
    <row r="3164" spans="1:5" x14ac:dyDescent="0.25">
      <c r="A3164" s="130" t="s">
        <v>4</v>
      </c>
      <c r="B3164" s="130" t="s">
        <v>579</v>
      </c>
      <c r="C3164" s="130" t="s">
        <v>608</v>
      </c>
      <c r="D3164" s="130" t="s">
        <v>703</v>
      </c>
      <c r="E3164" s="132">
        <v>1378.32</v>
      </c>
    </row>
    <row r="3165" spans="1:5" x14ac:dyDescent="0.25">
      <c r="A3165" s="130" t="s">
        <v>4</v>
      </c>
      <c r="B3165" s="130" t="s">
        <v>579</v>
      </c>
      <c r="C3165" s="130" t="s">
        <v>608</v>
      </c>
      <c r="D3165" s="130" t="s">
        <v>310</v>
      </c>
      <c r="E3165" s="132">
        <v>14048.64</v>
      </c>
    </row>
    <row r="3166" spans="1:5" x14ac:dyDescent="0.25">
      <c r="A3166" s="130" t="s">
        <v>4</v>
      </c>
      <c r="B3166" s="130" t="s">
        <v>579</v>
      </c>
      <c r="C3166" s="130" t="s">
        <v>608</v>
      </c>
      <c r="D3166" s="130" t="s">
        <v>275</v>
      </c>
      <c r="E3166" s="132">
        <v>2674.02</v>
      </c>
    </row>
    <row r="3167" spans="1:5" x14ac:dyDescent="0.25">
      <c r="A3167" s="130" t="s">
        <v>4</v>
      </c>
      <c r="B3167" s="130" t="s">
        <v>579</v>
      </c>
      <c r="C3167" s="130" t="s">
        <v>608</v>
      </c>
      <c r="D3167" s="130" t="s">
        <v>263</v>
      </c>
      <c r="E3167" s="132">
        <v>4711.5</v>
      </c>
    </row>
    <row r="3168" spans="1:5" x14ac:dyDescent="0.25">
      <c r="A3168" s="130" t="s">
        <v>4</v>
      </c>
      <c r="B3168" s="130" t="s">
        <v>579</v>
      </c>
      <c r="C3168" s="130" t="s">
        <v>608</v>
      </c>
      <c r="D3168" s="130" t="s">
        <v>364</v>
      </c>
      <c r="E3168" s="132">
        <v>8946.15</v>
      </c>
    </row>
    <row r="3169" spans="1:5" x14ac:dyDescent="0.25">
      <c r="A3169" s="130" t="s">
        <v>4</v>
      </c>
      <c r="B3169" s="130" t="s">
        <v>579</v>
      </c>
      <c r="C3169" s="130" t="s">
        <v>608</v>
      </c>
      <c r="D3169" s="130" t="s">
        <v>338</v>
      </c>
      <c r="E3169" s="132">
        <v>10803</v>
      </c>
    </row>
    <row r="3170" spans="1:5" x14ac:dyDescent="0.25">
      <c r="A3170" s="130" t="s">
        <v>4</v>
      </c>
      <c r="B3170" s="130" t="s">
        <v>579</v>
      </c>
      <c r="C3170" s="130" t="s">
        <v>608</v>
      </c>
      <c r="D3170" s="130" t="s">
        <v>237</v>
      </c>
      <c r="E3170" s="132">
        <v>5247.6</v>
      </c>
    </row>
    <row r="3171" spans="1:5" x14ac:dyDescent="0.25">
      <c r="A3171" s="130" t="s">
        <v>4</v>
      </c>
      <c r="B3171" s="130" t="s">
        <v>579</v>
      </c>
      <c r="C3171" s="130" t="s">
        <v>608</v>
      </c>
      <c r="D3171" s="130" t="s">
        <v>349</v>
      </c>
      <c r="E3171" s="132">
        <v>598.86</v>
      </c>
    </row>
    <row r="3172" spans="1:5" x14ac:dyDescent="0.25">
      <c r="A3172" s="130" t="s">
        <v>4</v>
      </c>
      <c r="B3172" s="130" t="s">
        <v>579</v>
      </c>
      <c r="C3172" s="130" t="s">
        <v>608</v>
      </c>
      <c r="D3172" s="130" t="s">
        <v>322</v>
      </c>
      <c r="E3172" s="132">
        <v>1639.92</v>
      </c>
    </row>
    <row r="3173" spans="1:5" x14ac:dyDescent="0.25">
      <c r="A3173" s="130" t="s">
        <v>4</v>
      </c>
      <c r="B3173" s="130" t="s">
        <v>579</v>
      </c>
      <c r="C3173" s="130" t="s">
        <v>608</v>
      </c>
      <c r="D3173" s="130" t="s">
        <v>971</v>
      </c>
      <c r="E3173" s="132">
        <v>4476</v>
      </c>
    </row>
    <row r="3174" spans="1:5" x14ac:dyDescent="0.25">
      <c r="A3174" s="130" t="s">
        <v>4</v>
      </c>
      <c r="B3174" s="130" t="s">
        <v>579</v>
      </c>
      <c r="C3174" s="130" t="s">
        <v>608</v>
      </c>
      <c r="D3174" s="130" t="s">
        <v>396</v>
      </c>
      <c r="E3174" s="132">
        <v>21384.6</v>
      </c>
    </row>
    <row r="3175" spans="1:5" x14ac:dyDescent="0.25">
      <c r="A3175" s="130" t="s">
        <v>4</v>
      </c>
      <c r="B3175" s="130" t="s">
        <v>579</v>
      </c>
      <c r="C3175" s="130" t="s">
        <v>608</v>
      </c>
      <c r="D3175" s="130" t="s">
        <v>422</v>
      </c>
      <c r="E3175" s="132">
        <v>8987.49</v>
      </c>
    </row>
    <row r="3176" spans="1:5" x14ac:dyDescent="0.25">
      <c r="A3176" s="130" t="s">
        <v>4</v>
      </c>
      <c r="B3176" s="130" t="s">
        <v>579</v>
      </c>
      <c r="C3176" s="130" t="s">
        <v>608</v>
      </c>
      <c r="D3176" s="130" t="s">
        <v>353</v>
      </c>
      <c r="E3176" s="132">
        <v>1912.32</v>
      </c>
    </row>
    <row r="3177" spans="1:5" x14ac:dyDescent="0.25">
      <c r="A3177" s="130" t="s">
        <v>4</v>
      </c>
      <c r="B3177" s="130" t="s">
        <v>579</v>
      </c>
      <c r="C3177" s="130" t="s">
        <v>608</v>
      </c>
      <c r="D3177" s="130" t="s">
        <v>730</v>
      </c>
      <c r="E3177" s="132">
        <v>1006.38</v>
      </c>
    </row>
    <row r="3178" spans="1:5" x14ac:dyDescent="0.25">
      <c r="A3178" s="130" t="s">
        <v>4</v>
      </c>
      <c r="B3178" s="130" t="s">
        <v>579</v>
      </c>
      <c r="C3178" s="130" t="s">
        <v>608</v>
      </c>
      <c r="D3178" s="130" t="s">
        <v>819</v>
      </c>
      <c r="E3178" s="132">
        <v>2012.77</v>
      </c>
    </row>
    <row r="3179" spans="1:5" x14ac:dyDescent="0.25">
      <c r="A3179" s="130" t="s">
        <v>4</v>
      </c>
      <c r="B3179" s="130" t="s">
        <v>579</v>
      </c>
      <c r="C3179" s="130" t="s">
        <v>608</v>
      </c>
      <c r="D3179" s="130" t="s">
        <v>1104</v>
      </c>
      <c r="E3179" s="132">
        <v>970.92</v>
      </c>
    </row>
    <row r="3180" spans="1:5" x14ac:dyDescent="0.25">
      <c r="A3180" s="130" t="s">
        <v>4</v>
      </c>
      <c r="B3180" s="130" t="s">
        <v>579</v>
      </c>
      <c r="C3180" s="130" t="s">
        <v>608</v>
      </c>
      <c r="D3180" s="130" t="s">
        <v>259</v>
      </c>
      <c r="E3180" s="132">
        <v>71258.94</v>
      </c>
    </row>
    <row r="3181" spans="1:5" x14ac:dyDescent="0.25">
      <c r="A3181" s="130" t="s">
        <v>4</v>
      </c>
      <c r="B3181" s="130" t="s">
        <v>579</v>
      </c>
      <c r="C3181" s="130" t="s">
        <v>608</v>
      </c>
      <c r="D3181" s="130" t="s">
        <v>728</v>
      </c>
      <c r="E3181" s="132">
        <v>14631.6</v>
      </c>
    </row>
    <row r="3182" spans="1:5" x14ac:dyDescent="0.25">
      <c r="A3182" s="130" t="s">
        <v>4</v>
      </c>
      <c r="B3182" s="130" t="s">
        <v>579</v>
      </c>
      <c r="C3182" s="130" t="s">
        <v>608</v>
      </c>
      <c r="D3182" s="130" t="s">
        <v>771</v>
      </c>
      <c r="E3182" s="132">
        <v>7485</v>
      </c>
    </row>
    <row r="3183" spans="1:5" x14ac:dyDescent="0.25">
      <c r="A3183" s="130" t="s">
        <v>4</v>
      </c>
      <c r="B3183" s="130" t="s">
        <v>579</v>
      </c>
      <c r="C3183" s="130" t="s">
        <v>608</v>
      </c>
      <c r="D3183" s="130" t="s">
        <v>626</v>
      </c>
      <c r="E3183" s="132">
        <v>1314.72</v>
      </c>
    </row>
    <row r="3184" spans="1:5" x14ac:dyDescent="0.25">
      <c r="A3184" s="130" t="s">
        <v>4</v>
      </c>
      <c r="B3184" s="130" t="s">
        <v>579</v>
      </c>
      <c r="C3184" s="130" t="s">
        <v>608</v>
      </c>
      <c r="D3184" s="130" t="s">
        <v>646</v>
      </c>
      <c r="E3184" s="132">
        <v>2648.16</v>
      </c>
    </row>
    <row r="3185" spans="1:5" x14ac:dyDescent="0.25">
      <c r="A3185" s="130" t="s">
        <v>4</v>
      </c>
      <c r="B3185" s="130" t="s">
        <v>579</v>
      </c>
      <c r="C3185" s="130" t="s">
        <v>608</v>
      </c>
      <c r="D3185" s="130" t="s">
        <v>649</v>
      </c>
      <c r="E3185" s="132">
        <v>9134.07</v>
      </c>
    </row>
    <row r="3186" spans="1:5" x14ac:dyDescent="0.25">
      <c r="A3186" s="130" t="s">
        <v>4</v>
      </c>
      <c r="B3186" s="130" t="s">
        <v>579</v>
      </c>
      <c r="C3186" s="130" t="s">
        <v>608</v>
      </c>
      <c r="D3186" s="130" t="s">
        <v>672</v>
      </c>
      <c r="E3186" s="132">
        <v>25818.48</v>
      </c>
    </row>
    <row r="3187" spans="1:5" x14ac:dyDescent="0.25">
      <c r="A3187" s="130" t="s">
        <v>4</v>
      </c>
      <c r="B3187" s="130" t="s">
        <v>579</v>
      </c>
      <c r="C3187" s="130" t="s">
        <v>608</v>
      </c>
      <c r="D3187" s="130" t="s">
        <v>827</v>
      </c>
      <c r="E3187" s="132">
        <v>391.53</v>
      </c>
    </row>
    <row r="3188" spans="1:5" x14ac:dyDescent="0.25">
      <c r="A3188" s="130" t="s">
        <v>4</v>
      </c>
      <c r="B3188" s="130" t="s">
        <v>579</v>
      </c>
      <c r="C3188" s="130" t="s">
        <v>608</v>
      </c>
      <c r="D3188" s="130" t="s">
        <v>266</v>
      </c>
      <c r="E3188" s="132">
        <v>1256.74</v>
      </c>
    </row>
    <row r="3189" spans="1:5" x14ac:dyDescent="0.25">
      <c r="A3189" s="130" t="s">
        <v>4</v>
      </c>
      <c r="B3189" s="130" t="s">
        <v>579</v>
      </c>
      <c r="C3189" s="130" t="s">
        <v>608</v>
      </c>
      <c r="D3189" s="130" t="s">
        <v>256</v>
      </c>
      <c r="E3189" s="132">
        <v>10288.32</v>
      </c>
    </row>
    <row r="3190" spans="1:5" x14ac:dyDescent="0.25">
      <c r="A3190" s="130" t="s">
        <v>4</v>
      </c>
      <c r="B3190" s="130" t="s">
        <v>579</v>
      </c>
      <c r="C3190" s="130" t="s">
        <v>608</v>
      </c>
      <c r="D3190" s="130" t="s">
        <v>811</v>
      </c>
      <c r="E3190" s="132">
        <v>10711.68</v>
      </c>
    </row>
    <row r="3191" spans="1:5" x14ac:dyDescent="0.25">
      <c r="A3191" s="130" t="s">
        <v>4</v>
      </c>
      <c r="B3191" s="130" t="s">
        <v>579</v>
      </c>
      <c r="C3191" s="130" t="s">
        <v>608</v>
      </c>
      <c r="D3191" s="130" t="s">
        <v>362</v>
      </c>
      <c r="E3191" s="132">
        <v>2615.1</v>
      </c>
    </row>
    <row r="3192" spans="1:5" x14ac:dyDescent="0.25">
      <c r="A3192" s="130" t="s">
        <v>4</v>
      </c>
      <c r="B3192" s="130" t="s">
        <v>579</v>
      </c>
      <c r="C3192" s="130" t="s">
        <v>608</v>
      </c>
      <c r="D3192" s="130" t="s">
        <v>341</v>
      </c>
      <c r="E3192" s="132">
        <v>1281.72</v>
      </c>
    </row>
    <row r="3193" spans="1:5" x14ac:dyDescent="0.25">
      <c r="A3193" s="130" t="s">
        <v>4</v>
      </c>
      <c r="B3193" s="130" t="s">
        <v>579</v>
      </c>
      <c r="C3193" s="130" t="s">
        <v>608</v>
      </c>
      <c r="D3193" s="130" t="s">
        <v>973</v>
      </c>
      <c r="E3193" s="132">
        <v>515.25</v>
      </c>
    </row>
    <row r="3194" spans="1:5" x14ac:dyDescent="0.25">
      <c r="A3194" s="130" t="s">
        <v>4</v>
      </c>
      <c r="B3194" s="130" t="s">
        <v>579</v>
      </c>
      <c r="C3194" s="130" t="s">
        <v>608</v>
      </c>
      <c r="D3194" s="130" t="s">
        <v>974</v>
      </c>
      <c r="E3194" s="132">
        <v>1107.9000000000001</v>
      </c>
    </row>
    <row r="3195" spans="1:5" x14ac:dyDescent="0.25">
      <c r="A3195" s="130" t="s">
        <v>4</v>
      </c>
      <c r="B3195" s="130" t="s">
        <v>579</v>
      </c>
      <c r="C3195" s="130" t="s">
        <v>608</v>
      </c>
      <c r="D3195" s="130" t="s">
        <v>397</v>
      </c>
      <c r="E3195" s="132">
        <v>1267.32</v>
      </c>
    </row>
    <row r="3196" spans="1:5" x14ac:dyDescent="0.25">
      <c r="A3196" s="130" t="s">
        <v>4</v>
      </c>
      <c r="B3196" s="130" t="s">
        <v>579</v>
      </c>
      <c r="C3196" s="130" t="s">
        <v>608</v>
      </c>
      <c r="D3196" s="130" t="s">
        <v>470</v>
      </c>
      <c r="E3196" s="132">
        <v>924.29</v>
      </c>
    </row>
    <row r="3197" spans="1:5" x14ac:dyDescent="0.25">
      <c r="A3197" s="130" t="s">
        <v>4</v>
      </c>
      <c r="B3197" s="130" t="s">
        <v>579</v>
      </c>
      <c r="C3197" s="130" t="s">
        <v>608</v>
      </c>
      <c r="D3197" s="130" t="s">
        <v>492</v>
      </c>
      <c r="E3197" s="132">
        <v>544.1</v>
      </c>
    </row>
    <row r="3198" spans="1:5" x14ac:dyDescent="0.25">
      <c r="A3198" s="130" t="s">
        <v>4</v>
      </c>
      <c r="B3198" s="130" t="s">
        <v>579</v>
      </c>
      <c r="C3198" s="130" t="s">
        <v>608</v>
      </c>
      <c r="D3198" s="130" t="s">
        <v>493</v>
      </c>
      <c r="E3198" s="132">
        <v>585.1</v>
      </c>
    </row>
    <row r="3199" spans="1:5" x14ac:dyDescent="0.25">
      <c r="A3199" s="130" t="s">
        <v>4</v>
      </c>
      <c r="B3199" s="130" t="s">
        <v>579</v>
      </c>
      <c r="C3199" s="130" t="s">
        <v>608</v>
      </c>
      <c r="D3199" s="130" t="s">
        <v>439</v>
      </c>
      <c r="E3199" s="132">
        <v>623.80999999999995</v>
      </c>
    </row>
    <row r="3200" spans="1:5" x14ac:dyDescent="0.25">
      <c r="A3200" s="130" t="s">
        <v>4</v>
      </c>
      <c r="B3200" s="130" t="s">
        <v>579</v>
      </c>
      <c r="C3200" s="130" t="s">
        <v>608</v>
      </c>
      <c r="D3200" s="130" t="s">
        <v>1100</v>
      </c>
      <c r="E3200" s="132">
        <v>704.22</v>
      </c>
    </row>
    <row r="3201" spans="1:5" x14ac:dyDescent="0.25">
      <c r="A3201" s="130" t="s">
        <v>4</v>
      </c>
      <c r="B3201" s="130" t="s">
        <v>579</v>
      </c>
      <c r="C3201" s="130" t="s">
        <v>608</v>
      </c>
      <c r="D3201" s="130" t="s">
        <v>1071</v>
      </c>
      <c r="E3201" s="132">
        <v>868.13</v>
      </c>
    </row>
    <row r="3202" spans="1:5" x14ac:dyDescent="0.25">
      <c r="A3202" s="130" t="s">
        <v>4</v>
      </c>
      <c r="B3202" s="130" t="s">
        <v>579</v>
      </c>
      <c r="C3202" s="130" t="s">
        <v>608</v>
      </c>
      <c r="D3202" s="130" t="s">
        <v>1102</v>
      </c>
      <c r="E3202" s="132">
        <v>994.86</v>
      </c>
    </row>
    <row r="3203" spans="1:5" x14ac:dyDescent="0.25">
      <c r="A3203" s="130" t="s">
        <v>4</v>
      </c>
      <c r="B3203" s="130" t="s">
        <v>579</v>
      </c>
      <c r="C3203" s="130" t="s">
        <v>608</v>
      </c>
      <c r="D3203" s="130" t="s">
        <v>976</v>
      </c>
      <c r="E3203" s="132">
        <v>1078.3399999999999</v>
      </c>
    </row>
    <row r="3204" spans="1:5" x14ac:dyDescent="0.25">
      <c r="A3204" s="130" t="s">
        <v>4</v>
      </c>
      <c r="B3204" s="130" t="s">
        <v>579</v>
      </c>
      <c r="C3204" s="130" t="s">
        <v>608</v>
      </c>
      <c r="D3204" s="130" t="s">
        <v>400</v>
      </c>
      <c r="E3204" s="132">
        <v>1158.76</v>
      </c>
    </row>
    <row r="3205" spans="1:5" x14ac:dyDescent="0.25">
      <c r="A3205" s="130" t="s">
        <v>4</v>
      </c>
      <c r="B3205" s="130" t="s">
        <v>579</v>
      </c>
      <c r="C3205" s="130" t="s">
        <v>608</v>
      </c>
      <c r="D3205" s="130" t="s">
        <v>401</v>
      </c>
      <c r="E3205" s="132">
        <v>1318.89</v>
      </c>
    </row>
    <row r="3206" spans="1:5" x14ac:dyDescent="0.25">
      <c r="A3206" s="130" t="s">
        <v>4</v>
      </c>
      <c r="B3206" s="130" t="s">
        <v>579</v>
      </c>
      <c r="C3206" s="130" t="s">
        <v>608</v>
      </c>
      <c r="D3206" s="130" t="s">
        <v>472</v>
      </c>
      <c r="E3206" s="132">
        <v>1478.24</v>
      </c>
    </row>
    <row r="3207" spans="1:5" x14ac:dyDescent="0.25">
      <c r="A3207" s="130" t="s">
        <v>4</v>
      </c>
      <c r="B3207" s="130" t="s">
        <v>579</v>
      </c>
      <c r="C3207" s="130" t="s">
        <v>608</v>
      </c>
      <c r="D3207" s="130" t="s">
        <v>776</v>
      </c>
      <c r="E3207" s="132">
        <v>4946.3900000000003</v>
      </c>
    </row>
    <row r="3208" spans="1:5" x14ac:dyDescent="0.25">
      <c r="A3208" s="130" t="s">
        <v>4</v>
      </c>
      <c r="B3208" s="130" t="s">
        <v>579</v>
      </c>
      <c r="C3208" s="130" t="s">
        <v>608</v>
      </c>
      <c r="D3208" s="130" t="s">
        <v>257</v>
      </c>
      <c r="E3208" s="132">
        <v>8182.46</v>
      </c>
    </row>
    <row r="3209" spans="1:5" x14ac:dyDescent="0.25">
      <c r="A3209" s="130" t="s">
        <v>4</v>
      </c>
      <c r="B3209" s="130" t="s">
        <v>579</v>
      </c>
      <c r="C3209" s="130" t="s">
        <v>608</v>
      </c>
      <c r="D3209" s="130" t="s">
        <v>377</v>
      </c>
      <c r="E3209" s="132">
        <v>5511.13</v>
      </c>
    </row>
    <row r="3210" spans="1:5" x14ac:dyDescent="0.25">
      <c r="A3210" s="130" t="s">
        <v>4</v>
      </c>
      <c r="B3210" s="130" t="s">
        <v>579</v>
      </c>
      <c r="C3210" s="130" t="s">
        <v>608</v>
      </c>
      <c r="D3210" s="130" t="s">
        <v>560</v>
      </c>
      <c r="E3210" s="132">
        <v>12356.78</v>
      </c>
    </row>
    <row r="3211" spans="1:5" x14ac:dyDescent="0.25">
      <c r="A3211" s="130" t="s">
        <v>4</v>
      </c>
      <c r="B3211" s="130" t="s">
        <v>579</v>
      </c>
      <c r="C3211" s="130" t="s">
        <v>608</v>
      </c>
      <c r="D3211" s="130" t="s">
        <v>258</v>
      </c>
      <c r="E3211" s="132">
        <v>13694.05</v>
      </c>
    </row>
    <row r="3212" spans="1:5" x14ac:dyDescent="0.25">
      <c r="A3212" s="130" t="s">
        <v>4</v>
      </c>
      <c r="B3212" s="130" t="s">
        <v>579</v>
      </c>
      <c r="C3212" s="130" t="s">
        <v>608</v>
      </c>
      <c r="D3212" s="130" t="s">
        <v>561</v>
      </c>
      <c r="E3212" s="132">
        <v>15030.7</v>
      </c>
    </row>
    <row r="3213" spans="1:5" x14ac:dyDescent="0.25">
      <c r="A3213" s="130" t="s">
        <v>4</v>
      </c>
      <c r="B3213" s="130" t="s">
        <v>579</v>
      </c>
      <c r="C3213" s="130" t="s">
        <v>608</v>
      </c>
      <c r="D3213" s="130" t="s">
        <v>337</v>
      </c>
      <c r="E3213" s="132">
        <v>762.69</v>
      </c>
    </row>
    <row r="3214" spans="1:5" x14ac:dyDescent="0.25">
      <c r="A3214" s="130" t="s">
        <v>4</v>
      </c>
      <c r="B3214" s="130" t="s">
        <v>579</v>
      </c>
      <c r="C3214" s="130" t="s">
        <v>608</v>
      </c>
      <c r="D3214" s="130" t="s">
        <v>333</v>
      </c>
      <c r="E3214" s="132">
        <v>692.07</v>
      </c>
    </row>
    <row r="3215" spans="1:5" x14ac:dyDescent="0.25">
      <c r="A3215" s="130" t="s">
        <v>4</v>
      </c>
      <c r="B3215" s="130" t="s">
        <v>579</v>
      </c>
      <c r="C3215" s="130" t="s">
        <v>608</v>
      </c>
      <c r="D3215" s="130" t="s">
        <v>1115</v>
      </c>
      <c r="E3215" s="132">
        <v>2719.78</v>
      </c>
    </row>
    <row r="3216" spans="1:5" x14ac:dyDescent="0.25">
      <c r="A3216" s="130" t="s">
        <v>4</v>
      </c>
      <c r="B3216" s="130" t="s">
        <v>579</v>
      </c>
      <c r="C3216" s="130" t="s">
        <v>608</v>
      </c>
      <c r="D3216" s="130" t="s">
        <v>262</v>
      </c>
      <c r="E3216" s="132">
        <v>579.08000000000004</v>
      </c>
    </row>
    <row r="3217" spans="1:5" x14ac:dyDescent="0.25">
      <c r="A3217" s="130" t="s">
        <v>4</v>
      </c>
      <c r="B3217" s="130" t="s">
        <v>579</v>
      </c>
      <c r="C3217" s="130" t="s">
        <v>608</v>
      </c>
      <c r="D3217" s="130" t="s">
        <v>259</v>
      </c>
      <c r="E3217" s="132">
        <v>11301.82</v>
      </c>
    </row>
    <row r="3218" spans="1:5" x14ac:dyDescent="0.25">
      <c r="A3218" s="130" t="s">
        <v>4</v>
      </c>
      <c r="B3218" s="130" t="s">
        <v>579</v>
      </c>
      <c r="C3218" s="130" t="s">
        <v>608</v>
      </c>
      <c r="D3218" s="130" t="s">
        <v>255</v>
      </c>
      <c r="E3218" s="132">
        <v>942.52</v>
      </c>
    </row>
    <row r="3219" spans="1:5" x14ac:dyDescent="0.25">
      <c r="A3219" s="130" t="s">
        <v>4</v>
      </c>
      <c r="B3219" s="130" t="s">
        <v>579</v>
      </c>
      <c r="C3219" s="130" t="s">
        <v>608</v>
      </c>
      <c r="D3219" s="130" t="s">
        <v>473</v>
      </c>
      <c r="E3219" s="132">
        <v>1871.36</v>
      </c>
    </row>
    <row r="3220" spans="1:5" x14ac:dyDescent="0.25">
      <c r="A3220" s="130" t="s">
        <v>4</v>
      </c>
      <c r="B3220" s="130" t="s">
        <v>579</v>
      </c>
      <c r="C3220" s="130" t="s">
        <v>608</v>
      </c>
      <c r="D3220" s="130" t="s">
        <v>278</v>
      </c>
      <c r="E3220" s="132">
        <v>1599.67</v>
      </c>
    </row>
    <row r="3221" spans="1:5" x14ac:dyDescent="0.25">
      <c r="A3221" s="130" t="s">
        <v>4</v>
      </c>
      <c r="B3221" s="130" t="s">
        <v>579</v>
      </c>
      <c r="C3221" s="130" t="s">
        <v>608</v>
      </c>
      <c r="D3221" s="130" t="s">
        <v>794</v>
      </c>
      <c r="E3221" s="132">
        <v>651.83000000000004</v>
      </c>
    </row>
    <row r="3222" spans="1:5" x14ac:dyDescent="0.25">
      <c r="A3222" s="130" t="s">
        <v>4</v>
      </c>
      <c r="B3222" s="130" t="s">
        <v>579</v>
      </c>
      <c r="C3222" s="130" t="s">
        <v>608</v>
      </c>
      <c r="D3222" s="130" t="s">
        <v>832</v>
      </c>
      <c r="E3222" s="132">
        <v>1201.3</v>
      </c>
    </row>
    <row r="3223" spans="1:5" x14ac:dyDescent="0.25">
      <c r="A3223" s="130" t="s">
        <v>4</v>
      </c>
      <c r="B3223" s="130" t="s">
        <v>579</v>
      </c>
      <c r="C3223" s="130" t="s">
        <v>608</v>
      </c>
      <c r="D3223" s="130" t="s">
        <v>833</v>
      </c>
      <c r="E3223" s="132">
        <v>1035.8599999999999</v>
      </c>
    </row>
    <row r="3224" spans="1:5" x14ac:dyDescent="0.25">
      <c r="A3224" s="130" t="s">
        <v>4</v>
      </c>
      <c r="B3224" s="130" t="s">
        <v>579</v>
      </c>
      <c r="C3224" s="130" t="s">
        <v>608</v>
      </c>
      <c r="D3224" s="130" t="s">
        <v>795</v>
      </c>
      <c r="E3224" s="132">
        <v>906.83</v>
      </c>
    </row>
    <row r="3225" spans="1:5" x14ac:dyDescent="0.25">
      <c r="A3225" s="130" t="s">
        <v>4</v>
      </c>
      <c r="B3225" s="130" t="s">
        <v>579</v>
      </c>
      <c r="C3225" s="130" t="s">
        <v>608</v>
      </c>
      <c r="D3225" s="130" t="s">
        <v>847</v>
      </c>
      <c r="E3225" s="132">
        <v>1180.8</v>
      </c>
    </row>
    <row r="3226" spans="1:5" x14ac:dyDescent="0.25">
      <c r="A3226" s="130" t="s">
        <v>4</v>
      </c>
      <c r="B3226" s="130" t="s">
        <v>579</v>
      </c>
      <c r="C3226" s="130" t="s">
        <v>608</v>
      </c>
      <c r="D3226" s="130" t="s">
        <v>822</v>
      </c>
      <c r="E3226" s="132">
        <v>1246.02</v>
      </c>
    </row>
    <row r="3227" spans="1:5" x14ac:dyDescent="0.25">
      <c r="A3227" s="130" t="s">
        <v>4</v>
      </c>
      <c r="B3227" s="130" t="s">
        <v>579</v>
      </c>
      <c r="C3227" s="130" t="s">
        <v>608</v>
      </c>
      <c r="D3227" s="130" t="s">
        <v>848</v>
      </c>
      <c r="E3227" s="132">
        <v>1343.19</v>
      </c>
    </row>
    <row r="3228" spans="1:5" x14ac:dyDescent="0.25">
      <c r="A3228" s="130" t="s">
        <v>4</v>
      </c>
      <c r="B3228" s="130" t="s">
        <v>579</v>
      </c>
      <c r="C3228" s="130" t="s">
        <v>608</v>
      </c>
      <c r="D3228" s="130" t="s">
        <v>1086</v>
      </c>
      <c r="E3228" s="132">
        <v>1235.05</v>
      </c>
    </row>
    <row r="3229" spans="1:5" x14ac:dyDescent="0.25">
      <c r="A3229" s="130" t="s">
        <v>4</v>
      </c>
      <c r="B3229" s="130" t="s">
        <v>579</v>
      </c>
      <c r="C3229" s="130" t="s">
        <v>608</v>
      </c>
      <c r="D3229" s="130" t="s">
        <v>728</v>
      </c>
      <c r="E3229" s="132">
        <v>1438.77</v>
      </c>
    </row>
    <row r="3230" spans="1:5" x14ac:dyDescent="0.25">
      <c r="A3230" s="130" t="s">
        <v>4</v>
      </c>
      <c r="B3230" s="130" t="s">
        <v>579</v>
      </c>
      <c r="C3230" s="130" t="s">
        <v>608</v>
      </c>
      <c r="D3230" s="130" t="s">
        <v>849</v>
      </c>
      <c r="E3230" s="132">
        <v>1184.5999999999999</v>
      </c>
    </row>
    <row r="3231" spans="1:5" x14ac:dyDescent="0.25">
      <c r="A3231" s="130" t="s">
        <v>4</v>
      </c>
      <c r="B3231" s="130" t="s">
        <v>579</v>
      </c>
      <c r="C3231" s="130" t="s">
        <v>608</v>
      </c>
      <c r="D3231" s="130" t="s">
        <v>783</v>
      </c>
      <c r="E3231" s="132">
        <v>1371.28</v>
      </c>
    </row>
    <row r="3232" spans="1:5" x14ac:dyDescent="0.25">
      <c r="A3232" s="130" t="s">
        <v>4</v>
      </c>
      <c r="B3232" s="130" t="s">
        <v>579</v>
      </c>
      <c r="C3232" s="130" t="s">
        <v>608</v>
      </c>
      <c r="D3232" s="130" t="s">
        <v>836</v>
      </c>
      <c r="E3232" s="132">
        <v>1503.32</v>
      </c>
    </row>
    <row r="3233" spans="1:5" x14ac:dyDescent="0.25">
      <c r="A3233" s="130" t="s">
        <v>4</v>
      </c>
      <c r="B3233" s="130" t="s">
        <v>579</v>
      </c>
      <c r="C3233" s="130" t="s">
        <v>608</v>
      </c>
      <c r="D3233" s="130" t="s">
        <v>622</v>
      </c>
      <c r="E3233" s="132">
        <v>296.70999999999998</v>
      </c>
    </row>
    <row r="3234" spans="1:5" x14ac:dyDescent="0.25">
      <c r="A3234" s="130" t="s">
        <v>4</v>
      </c>
      <c r="B3234" s="130" t="s">
        <v>579</v>
      </c>
      <c r="C3234" s="130" t="s">
        <v>608</v>
      </c>
      <c r="D3234" s="130" t="s">
        <v>768</v>
      </c>
      <c r="E3234" s="132">
        <v>431.05</v>
      </c>
    </row>
    <row r="3235" spans="1:5" x14ac:dyDescent="0.25">
      <c r="A3235" s="130" t="s">
        <v>4</v>
      </c>
      <c r="B3235" s="130" t="s">
        <v>579</v>
      </c>
      <c r="C3235" s="130" t="s">
        <v>608</v>
      </c>
      <c r="D3235" s="130" t="s">
        <v>1091</v>
      </c>
      <c r="E3235" s="132">
        <v>1166.3699999999999</v>
      </c>
    </row>
    <row r="3236" spans="1:5" x14ac:dyDescent="0.25">
      <c r="A3236" s="130" t="s">
        <v>4</v>
      </c>
      <c r="B3236" s="130" t="s">
        <v>579</v>
      </c>
      <c r="C3236" s="130" t="s">
        <v>608</v>
      </c>
      <c r="D3236" s="130" t="s">
        <v>642</v>
      </c>
      <c r="E3236" s="132">
        <v>1431.22</v>
      </c>
    </row>
    <row r="3237" spans="1:5" x14ac:dyDescent="0.25">
      <c r="A3237" s="130" t="s">
        <v>4</v>
      </c>
      <c r="B3237" s="130" t="s">
        <v>579</v>
      </c>
      <c r="C3237" s="130" t="s">
        <v>608</v>
      </c>
      <c r="D3237" s="130" t="s">
        <v>786</v>
      </c>
      <c r="E3237" s="132">
        <v>341.61</v>
      </c>
    </row>
    <row r="3238" spans="1:5" x14ac:dyDescent="0.25">
      <c r="A3238" s="130" t="s">
        <v>4</v>
      </c>
      <c r="B3238" s="130" t="s">
        <v>579</v>
      </c>
      <c r="C3238" s="130" t="s">
        <v>608</v>
      </c>
      <c r="D3238" s="130" t="s">
        <v>1048</v>
      </c>
      <c r="E3238" s="132">
        <v>508.46</v>
      </c>
    </row>
    <row r="3239" spans="1:5" x14ac:dyDescent="0.25">
      <c r="A3239" s="130" t="s">
        <v>4</v>
      </c>
      <c r="B3239" s="130" t="s">
        <v>579</v>
      </c>
      <c r="C3239" s="130" t="s">
        <v>608</v>
      </c>
      <c r="D3239" s="130" t="s">
        <v>624</v>
      </c>
      <c r="E3239" s="132">
        <v>834.73</v>
      </c>
    </row>
    <row r="3240" spans="1:5" x14ac:dyDescent="0.25">
      <c r="A3240" s="130" t="s">
        <v>4</v>
      </c>
      <c r="B3240" s="130" t="s">
        <v>579</v>
      </c>
      <c r="C3240" s="130" t="s">
        <v>608</v>
      </c>
      <c r="D3240" s="130" t="s">
        <v>1116</v>
      </c>
      <c r="E3240" s="132">
        <v>274.5</v>
      </c>
    </row>
    <row r="3241" spans="1:5" x14ac:dyDescent="0.25">
      <c r="A3241" s="130" t="s">
        <v>4</v>
      </c>
      <c r="B3241" s="130" t="s">
        <v>579</v>
      </c>
      <c r="C3241" s="130" t="s">
        <v>608</v>
      </c>
      <c r="D3241" s="130" t="s">
        <v>1117</v>
      </c>
      <c r="E3241" s="132">
        <v>604.80999999999995</v>
      </c>
    </row>
    <row r="3242" spans="1:5" x14ac:dyDescent="0.25">
      <c r="A3242" s="130" t="s">
        <v>4</v>
      </c>
      <c r="B3242" s="130" t="s">
        <v>579</v>
      </c>
      <c r="C3242" s="130" t="s">
        <v>608</v>
      </c>
      <c r="D3242" s="130" t="s">
        <v>843</v>
      </c>
      <c r="E3242" s="132">
        <v>330.1</v>
      </c>
    </row>
    <row r="3243" spans="1:5" x14ac:dyDescent="0.25">
      <c r="A3243" s="130" t="s">
        <v>4</v>
      </c>
      <c r="B3243" s="130" t="s">
        <v>579</v>
      </c>
      <c r="C3243" s="130" t="s">
        <v>608</v>
      </c>
      <c r="D3243" s="130" t="s">
        <v>824</v>
      </c>
      <c r="E3243" s="132">
        <v>489.46</v>
      </c>
    </row>
    <row r="3244" spans="1:5" x14ac:dyDescent="0.25">
      <c r="A3244" s="130" t="s">
        <v>4</v>
      </c>
      <c r="B3244" s="130" t="s">
        <v>579</v>
      </c>
      <c r="C3244" s="130" t="s">
        <v>608</v>
      </c>
      <c r="D3244" s="130" t="s">
        <v>610</v>
      </c>
      <c r="E3244" s="132">
        <v>2376.7600000000002</v>
      </c>
    </row>
    <row r="3245" spans="1:5" x14ac:dyDescent="0.25">
      <c r="A3245" s="130" t="s">
        <v>4</v>
      </c>
      <c r="B3245" s="130" t="s">
        <v>579</v>
      </c>
      <c r="C3245" s="130" t="s">
        <v>608</v>
      </c>
      <c r="D3245" s="130" t="s">
        <v>611</v>
      </c>
      <c r="E3245" s="132">
        <v>972.08</v>
      </c>
    </row>
    <row r="3246" spans="1:5" x14ac:dyDescent="0.25">
      <c r="A3246" s="130" t="s">
        <v>4</v>
      </c>
      <c r="B3246" s="130" t="s">
        <v>579</v>
      </c>
      <c r="C3246" s="130" t="s">
        <v>608</v>
      </c>
      <c r="D3246" s="130" t="s">
        <v>1028</v>
      </c>
      <c r="E3246" s="132">
        <v>1265.73</v>
      </c>
    </row>
    <row r="3247" spans="1:5" x14ac:dyDescent="0.25">
      <c r="A3247" s="130" t="s">
        <v>4</v>
      </c>
      <c r="B3247" s="130" t="s">
        <v>579</v>
      </c>
      <c r="C3247" s="130" t="s">
        <v>608</v>
      </c>
      <c r="D3247" s="130" t="s">
        <v>496</v>
      </c>
      <c r="E3247" s="132">
        <v>1324.96</v>
      </c>
    </row>
    <row r="3248" spans="1:5" x14ac:dyDescent="0.25">
      <c r="A3248" s="130" t="s">
        <v>4</v>
      </c>
      <c r="B3248" s="130" t="s">
        <v>579</v>
      </c>
      <c r="C3248" s="130" t="s">
        <v>608</v>
      </c>
      <c r="D3248" s="130" t="s">
        <v>338</v>
      </c>
      <c r="E3248" s="132">
        <v>637.38</v>
      </c>
    </row>
    <row r="3249" spans="1:5" x14ac:dyDescent="0.25">
      <c r="A3249" s="130" t="s">
        <v>4</v>
      </c>
      <c r="B3249" s="130" t="s">
        <v>579</v>
      </c>
      <c r="C3249" s="130" t="s">
        <v>608</v>
      </c>
      <c r="D3249" s="130" t="s">
        <v>303</v>
      </c>
      <c r="E3249" s="132">
        <v>199.6</v>
      </c>
    </row>
    <row r="3250" spans="1:5" x14ac:dyDescent="0.25">
      <c r="A3250" s="130" t="s">
        <v>4</v>
      </c>
      <c r="B3250" s="130" t="s">
        <v>579</v>
      </c>
      <c r="C3250" s="130" t="s">
        <v>608</v>
      </c>
      <c r="D3250" s="130" t="s">
        <v>294</v>
      </c>
      <c r="E3250" s="132">
        <v>317.18</v>
      </c>
    </row>
    <row r="3251" spans="1:5" x14ac:dyDescent="0.25">
      <c r="A3251" s="130" t="s">
        <v>4</v>
      </c>
      <c r="B3251" s="130" t="s">
        <v>579</v>
      </c>
      <c r="C3251" s="130" t="s">
        <v>608</v>
      </c>
      <c r="D3251" s="130" t="s">
        <v>295</v>
      </c>
      <c r="E3251" s="132">
        <v>527.4</v>
      </c>
    </row>
    <row r="3252" spans="1:5" x14ac:dyDescent="0.25">
      <c r="A3252" s="130" t="s">
        <v>4</v>
      </c>
      <c r="B3252" s="130" t="s">
        <v>579</v>
      </c>
      <c r="C3252" s="130" t="s">
        <v>608</v>
      </c>
      <c r="D3252" s="130" t="s">
        <v>944</v>
      </c>
      <c r="E3252" s="132">
        <v>312.64</v>
      </c>
    </row>
    <row r="3253" spans="1:5" x14ac:dyDescent="0.25">
      <c r="A3253" s="130" t="s">
        <v>4</v>
      </c>
      <c r="B3253" s="130" t="s">
        <v>579</v>
      </c>
      <c r="C3253" s="130" t="s">
        <v>608</v>
      </c>
      <c r="D3253" s="130" t="s">
        <v>237</v>
      </c>
      <c r="E3253" s="132">
        <v>774.02</v>
      </c>
    </row>
    <row r="3254" spans="1:5" x14ac:dyDescent="0.25">
      <c r="A3254" s="130" t="s">
        <v>4</v>
      </c>
      <c r="B3254" s="130" t="s">
        <v>579</v>
      </c>
      <c r="C3254" s="130" t="s">
        <v>608</v>
      </c>
      <c r="D3254" s="130" t="s">
        <v>240</v>
      </c>
      <c r="E3254" s="132">
        <v>364.27</v>
      </c>
    </row>
    <row r="3255" spans="1:5" x14ac:dyDescent="0.25">
      <c r="A3255" s="130" t="s">
        <v>4</v>
      </c>
      <c r="B3255" s="130" t="s">
        <v>579</v>
      </c>
      <c r="C3255" s="130" t="s">
        <v>608</v>
      </c>
      <c r="D3255" s="130" t="s">
        <v>312</v>
      </c>
      <c r="E3255" s="132">
        <v>691.3</v>
      </c>
    </row>
    <row r="3256" spans="1:5" x14ac:dyDescent="0.25">
      <c r="A3256" s="130" t="s">
        <v>4</v>
      </c>
      <c r="B3256" s="130" t="s">
        <v>579</v>
      </c>
      <c r="C3256" s="130" t="s">
        <v>608</v>
      </c>
      <c r="D3256" s="130" t="s">
        <v>394</v>
      </c>
      <c r="E3256" s="132">
        <v>551.71</v>
      </c>
    </row>
    <row r="3257" spans="1:5" x14ac:dyDescent="0.25">
      <c r="A3257" s="130" t="s">
        <v>4</v>
      </c>
      <c r="B3257" s="130" t="s">
        <v>579</v>
      </c>
      <c r="C3257" s="130" t="s">
        <v>608</v>
      </c>
      <c r="D3257" s="130" t="s">
        <v>454</v>
      </c>
      <c r="E3257" s="132">
        <v>822.58</v>
      </c>
    </row>
    <row r="3258" spans="1:5" x14ac:dyDescent="0.25">
      <c r="A3258" s="130" t="s">
        <v>4</v>
      </c>
      <c r="B3258" s="130" t="s">
        <v>579</v>
      </c>
      <c r="C3258" s="130" t="s">
        <v>608</v>
      </c>
      <c r="D3258" s="130" t="s">
        <v>298</v>
      </c>
      <c r="E3258" s="132">
        <v>542.55999999999995</v>
      </c>
    </row>
    <row r="3259" spans="1:5" x14ac:dyDescent="0.25">
      <c r="A3259" s="130" t="s">
        <v>4</v>
      </c>
      <c r="B3259" s="130" t="s">
        <v>579</v>
      </c>
      <c r="C3259" s="130" t="s">
        <v>608</v>
      </c>
      <c r="D3259" s="130" t="s">
        <v>753</v>
      </c>
      <c r="E3259" s="132">
        <v>642.63</v>
      </c>
    </row>
    <row r="3260" spans="1:5" x14ac:dyDescent="0.25">
      <c r="A3260" s="130" t="s">
        <v>4</v>
      </c>
      <c r="B3260" s="130" t="s">
        <v>579</v>
      </c>
      <c r="C3260" s="130" t="s">
        <v>608</v>
      </c>
      <c r="D3260" s="130" t="s">
        <v>756</v>
      </c>
      <c r="E3260" s="132">
        <v>446.75</v>
      </c>
    </row>
    <row r="3261" spans="1:5" x14ac:dyDescent="0.25">
      <c r="A3261" s="130" t="s">
        <v>4</v>
      </c>
      <c r="B3261" s="130" t="s">
        <v>579</v>
      </c>
      <c r="C3261" s="130" t="s">
        <v>608</v>
      </c>
      <c r="D3261" s="130" t="s">
        <v>375</v>
      </c>
      <c r="E3261" s="132">
        <v>585.34</v>
      </c>
    </row>
    <row r="3262" spans="1:5" x14ac:dyDescent="0.25">
      <c r="A3262" s="130" t="s">
        <v>4</v>
      </c>
      <c r="B3262" s="130" t="s">
        <v>579</v>
      </c>
      <c r="C3262" s="130" t="s">
        <v>608</v>
      </c>
      <c r="D3262" s="130" t="s">
        <v>494</v>
      </c>
      <c r="E3262" s="132">
        <v>978.51</v>
      </c>
    </row>
    <row r="3263" spans="1:5" x14ac:dyDescent="0.25">
      <c r="A3263" s="130" t="s">
        <v>4</v>
      </c>
      <c r="B3263" s="130" t="s">
        <v>579</v>
      </c>
      <c r="C3263" s="130" t="s">
        <v>608</v>
      </c>
      <c r="D3263" s="130" t="s">
        <v>959</v>
      </c>
      <c r="E3263" s="132">
        <v>2753.41</v>
      </c>
    </row>
    <row r="3264" spans="1:5" x14ac:dyDescent="0.25">
      <c r="A3264" s="130" t="s">
        <v>4</v>
      </c>
      <c r="B3264" s="130" t="s">
        <v>579</v>
      </c>
      <c r="C3264" s="130" t="s">
        <v>608</v>
      </c>
      <c r="D3264" s="130" t="s">
        <v>961</v>
      </c>
      <c r="E3264" s="132">
        <v>1623.21</v>
      </c>
    </row>
    <row r="3265" spans="1:5" x14ac:dyDescent="0.25">
      <c r="A3265" s="130" t="s">
        <v>4</v>
      </c>
      <c r="B3265" s="130" t="s">
        <v>579</v>
      </c>
      <c r="C3265" s="130" t="s">
        <v>608</v>
      </c>
      <c r="D3265" s="130" t="s">
        <v>361</v>
      </c>
      <c r="E3265" s="132">
        <v>523.62</v>
      </c>
    </row>
    <row r="3266" spans="1:5" x14ac:dyDescent="0.25">
      <c r="A3266" s="130" t="s">
        <v>4</v>
      </c>
      <c r="B3266" s="130" t="s">
        <v>579</v>
      </c>
      <c r="C3266" s="130" t="s">
        <v>608</v>
      </c>
      <c r="D3266" s="130" t="s">
        <v>384</v>
      </c>
      <c r="E3266" s="132">
        <v>1582.08</v>
      </c>
    </row>
    <row r="3267" spans="1:5" x14ac:dyDescent="0.25">
      <c r="A3267" s="130" t="s">
        <v>4</v>
      </c>
      <c r="B3267" s="130" t="s">
        <v>579</v>
      </c>
      <c r="C3267" s="130" t="s">
        <v>608</v>
      </c>
      <c r="D3267" s="130" t="s">
        <v>244</v>
      </c>
      <c r="E3267" s="132">
        <v>3153.55</v>
      </c>
    </row>
    <row r="3268" spans="1:5" x14ac:dyDescent="0.25">
      <c r="A3268" s="130" t="s">
        <v>4</v>
      </c>
      <c r="B3268" s="130" t="s">
        <v>579</v>
      </c>
      <c r="C3268" s="130" t="s">
        <v>608</v>
      </c>
      <c r="D3268" s="130" t="s">
        <v>245</v>
      </c>
      <c r="E3268" s="132">
        <v>2542.9</v>
      </c>
    </row>
    <row r="3269" spans="1:5" x14ac:dyDescent="0.25">
      <c r="A3269" s="130" t="s">
        <v>4</v>
      </c>
      <c r="B3269" s="130" t="s">
        <v>579</v>
      </c>
      <c r="C3269" s="130" t="s">
        <v>608</v>
      </c>
      <c r="D3269" s="130" t="s">
        <v>247</v>
      </c>
      <c r="E3269" s="132">
        <v>2236.81</v>
      </c>
    </row>
    <row r="3270" spans="1:5" x14ac:dyDescent="0.25">
      <c r="A3270" s="130" t="s">
        <v>4</v>
      </c>
      <c r="B3270" s="130" t="s">
        <v>579</v>
      </c>
      <c r="C3270" s="130" t="s">
        <v>608</v>
      </c>
      <c r="D3270" s="130" t="s">
        <v>469</v>
      </c>
      <c r="E3270" s="132">
        <v>2174.5</v>
      </c>
    </row>
    <row r="3271" spans="1:5" x14ac:dyDescent="0.25">
      <c r="A3271" s="130" t="s">
        <v>4</v>
      </c>
      <c r="B3271" s="130" t="s">
        <v>579</v>
      </c>
      <c r="C3271" s="130" t="s">
        <v>608</v>
      </c>
      <c r="D3271" s="130" t="s">
        <v>370</v>
      </c>
      <c r="E3271" s="132">
        <v>1355.93</v>
      </c>
    </row>
    <row r="3272" spans="1:5" x14ac:dyDescent="0.25">
      <c r="A3272" s="130" t="s">
        <v>4</v>
      </c>
      <c r="B3272" s="130" t="s">
        <v>579</v>
      </c>
      <c r="C3272" s="130" t="s">
        <v>608</v>
      </c>
      <c r="D3272" s="130" t="s">
        <v>287</v>
      </c>
      <c r="E3272" s="132">
        <v>1377.02</v>
      </c>
    </row>
    <row r="3273" spans="1:5" x14ac:dyDescent="0.25">
      <c r="A3273" s="130" t="s">
        <v>4</v>
      </c>
      <c r="B3273" s="130" t="s">
        <v>579</v>
      </c>
      <c r="C3273" s="130" t="s">
        <v>608</v>
      </c>
      <c r="D3273" s="130" t="s">
        <v>288</v>
      </c>
      <c r="E3273" s="132">
        <v>1593.53</v>
      </c>
    </row>
    <row r="3274" spans="1:5" x14ac:dyDescent="0.25">
      <c r="A3274" s="130" t="s">
        <v>4</v>
      </c>
      <c r="B3274" s="130" t="s">
        <v>579</v>
      </c>
      <c r="C3274" s="130" t="s">
        <v>608</v>
      </c>
      <c r="D3274" s="130" t="s">
        <v>969</v>
      </c>
      <c r="E3274" s="132">
        <v>1120.08</v>
      </c>
    </row>
    <row r="3275" spans="1:5" x14ac:dyDescent="0.25">
      <c r="A3275" s="130" t="s">
        <v>4</v>
      </c>
      <c r="B3275" s="130" t="s">
        <v>579</v>
      </c>
      <c r="C3275" s="130" t="s">
        <v>608</v>
      </c>
      <c r="D3275" s="130" t="s">
        <v>260</v>
      </c>
      <c r="E3275" s="132">
        <v>2174.15</v>
      </c>
    </row>
    <row r="3276" spans="1:5" x14ac:dyDescent="0.25">
      <c r="A3276" s="130" t="s">
        <v>4</v>
      </c>
      <c r="B3276" s="130" t="s">
        <v>579</v>
      </c>
      <c r="C3276" s="130" t="s">
        <v>608</v>
      </c>
      <c r="D3276" s="130" t="s">
        <v>253</v>
      </c>
      <c r="E3276" s="132">
        <v>1592.09</v>
      </c>
    </row>
    <row r="3277" spans="1:5" x14ac:dyDescent="0.25">
      <c r="A3277" s="130" t="s">
        <v>4</v>
      </c>
      <c r="B3277" s="130" t="s">
        <v>579</v>
      </c>
      <c r="C3277" s="130" t="s">
        <v>608</v>
      </c>
      <c r="D3277" s="130" t="s">
        <v>508</v>
      </c>
      <c r="E3277" s="132">
        <v>5664.18</v>
      </c>
    </row>
    <row r="3278" spans="1:5" x14ac:dyDescent="0.25">
      <c r="A3278" s="130" t="s">
        <v>4</v>
      </c>
      <c r="B3278" s="130" t="s">
        <v>579</v>
      </c>
      <c r="C3278" s="130" t="s">
        <v>608</v>
      </c>
      <c r="D3278" s="130" t="s">
        <v>233</v>
      </c>
      <c r="E3278" s="132">
        <v>1331.04</v>
      </c>
    </row>
    <row r="3279" spans="1:5" x14ac:dyDescent="0.25">
      <c r="A3279" s="130" t="s">
        <v>4</v>
      </c>
      <c r="B3279" s="130" t="s">
        <v>579</v>
      </c>
      <c r="C3279" s="130" t="s">
        <v>608</v>
      </c>
      <c r="D3279" s="130" t="s">
        <v>422</v>
      </c>
      <c r="E3279" s="132">
        <v>2356.7199999999998</v>
      </c>
    </row>
    <row r="3280" spans="1:5" x14ac:dyDescent="0.25">
      <c r="A3280" s="130" t="s">
        <v>4</v>
      </c>
      <c r="B3280" s="130" t="s">
        <v>579</v>
      </c>
      <c r="C3280" s="130" t="s">
        <v>608</v>
      </c>
      <c r="D3280" s="130" t="s">
        <v>809</v>
      </c>
      <c r="E3280" s="132">
        <v>930.37</v>
      </c>
    </row>
    <row r="3281" spans="1:5" x14ac:dyDescent="0.25">
      <c r="A3281" s="130" t="s">
        <v>4</v>
      </c>
      <c r="B3281" s="130" t="s">
        <v>579</v>
      </c>
      <c r="C3281" s="130" t="s">
        <v>608</v>
      </c>
      <c r="D3281" s="130" t="s">
        <v>318</v>
      </c>
      <c r="E3281" s="132">
        <v>10055.780000000001</v>
      </c>
    </row>
    <row r="3282" spans="1:5" x14ac:dyDescent="0.25">
      <c r="A3282" s="130" t="s">
        <v>4</v>
      </c>
      <c r="B3282" s="130" t="s">
        <v>579</v>
      </c>
      <c r="C3282" s="130" t="s">
        <v>608</v>
      </c>
      <c r="D3282" s="130" t="s">
        <v>319</v>
      </c>
      <c r="E3282" s="132">
        <v>9507.2000000000007</v>
      </c>
    </row>
    <row r="3283" spans="1:5" x14ac:dyDescent="0.25">
      <c r="A3283" s="130" t="s">
        <v>4</v>
      </c>
      <c r="B3283" s="130" t="s">
        <v>579</v>
      </c>
      <c r="C3283" s="130" t="s">
        <v>608</v>
      </c>
      <c r="D3283" s="130" t="s">
        <v>265</v>
      </c>
      <c r="E3283" s="132">
        <v>7133.84</v>
      </c>
    </row>
    <row r="3284" spans="1:5" x14ac:dyDescent="0.25">
      <c r="A3284" s="130" t="s">
        <v>4</v>
      </c>
      <c r="B3284" s="130" t="s">
        <v>579</v>
      </c>
      <c r="C3284" s="130" t="s">
        <v>608</v>
      </c>
      <c r="D3284" s="130" t="s">
        <v>363</v>
      </c>
      <c r="E3284" s="132">
        <v>6821.36</v>
      </c>
    </row>
    <row r="3285" spans="1:5" x14ac:dyDescent="0.25">
      <c r="A3285" s="130" t="s">
        <v>4</v>
      </c>
      <c r="B3285" s="130" t="s">
        <v>579</v>
      </c>
      <c r="C3285" s="130" t="s">
        <v>608</v>
      </c>
      <c r="D3285" s="130" t="s">
        <v>526</v>
      </c>
      <c r="E3285" s="132">
        <v>324.57</v>
      </c>
    </row>
    <row r="3286" spans="1:5" x14ac:dyDescent="0.25">
      <c r="A3286" s="130" t="s">
        <v>4</v>
      </c>
      <c r="B3286" s="130" t="s">
        <v>579</v>
      </c>
      <c r="C3286" s="130" t="s">
        <v>608</v>
      </c>
      <c r="D3286" s="130" t="s">
        <v>347</v>
      </c>
      <c r="E3286" s="132">
        <v>396.3</v>
      </c>
    </row>
    <row r="3287" spans="1:5" x14ac:dyDescent="0.25">
      <c r="A3287" s="130" t="s">
        <v>4</v>
      </c>
      <c r="B3287" s="130" t="s">
        <v>579</v>
      </c>
      <c r="C3287" s="130" t="s">
        <v>608</v>
      </c>
      <c r="D3287" s="130" t="s">
        <v>349</v>
      </c>
      <c r="E3287" s="132">
        <v>1237.6400000000001</v>
      </c>
    </row>
    <row r="3288" spans="1:5" x14ac:dyDescent="0.25">
      <c r="A3288" s="130" t="s">
        <v>4</v>
      </c>
      <c r="B3288" s="130" t="s">
        <v>579</v>
      </c>
      <c r="C3288" s="130" t="s">
        <v>608</v>
      </c>
      <c r="D3288" s="130" t="s">
        <v>528</v>
      </c>
      <c r="E3288" s="132">
        <v>1835.7</v>
      </c>
    </row>
    <row r="3289" spans="1:5" x14ac:dyDescent="0.25">
      <c r="A3289" s="130" t="s">
        <v>4</v>
      </c>
      <c r="B3289" s="130" t="s">
        <v>579</v>
      </c>
      <c r="C3289" s="130" t="s">
        <v>608</v>
      </c>
      <c r="D3289" s="130" t="s">
        <v>276</v>
      </c>
      <c r="E3289" s="132">
        <v>1735.26</v>
      </c>
    </row>
    <row r="3290" spans="1:5" x14ac:dyDescent="0.25">
      <c r="A3290" s="130" t="s">
        <v>4</v>
      </c>
      <c r="B3290" s="130" t="s">
        <v>579</v>
      </c>
      <c r="C3290" s="130" t="s">
        <v>608</v>
      </c>
      <c r="D3290" s="130" t="s">
        <v>540</v>
      </c>
      <c r="E3290" s="132">
        <v>481.68</v>
      </c>
    </row>
    <row r="3291" spans="1:5" x14ac:dyDescent="0.25">
      <c r="A3291" s="130" t="s">
        <v>4</v>
      </c>
      <c r="B3291" s="130" t="s">
        <v>579</v>
      </c>
      <c r="C3291" s="130" t="s">
        <v>608</v>
      </c>
      <c r="D3291" s="130" t="s">
        <v>751</v>
      </c>
      <c r="E3291" s="132">
        <v>1245.58</v>
      </c>
    </row>
    <row r="3292" spans="1:5" x14ac:dyDescent="0.25">
      <c r="A3292" s="130" t="s">
        <v>4</v>
      </c>
      <c r="B3292" s="130" t="s">
        <v>579</v>
      </c>
      <c r="C3292" s="130" t="s">
        <v>608</v>
      </c>
      <c r="D3292" s="130" t="s">
        <v>541</v>
      </c>
      <c r="E3292" s="132">
        <v>1496.06</v>
      </c>
    </row>
    <row r="3293" spans="1:5" x14ac:dyDescent="0.25">
      <c r="A3293" s="130" t="s">
        <v>4</v>
      </c>
      <c r="B3293" s="130" t="s">
        <v>579</v>
      </c>
      <c r="C3293" s="130" t="s">
        <v>608</v>
      </c>
      <c r="D3293" s="130" t="s">
        <v>550</v>
      </c>
      <c r="E3293" s="132">
        <v>1980.9</v>
      </c>
    </row>
    <row r="3294" spans="1:5" x14ac:dyDescent="0.25">
      <c r="A3294" s="130" t="s">
        <v>4</v>
      </c>
      <c r="B3294" s="130" t="s">
        <v>579</v>
      </c>
      <c r="C3294" s="130" t="s">
        <v>608</v>
      </c>
      <c r="D3294" s="130" t="s">
        <v>650</v>
      </c>
      <c r="E3294" s="132">
        <v>1224.07</v>
      </c>
    </row>
    <row r="3295" spans="1:5" x14ac:dyDescent="0.25">
      <c r="A3295" s="130" t="s">
        <v>4</v>
      </c>
      <c r="B3295" s="130" t="s">
        <v>579</v>
      </c>
      <c r="C3295" s="130" t="s">
        <v>608</v>
      </c>
      <c r="D3295" s="130" t="s">
        <v>684</v>
      </c>
      <c r="E3295" s="132">
        <v>1483.23</v>
      </c>
    </row>
    <row r="3296" spans="1:5" x14ac:dyDescent="0.25">
      <c r="A3296" s="130" t="s">
        <v>4</v>
      </c>
      <c r="B3296" s="130" t="s">
        <v>579</v>
      </c>
      <c r="C3296" s="130" t="s">
        <v>608</v>
      </c>
      <c r="D3296" s="130" t="s">
        <v>717</v>
      </c>
      <c r="E3296" s="132">
        <v>1727.26</v>
      </c>
    </row>
    <row r="3297" spans="1:5" x14ac:dyDescent="0.25">
      <c r="A3297" s="130" t="s">
        <v>4</v>
      </c>
      <c r="B3297" s="130" t="s">
        <v>579</v>
      </c>
      <c r="C3297" s="130" t="s">
        <v>608</v>
      </c>
      <c r="D3297" s="130" t="s">
        <v>1118</v>
      </c>
      <c r="E3297" s="132">
        <v>2220.1</v>
      </c>
    </row>
    <row r="3298" spans="1:5" x14ac:dyDescent="0.25">
      <c r="A3298" s="130" t="s">
        <v>4</v>
      </c>
      <c r="B3298" s="130" t="s">
        <v>579</v>
      </c>
      <c r="C3298" s="130" t="s">
        <v>608</v>
      </c>
      <c r="D3298" s="130" t="s">
        <v>685</v>
      </c>
      <c r="E3298" s="132">
        <v>716.1</v>
      </c>
    </row>
    <row r="3299" spans="1:5" x14ac:dyDescent="0.25">
      <c r="A3299" s="130" t="s">
        <v>4</v>
      </c>
      <c r="B3299" s="130" t="s">
        <v>579</v>
      </c>
      <c r="C3299" s="130" t="s">
        <v>608</v>
      </c>
      <c r="D3299" s="130" t="s">
        <v>412</v>
      </c>
      <c r="E3299" s="132">
        <v>978.55</v>
      </c>
    </row>
    <row r="3300" spans="1:5" x14ac:dyDescent="0.25">
      <c r="A3300" s="130" t="s">
        <v>4</v>
      </c>
      <c r="B3300" s="130" t="s">
        <v>579</v>
      </c>
      <c r="C3300" s="130" t="s">
        <v>608</v>
      </c>
      <c r="D3300" s="130" t="s">
        <v>414</v>
      </c>
      <c r="E3300" s="132">
        <v>4011.09</v>
      </c>
    </row>
    <row r="3301" spans="1:5" x14ac:dyDescent="0.25">
      <c r="A3301" s="130" t="s">
        <v>4</v>
      </c>
      <c r="B3301" s="130" t="s">
        <v>579</v>
      </c>
      <c r="C3301" s="130" t="s">
        <v>608</v>
      </c>
      <c r="D3301" s="130" t="s">
        <v>1037</v>
      </c>
      <c r="E3301" s="132">
        <v>17583.939999999999</v>
      </c>
    </row>
    <row r="3302" spans="1:5" x14ac:dyDescent="0.25">
      <c r="A3302" s="130" t="s">
        <v>4</v>
      </c>
      <c r="B3302" s="130" t="s">
        <v>579</v>
      </c>
      <c r="C3302" s="130" t="s">
        <v>608</v>
      </c>
      <c r="D3302" s="130" t="s">
        <v>415</v>
      </c>
      <c r="E3302" s="132">
        <v>2374.85</v>
      </c>
    </row>
    <row r="3303" spans="1:5" x14ac:dyDescent="0.25">
      <c r="A3303" s="130" t="s">
        <v>4</v>
      </c>
      <c r="B3303" s="130" t="s">
        <v>579</v>
      </c>
      <c r="C3303" s="130" t="s">
        <v>608</v>
      </c>
      <c r="D3303" s="130" t="s">
        <v>478</v>
      </c>
      <c r="E3303" s="132">
        <v>1925.84</v>
      </c>
    </row>
    <row r="3304" spans="1:5" x14ac:dyDescent="0.25">
      <c r="A3304" s="130" t="s">
        <v>4</v>
      </c>
      <c r="B3304" s="130" t="s">
        <v>579</v>
      </c>
      <c r="C3304" s="130" t="s">
        <v>608</v>
      </c>
      <c r="D3304" s="130" t="s">
        <v>1075</v>
      </c>
      <c r="E3304" s="132">
        <v>2218.48</v>
      </c>
    </row>
    <row r="3305" spans="1:5" x14ac:dyDescent="0.25">
      <c r="A3305" s="130" t="s">
        <v>4</v>
      </c>
      <c r="B3305" s="130" t="s">
        <v>579</v>
      </c>
      <c r="C3305" s="130" t="s">
        <v>608</v>
      </c>
      <c r="D3305" s="130" t="s">
        <v>417</v>
      </c>
      <c r="E3305" s="132">
        <v>2519.9299999999998</v>
      </c>
    </row>
    <row r="3306" spans="1:5" x14ac:dyDescent="0.25">
      <c r="A3306" s="130" t="s">
        <v>4</v>
      </c>
      <c r="B3306" s="130" t="s">
        <v>579</v>
      </c>
      <c r="C3306" s="130" t="s">
        <v>608</v>
      </c>
      <c r="D3306" s="130" t="s">
        <v>537</v>
      </c>
      <c r="E3306" s="132">
        <v>9499.39</v>
      </c>
    </row>
    <row r="3307" spans="1:5" x14ac:dyDescent="0.25">
      <c r="A3307" s="130" t="s">
        <v>4</v>
      </c>
      <c r="B3307" s="130" t="s">
        <v>579</v>
      </c>
      <c r="C3307" s="130" t="s">
        <v>608</v>
      </c>
      <c r="D3307" s="130" t="s">
        <v>1076</v>
      </c>
      <c r="E3307" s="132">
        <v>8749.5300000000007</v>
      </c>
    </row>
    <row r="3308" spans="1:5" x14ac:dyDescent="0.25">
      <c r="A3308" s="130" t="s">
        <v>4</v>
      </c>
      <c r="B3308" s="130" t="s">
        <v>579</v>
      </c>
      <c r="C3308" s="130" t="s">
        <v>608</v>
      </c>
      <c r="D3308" s="130" t="s">
        <v>487</v>
      </c>
      <c r="E3308" s="132">
        <v>17607.5</v>
      </c>
    </row>
    <row r="3309" spans="1:5" x14ac:dyDescent="0.25">
      <c r="A3309" s="130" t="s">
        <v>4</v>
      </c>
      <c r="B3309" s="130" t="s">
        <v>579</v>
      </c>
      <c r="C3309" s="130" t="s">
        <v>608</v>
      </c>
      <c r="D3309" s="130" t="s">
        <v>479</v>
      </c>
      <c r="E3309" s="132">
        <v>15406.75</v>
      </c>
    </row>
    <row r="3310" spans="1:5" x14ac:dyDescent="0.25">
      <c r="A3310" s="130" t="s">
        <v>4</v>
      </c>
      <c r="B3310" s="130" t="s">
        <v>579</v>
      </c>
      <c r="C3310" s="130" t="s">
        <v>608</v>
      </c>
      <c r="D3310" s="130" t="s">
        <v>1077</v>
      </c>
      <c r="E3310" s="132">
        <v>7764.69</v>
      </c>
    </row>
    <row r="3311" spans="1:5" x14ac:dyDescent="0.25">
      <c r="A3311" s="130" t="s">
        <v>4</v>
      </c>
      <c r="B3311" s="130" t="s">
        <v>579</v>
      </c>
      <c r="C3311" s="130" t="s">
        <v>608</v>
      </c>
      <c r="D3311" s="130" t="s">
        <v>504</v>
      </c>
      <c r="E3311" s="132">
        <v>5039.8599999999997</v>
      </c>
    </row>
    <row r="3312" spans="1:5" x14ac:dyDescent="0.25">
      <c r="A3312" s="130" t="s">
        <v>4</v>
      </c>
      <c r="B3312" s="130" t="s">
        <v>579</v>
      </c>
      <c r="C3312" s="130" t="s">
        <v>608</v>
      </c>
      <c r="D3312" s="130" t="s">
        <v>432</v>
      </c>
      <c r="E3312" s="132">
        <v>7695.44</v>
      </c>
    </row>
    <row r="3313" spans="1:5" x14ac:dyDescent="0.25">
      <c r="A3313" s="130" t="s">
        <v>4</v>
      </c>
      <c r="B3313" s="130" t="s">
        <v>579</v>
      </c>
      <c r="C3313" s="130" t="s">
        <v>608</v>
      </c>
      <c r="D3313" s="130" t="s">
        <v>718</v>
      </c>
      <c r="E3313" s="132">
        <v>3384.33</v>
      </c>
    </row>
    <row r="3314" spans="1:5" x14ac:dyDescent="0.25">
      <c r="A3314" s="130" t="s">
        <v>4</v>
      </c>
      <c r="B3314" s="130" t="s">
        <v>579</v>
      </c>
      <c r="C3314" s="130" t="s">
        <v>608</v>
      </c>
      <c r="D3314" s="130" t="s">
        <v>486</v>
      </c>
      <c r="E3314" s="132">
        <v>1838.92</v>
      </c>
    </row>
    <row r="3315" spans="1:5" x14ac:dyDescent="0.25">
      <c r="A3315" s="130" t="s">
        <v>4</v>
      </c>
      <c r="B3315" s="130" t="s">
        <v>579</v>
      </c>
      <c r="C3315" s="130" t="s">
        <v>608</v>
      </c>
      <c r="D3315" s="130" t="s">
        <v>812</v>
      </c>
      <c r="E3315" s="132">
        <v>4373.2299999999996</v>
      </c>
    </row>
    <row r="3316" spans="1:5" x14ac:dyDescent="0.25">
      <c r="A3316" s="130" t="s">
        <v>4</v>
      </c>
      <c r="B3316" s="130" t="s">
        <v>579</v>
      </c>
      <c r="C3316" s="130" t="s">
        <v>608</v>
      </c>
      <c r="D3316" s="130" t="s">
        <v>433</v>
      </c>
      <c r="E3316" s="132">
        <v>8018.15</v>
      </c>
    </row>
    <row r="3317" spans="1:5" x14ac:dyDescent="0.25">
      <c r="A3317" s="130" t="s">
        <v>4</v>
      </c>
      <c r="B3317" s="130" t="s">
        <v>579</v>
      </c>
      <c r="C3317" s="130" t="s">
        <v>608</v>
      </c>
      <c r="D3317" s="130" t="s">
        <v>813</v>
      </c>
      <c r="E3317" s="132">
        <v>8771.76</v>
      </c>
    </row>
    <row r="3318" spans="1:5" x14ac:dyDescent="0.25">
      <c r="A3318" s="130" t="s">
        <v>4</v>
      </c>
      <c r="B3318" s="130" t="s">
        <v>579</v>
      </c>
      <c r="C3318" s="130" t="s">
        <v>608</v>
      </c>
      <c r="D3318" s="130" t="s">
        <v>1078</v>
      </c>
      <c r="E3318" s="132">
        <v>4999.93</v>
      </c>
    </row>
    <row r="3319" spans="1:5" x14ac:dyDescent="0.25">
      <c r="A3319" s="130" t="s">
        <v>4</v>
      </c>
      <c r="B3319" s="130" t="s">
        <v>579</v>
      </c>
      <c r="C3319" s="130" t="s">
        <v>608</v>
      </c>
      <c r="D3319" s="130" t="s">
        <v>508</v>
      </c>
      <c r="E3319" s="132">
        <v>19840.62</v>
      </c>
    </row>
    <row r="3320" spans="1:5" x14ac:dyDescent="0.25">
      <c r="A3320" s="130" t="s">
        <v>4</v>
      </c>
      <c r="B3320" s="130" t="s">
        <v>579</v>
      </c>
      <c r="C3320" s="130" t="s">
        <v>608</v>
      </c>
      <c r="D3320" s="130" t="s">
        <v>330</v>
      </c>
      <c r="E3320" s="132">
        <v>4429.03</v>
      </c>
    </row>
    <row r="3321" spans="1:5" x14ac:dyDescent="0.25">
      <c r="A3321" s="130" t="s">
        <v>4</v>
      </c>
      <c r="B3321" s="130" t="s">
        <v>579</v>
      </c>
      <c r="C3321" s="130" t="s">
        <v>608</v>
      </c>
      <c r="D3321" s="130" t="s">
        <v>331</v>
      </c>
      <c r="E3321" s="132">
        <v>18644.02</v>
      </c>
    </row>
    <row r="3322" spans="1:5" x14ac:dyDescent="0.25">
      <c r="A3322" s="130" t="s">
        <v>4</v>
      </c>
      <c r="B3322" s="130" t="s">
        <v>579</v>
      </c>
      <c r="C3322" s="130" t="s">
        <v>608</v>
      </c>
      <c r="D3322" s="130" t="s">
        <v>701</v>
      </c>
      <c r="E3322" s="132">
        <v>6232.12</v>
      </c>
    </row>
    <row r="3323" spans="1:5" x14ac:dyDescent="0.25">
      <c r="A3323" s="130" t="s">
        <v>4</v>
      </c>
      <c r="B3323" s="130" t="s">
        <v>579</v>
      </c>
      <c r="C3323" s="130" t="s">
        <v>608</v>
      </c>
      <c r="D3323" s="130" t="s">
        <v>781</v>
      </c>
      <c r="E3323" s="132">
        <v>11655.93</v>
      </c>
    </row>
    <row r="3324" spans="1:5" x14ac:dyDescent="0.25">
      <c r="A3324" s="130" t="s">
        <v>4</v>
      </c>
      <c r="B3324" s="130" t="s">
        <v>579</v>
      </c>
      <c r="C3324" s="130" t="s">
        <v>608</v>
      </c>
      <c r="D3324" s="130" t="s">
        <v>938</v>
      </c>
      <c r="E3324" s="132">
        <v>12918.11</v>
      </c>
    </row>
    <row r="3325" spans="1:5" x14ac:dyDescent="0.25">
      <c r="A3325" s="130" t="s">
        <v>4</v>
      </c>
      <c r="B3325" s="130" t="s">
        <v>579</v>
      </c>
      <c r="C3325" s="130" t="s">
        <v>608</v>
      </c>
      <c r="D3325" s="130" t="s">
        <v>560</v>
      </c>
      <c r="E3325" s="132">
        <v>12985.09</v>
      </c>
    </row>
    <row r="3326" spans="1:5" x14ac:dyDescent="0.25">
      <c r="A3326" s="130" t="s">
        <v>4</v>
      </c>
      <c r="B3326" s="130" t="s">
        <v>579</v>
      </c>
      <c r="C3326" s="130" t="s">
        <v>608</v>
      </c>
      <c r="D3326" s="130" t="s">
        <v>561</v>
      </c>
      <c r="E3326" s="132">
        <v>15794.97</v>
      </c>
    </row>
    <row r="3327" spans="1:5" x14ac:dyDescent="0.25">
      <c r="A3327" s="130" t="s">
        <v>4</v>
      </c>
      <c r="B3327" s="130" t="s">
        <v>579</v>
      </c>
      <c r="C3327" s="130" t="s">
        <v>608</v>
      </c>
      <c r="D3327" s="130" t="s">
        <v>309</v>
      </c>
      <c r="E3327" s="132">
        <v>22268.85</v>
      </c>
    </row>
    <row r="3328" spans="1:5" x14ac:dyDescent="0.25">
      <c r="A3328" s="130" t="s">
        <v>4</v>
      </c>
      <c r="B3328" s="130" t="s">
        <v>579</v>
      </c>
      <c r="C3328" s="130" t="s">
        <v>608</v>
      </c>
      <c r="D3328" s="130" t="s">
        <v>259</v>
      </c>
      <c r="E3328" s="132">
        <v>7917.66</v>
      </c>
    </row>
    <row r="3329" spans="1:5" x14ac:dyDescent="0.25">
      <c r="A3329" s="130" t="s">
        <v>4</v>
      </c>
      <c r="B3329" s="130" t="s">
        <v>579</v>
      </c>
      <c r="C3329" s="130" t="s">
        <v>608</v>
      </c>
      <c r="D3329" s="130" t="s">
        <v>811</v>
      </c>
      <c r="E3329" s="132">
        <v>140399</v>
      </c>
    </row>
    <row r="3330" spans="1:5" x14ac:dyDescent="0.25">
      <c r="A3330" s="130" t="s">
        <v>4</v>
      </c>
      <c r="B3330" s="130" t="s">
        <v>579</v>
      </c>
      <c r="C3330" s="130" t="s">
        <v>608</v>
      </c>
      <c r="D3330" s="130" t="s">
        <v>811</v>
      </c>
      <c r="E3330" s="132">
        <v>16847.88</v>
      </c>
    </row>
    <row r="3331" spans="1:5" x14ac:dyDescent="0.25">
      <c r="A3331" s="130" t="s">
        <v>4</v>
      </c>
      <c r="B3331" s="130" t="s">
        <v>579</v>
      </c>
      <c r="C3331" s="130" t="s">
        <v>608</v>
      </c>
      <c r="D3331" s="130" t="s">
        <v>405</v>
      </c>
      <c r="E3331" s="132">
        <v>2109.06</v>
      </c>
    </row>
    <row r="3332" spans="1:5" x14ac:dyDescent="0.25">
      <c r="A3332" s="130" t="s">
        <v>4</v>
      </c>
      <c r="B3332" s="130" t="s">
        <v>579</v>
      </c>
      <c r="C3332" s="130" t="s">
        <v>608</v>
      </c>
      <c r="D3332" s="130" t="s">
        <v>256</v>
      </c>
      <c r="E3332" s="132">
        <v>71920</v>
      </c>
    </row>
    <row r="3333" spans="1:5" x14ac:dyDescent="0.25">
      <c r="A3333" s="130" t="s">
        <v>4</v>
      </c>
      <c r="B3333" s="130" t="s">
        <v>579</v>
      </c>
      <c r="C3333" s="130" t="s">
        <v>608</v>
      </c>
      <c r="D3333" s="130" t="s">
        <v>259</v>
      </c>
      <c r="E3333" s="132">
        <v>95011.92</v>
      </c>
    </row>
    <row r="3334" spans="1:5" x14ac:dyDescent="0.25">
      <c r="A3334" s="130" t="s">
        <v>4</v>
      </c>
      <c r="B3334" s="130" t="s">
        <v>579</v>
      </c>
      <c r="C3334" s="130" t="s">
        <v>608</v>
      </c>
      <c r="D3334" s="130" t="s">
        <v>645</v>
      </c>
      <c r="E3334" s="132">
        <v>1543.2</v>
      </c>
    </row>
    <row r="3335" spans="1:5" x14ac:dyDescent="0.25">
      <c r="A3335" s="130" t="s">
        <v>4</v>
      </c>
      <c r="B3335" s="130" t="s">
        <v>579</v>
      </c>
      <c r="C3335" s="130" t="s">
        <v>608</v>
      </c>
      <c r="D3335" s="130" t="s">
        <v>511</v>
      </c>
      <c r="E3335" s="132">
        <v>142504.85999999999</v>
      </c>
    </row>
    <row r="3336" spans="1:5" x14ac:dyDescent="0.25">
      <c r="A3336" s="130" t="s">
        <v>4</v>
      </c>
      <c r="B3336" s="130" t="s">
        <v>579</v>
      </c>
      <c r="C3336" s="130" t="s">
        <v>608</v>
      </c>
      <c r="D3336" s="130" t="s">
        <v>341</v>
      </c>
      <c r="E3336" s="132">
        <v>31005.52</v>
      </c>
    </row>
  </sheetData>
  <sheetProtection selectLockedCells="1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A6A8A9-07D3-4DB0-8F31-DDF07E0FF88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ВСП</vt:lpstr>
      <vt:lpstr>СВОД</vt:lpstr>
      <vt:lpstr>Список_сотрудников</vt:lpstr>
      <vt:lpstr>ТГ</vt:lpstr>
      <vt:lpstr>ПДЗ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Воротынцев Станислав Сергеевич</dc:creator>
  <cp:lastModifiedBy>Жигульских Евгений Олегович</cp:lastModifiedBy>
  <cp:lastPrinted>2023-09-19T06:40:44Z</cp:lastPrinted>
  <dcterms:created xsi:type="dcterms:W3CDTF">2015-06-05T18:19:34Z</dcterms:created>
  <dcterms:modified xsi:type="dcterms:W3CDTF">2023-10-11T07:10:30Z</dcterms:modified>
</cp:coreProperties>
</file>