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I:\19(Аналитика)\ИСХОДНЫЕ ДАННЫЕ\Премия\"/>
    </mc:Choice>
  </mc:AlternateContent>
  <xr:revisionPtr revIDLastSave="0" documentId="13_ncr:1_{EC808E31-2909-48AA-9650-56C51E35198A}" xr6:coauthVersionLast="47" xr6:coauthVersionMax="47" xr10:uidLastSave="{00000000-0000-0000-0000-000000000000}"/>
  <bookViews>
    <workbookView xWindow="28680" yWindow="-120" windowWidth="29040" windowHeight="16440" tabRatio="406" xr2:uid="{00000000-000D-0000-FFFF-FFFF00000000}"/>
  </bookViews>
  <sheets>
    <sheet name="ВСП" sheetId="20" r:id="rId1"/>
    <sheet name="МР" sheetId="15" r:id="rId2"/>
    <sheet name="Лист1" sheetId="21" state="hidden" r:id="rId3"/>
    <sheet name="Список_клиентов" sheetId="22" r:id="rId4"/>
    <sheet name="Свод_Н_Кл" sheetId="19" r:id="rId5"/>
  </sheets>
  <definedNames>
    <definedName name="_xlcn.WorksheetConnection_Пункт_Новые_Клиенты.xlsmПериод1" hidden="1">Период[]</definedName>
    <definedName name="_xlnm._FilterDatabase" localSheetId="2" hidden="1">Лист1!$A$2:$J$1269</definedName>
    <definedName name="_xlnm._FilterDatabase" localSheetId="3" hidden="1">Список_клиентов!$A$1:$C$31</definedName>
    <definedName name="ExternalData_1" localSheetId="1" hidden="1">МР!$B$22:$D$35</definedName>
  </definedNames>
  <calcPr calcId="191029"/>
  <pivotCaches>
    <pivotCache cacheId="11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Продажи_НДС_40314cdf-f326-4a97-9948-4f8a304ceacd" name="Продажи_НДС" connection="Запрос — Продажи_НДС"/>
          <x15:modelTable id="МР_737d813e-ec2c-4019-90ae-7d46b0d2e1b5" name="МР" connection="Запрос — МР"/>
          <x15:modelTable id="Период" name="Период" connection="WorksheetConnection_Пункт_Новые_Клиенты.xlsm!Период"/>
        </x15:modelTables>
        <x15:extLst>
          <ext xmlns:x16="http://schemas.microsoft.com/office/spreadsheetml/2014/11/main" uri="{9835A34E-60A6-4A7C-AAB8-D5F71C897F49}">
            <x16:modelTimeGroupings>
              <x16:modelTimeGrouping tableName="Продажи_НДС" columnName="Период, месяц" columnId="Период месяц">
                <x16:calculatedTimeColumn columnName="Период, месяц (Год)" columnId="Период  месяц (Год)" contentType="years" isSelected="1"/>
                <x16:calculatedTimeColumn columnName="Период, месяц (Квартал)" columnId="Период  месяц (Квартал)" contentType="quarters" isSelected="1"/>
                <x16:calculatedTimeColumn columnName="Период, месяц (Индекс месяца)" columnId="Период  месяц (Индекс месяца)" contentType="monthsindex" isSelected="1"/>
                <x16:calculatedTimeColumn columnName="Период, месяц (Месяц)" columnId="Период  месяц (Месяц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0" l="1"/>
  <c r="J15" i="20" s="1"/>
  <c r="I4" i="20"/>
  <c r="I5" i="20"/>
  <c r="I6" i="20"/>
  <c r="I7" i="20"/>
  <c r="I8" i="20"/>
  <c r="I9" i="20"/>
  <c r="I10" i="20"/>
  <c r="I11" i="20"/>
  <c r="J11" i="20" s="1"/>
  <c r="I12" i="20"/>
  <c r="J12" i="20" s="1"/>
  <c r="I13" i="20"/>
  <c r="J13" i="20" s="1"/>
  <c r="I14" i="20"/>
  <c r="J14" i="20" s="1"/>
  <c r="I3" i="20"/>
  <c r="J3" i="20" s="1"/>
  <c r="J4" i="20" l="1"/>
  <c r="J5" i="20"/>
  <c r="J6" i="20"/>
  <c r="J7" i="20"/>
  <c r="J8" i="20"/>
  <c r="J9" i="20"/>
  <c r="J10" i="20"/>
  <c r="E8" i="15" l="1"/>
  <c r="Q1" i="19" l="1"/>
  <c r="E9" i="15" l="1"/>
  <c r="F9" i="15"/>
  <c r="E10" i="15"/>
  <c r="F10" i="15"/>
  <c r="E11" i="15"/>
  <c r="F11" i="15"/>
  <c r="E12" i="15"/>
  <c r="F12" i="15"/>
  <c r="E13" i="15"/>
  <c r="F13" i="15"/>
  <c r="E14" i="15"/>
  <c r="F14" i="15"/>
  <c r="E15" i="15"/>
  <c r="F15" i="15"/>
  <c r="E16" i="15"/>
  <c r="F16" i="15"/>
  <c r="F8" i="15"/>
  <c r="D2" i="15"/>
  <c r="K3" i="20" l="1"/>
  <c r="K15" i="20"/>
  <c r="K6" i="20"/>
  <c r="K10" i="20"/>
  <c r="K14" i="20"/>
  <c r="K7" i="20"/>
  <c r="K11" i="20"/>
  <c r="K4" i="20"/>
  <c r="K8" i="20"/>
  <c r="K12" i="20"/>
  <c r="K5" i="20"/>
  <c r="K9" i="20"/>
  <c r="K13" i="20"/>
  <c r="G8" i="15"/>
  <c r="D1" i="19"/>
  <c r="E1" i="19"/>
  <c r="F1" i="19"/>
  <c r="G1" i="19"/>
  <c r="H1" i="19"/>
  <c r="I1" i="19"/>
  <c r="J1" i="19"/>
  <c r="K1" i="19"/>
  <c r="L1" i="19"/>
  <c r="M1" i="19"/>
  <c r="N1" i="19"/>
  <c r="O1" i="19"/>
  <c r="P1" i="19"/>
  <c r="R1" i="19"/>
  <c r="S1" i="19"/>
  <c r="T1" i="19"/>
  <c r="U1" i="19"/>
  <c r="V1" i="19"/>
  <c r="W1" i="19"/>
  <c r="X1" i="19"/>
  <c r="Y1" i="19"/>
  <c r="Z1" i="19"/>
  <c r="AA1" i="19"/>
  <c r="AB1" i="19"/>
  <c r="AC1" i="19"/>
  <c r="AD1" i="19"/>
  <c r="AE1" i="19"/>
  <c r="AF1" i="19"/>
  <c r="AG1" i="19"/>
  <c r="AH1" i="19"/>
  <c r="AI1" i="19"/>
  <c r="AJ1" i="19"/>
  <c r="AK1" i="19"/>
  <c r="AL1" i="19"/>
  <c r="AM1" i="19"/>
  <c r="AN1" i="19"/>
  <c r="AO1" i="19"/>
  <c r="AP1" i="19"/>
  <c r="AQ1" i="19"/>
  <c r="AR1" i="19"/>
  <c r="AS1" i="19"/>
  <c r="AT1" i="19"/>
  <c r="AU1" i="19"/>
  <c r="AV1" i="19"/>
  <c r="AW1" i="19"/>
  <c r="AX1" i="19"/>
  <c r="AY1" i="19"/>
  <c r="AZ1" i="19"/>
  <c r="C1" i="19"/>
  <c r="G13" i="15" l="1"/>
  <c r="G11" i="15"/>
  <c r="G14" i="15"/>
  <c r="G12" i="15"/>
  <c r="G15" i="15"/>
  <c r="G9" i="15"/>
  <c r="G10" i="15"/>
  <c r="H9" i="15" l="1"/>
  <c r="I9" i="15" s="1"/>
  <c r="H15" i="15"/>
  <c r="I15" i="15" s="1"/>
  <c r="H11" i="15"/>
  <c r="I11" i="15" s="1"/>
  <c r="H8" i="15"/>
  <c r="I8" i="15" s="1"/>
  <c r="H10" i="15"/>
  <c r="I10" i="15" s="1"/>
  <c r="H14" i="15"/>
  <c r="I14" i="15" s="1"/>
  <c r="H13" i="15"/>
  <c r="I13" i="15" s="1"/>
  <c r="H12" i="15"/>
  <c r="I12" i="15" s="1"/>
  <c r="J8" i="15" l="1"/>
  <c r="J14" i="15"/>
  <c r="J11" i="15"/>
  <c r="J12" i="15"/>
  <c r="J13" i="15"/>
  <c r="J9" i="15"/>
  <c r="J10" i="15"/>
  <c r="J15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44504E-4922-4E25-AB2A-C4163931A776}" keepAlive="1" name="ModelConnection_ExternalData_1" description="Модель данных" type="5" refreshedVersion="7" minRefreshableVersion="5" saveData="1">
    <dbPr connection="Data Model Connection" command="МР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C2EA1D5C-FAFD-4712-B2A6-449D3AED65BE}" keepAlive="1" name="ThisWorkbookDataModel" description="Модель данных" type="5" refreshedVersion="7" minRefreshableVersion="5" saveData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1A2E05FB-43D7-4754-AA00-C7AC84C5FF23}" name="WorksheetConnection_Пункт_Новые_Клиенты.xlsm!Период" type="102" refreshedVersion="7" minRefreshableVersion="5">
    <extLst>
      <ext xmlns:x15="http://schemas.microsoft.com/office/spreadsheetml/2010/11/main" uri="{DE250136-89BD-433C-8126-D09CA5730AF9}">
        <x15:connection id="Период">
          <x15:rangePr sourceName="_xlcn.WorksheetConnection_Пункт_Новые_Клиенты.xlsmПериод1"/>
        </x15:connection>
      </ext>
    </extLst>
  </connection>
  <connection id="4" xr16:uid="{9D2E4206-7939-40FE-9581-2E8C0E6BD17D}" name="Запрос — МР" description="Соединение с запросом &quot;МР&quot; в книге." type="100" refreshedVersion="7" minRefreshableVersion="5">
    <extLst>
      <ext xmlns:x15="http://schemas.microsoft.com/office/spreadsheetml/2010/11/main" uri="{DE250136-89BD-433C-8126-D09CA5730AF9}">
        <x15:connection id="3d0f1cbe-61d6-4da8-923d-d676705e0d43"/>
      </ext>
    </extLst>
  </connection>
  <connection id="5" xr16:uid="{50A10B1A-AA93-4D6E-A72C-57F2F6243FCD}" name="Запрос — Продажи_НДС" description="Соединение с запросом &quot;Продажи_НДС&quot; в книге." type="100" refreshedVersion="7" minRefreshableVersion="5" saveData="1">
    <extLst>
      <ext xmlns:x15="http://schemas.microsoft.com/office/spreadsheetml/2010/11/main" uri="{DE250136-89BD-433C-8126-D09CA5730AF9}">
        <x15:connection id="e440dbef-4f5f-4d90-b73f-76cd678b5145"/>
      </ext>
    </extLst>
  </connection>
  <connection id="6" xr16:uid="{9951A59C-F69C-48D2-A63E-451A6087968A}" keepAlive="1" name="Запрос — Список_сотрудников" description="Соединение с запросом &quot;Список_сотрудников&quot; в книге." type="5" refreshedVersion="7" background="1" refreshOnLoad="1" saveData="1">
    <dbPr connection="Provider=Microsoft.Mashup.OleDb.1;Data Source=$Workbook$;Location=Список_сотрудников;Extended Properties=&quot;&quot;" command="SELECT * FROM [Список_сотрудников]"/>
  </connection>
</connections>
</file>

<file path=xl/sharedStrings.xml><?xml version="1.0" encoding="utf-8"?>
<sst xmlns="http://schemas.openxmlformats.org/spreadsheetml/2006/main" count="5152" uniqueCount="2002">
  <si>
    <t>Группа доступа</t>
  </si>
  <si>
    <t>QAZSNAB, ИП, Шымкент</t>
  </si>
  <si>
    <t>Январь</t>
  </si>
  <si>
    <t>Февраль</t>
  </si>
  <si>
    <t>Март</t>
  </si>
  <si>
    <t>Апрель</t>
  </si>
  <si>
    <t>Май</t>
  </si>
  <si>
    <t>Июнь</t>
  </si>
  <si>
    <t>Август</t>
  </si>
  <si>
    <t>Сентябрь</t>
  </si>
  <si>
    <t>Октябрь</t>
  </si>
  <si>
    <t>Ноябрь</t>
  </si>
  <si>
    <t>Алматерм, ТОО, Казахстан</t>
  </si>
  <si>
    <t>Июль</t>
  </si>
  <si>
    <t>Иванов С.А., ИП, Костанай</t>
  </si>
  <si>
    <t>Иванова ИН, ИП, Челябинск</t>
  </si>
  <si>
    <t>Молдабеков Н.Т. ИП, Актобе</t>
  </si>
  <si>
    <t>Пластерм, ИП, Атырау</t>
  </si>
  <si>
    <t>Топ Азия Трейд, ТОО, Уральск</t>
  </si>
  <si>
    <t>Декабрь</t>
  </si>
  <si>
    <t>QazTradeBuilding, ТОО, Тараз</t>
  </si>
  <si>
    <t>Айко Пласт, ИП, Актобе</t>
  </si>
  <si>
    <t>АКВАГАЗ, ТОО, Уральск</t>
  </si>
  <si>
    <t>Аквалайн Глобал, ТОО, Алматы</t>
  </si>
  <si>
    <t>АКВАСИНТЕЗ, ООО, Брест</t>
  </si>
  <si>
    <t>Аквилон</t>
  </si>
  <si>
    <t>Алекс KZ, ТОО, Караганда</t>
  </si>
  <si>
    <t>Александров В.А. ИП, Брест</t>
  </si>
  <si>
    <t>ВИТТОРГКОМПЛЕКТ, ЧТПУП, Витебск</t>
  </si>
  <si>
    <t>Гамма-Сан, ЧУП, Брест</t>
  </si>
  <si>
    <t>Город котлов и отопления, ООО, Минск</t>
  </si>
  <si>
    <t>ИКТАВА-БЕЛ, ООО, Могилев</t>
  </si>
  <si>
    <t>Кажибеков А.К., ИП, Семей</t>
  </si>
  <si>
    <t>Кочетов В.А., ИП, Челябинск</t>
  </si>
  <si>
    <t>Кошик Д.Е. ИП, Семей</t>
  </si>
  <si>
    <t>Мазур С.Н., ИП, Петропавловск</t>
  </si>
  <si>
    <t>Максресурс, ЧУП, Минск</t>
  </si>
  <si>
    <t>МВЛмакс, ООО, Минск</t>
  </si>
  <si>
    <t>Навасардян АК, ИП, Ереван</t>
  </si>
  <si>
    <t>Сантех Регион Шыгыс, ИП, Усть-Каменогорск</t>
  </si>
  <si>
    <t>СантеХаус, ИП, Атырау</t>
  </si>
  <si>
    <t>Сибирь ИмпЭкс, ООО, Омск</t>
  </si>
  <si>
    <t>СКТ инжиниринг, ООО, Могилёв</t>
  </si>
  <si>
    <t>СНАБСТРОЙСЕРВИС, ОДО, Минск</t>
  </si>
  <si>
    <t>СтилонТрейд, ООО, Жлобин</t>
  </si>
  <si>
    <t>Тепло и Вода, ТОО, Павлодар</t>
  </si>
  <si>
    <t>Терра Аква, ТОО, Павлодар</t>
  </si>
  <si>
    <t>ТехноОпт Петропавловск, ТОО, Петропавловск</t>
  </si>
  <si>
    <t>Трубопроводная Арматура, ООО, Минск</t>
  </si>
  <si>
    <t>ТСК НАСОСЫ, ООО Минск</t>
  </si>
  <si>
    <t>Царенко И.В, ИП, Актобе</t>
  </si>
  <si>
    <t>Вирадо, ООО, Саратов</t>
  </si>
  <si>
    <t>Гигаз ТД , ООО, г. Набережные Челны</t>
  </si>
  <si>
    <t>Сантехника  от А ДО Я, ООО, Саратов</t>
  </si>
  <si>
    <t>Газстройинвест, ООО, Уфа</t>
  </si>
  <si>
    <t>ЕрмакУфа, ООО, Уфа</t>
  </si>
  <si>
    <t>ЮжУралКомСервис ПП, ООО, Уфа</t>
  </si>
  <si>
    <t>АкваРитм, ООО, Казань</t>
  </si>
  <si>
    <t>АКВА-СИТИ, ООО, г.Саратов</t>
  </si>
  <si>
    <t>Акведук ТД, ООО, Саратов</t>
  </si>
  <si>
    <t>Афруз, ООО, Казань</t>
  </si>
  <si>
    <t>Балканский А.Р., ИП, с.Габишево</t>
  </si>
  <si>
    <t>Бузенков А.В., ИП, г. Балаково</t>
  </si>
  <si>
    <t>Васильев В.А. ИП, Чебоксары</t>
  </si>
  <si>
    <t>Вахитов Р.Р. ИП, г. Елабуга</t>
  </si>
  <si>
    <t>Водвентснаб, ООО, Саратов</t>
  </si>
  <si>
    <t>ВОДОВОРОТ-С, ООО, г.Саратов</t>
  </si>
  <si>
    <t>ВОК-Челны, ООО, г. Набережные Челны</t>
  </si>
  <si>
    <t>Волков А.А. ИП, Саратов</t>
  </si>
  <si>
    <t>Вязников А.В.,ИП, г. Волжск Марий Эл</t>
  </si>
  <si>
    <t>Гидрокомплект, ООО, Казань</t>
  </si>
  <si>
    <t>Григорьев А.С. ИП, Новочебоксарск</t>
  </si>
  <si>
    <t>Жилснаб, ООО, Казань</t>
  </si>
  <si>
    <t>Земсков Константин Николаевич, ИП, Саратов</t>
  </si>
  <si>
    <t>Карат Поволжье, ООО, Чебоксары</t>
  </si>
  <si>
    <t>Комцентр Стратегия, ООО, г. Чебоксары</t>
  </si>
  <si>
    <t>КСК, ООО, г. Набережные Челны</t>
  </si>
  <si>
    <t>Кузнецов А.Н, ИП, Чебоксары</t>
  </si>
  <si>
    <t>Мега Терм, ООО, Казань</t>
  </si>
  <si>
    <t>МИДИ ЛТД ООО, Энгельс</t>
  </si>
  <si>
    <t>ПКФ ГРАНД, ООО, г.Наб. Челны</t>
  </si>
  <si>
    <t>Плотников Д.А,, ИП, Йошкар-Ола</t>
  </si>
  <si>
    <t>ПОЛИВАЙ-КА , ООО, г.Набережные Челны</t>
  </si>
  <si>
    <t>Полытов Л.А., ИП, Чебоксары</t>
  </si>
  <si>
    <t>Порфирьев РВ, ИП, Чувашия</t>
  </si>
  <si>
    <t>Промпроект, ООО, г. Казань</t>
  </si>
  <si>
    <t>РАДЭЛЬ ООО, Высокая Гора</t>
  </si>
  <si>
    <t>РегионПласт ТД, ООО, Набережные Челны</t>
  </si>
  <si>
    <t>Сангрео, ООО, Казань</t>
  </si>
  <si>
    <t>САНТЕХСНАБЖЕНИЕ ТД, ООО, г.Набережные Челны</t>
  </si>
  <si>
    <t>Сантехстрой, ООО, г.Чебоксары</t>
  </si>
  <si>
    <t>СанТэкс, ООО, г.Казань</t>
  </si>
  <si>
    <t>Спецснабжение, ООО, г. Йошкар-Ола</t>
  </si>
  <si>
    <t>Средняя Волга ЭТПК, ООО, г. Энгельс</t>
  </si>
  <si>
    <t>ТЕХМАСТЕР ООО, г. Наб. Челны</t>
  </si>
  <si>
    <t>ТЕХНОАКТИВ, ООО, г.Чебоксары</t>
  </si>
  <si>
    <t>Тимерхан, ООО, Казань</t>
  </si>
  <si>
    <t>Тола, ООО, г. Набережные Челны</t>
  </si>
  <si>
    <t>ТТЦ ССМ, ООО, г.Казань</t>
  </si>
  <si>
    <t>Чупахин В.А., ИП, г.Балаково</t>
  </si>
  <si>
    <t>Шайхутдинов И. Р., ИП г. Сарманово</t>
  </si>
  <si>
    <t>Шульгов С.А, ИП, Энгельс</t>
  </si>
  <si>
    <t>Экодом-С, ООО, Энгельс</t>
  </si>
  <si>
    <t>Энергомашкомплект, ЗАО, Саратов</t>
  </si>
  <si>
    <t>ЮниКом ТД, ООО, г.Наб.Челны</t>
  </si>
  <si>
    <t>ЮРАТ ООО, г.Чебоксары</t>
  </si>
  <si>
    <t>777, ООО, Ишимбай</t>
  </si>
  <si>
    <t>Аетбаев ДШ, ИП, Стерлитамак</t>
  </si>
  <si>
    <t>Аквариус ТПК, ООО, Нижний Новгород</t>
  </si>
  <si>
    <t>Анфёров О.К., ИП, Уфа</t>
  </si>
  <si>
    <t>Армада, ООО, Нижний Новгород</t>
  </si>
  <si>
    <t>Блинов С.Н. ИП, Нижний Новгород</t>
  </si>
  <si>
    <t>Богданов И.Р.,ИП,Стерлитамак</t>
  </si>
  <si>
    <t>Быковский А.И , ИП, г.Белебей</t>
  </si>
  <si>
    <t>Ваганов Д.В.,ИП, г.Саранск</t>
  </si>
  <si>
    <t>Варвара, ООО, г. Мелеуз</t>
  </si>
  <si>
    <t>ВДГО, ООО, г. Нижний Новгород</t>
  </si>
  <si>
    <t>ВОДОГАЗОАРМАТУРА ТД, ООО, г.Нижний Новгород</t>
  </si>
  <si>
    <t>Галеев РГ, ИП, Уфа</t>
  </si>
  <si>
    <t>Галиуллин А.Р, ИП, Нефтекамск</t>
  </si>
  <si>
    <t>Галиуллин РР, ИП, Октябрьский</t>
  </si>
  <si>
    <t>Гареев М.Ш., ИП,г. Белебей</t>
  </si>
  <si>
    <t>Зарипова А.Н., ИП, г. Туймазы</t>
  </si>
  <si>
    <t>Ибатуллин В.Я.,ИП, г.Стерлитамак</t>
  </si>
  <si>
    <t>Исаева Ю.В., ИП, г. Уфа</t>
  </si>
  <si>
    <t>Исмагилова Л.А. ИП, Красная Горка</t>
  </si>
  <si>
    <t>Компания Квартал, ООО, Н.Новгород</t>
  </si>
  <si>
    <t>Коновалов Д.Ю, ИП, Нижний Новгород</t>
  </si>
  <si>
    <t>Котков С.Ю., ИП, г. Арзамас</t>
  </si>
  <si>
    <t>Кузнецов И.И.,ИП, г.Стерлитамак</t>
  </si>
  <si>
    <t>Кульков Д.Е. ИП, Пенза</t>
  </si>
  <si>
    <t>Ликон-НН, ООО, Н.Новгород</t>
  </si>
  <si>
    <t>Лопушко А.Г.,ИП,Нижний Новгород</t>
  </si>
  <si>
    <t>Лунева ИС, ИП, Н.Новгород</t>
  </si>
  <si>
    <t>Медведев А.В., ИП, г. Пенза</t>
  </si>
  <si>
    <t>Мехтиев В.В.,ИП, г.Пенза</t>
  </si>
  <si>
    <t>МТС-Сантехника, ООО, Уфа</t>
  </si>
  <si>
    <t>Мухаметзянов Р.Р. ИП, г. Стерлитамак</t>
  </si>
  <si>
    <t>Ненюхин Р.Н.,ИП, г.Нижний Новгород</t>
  </si>
  <si>
    <t>Перетятько М. Ф. ИП, Уфа</t>
  </si>
  <si>
    <t>Петров А.Г., ИП, Стерлитамак</t>
  </si>
  <si>
    <t>Плаза, ООО, г.Нижний Новгород</t>
  </si>
  <si>
    <t>ПРЕМИУМАРМ ТД, ООО, г.Ниж.Новгород</t>
  </si>
  <si>
    <t>Прокофьев Д.В, ИП, Кстово</t>
  </si>
  <si>
    <t>Рус-Пласт ГК, ООО, г. Нижний Новгород</t>
  </si>
  <si>
    <t>Сантехресурс ТД, ООО г. Нижний Новгород</t>
  </si>
  <si>
    <t>Сафин И.А.,ИП, г.Белебей</t>
  </si>
  <si>
    <t>Семенчук И.В., ИП, г. Уфа</t>
  </si>
  <si>
    <t>Сергеев А.П., ИП,  г. Стерлитамак</t>
  </si>
  <si>
    <t>Сильянова Ю.А.,ИП, г.Нижний Новгород</t>
  </si>
  <si>
    <t>СМК - НОВАТОР ООО, Н.Новгород</t>
  </si>
  <si>
    <t>Стройтекс, ООО, г. Октябрьский</t>
  </si>
  <si>
    <t>Судьин В.К. ИП, Белебей</t>
  </si>
  <si>
    <t>Тарасов АС, ИП, Уфа (ИОНАС)</t>
  </si>
  <si>
    <t>ТД Тепломаркет, ООО, Уфа</t>
  </si>
  <si>
    <t>Тепломаркет, ООО, г. Уфа</t>
  </si>
  <si>
    <t>ТеплоСанКомплект,ООО, г.Нижний Новгород</t>
  </si>
  <si>
    <t>ТЕПЛОСТРОЙ-НН ООО, Кстово</t>
  </si>
  <si>
    <t>ТЕПЛО-УФА, ООО, г. Уфа</t>
  </si>
  <si>
    <t>Техноклимат, ООО, Туймазы</t>
  </si>
  <si>
    <t>ТехноЛидер+,ООО, г.Саранск</t>
  </si>
  <si>
    <t>Техснаб, ООО, г. Стерлитамак</t>
  </si>
  <si>
    <t>ТисГрупп, ООО, г.Нижний Новгород</t>
  </si>
  <si>
    <t>ТМ-УФА, ООО, Уфа</t>
  </si>
  <si>
    <t>Фаткуллин А.Р.ИП,Уфа</t>
  </si>
  <si>
    <t>Федоренко И.В, ИП, Уфа</t>
  </si>
  <si>
    <t>Федюнин Г.А., ИП, г. Пенза</t>
  </si>
  <si>
    <t>Форс компания, ООО, Уфа</t>
  </si>
  <si>
    <t>Хайдаров Д.Ф., ИП, г. Октябрьский</t>
  </si>
  <si>
    <t>Шагиева Л.Ш., ИП, Уфа</t>
  </si>
  <si>
    <t>Шмуклер Д.А.,ИП, г.Саранск</t>
  </si>
  <si>
    <t>ЭкоТайм ООО, Уфа</t>
  </si>
  <si>
    <t>ЭНКОМ, ООО, Уфа</t>
  </si>
  <si>
    <t>Иником ГК, ООО, Самара</t>
  </si>
  <si>
    <t>Периметр-Аква, ООО, г. Тольятти</t>
  </si>
  <si>
    <t>Садин Н.М, ИП, Кинель</t>
  </si>
  <si>
    <t>Сантехника, ООО, Самара</t>
  </si>
  <si>
    <t>Аквасервис, ООО, Ижевск</t>
  </si>
  <si>
    <t>Адякова О.Г., ИП, г. Самара</t>
  </si>
  <si>
    <t>Акватех, ООО, Самара</t>
  </si>
  <si>
    <t>Акватория-Термо, ООО, Оренбург</t>
  </si>
  <si>
    <t>Андреев С.Ю. ИП, Самара</t>
  </si>
  <si>
    <t>Арма, ООО, Самара</t>
  </si>
  <si>
    <t>Армо Волга, ООО, г. Кинель</t>
  </si>
  <si>
    <t>Асфитинг,  ООО, Тольятти</t>
  </si>
  <si>
    <t>Белов В.В., ИП, г. Орск</t>
  </si>
  <si>
    <t>Бушуев Максим Анатольевич, ИП, Киров</t>
  </si>
  <si>
    <t>Варламов С.Р., ИП, г. Ижевск</t>
  </si>
  <si>
    <t>Водполимер, ООО, Киров</t>
  </si>
  <si>
    <t>ГАЗКОМ, ООО, г.Киров</t>
  </si>
  <si>
    <t>Галузин АВ, ИП, Киров</t>
  </si>
  <si>
    <t>Гарифуллин Р.Г., ИП, г. Ижевск</t>
  </si>
  <si>
    <t>Евроопт, ООО, г.Самара</t>
  </si>
  <si>
    <t>Ефремова Е.И., ИП, г. Киров</t>
  </si>
  <si>
    <t>ИСТ, ООО, г. Тольятти</t>
  </si>
  <si>
    <t>Исуткин А.В., ИП, г. Самара</t>
  </si>
  <si>
    <t>ИЦ Аква-Комплект, ООО, г. Тольятти</t>
  </si>
  <si>
    <t>Калугина Е. В., ИП, г. Оренбург</t>
  </si>
  <si>
    <t>Климат, ООО, г. Ижевск</t>
  </si>
  <si>
    <t>Кривко О.Н., ИП, Орск</t>
  </si>
  <si>
    <t>Криволап С.А. ИП, Сызрань</t>
  </si>
  <si>
    <t>Крона, ООО, Самара</t>
  </si>
  <si>
    <t>Курушкина НН, ИП, Самара</t>
  </si>
  <si>
    <t>Лакирев А.Н., ИП, г. Бугуруслан</t>
  </si>
  <si>
    <t>Макарова И.А., ИП,  г. Сызрань</t>
  </si>
  <si>
    <t>Малова Н.Э., ИП, г. Кинель</t>
  </si>
  <si>
    <t>МАРКЕТ, ООО, г.Тольятти</t>
  </si>
  <si>
    <t>Масленников А.Ю., ИП, г. Киров</t>
  </si>
  <si>
    <t>Машснабкомплект, ООО, г. Киров</t>
  </si>
  <si>
    <t>М-Групп, ООО, Самара</t>
  </si>
  <si>
    <t>Нептун, ООО, г. Димитровград</t>
  </si>
  <si>
    <t>Никашин К.Г., ИП, г. Ульяновск</t>
  </si>
  <si>
    <t>Нимакс, ООО, Тольятти</t>
  </si>
  <si>
    <t>Окна Алмаз, ООО, г. Димитровград</t>
  </si>
  <si>
    <t>Ольшевский В.Б., ИП, г. Бузулук</t>
  </si>
  <si>
    <t>ОПТТОРГ, ООО, г. Сызрань</t>
  </si>
  <si>
    <t>Оренбургская растворно-бетонная компания №3, АО, г. Оренбург</t>
  </si>
  <si>
    <t>ОТК, ООО, г. Ижевск</t>
  </si>
  <si>
    <t>Пахомов О.М. ИП, Тольятти</t>
  </si>
  <si>
    <t>Первомай, ООО, пгт.Ува</t>
  </si>
  <si>
    <t>Перспектива, ООО, г. Ижевск</t>
  </si>
  <si>
    <t>ПЛАНЕТА ТЕПЛА ООО, Оренбург</t>
  </si>
  <si>
    <t>РВК-Оренбург, ООО, Оренбург</t>
  </si>
  <si>
    <t>Рыжаков Д.А., ИП, г. Бузулук</t>
  </si>
  <si>
    <t>Сантех-заказ, ООО, Киров</t>
  </si>
  <si>
    <t>Сантехкомплект, ООО, г. Оренбург</t>
  </si>
  <si>
    <t>САНТЕХКОМПЛЕКТ, ООО, г.Ульяновск</t>
  </si>
  <si>
    <t>Сантехник плюс, ООО, Ульяновск</t>
  </si>
  <si>
    <t>Сантехника 888, ООО, Киров</t>
  </si>
  <si>
    <t>Сантехторг ТД ,ООО, Тольятти</t>
  </si>
  <si>
    <t>Сантрейд, ООО, г. Ижевск</t>
  </si>
  <si>
    <t>СВСервис, ООО, г. Самара</t>
  </si>
  <si>
    <t>Смитиенко Е.В. ИП, Оренбург</t>
  </si>
  <si>
    <t>Стойко С.В. ИП, Оренбург</t>
  </si>
  <si>
    <t>СТРОЙГРУПП ООО, Ижевск</t>
  </si>
  <si>
    <t>СтройТех, ООО, г. Сарапул</t>
  </si>
  <si>
    <t>Субеев Р.Э., ИП, Похвистнево</t>
  </si>
  <si>
    <t>СуперСтрой, ООО, Оренбург</t>
  </si>
  <si>
    <t>ТвинСнаб, ООО, г. Самара</t>
  </si>
  <si>
    <t>ТВК, ООО, Оренбург</t>
  </si>
  <si>
    <t>ТеплоСити, ООО, г. Самара</t>
  </si>
  <si>
    <t>ТермоДом56 ООО, Оренбург</t>
  </si>
  <si>
    <t>Техномир, ООО, г.Ульяновск</t>
  </si>
  <si>
    <t>ТЕХНОСНАБ, ООО, г. Тольятти</t>
  </si>
  <si>
    <t>Торгстрой, ООО, Самара</t>
  </si>
  <si>
    <t>Трефилов А.О., ИП, пгт.Смышляевка</t>
  </si>
  <si>
    <t>Удалов Е.Е., ИП, г. Самара</t>
  </si>
  <si>
    <t>Хохлов Д.А., ИП, г. Ульяновск</t>
  </si>
  <si>
    <t>Цыркин Л.З., ИП, г. Оренбург</t>
  </si>
  <si>
    <t>Шайхутдинова Г.Х, ИП, Самара</t>
  </si>
  <si>
    <t>Шевляков А.Г., ИП, г. Оренбург</t>
  </si>
  <si>
    <t>Ястребова Е.А.,ИП, г.Ульяновск</t>
  </si>
  <si>
    <t>Ареал-С, ООО, Псков</t>
  </si>
  <si>
    <t>Главхозторг, ООО, Энгельс</t>
  </si>
  <si>
    <t>МастерПроф,  ООО, г. Санкт-Петербург</t>
  </si>
  <si>
    <t>Текс-Нева опт, ООО, Санкт-Петербург</t>
  </si>
  <si>
    <t>Акведук, ООО, Санкт-Петербург</t>
  </si>
  <si>
    <t>Бавария плюс ремонт, ООО, Мурманск</t>
  </si>
  <si>
    <t>БалтТрубДеталь, ООО, Санкт-Петербург</t>
  </si>
  <si>
    <t>Боленков В.И., ИП, г.Мурманск</t>
  </si>
  <si>
    <t>Галс, ООО, Санкт-Петербург</t>
  </si>
  <si>
    <t>Град ТД, ООО, Санкт-Петербург</t>
  </si>
  <si>
    <t>Ивис, ООО, Санкт-Петербург</t>
  </si>
  <si>
    <t>Максипайп, ООО, Санкт-Петербург</t>
  </si>
  <si>
    <t>Насоскомплект, ООО, Петрозаводск</t>
  </si>
  <si>
    <t>Невзоров АА, ИП, Санкт-Петербург</t>
  </si>
  <si>
    <t>Ника, ООО, Санкт-Петербург</t>
  </si>
  <si>
    <t>Орлова ЛН, ИП, Санкт-Петербург</t>
  </si>
  <si>
    <t>Ростехнология, ООО, Санкт-Петербург</t>
  </si>
  <si>
    <t>Сантехпроф онего, ООО, Петрозаводск</t>
  </si>
  <si>
    <t>СантехТайм, ООО, Санкт-Петербург</t>
  </si>
  <si>
    <t>Северный Мир, ООО, Санкт-Петербург</t>
  </si>
  <si>
    <t>СитиСтройРесурс, ООО, Санкт-Петербург</t>
  </si>
  <si>
    <t>СПАРТА, ООО, Санкт-Петербург</t>
  </si>
  <si>
    <t>Стим, ООО, Санкт-Петербург</t>
  </si>
  <si>
    <t>Тепло маркет, ООО, Санкт-Петербург</t>
  </si>
  <si>
    <t>Титан, ООО, Санкт-Петербург</t>
  </si>
  <si>
    <t>ТС, ООО, Санкт-Петербург</t>
  </si>
  <si>
    <t>Фантек, ООО, Санкт-Петербург</t>
  </si>
  <si>
    <t>ВЕЗЕР ТРЕЙДИНГ, ООО, Санкт-Петербург</t>
  </si>
  <si>
    <t>Агалакова ИА, ИП, Петрозаводск</t>
  </si>
  <si>
    <t>Архпромкомплект ПСК, ООО, Архангельск</t>
  </si>
  <si>
    <t>Булатов КМ, ИП, Санкт-Петербург</t>
  </si>
  <si>
    <t>ГЛОБАЛТЭК, ООО, Санкт-Петербург</t>
  </si>
  <si>
    <t>ГРУППА ОВК, ООО, Санкт-Петербург</t>
  </si>
  <si>
    <t>ИВАТЭК, ООО, Санкт-Петербург</t>
  </si>
  <si>
    <t>ИНСТАЛ, ООО - ИЦ, Псков</t>
  </si>
  <si>
    <t>КСМ ООО, Санкт-Петербург</t>
  </si>
  <si>
    <t>КТК-РТИ, ООО, Санкт-Петербург</t>
  </si>
  <si>
    <t>МДТ, ООО, Санкт-Петербурге</t>
  </si>
  <si>
    <t>МЕТПРОК, ООО, Санкт-Петербург</t>
  </si>
  <si>
    <t>Новпайп, ООО, В.Новгород</t>
  </si>
  <si>
    <t>ПЕТРОКОМПЛЕКТ КОМПАНИЯ, ООО, Санкт-Петербург (НЕ ГРУЗИТЬ)</t>
  </si>
  <si>
    <t>ПромЭкстра, ООО, Псков</t>
  </si>
  <si>
    <t>РСТ, ООО, Пушкин</t>
  </si>
  <si>
    <t>Рувинил СЗ, ООО, Санкт-Петербург</t>
  </si>
  <si>
    <t>СанТехОптКоми, ООО, Сыктывкар</t>
  </si>
  <si>
    <t>СИНАТЭК, ООО, Санкт-Петербург</t>
  </si>
  <si>
    <t>ТД Электротехмонтаж, ООО, Санкт-Петербург</t>
  </si>
  <si>
    <t>ТИМАКВА, ООО, Санкт-Петербург</t>
  </si>
  <si>
    <t>ТОРГОВЫЙ ДОМ ЛТТ,ООО, Санкт-Петербург</t>
  </si>
  <si>
    <t>Торговый дом Термекс, ООО, Тосно</t>
  </si>
  <si>
    <t>УНР-528  Сантехмонтаж-62 Фирма, ООО, Лен.обл</t>
  </si>
  <si>
    <t>ЦЕНТРУМ, ООО, Санкт-Петербург</t>
  </si>
  <si>
    <t>ЦСК ТД, ООО, Петрозаводск</t>
  </si>
  <si>
    <t>ЭКО-КОМПЛЕКС,ООО, Коми</t>
  </si>
  <si>
    <t>АДЭЛЬ, ООО, Санкт-Петербург</t>
  </si>
  <si>
    <t>Аква-Снаб, ООО, Санкт-Петербург</t>
  </si>
  <si>
    <t>АНТАРЕС ООО, Санкт-Петербург</t>
  </si>
  <si>
    <t>Антеро, ООО, Санкт-Петербург</t>
  </si>
  <si>
    <t>Брик, ООО, Санкт-Петербург</t>
  </si>
  <si>
    <t>Бурганшин ЕИ, ИП, Калининград</t>
  </si>
  <si>
    <t>Горизонт, ООО, Санкт-Петербург</t>
  </si>
  <si>
    <t>Иларт, ООО, Санкт-Петербург</t>
  </si>
  <si>
    <t>Инженерные Системы Монтаж, ООО, Калининград</t>
  </si>
  <si>
    <t>Креативные Решения, ООО, Санкт-Петербург</t>
  </si>
  <si>
    <t>Курынов СН, ИП, Калининград</t>
  </si>
  <si>
    <t>Кушнир АВ, ИП, Санкт-Петербург</t>
  </si>
  <si>
    <t>Макарова ЮВ, ИП, Санкт-Петербург</t>
  </si>
  <si>
    <t>Минимакс, ООО, Санкт-Петербург</t>
  </si>
  <si>
    <t>Напор, ООО, Санкт-Петербург</t>
  </si>
  <si>
    <t>Нова Газ, ООО, Санкт-Петербург</t>
  </si>
  <si>
    <t>НПП Тепловое оборудование, ООО, Санкт-Петербург</t>
  </si>
  <si>
    <t>Нэро Трейд, ООО, Всеволожск</t>
  </si>
  <si>
    <t>Омега, ООО, Санкт-Петербург</t>
  </si>
  <si>
    <t>ОптКомплект, ООО, Санкт-Петербург</t>
  </si>
  <si>
    <t>Перспектива, ООО, Санкт-Петербург</t>
  </si>
  <si>
    <t>Приоритет Инжиниринг, ООО, Санкт-Петербург</t>
  </si>
  <si>
    <t>ПРОФСАН-СПБ, ООО, Санкт-Петербург</t>
  </si>
  <si>
    <t>ПСК КОМПЛЕКС, ООО, Санкт-Петербург</t>
  </si>
  <si>
    <t>РайтБиз, ООО, Санкт-Петербург</t>
  </si>
  <si>
    <t>Рекорд, ООО, Санкт-Петербург</t>
  </si>
  <si>
    <t>РУБЕЖ, ООО, Санкт-Петербург</t>
  </si>
  <si>
    <t>Санат Инжиниринг, ООО, Санкт-Петербург</t>
  </si>
  <si>
    <t>САНЕКСТ, ООО, Санкт-Петербург</t>
  </si>
  <si>
    <t>СантехОпт, ООО, Калининград</t>
  </si>
  <si>
    <t>СВК-Комплектация, ООО, Санкт-Петербург</t>
  </si>
  <si>
    <t>Серкизюк АВ, ИП, Санкт-Петербург</t>
  </si>
  <si>
    <t>СЗГАЗ, ООО, Санкт-Петербург</t>
  </si>
  <si>
    <t>СЗИК (Северо-Западная Инжиниринговая компания), ООО, Санкт-Петербург</t>
  </si>
  <si>
    <t>СК ВЕН, ООО, Красное Село</t>
  </si>
  <si>
    <t>СТК-КОМПЛЕКТАЦИЯ, ООО, Санкт-Петербург</t>
  </si>
  <si>
    <t>Трамп СПБ, ООО, Санкт-Петербург</t>
  </si>
  <si>
    <t>ТСН, ООО, Санкт-Петербург</t>
  </si>
  <si>
    <t>Формат тепла, ООО, Санкт-Петербург</t>
  </si>
  <si>
    <t>Хемкор Северо-Запад, ООО, Санкт-Петербург</t>
  </si>
  <si>
    <t>ЦИС, ООО, Санкт-Петербург</t>
  </si>
  <si>
    <t>Штакес ДВ, ИП, Калининград</t>
  </si>
  <si>
    <t>Акватория, ООО, Вологда</t>
  </si>
  <si>
    <t>Артелия, ООО, Санкт-Петербург</t>
  </si>
  <si>
    <t>ВЕРКМАН, ООО, Санкт-Петербург</t>
  </si>
  <si>
    <t>ВММоторсервис, ООО, Санкт-Петербург</t>
  </si>
  <si>
    <t>Гром, ООО, Санкт-Петербург</t>
  </si>
  <si>
    <t>Дюйм и К, ООО, Калининград</t>
  </si>
  <si>
    <t>Иванова ЕВ, ИП, Санкт-Петербург</t>
  </si>
  <si>
    <t>ИННОТЕХ, ООО, Санкт-Петербург</t>
  </si>
  <si>
    <t>Карачевцев АА, ИП, Санкт-Петербург</t>
  </si>
  <si>
    <t>Крона, ООО, Санкт-Петербург</t>
  </si>
  <si>
    <t>Милешина ОС, ИП, Санкт-Петербург</t>
  </si>
  <si>
    <t>Онг ЭБ, ИП, Санкт-Петербург</t>
  </si>
  <si>
    <t>Паскалов ПА, ИП, Санкт-Петербург</t>
  </si>
  <si>
    <t>Пластикор, ООО, Санкт-Петербург</t>
  </si>
  <si>
    <t>Реконь, ООО, Санкт-Петербург</t>
  </si>
  <si>
    <t>Север Град, ООО, Санкт-Петербург</t>
  </si>
  <si>
    <t>СПб Завод ЭММ, ООО, Санкт-Петербург</t>
  </si>
  <si>
    <t>СТМ, ООО, Ярославль</t>
  </si>
  <si>
    <t>СтройСнаб, ООО, Великий Новгород</t>
  </si>
  <si>
    <t>Топтан, ООО, Санкт-Петербург</t>
  </si>
  <si>
    <t>ШефГарант ПИК, ООО, Санкт-Петербург</t>
  </si>
  <si>
    <t>Штоф, ООО, Санкт-Петербург</t>
  </si>
  <si>
    <t>Аделина Компания, ООО, Кемерово</t>
  </si>
  <si>
    <t>Аква-Сети ТД, ООО, Новосибирск (не использовать)</t>
  </si>
  <si>
    <t>Аква-сити, ООО, Иркутск</t>
  </si>
  <si>
    <t>Билмарт, ООО, Якутск</t>
  </si>
  <si>
    <t>Дружининская МА, ИП, Томск</t>
  </si>
  <si>
    <t>Заболотский КА, ИП, Бийск</t>
  </si>
  <si>
    <t>Инвестком, ООО, Новосибирск</t>
  </si>
  <si>
    <t>Караульщиков ВЕ, ИП, Кемерово</t>
  </si>
  <si>
    <t>Компания ВАТ, ООО, Барнаул</t>
  </si>
  <si>
    <t>Компания Ремлюкс-НСК, ООО, Новосибирск</t>
  </si>
  <si>
    <t>Компания Футбол +, ООО, Томск</t>
  </si>
  <si>
    <t>Крайс терминал, ООО, Иркутск</t>
  </si>
  <si>
    <t>Миноченко Дмитрий</t>
  </si>
  <si>
    <t>Несвитов Владимир Викторович, ИП, Камчатский край</t>
  </si>
  <si>
    <t>НИССА ООО, Бийск</t>
  </si>
  <si>
    <t>Попова АП, ИП, Якутск</t>
  </si>
  <si>
    <t>Сантехресурс Компания, ООО, Кемерово</t>
  </si>
  <si>
    <t>СантехЭлектроМонтаж, ООО, Чита</t>
  </si>
  <si>
    <t>Сверкунов ВЮ, ИП, Чита</t>
  </si>
  <si>
    <t>СГК, ООО, Новосибирск</t>
  </si>
  <si>
    <t>Теплогаз, ООО, Якутск</t>
  </si>
  <si>
    <t>Томскагроснаб, ООО, Томск</t>
  </si>
  <si>
    <t>ЦСИО Теплофф, ООО, Красноярск</t>
  </si>
  <si>
    <t>Энергоснаб, ООО, Новоалтайск</t>
  </si>
  <si>
    <t>Агейченко ОА, ИП, Новокузнецк</t>
  </si>
  <si>
    <t>Аква-Терм, ООО, Кемерово</t>
  </si>
  <si>
    <t>Аксиома, ООО, Красноярск</t>
  </si>
  <si>
    <t>АЛТАЙСНАБ, ООО, Барнаул</t>
  </si>
  <si>
    <t>Альтернатива, ООО, Мирный</t>
  </si>
  <si>
    <t>Андромеда, ООО, Новосибирск</t>
  </si>
  <si>
    <t>Бадаева СВ, ИП, Якутск</t>
  </si>
  <si>
    <t>БарнаулТорг, ООО, Барнаул (не использовать)</t>
  </si>
  <si>
    <t>Бастракова ОГ, ИП, Красноярск</t>
  </si>
  <si>
    <t>ДМС, ООО, Бердск</t>
  </si>
  <si>
    <t>Ендальцев СГ, ИП, Анадырь</t>
  </si>
  <si>
    <t>Ендальцева НК, ИП, Анадырь</t>
  </si>
  <si>
    <t>Козлов АБ, ИП, Кемерово</t>
  </si>
  <si>
    <t>Кузнецов СА, ИП, Хабаровск</t>
  </si>
  <si>
    <t>Лидер, ООО, Красноярск</t>
  </si>
  <si>
    <t>Мещеряков АВ, ИП, Кемерово</t>
  </si>
  <si>
    <t>Мима ЮВ, ИП, Красноярск</t>
  </si>
  <si>
    <t>Новотерм, ООО, Новокузнецк</t>
  </si>
  <si>
    <t>Сокольников АН, ИП, Якутск</t>
  </si>
  <si>
    <t>СТК-Сибирь, ООО, Новосибирск</t>
  </si>
  <si>
    <t>Стройсантехторг, ООО, Новокузнецк</t>
  </si>
  <si>
    <t>Таран ОВ, ИП, Томск</t>
  </si>
  <si>
    <t>Тепловоз, ООО, Новосибирск</t>
  </si>
  <si>
    <t>Теплоград, ООО, торгово-монтажная фирма, Томск</t>
  </si>
  <si>
    <t>ТМК Контур, ООО, Барнаул</t>
  </si>
  <si>
    <t>ТТК, ООО, Томск</t>
  </si>
  <si>
    <t>Хозкомплект Оптовая Фирма, ООО, Красноярск (не использовать)</t>
  </si>
  <si>
    <t>Шершнев ВГ, ИП, Новосибирск</t>
  </si>
  <si>
    <t>Шляндин АЕ, ИП, Красноярск</t>
  </si>
  <si>
    <t>ГАЗТЕХСЕРВИС,ООО, Хабаровск</t>
  </si>
  <si>
    <t>Исламгунов П.Н., ИП, с. Смоленка</t>
  </si>
  <si>
    <t>Ким НЭ, ИП, Уссурийск</t>
  </si>
  <si>
    <t>Компания Аква Мастер, ООО, Хабаровск</t>
  </si>
  <si>
    <t>Куропаткин В.В. ИП, Южно-Сахалинск</t>
  </si>
  <si>
    <t>Макаренко И.А. ИП, г. Владивосток</t>
  </si>
  <si>
    <t>МегаоптВЛ, ООО, Владивосток</t>
  </si>
  <si>
    <t>Метиз комплект, ООО, Хабаровск</t>
  </si>
  <si>
    <t>ОВК, ООО, Хабаровск</t>
  </si>
  <si>
    <t>СК МОНОЛИТ, ООО, Южно- Сахалинск</t>
  </si>
  <si>
    <t>СМ-ГРУПП, ООО, Хабаровск</t>
  </si>
  <si>
    <t>Тетельбаум ЕИ,ИП, Холмск</t>
  </si>
  <si>
    <t>Аникеев АА, ИП, Юрга</t>
  </si>
  <si>
    <t>Атмосфера тепла, ООО, Кемерово</t>
  </si>
  <si>
    <t>Ахрамович АА, ИП, Зея</t>
  </si>
  <si>
    <t>Бриллиант Сибири, ООО, Новосибирск</t>
  </si>
  <si>
    <t>Воронина АЮ, ИП, Мирный</t>
  </si>
  <si>
    <t>Залеев РА, ИП, Топки</t>
  </si>
  <si>
    <t>Золотов НВ, ИП, Свободный</t>
  </si>
  <si>
    <t>Лишутин АВ, ИП, Красноярск</t>
  </si>
  <si>
    <t>Михайлов ОВ, ИП, Покровск</t>
  </si>
  <si>
    <t>Мордасов АП, ИП, Новая Чара</t>
  </si>
  <si>
    <t>Подшивалова ОФ, ИП, Алдан</t>
  </si>
  <si>
    <t>СантехСтрой, ООО, Новокузнецк</t>
  </si>
  <si>
    <t>Федотов АВ, ИП, Кисилевск</t>
  </si>
  <si>
    <t>Червинский СВ, ИП, Ленинск-Кузнецкий</t>
  </si>
  <si>
    <t>Алма компания, ООО, Бийск</t>
  </si>
  <si>
    <t>Крафтторг, ООО, Новосибирск</t>
  </si>
  <si>
    <t>Павлова ОМ, ИП, Гусиноозерск</t>
  </si>
  <si>
    <t>ТОРГОВЫЙ ДОМ ЗОДЧИЙ, ООО, Южно-Сахалинск</t>
  </si>
  <si>
    <t>Цареградский АВ, ИП, Абакан</t>
  </si>
  <si>
    <t>Аквадион, ООО, Новосибирск</t>
  </si>
  <si>
    <t>Алтайская Деловая Компания ООО, г.Барнаул</t>
  </si>
  <si>
    <t>Андреев Р.Ю.,ИП,г. Усть-Илимск</t>
  </si>
  <si>
    <t>Армасети ТД, ООО, Новосибирск</t>
  </si>
  <si>
    <t>Батис, ООО, Новосибирск</t>
  </si>
  <si>
    <t>Васильев Евгений Валерьевич, ИП, Новосибирск</t>
  </si>
  <si>
    <t>ВЕКТОР, ООО, Барнаул</t>
  </si>
  <si>
    <t>Велес, ООО, Бийск</t>
  </si>
  <si>
    <t>Ганин РК, ИП, Бодайбо</t>
  </si>
  <si>
    <t>Гектор, ООО, Новосибирск</t>
  </si>
  <si>
    <t>ГРАНИТ, ООО, Усть-Илимск</t>
  </si>
  <si>
    <t>Гусев Николай Иванович ИП, Яйский район</t>
  </si>
  <si>
    <t>ИнженерСтрой,ООО,Новосибирск</t>
  </si>
  <si>
    <t>КИТ, ООО, Красноярск</t>
  </si>
  <si>
    <t>Компания Тепломакс ООО, Владивосток</t>
  </si>
  <si>
    <t>КПД сервис, ООО, Новосибирск</t>
  </si>
  <si>
    <t>Кронос-Групп, ООО, Новокузнецк</t>
  </si>
  <si>
    <t>Кузьмина Н.В, ИП, Иркутск</t>
  </si>
  <si>
    <t>Лаборатория тепла, ООО, Новосибирск</t>
  </si>
  <si>
    <t>Медяников ЮН, ИП, Новосибирск</t>
  </si>
  <si>
    <t>Мовсисян АВ, ИП, Могоча</t>
  </si>
  <si>
    <t>МОНОЛИТ, ООО, Усть-Илимск</t>
  </si>
  <si>
    <t>Мошкирев СА, ИП, Иркутск</t>
  </si>
  <si>
    <t>Нижник ИВ, ИП, Томск</t>
  </si>
  <si>
    <t>Одиссей, ООО, Барнаул</t>
  </si>
  <si>
    <t>ОПТПЛАСТ, ООО, Омск</t>
  </si>
  <si>
    <t>Пермяков С.М., ИП, Новосибирск</t>
  </si>
  <si>
    <t>Пунтусова ЕЮ, ИП, Иркутск</t>
  </si>
  <si>
    <t>Резных АМ, ИП, Иркутск</t>
  </si>
  <si>
    <t>Рейдер Владимир Яковлевич,ИП,Барнаул</t>
  </si>
  <si>
    <t>Самохин АЛ, ИП, Уссурийск</t>
  </si>
  <si>
    <t>Сантехническая Компания, ООО, Красноярск</t>
  </si>
  <si>
    <t>Сантех-плюс, ООО, Новосибирск</t>
  </si>
  <si>
    <t>Семенов А.В, ИП, Новосибирск</t>
  </si>
  <si>
    <t>СТК, ООО, Барнаул</t>
  </si>
  <si>
    <t>Стройконтинент, ООО, Барнаул</t>
  </si>
  <si>
    <t>Сучков АН, ИП, Красногорск</t>
  </si>
  <si>
    <t>ТД Трианон, ООО, Новосибирск</t>
  </si>
  <si>
    <t>Теплолюкс-Иркутск, ООО, Иркутск</t>
  </si>
  <si>
    <t>Теплый дом,ООО,г.Усть-Илимск</t>
  </si>
  <si>
    <t>Трубопроводные системы, ООО, Новосибирск</t>
  </si>
  <si>
    <t>Элтек ТД, ООО, Кемерово</t>
  </si>
  <si>
    <t>ЭНЕРГОТЕХМОНТАЖ, ООО, Барнаул</t>
  </si>
  <si>
    <t>Апк Траск, ООО, Новосибирск</t>
  </si>
  <si>
    <t>Водолей-Трейд, ООО, Красноярск</t>
  </si>
  <si>
    <t>Гранит, ООО, Чита</t>
  </si>
  <si>
    <t>Иванов НС, ИП, Томмот</t>
  </si>
  <si>
    <t>Коммунальник, АО, Чита</t>
  </si>
  <si>
    <t>Красулин ВВ, ИП, Барнаул</t>
  </si>
  <si>
    <t>Металл Торг, ООО, Якутск</t>
  </si>
  <si>
    <t>Сантекс ТД, ООО, Иркутск</t>
  </si>
  <si>
    <t>Сантех-Восток, ООО, Якутск</t>
  </si>
  <si>
    <t>Слепченко ВВ, ИП, Красноярск</t>
  </si>
  <si>
    <t>Строй-Маркет-К, ООО, Кемерово</t>
  </si>
  <si>
    <t>Тис Оптовая компания, ООО, Новосибирск</t>
  </si>
  <si>
    <t>Безменова ЛВ, ИП, Якутск</t>
  </si>
  <si>
    <t>Горбачевский СВ, ИП, Бердск</t>
  </si>
  <si>
    <t>Гуля-Яновская ЛА, ИП, Улан-Удэ</t>
  </si>
  <si>
    <t>Инженерные Системы, ООО, Хабаровск</t>
  </si>
  <si>
    <t>Лапин ЕВ, ИП, Барнаул</t>
  </si>
  <si>
    <t>Лядов НА, ИП, Омск</t>
  </si>
  <si>
    <t>МаксиСтрой, ООО, Иркутск</t>
  </si>
  <si>
    <t>Кабанова НГ, ИП, Вилючинск</t>
  </si>
  <si>
    <t>Немков АС, ИП, Улан-Удэ</t>
  </si>
  <si>
    <t>Пивень ОА, ИП, Рубцовск</t>
  </si>
  <si>
    <t>Тимофеев ММ, ИП, Якутск</t>
  </si>
  <si>
    <t>Гидротерм-ДВ, ООО, г. Хабаровск</t>
  </si>
  <si>
    <t>Дудоров СВ, ИП, Хабаровск</t>
  </si>
  <si>
    <t>Траст-ДВ, ООО, г.Хабаровск</t>
  </si>
  <si>
    <t>Пьянкова А.И., ИП, г. Хабаровск</t>
  </si>
  <si>
    <t>АА РУФЦЕНТР, ООО, Новосибирск</t>
  </si>
  <si>
    <t>АкваАльянс ООО, Иркутск</t>
  </si>
  <si>
    <t>БайкалПром, ООО, Иркутск</t>
  </si>
  <si>
    <t>Бакор, ООО, Рубцовск</t>
  </si>
  <si>
    <t>Гальцов АВ, ИП, Новосибирск</t>
  </si>
  <si>
    <t>Жунусов Ринат Александрович, ИП, Омск</t>
  </si>
  <si>
    <t>Калинин ВИ, ИП, Магадан</t>
  </si>
  <si>
    <t>Косых СК, ИП, Иркутск</t>
  </si>
  <si>
    <t>Кратос ТД, ООО, Омск</t>
  </si>
  <si>
    <t>Лещев ВВ, ИП, Барнаул</t>
  </si>
  <si>
    <t>МИР САНТЕХНИКИ, ООО, Петропавловск-Камчатский</t>
  </si>
  <si>
    <t>Михалева ИА, ИП, Бийск</t>
  </si>
  <si>
    <t>Перемыкин АВ, ИП, Новосибирск</t>
  </si>
  <si>
    <t>Полярник, ООО, Иркутск</t>
  </si>
  <si>
    <t>Прокопенко НВ, ИП, Новосибирск</t>
  </si>
  <si>
    <t>Стройторг, ООО, Иркутск</t>
  </si>
  <si>
    <t>Теплоарматура, ООО, Улан-Удэ</t>
  </si>
  <si>
    <t>Холдинг ВелКом, ООО, Омск</t>
  </si>
  <si>
    <t>Черных СА, ИП, Новосибирск</t>
  </si>
  <si>
    <t>ЭКО-ДЕКО, ООО, Барнаул</t>
  </si>
  <si>
    <t>ИНЖЕНЕР ТЕПЛОТЕХНИК,ООО,г. Петропавловск-Камчатский</t>
  </si>
  <si>
    <t>Азимов Охун Джураевич ИП, г. Сургут</t>
  </si>
  <si>
    <t>Аква-мастер, ООО, Екатеринбург</t>
  </si>
  <si>
    <t>Арефьев Николай Николаевич, ИП, г.Тобольск</t>
  </si>
  <si>
    <t>БАУСНАБ, ООО, Екатеринбург</t>
  </si>
  <si>
    <t>Боровинских Антон Александрович, ИП, Екатеринбург</t>
  </si>
  <si>
    <t>БОТАЛОВА ОА, ООО, Екатеринбург</t>
  </si>
  <si>
    <t>ВЕСТЕР ООО, Г. Тюмень</t>
  </si>
  <si>
    <t>Губин Андрей Александрович, ИП, Ялуторовск</t>
  </si>
  <si>
    <t>Дельта-Тюмень, ООО, Тюмень</t>
  </si>
  <si>
    <t>Елькина Наталья Викторовна, ИП, Сургут</t>
  </si>
  <si>
    <t>Журавлев Виктор Сергеевич, ИП, Заводоуковск</t>
  </si>
  <si>
    <t>Змановский Олег Игоревич, ИП, Ханты-Мансийск</t>
  </si>
  <si>
    <t>Кадочников Сергей Геннадьевич, ИП, Новый Уренгой</t>
  </si>
  <si>
    <t>Клещев Иван Васильевич, ИП, д.Мельникова</t>
  </si>
  <si>
    <t>Мулин Николай Иванович, ИП, Пермь</t>
  </si>
  <si>
    <t>НЕПТУН-УРАЛ, ООО, Екатеринбург</t>
  </si>
  <si>
    <t>НТЦ СИБВЕНТ ООО, г. Тюмень</t>
  </si>
  <si>
    <t>Овчинников Валерий Иванович, ИП, Екатеринбург</t>
  </si>
  <si>
    <t>Овчинников Иван Валерьевич, ИП, г. Соликамск</t>
  </si>
  <si>
    <t>ОРБИТА, ООО, п. Рефтинский</t>
  </si>
  <si>
    <t>ПИКО, ООО, Нижневартовск</t>
  </si>
  <si>
    <t>ПЭС, ООО, Нижневартовск</t>
  </si>
  <si>
    <t>РЕГИОНТОРГ, ООО,  Курган</t>
  </si>
  <si>
    <t>РЕСАН, ООО, Пермь</t>
  </si>
  <si>
    <t>Савельев Валерий Иванович ИП, г. Пермь</t>
  </si>
  <si>
    <t>Сантехком ТД, ООО, Екатеринбург</t>
  </si>
  <si>
    <t>Сантехкомплект-Прикамье, ООО, Пермь</t>
  </si>
  <si>
    <t>СМИРНОВ БЭТТЕРИЗ, ООО, Екатеринбург</t>
  </si>
  <si>
    <t>СТК-РЕГИОНЫ, ООО, Екатеринбург</t>
  </si>
  <si>
    <t>Строительный двор, ООО, Тюмень</t>
  </si>
  <si>
    <t>СТРОЙБЕРГ, ООО, Челябинск</t>
  </si>
  <si>
    <t>ТГС, ООО, Сургут</t>
  </si>
  <si>
    <t>ТеплоВод ООО, г. Тюмень</t>
  </si>
  <si>
    <t>ТЕРМОХИТ ООО, г. Тюмень</t>
  </si>
  <si>
    <t>Технодом ООО, г. Тюмень</t>
  </si>
  <si>
    <t>Трубин Валерий Николаевич, ИП, Нижневартовск</t>
  </si>
  <si>
    <t>ЦТС-ОВК, ООО, Екатеринбург</t>
  </si>
  <si>
    <t>ЮНИОН ООО, г.Екатеринбург</t>
  </si>
  <si>
    <t>АКВАСЕРВИС, ООО, Челябинск</t>
  </si>
  <si>
    <t>ВОДОМЕР, ООО, Магнитогорск</t>
  </si>
  <si>
    <t>ГАЗСНАБУРАЛ, ООО, Челябинск</t>
  </si>
  <si>
    <t>ГОВК, ООО, Челябинск</t>
  </si>
  <si>
    <t>Жданов Андрей Александрович, ИП, Шадринск</t>
  </si>
  <si>
    <t>КОМПАНИЯ ТЕПЛОГРАДЪ, ООО, Тюмень</t>
  </si>
  <si>
    <t>Крестников Александр Игоревич, ИП, Челябинск</t>
  </si>
  <si>
    <t>Мешкова Светлана Геннадьевна, ИП, Озерск</t>
  </si>
  <si>
    <t>Мусиенко ЮЮ, ИП, Курган</t>
  </si>
  <si>
    <t>ОВКМ, ООО, Челябинск</t>
  </si>
  <si>
    <t>Олецкая АА, ИП, Курган</t>
  </si>
  <si>
    <t>Павлов Михаил Викторович, ИП, Касли</t>
  </si>
  <si>
    <t>ПАРТНЁР.РУ ООО, Екатеринбург</t>
  </si>
  <si>
    <t>Пекельный Евгений Викторович, ИП, Курган</t>
  </si>
  <si>
    <t>ПКФ НАНО-СТРОЙ, ООО, Челябинск</t>
  </si>
  <si>
    <t>Салимов Геннадий Гаптрауфович. ИП, Тобольск</t>
  </si>
  <si>
    <t>СанТехМир, ООО, Екатеринбург</t>
  </si>
  <si>
    <t>Сантехурал ТД, ООО, Челябинск</t>
  </si>
  <si>
    <t>СК ЮНИОН, ООО, Челябинск</t>
  </si>
  <si>
    <t>Смирнов АВ, ИП, Курган</t>
  </si>
  <si>
    <t>СТРОЙ МИР, ООО, Миасс</t>
  </si>
  <si>
    <t>СТРОЙКОМПЛЕКТ ТК , ООО, Челябинск</t>
  </si>
  <si>
    <t>Стройлес, ООО, Челябинск</t>
  </si>
  <si>
    <t>ТЕПЛОГРАД УРАЛ, ООО, Тюмень</t>
  </si>
  <si>
    <t>Тепломир, ООО, Магнитогорск</t>
  </si>
  <si>
    <t>Теплоотдача, ООО, Магнитогорск</t>
  </si>
  <si>
    <t>ТЕПЛОПРОМ, ООО, Екатеринбург</t>
  </si>
  <si>
    <t>ТЕРМОСНАБ, ООО, Челябинск</t>
  </si>
  <si>
    <t>Торговая компания Градострой, ООО, Екатеринбург</t>
  </si>
  <si>
    <t>ФОРС ПРОДАКШН, ООО, Челябинск</t>
  </si>
  <si>
    <t>Шунин Виталий Иванович, ИП, Магнитогорск</t>
  </si>
  <si>
    <t>ЭЛВИН, ООО ПКФ, Миасс</t>
  </si>
  <si>
    <t>Якушева Людмила Васильевна ИП, Катайск</t>
  </si>
  <si>
    <t>Афанасьев Ю.В, ИП, Челябинск</t>
  </si>
  <si>
    <t>Бриленков Игорь Сергеевич, ИП, Екатеринбург</t>
  </si>
  <si>
    <t>БРОЗЭКС ТК, ООО, Березовский</t>
  </si>
  <si>
    <t>Клюкин Г.С, ИП, Миасс</t>
  </si>
  <si>
    <t>Кочурин Максим Сергеевич, г. Екатеринбург,</t>
  </si>
  <si>
    <t>Кулагин А.Г, ИП, Екатеринбург</t>
  </si>
  <si>
    <t>Мещеряков СН, ИП, Челябинск</t>
  </si>
  <si>
    <t>ПЛАСТИК 66, ООО, Екатеринбург</t>
  </si>
  <si>
    <t>Попов Юрий Викторович ИП, г.Челябинск</t>
  </si>
  <si>
    <t>САНВЕЛ, ООО, Екатеринбург</t>
  </si>
  <si>
    <t>Сантехлайт, ООО, Екатеринбург</t>
  </si>
  <si>
    <t>САНТЕХРЕСУРС 2000, ООО, Екатеринбург</t>
  </si>
  <si>
    <t>Сикорский Владислав Павлович, ИП, Челябинск</t>
  </si>
  <si>
    <t>СИМАОПТ, ООО, Екатеринбург</t>
  </si>
  <si>
    <t>Синявский Дмитрий Евгеньевич, ИП ,Челябинск</t>
  </si>
  <si>
    <t>ТГ ПАРТНЕР,  ООО, Екатеринбург</t>
  </si>
  <si>
    <t>Теплотэк, ООО, Екатеринбург</t>
  </si>
  <si>
    <t>ТОПГРУПП, ООО, Челябинск</t>
  </si>
  <si>
    <t>Центр Оптовой Торговли, ООО, Екатеринбург</t>
  </si>
  <si>
    <t>АЗБУКА ОТОПЛЕНИЯ ООО, г.Тюмень</t>
  </si>
  <si>
    <t>АЛЬФА, ООО, Новоуральск</t>
  </si>
  <si>
    <t>АЛЬЯНС ООО Екатеринбург инн 6658473818 Пиценко</t>
  </si>
  <si>
    <t>Валеев Мурат Аглямович ИП, г. Пермь</t>
  </si>
  <si>
    <t>Глушков Игорь Юрьевич, ИП , г. Богданович</t>
  </si>
  <si>
    <t>Демитрев Алексей Анатольевич, ИП, г. Ирбит</t>
  </si>
  <si>
    <t>Жигалов Дмитрий Александрович ИП, г.Пермь</t>
  </si>
  <si>
    <t>ИРВИТА ООО, г. Тюмень</t>
  </si>
  <si>
    <t>Королев Игорь Юрьевич ИП, г. Пермь</t>
  </si>
  <si>
    <t>Костарев Михаил Валерьевич, ИП, Пермь</t>
  </si>
  <si>
    <t>Мокринский Сергей Геннадьевич ИП, г.Тюмень</t>
  </si>
  <si>
    <t>НОВАМЕТСТРОЙ ООО, г. Екатеринбург</t>
  </si>
  <si>
    <t>НОВЫЙ МИР ООО, г. Нижний Тагил</t>
  </si>
  <si>
    <t>Подсухина Ольга Владимировна, ИП, Екатеринбург</t>
  </si>
  <si>
    <t>ПТСК ООО, г. Пермь</t>
  </si>
  <si>
    <t>РЕГИОНСНАБХОЛДИНГ, ООО, Екатеринбург</t>
  </si>
  <si>
    <t>Рыжков Николай Леонидович, ИП, Екатеринбург</t>
  </si>
  <si>
    <t>Савицкий Игорь Станиславович, ИП, Кунгур</t>
  </si>
  <si>
    <t>Седлов Алексей Николаевич ИП, г. Пермь</t>
  </si>
  <si>
    <t>Серебряков Дмитрий Андреевич ИП, с.Лобаново</t>
  </si>
  <si>
    <t>Сизиков Владимир Дмитриевич ИП, п. Троицкий</t>
  </si>
  <si>
    <t>СТАЛЬКОНСТРУКЦИЯ-М ООО, г. Пермь</t>
  </si>
  <si>
    <t>СТКС-ПЕРМЬ ООО, г. Пермь</t>
  </si>
  <si>
    <t>ТВИН И К ООО, г. Курган</t>
  </si>
  <si>
    <t>ТСК АЛЬЯНС, ООО, Екатеринбург</t>
  </si>
  <si>
    <t>Черенёв Павел Владимирович, ИП, п. Бисерть</t>
  </si>
  <si>
    <t>Шаров Ян Александрович, ИП, Екатеринбург</t>
  </si>
  <si>
    <t>ГАЗСПЕЦСТРОЙСЕРВИС, ООО, Артемовский</t>
  </si>
  <si>
    <t>Ярков Сергей Валериевич ИП, г. Тобольск</t>
  </si>
  <si>
    <t>Бигам-инвест, ООО, Ярославль</t>
  </si>
  <si>
    <t>ВсеИнструменты.ру, ООО, Москва</t>
  </si>
  <si>
    <t>Коновалов Алексей Юрьевич, ИП, Тула</t>
  </si>
  <si>
    <t>КУПИ-КИП, ООО, г.Москва</t>
  </si>
  <si>
    <t>РостКом, ООО, Смоленск</t>
  </si>
  <si>
    <t>РУСХОМУТ, ООО, г.Иваново</t>
  </si>
  <si>
    <t>САНТЕХСТРОМ, ООО, г. Москва</t>
  </si>
  <si>
    <t>Спецприбор-М, ООО, Ярославль.</t>
  </si>
  <si>
    <t>БУГОР ТД, ООО, Владимирская обл.</t>
  </si>
  <si>
    <t>ВМС, ООО, г.Муром</t>
  </si>
  <si>
    <t>КЕНГУРУ-ОПТ, ООО, Иваново</t>
  </si>
  <si>
    <t>Кисапов ИВ, ИП, МО Котельники</t>
  </si>
  <si>
    <t>Комарова С.Ю, ИП, Рязань</t>
  </si>
  <si>
    <t>Макарова ТИ, ИП, Воронеж</t>
  </si>
  <si>
    <t>Малыхин ВВ, ИП, Московская обл</t>
  </si>
  <si>
    <t>МОСОПТТОРГ, ООО, Москва</t>
  </si>
  <si>
    <t>Санинвест, ООО, Мытищи</t>
  </si>
  <si>
    <t>Стихия, ООО, Владимир</t>
  </si>
  <si>
    <t>Строительные технологии, ООО, Владимирская обл.</t>
  </si>
  <si>
    <t>Строй-Мастер, ООО, Владимирская обл.</t>
  </si>
  <si>
    <t>ТЕКОН,ВВ,ООО,Москва</t>
  </si>
  <si>
    <t>ЭКОПРОМКОМПАНИЯ, ООО, Владимирская обл.</t>
  </si>
  <si>
    <t>ЮНИО-ВЕНТ, ООО, г. Москва</t>
  </si>
  <si>
    <t>Баумастер, ООО, Воронеж</t>
  </si>
  <si>
    <t>Беззубикова НН, ИП, Рязань</t>
  </si>
  <si>
    <t>Беларм, ООО, Белгород</t>
  </si>
  <si>
    <t>ГЛАВСНАБ, ООО, Кострома</t>
  </si>
  <si>
    <t>Гончаров А.В., ИП, Орел</t>
  </si>
  <si>
    <t>Ермоленко ДВ, ИП, Калуга</t>
  </si>
  <si>
    <t>Зайцев С.М., ИП, Калуга</t>
  </si>
  <si>
    <t>Каверин Георгий Васильевич, ИП, Москва</t>
  </si>
  <si>
    <t>Лаваль, ООО, Москва</t>
  </si>
  <si>
    <t>ЛЕРУА МЕРЛЕН ВОСТОК, ООО, г.Мытищи</t>
  </si>
  <si>
    <t>Липецк Пласт, ООО, Липецкая обл.</t>
  </si>
  <si>
    <t>Меркурий +,  ООО, Брянск</t>
  </si>
  <si>
    <t>Сантехоптторг Л, ООО, Липецк</t>
  </si>
  <si>
    <t>Север ТДС, ООО, Москва</t>
  </si>
  <si>
    <t>СтройДекор, ООО, Тула</t>
  </si>
  <si>
    <t>Теплотехника ТК, ООО, Курск</t>
  </si>
  <si>
    <t>Техснаб, ООО, Подольск</t>
  </si>
  <si>
    <t>Тришкин И.А., ИП, Брянск</t>
  </si>
  <si>
    <t>Фарфор, ООО, Москва</t>
  </si>
  <si>
    <t>Фланец-Комплект, ООО, Курск</t>
  </si>
  <si>
    <t>ЦИКЛОН, ООО, Мытищи</t>
  </si>
  <si>
    <t>Эльф ГК, ООО, Тула</t>
  </si>
  <si>
    <t>Аим, ООО, Кострома</t>
  </si>
  <si>
    <t>Беляев ИФ, ИП, Воронеж</t>
  </si>
  <si>
    <t>Виноградова НЮ, ИП, Ярославль</t>
  </si>
  <si>
    <t>ГЛАВТЕПЛО, ООО, г,Москва</t>
  </si>
  <si>
    <t>Дом сантехники "Сантехстрой", ООО, Иваново</t>
  </si>
  <si>
    <t>ЖЕЛДОРТЕХПОСТАВКА, ООО, Воронеж</t>
  </si>
  <si>
    <t>Лидер-Сити, ООО, Воронеж</t>
  </si>
  <si>
    <t>Сантехкомпания, ООО, Москва</t>
  </si>
  <si>
    <t>Техснаб, ООО, Иваново</t>
  </si>
  <si>
    <t>ТК-Трейдинг, ООО, Ярославль</t>
  </si>
  <si>
    <t>Томилов ПВ, ИП, Кострома</t>
  </si>
  <si>
    <t>АВВА ГРУПП, ООО, Ставрополь</t>
  </si>
  <si>
    <t>АЗБУКА ТЕПЛА, ООО, Краснодар</t>
  </si>
  <si>
    <t>АКВАКРЫМ, ООО, Крым</t>
  </si>
  <si>
    <t>Андриенко СВ, ИП, Ставрополь</t>
  </si>
  <si>
    <t>Ас, ООО, Владикавказ</t>
  </si>
  <si>
    <t>Аушев МХ, ИП, Ингушетия</t>
  </si>
  <si>
    <t>Белокур АВ, ИП, Ростов-на-Дону</t>
  </si>
  <si>
    <t>Богданов М.Г.,ИП, Сочи</t>
  </si>
  <si>
    <t>Веников С.Ф., ИП, Ростов-на-Дону</t>
  </si>
  <si>
    <t>ВОЛГА ПЛАСТ, ООО, Волгоград</t>
  </si>
  <si>
    <t>ГОРИЗОНТ, ООО, Махачкала</t>
  </si>
  <si>
    <t>Гран-При, ООО, Таганрог</t>
  </si>
  <si>
    <t>ГРУППА КОМПАНИЙ ТЕХНОГАЗ, ООО, Ростов-на-Дону</t>
  </si>
  <si>
    <t>Давидов Д.А., ИП, Пятигорск</t>
  </si>
  <si>
    <t>Дахкильгов К.Б., ИП, Карабулак</t>
  </si>
  <si>
    <t>Джабраилов ММ, ИП, Майртуп</t>
  </si>
  <si>
    <t>Еремеева ЛС, ИП, Краснодар</t>
  </si>
  <si>
    <t>Карапетян А.М., ИП, Пятигорск</t>
  </si>
  <si>
    <t>Красотин И.И., ИП, Волгоград</t>
  </si>
  <si>
    <t>КубаньСтройМаркет, ООО, Краснодар</t>
  </si>
  <si>
    <t>Левина Т.М., ИП, Ростов-на-Дону</t>
  </si>
  <si>
    <t>Магомедов М.Р., ИП, Махачкала</t>
  </si>
  <si>
    <t>ОРИЕНТИР, ООО, Волгоград</t>
  </si>
  <si>
    <t>ОРИОН, ООО, Махачкала</t>
  </si>
  <si>
    <t>Османов Р.Т., ИП,  Симферополь</t>
  </si>
  <si>
    <t>Пискунова С.В., ИП, Ставрополь</t>
  </si>
  <si>
    <t>Полтавец ЛВ, ИП, Волгоград</t>
  </si>
  <si>
    <t>Рашитханов ДМ, ИП, Махачкала</t>
  </si>
  <si>
    <t>Санвел, ООО, Краснодар</t>
  </si>
  <si>
    <t>СанТехТрейд, ООО, Краснодар</t>
  </si>
  <si>
    <t>Сантехюг, ООО, Армавир</t>
  </si>
  <si>
    <t>Солодкая НВ, ИП, Краснодар</t>
  </si>
  <si>
    <t>Сорокопудов А.Л., ИП, Краснодар</t>
  </si>
  <si>
    <t>Ставропольстройопторг КПК, АО, Ставрополь</t>
  </si>
  <si>
    <t>Стариков А.В., ИП, Астрахань</t>
  </si>
  <si>
    <t>СТК-ТАГАНРОГ, ООО, Таганрог</t>
  </si>
  <si>
    <t>СТРОЙ-Т, ООО, Москва</t>
  </si>
  <si>
    <t>ТеплоОпт, ООО, Георгиевск</t>
  </si>
  <si>
    <t>Терентьев А.Н., ИП, Краснодар</t>
  </si>
  <si>
    <t>ТЕРМОГРАД-ЮГ, ООО, Грозный</t>
  </si>
  <si>
    <t>Чочиев СВ, ИП, Владикавказ</t>
  </si>
  <si>
    <t>Ярышка ПИ, ИП, Краснодар</t>
  </si>
  <si>
    <t>Яшлян А.В., ИП, Ростов-на-Дону</t>
  </si>
  <si>
    <t>АкваКонтур, ООО, Минск</t>
  </si>
  <si>
    <t>АкваГранд, ООО, Нижний Новгород</t>
  </si>
  <si>
    <t>Григорян СА, ИП, Н.Новгород</t>
  </si>
  <si>
    <t>УСК-ЦЕНТР, ООО, г. Ижевск</t>
  </si>
  <si>
    <t>Батюченко ДП, ИП, Мурманск</t>
  </si>
  <si>
    <t>Сантехлюкс СПб ООО, Санкт-Петербург</t>
  </si>
  <si>
    <t>Козина НГ, ИП, Санкт-Петербург</t>
  </si>
  <si>
    <t>ТД "СТК", ООО, Новосибирск</t>
  </si>
  <si>
    <t>Алексеева Елена Евгеньевна, ИП, г. Пермь</t>
  </si>
  <si>
    <t>Склюев Максим Олегович, ИП, Реж</t>
  </si>
  <si>
    <t>САНТЕХКЛУБ, ООО, Екатеринбург</t>
  </si>
  <si>
    <t>Типаков Игорь Анатольевич,  ИП, Нижневартовск</t>
  </si>
  <si>
    <t>Берестова Е.С., ИП, Краснодар</t>
  </si>
  <si>
    <t>Гольфстрим, ООО, Краснодар</t>
  </si>
  <si>
    <t>Выручка</t>
  </si>
  <si>
    <t>Сумма</t>
  </si>
  <si>
    <t>Клиент</t>
  </si>
  <si>
    <t>Головное предприятие</t>
  </si>
  <si>
    <t>Период, месяц</t>
  </si>
  <si>
    <t xml:space="preserve">Азанова ЕВ, ИП, Якутск </t>
  </si>
  <si>
    <t xml:space="preserve">Барвинченко ВЛ, ИП, Нерюнгри </t>
  </si>
  <si>
    <t>ГИПЕРИОН, ООО, Хабаровск</t>
  </si>
  <si>
    <t xml:space="preserve">До МВ, ИП, Якутск </t>
  </si>
  <si>
    <t xml:space="preserve">Иванов ИИ, ИП, Вилюйск </t>
  </si>
  <si>
    <t>Инсмарт, ООО, Якутск</t>
  </si>
  <si>
    <t xml:space="preserve">Кныш, ВМ, ИП, Ленск </t>
  </si>
  <si>
    <t xml:space="preserve">Ковалев АС, ИП, Хабаровск </t>
  </si>
  <si>
    <t xml:space="preserve">Ковалева ЛА, ИП, Хабаровск </t>
  </si>
  <si>
    <t>Конышева СД, ИП, Уссурийск</t>
  </si>
  <si>
    <t xml:space="preserve">Латыш ТВ, ИП, Якутск </t>
  </si>
  <si>
    <t>Макаренко Р.А. ИП, г. Владивосток</t>
  </si>
  <si>
    <t xml:space="preserve">Матахова АИ, ИП, Якутск </t>
  </si>
  <si>
    <t xml:space="preserve">Мегатепломаркет, ООО, Чита </t>
  </si>
  <si>
    <t xml:space="preserve">Меринова НБ, ИП, Нерюнгри </t>
  </si>
  <si>
    <t xml:space="preserve">Мистер, ООО, Хабаровск </t>
  </si>
  <si>
    <t xml:space="preserve">МТК, ООО, Южно-Сахалинск </t>
  </si>
  <si>
    <t>Несвитова Оксана Домировна, ИП, Камчатский край</t>
  </si>
  <si>
    <t xml:space="preserve">Никифоров АС, ИП, Якутск </t>
  </si>
  <si>
    <t xml:space="preserve">Никифорова СС, ИП, Якутск </t>
  </si>
  <si>
    <t>ОВК-ДВ, ООО, Хабаровск</t>
  </si>
  <si>
    <t xml:space="preserve">ОРК САНТЕКС, ООО, Иркутск </t>
  </si>
  <si>
    <t xml:space="preserve">Петров СВ, ИП, Находка </t>
  </si>
  <si>
    <t xml:space="preserve">Полис, ООО, Москва </t>
  </si>
  <si>
    <t xml:space="preserve">Строй Гарант, ООО, Иркутск </t>
  </si>
  <si>
    <t>Полозун ЕА, ИП, Северобайкальск</t>
  </si>
  <si>
    <t xml:space="preserve">Ринкс СВ, ИП, Хабаровск </t>
  </si>
  <si>
    <t xml:space="preserve">Свинцицкий СВ, ИП, Якутск </t>
  </si>
  <si>
    <t xml:space="preserve">Сервис МиК, ООО, Хабаровск </t>
  </si>
  <si>
    <t>Стежкина ТН, ИП, Мирный</t>
  </si>
  <si>
    <t xml:space="preserve">Тесей-ДВ, ООО, Хабаровск </t>
  </si>
  <si>
    <t xml:space="preserve">Хусаинова РХ, ИП, Нерюнгри </t>
  </si>
  <si>
    <t xml:space="preserve">Шилов АВ, ИП, Владивосток </t>
  </si>
  <si>
    <t>Шумейко ДЭ, ИП, Комсомольск-на-Амуре</t>
  </si>
  <si>
    <t xml:space="preserve">Строительные Материалы-ДВ, ООО, Хабаровск </t>
  </si>
  <si>
    <t xml:space="preserve">ЮМА ГРУПП, ООО, Алдан </t>
  </si>
  <si>
    <t>Алматерм KZ, ИП, Караганда</t>
  </si>
  <si>
    <t>Алматерм Актобе, ИП, Актобе</t>
  </si>
  <si>
    <t>АЛМАТЕРМ, ООО, Новосибирск</t>
  </si>
  <si>
    <t>Байгелов БЖ, ИП, Караганда</t>
  </si>
  <si>
    <t>Белый Кит Семей, ТОО, Семей</t>
  </si>
  <si>
    <t>ВиКПластКомплект, ООО, Минск</t>
  </si>
  <si>
    <t xml:space="preserve">Мир Сантехника, ООО, Гомель         </t>
  </si>
  <si>
    <t>Молдабекова Р.Ж., ИП, Актобе</t>
  </si>
  <si>
    <t>САНТЕХНИК, ИП, Усть-Каменогорск</t>
  </si>
  <si>
    <t xml:space="preserve">Кабимолданов МС, ИП, Казахстан  </t>
  </si>
  <si>
    <t>ТАТ, ИП, Алматы</t>
  </si>
  <si>
    <t>ТВИПЛ-СЕРВИС,ТОО, г. Костанай</t>
  </si>
  <si>
    <t>Ясиновский А.А., ИП, Экибастуз</t>
  </si>
  <si>
    <t xml:space="preserve">АИР ГРУПП, ООО , Альметьевск </t>
  </si>
  <si>
    <t xml:space="preserve">АкваГрупп, ООО, г.Уфа </t>
  </si>
  <si>
    <t>АКВАМАРИН,ООО,г.Н.Новгород</t>
  </si>
  <si>
    <t>Акварум, ООО, г. Нижний Новгород</t>
  </si>
  <si>
    <t>Аквасан, ООО, г. Нижний Новгород</t>
  </si>
  <si>
    <t>АкваЦентр, ООО, г. Самара</t>
  </si>
  <si>
    <t xml:space="preserve">Александрова М.В., ИП, г.Чебоксары </t>
  </si>
  <si>
    <t>Апсар Строй, ООО, г. Саратов</t>
  </si>
  <si>
    <t>Бабин В.В., ИП, г. Ижевск</t>
  </si>
  <si>
    <t>Базунцева И.Н., ИП, г. Сызрань</t>
  </si>
  <si>
    <t>Баракат, ООО, Казань</t>
  </si>
  <si>
    <t>Барышко О.Г., ИП, г.Ижевск</t>
  </si>
  <si>
    <t>Бузмакова Л.Н., ИП, г. Воткинск</t>
  </si>
  <si>
    <t xml:space="preserve">Верхневолгосантехмонтаж - Ч, ООО, г.Чебоксары </t>
  </si>
  <si>
    <t xml:space="preserve">Воронина Александра Александровна, ИП , Новочебоксарск </t>
  </si>
  <si>
    <t>Воронцова О.Ю., г. Уфа</t>
  </si>
  <si>
    <t>Долгов А.В., ИП, г.Чебоксары</t>
  </si>
  <si>
    <t>ЕВРАЗИЯ-СИАН,ООО,Уфа</t>
  </si>
  <si>
    <t>Елохин А.С. ИП, Оренбург</t>
  </si>
  <si>
    <t>Еременко Н.А., ИП, г. Сызрань</t>
  </si>
  <si>
    <t>Жданов Р.Р.,ИП,Стерлитамак</t>
  </si>
  <si>
    <t xml:space="preserve">ЖИЛСНАБ ТД, ООО, г.Казань </t>
  </si>
  <si>
    <t xml:space="preserve">Зажигин В.Н., ИП, г. Нижний Новгород </t>
  </si>
  <si>
    <t xml:space="preserve">Интеллигент Строй,ООО,Казань </t>
  </si>
  <si>
    <t>Исаев Г.В., ИП, г. Уфа</t>
  </si>
  <si>
    <t xml:space="preserve">Казанская Сантехническая Компания, ООО, г.Набережные Челны </t>
  </si>
  <si>
    <t>Князева ЭФ, ИП, Стерлитамак</t>
  </si>
  <si>
    <t>Компания Карат Поволжье ООО, Чебоксары</t>
  </si>
  <si>
    <t>Компания Сантехторг, ООО, г. Тольятти</t>
  </si>
  <si>
    <t xml:space="preserve">Константинов Юрий Алексеевич, ИП , Чебоксары </t>
  </si>
  <si>
    <t xml:space="preserve">Кормилкин П.Н., ИП, г.Балаково </t>
  </si>
  <si>
    <t>Ликон, ООО, г. Нижний Новгород</t>
  </si>
  <si>
    <t>Майская О.А., ИП, г.Жигулевск</t>
  </si>
  <si>
    <t>Максютов Р.Г. ИП, Уфа</t>
  </si>
  <si>
    <t>Максютова Г.Г., ИП, г. Уфа</t>
  </si>
  <si>
    <t>Максютова И.И.,ИП, г.Уфа</t>
  </si>
  <si>
    <t xml:space="preserve">Махалин Руслан Александрович, ИП, г.Нижний Новгород </t>
  </si>
  <si>
    <t xml:space="preserve">МИР ТЕПЛА, ООО , г.Казань </t>
  </si>
  <si>
    <t>Мусин Р.Р. ИП г.Ишимбай</t>
  </si>
  <si>
    <t xml:space="preserve">НАДЕЖДА, ООО, ТСК г.Казань </t>
  </si>
  <si>
    <t>ОВК Комплект ООО, Казань</t>
  </si>
  <si>
    <t>Озернова Р.М., ИП, г. Сызрань</t>
  </si>
  <si>
    <t>ОКНА ПОВОЛЖЬЯ,ООО, г.Чебоксары</t>
  </si>
  <si>
    <t>ОТОПЛЕНИЕ ДОМА,ООО,г.Нижний Новгород</t>
  </si>
  <si>
    <t>Панчик А.С., ИП. г. Оренбург</t>
  </si>
  <si>
    <t>Периметр, ООО, г. Тольятти</t>
  </si>
  <si>
    <t>Поволжье ТПК, ООО, Самара</t>
  </si>
  <si>
    <t>ПОЛИВ-НЧ, ООО, г.Наб.Челны</t>
  </si>
  <si>
    <t>Поляков А.П.,ИП,Арзамас</t>
  </si>
  <si>
    <t>Посейдон, ООО, г. Димитровград</t>
  </si>
  <si>
    <t>ПТК, ООО, г. Самара</t>
  </si>
  <si>
    <t>Рокосовик В.В., ИП, г. Сызрань</t>
  </si>
  <si>
    <t>Рупайп, ООО, г. Н.Новгород</t>
  </si>
  <si>
    <t>САНГРЕО ТКФ ООО, Казань</t>
  </si>
  <si>
    <t xml:space="preserve">САНКОМ, ООО, г.Самара </t>
  </si>
  <si>
    <t>Сантехник, ООО, г. Бузулук</t>
  </si>
  <si>
    <t>Сантехпроект ООО, Ижевск</t>
  </si>
  <si>
    <t xml:space="preserve">САНТЕХСТРОЙ-СТС, ООО, Чебоксары </t>
  </si>
  <si>
    <t>Сантехтрейд, ООО, г. Набережные Челны</t>
  </si>
  <si>
    <t>СаратовСантехОпт, ООО, Саратов</t>
  </si>
  <si>
    <t xml:space="preserve">Сафин Р.М.,ИП, г.Уфа </t>
  </si>
  <si>
    <t>Старцев Роман Николаевич, ИП, г.Саратов</t>
  </si>
  <si>
    <t>СТК КРОНА, ООО, г. Самара</t>
  </si>
  <si>
    <t>СтройПоставка,ООО, г.Уфа</t>
  </si>
  <si>
    <t>СтройСнаб, ООО, г. Самара</t>
  </si>
  <si>
    <t>Тарасов А.А., ИП, Пилюгино</t>
  </si>
  <si>
    <t>Теплосим, ООО, г. Ульяновск</t>
  </si>
  <si>
    <t>Теплый дом, ООО, г. Самара</t>
  </si>
  <si>
    <t>ТЕХНОЛОГИИ ОБОГРЕВА, ООО, г.Уфа</t>
  </si>
  <si>
    <t>Технологии отопления, ООО, г. Уфа</t>
  </si>
  <si>
    <t xml:space="preserve">Толчинина А.А., ИП, г. Казань </t>
  </si>
  <si>
    <t>ТПК КУБ, ООО, г. Киров</t>
  </si>
  <si>
    <t xml:space="preserve">Третьяков В.В. ИП, г.Самара </t>
  </si>
  <si>
    <t>ТСК, ООО, г. Елабуга</t>
  </si>
  <si>
    <t>Турланов Д.И., ИП, г. Ижевск</t>
  </si>
  <si>
    <t xml:space="preserve">Федоренко Д.Б. ИП Уфа </t>
  </si>
  <si>
    <t>Фламинго, ООО, г. Октябрьский</t>
  </si>
  <si>
    <t>Харунов С.И, ИП, Тольятти</t>
  </si>
  <si>
    <t xml:space="preserve">ХОЗАРСЕНАЛ СК ООО, Казань </t>
  </si>
  <si>
    <t>Хортэк-Ижевск, ООО, г.Ижевск</t>
  </si>
  <si>
    <t>Цапко А.А.,ИП, г.Саранск</t>
  </si>
  <si>
    <t>Челышев И.К., ИП, г. Оренбург</t>
  </si>
  <si>
    <t>Шайхутдинов Ф.Р. ИП , Сарманово</t>
  </si>
  <si>
    <t>Шитикова Т.И, ИП, Оренбург</t>
  </si>
  <si>
    <t xml:space="preserve">ЭПК, ООО , г. Казань </t>
  </si>
  <si>
    <t>Янбахтина М.А., ИП, г. Оренбург</t>
  </si>
  <si>
    <t xml:space="preserve">АкваСити, ООО, Санкт-Петербург </t>
  </si>
  <si>
    <t>Акватон, ООО, Мурманск</t>
  </si>
  <si>
    <t xml:space="preserve">АНТ, ООО, Санкт-Петербург </t>
  </si>
  <si>
    <t xml:space="preserve">АРКАДА, ООО, Санкт-Петербург </t>
  </si>
  <si>
    <t>Балтдеталь, ООО, Санкт-Петербург</t>
  </si>
  <si>
    <t>Булатова МЕ, ИП, Санкт-Петербург</t>
  </si>
  <si>
    <t>ГИДРОПЛАСТ, ООО, Санкт-Петербург</t>
  </si>
  <si>
    <t>ГК СиБиС,  ООО, Санкт-Петербург</t>
  </si>
  <si>
    <t>ГлавРемонт, ООО, Петрозаводск</t>
  </si>
  <si>
    <t>Глазурит, ООО, Санкт-Петербург</t>
  </si>
  <si>
    <t>ГРОМ ТД, ООО, Санкт-Петербург</t>
  </si>
  <si>
    <t>Ивиском, ООО, Санкт-Петербург</t>
  </si>
  <si>
    <t>К.С.П., ООО, Калининград</t>
  </si>
  <si>
    <t>Комплекс СПБ, ООО, Санкт-Петербург</t>
  </si>
  <si>
    <t>Кузьменкова АС, ИП, Санкт-Петербург</t>
  </si>
  <si>
    <t>МАСТЕРПРОФ-РЕГИОН, ООО, г. Санкт-Петербург</t>
  </si>
  <si>
    <t>Меньшиков СИ, ИП, Вологда</t>
  </si>
  <si>
    <t>Мясников Д.И. ИП, г.Энгельс</t>
  </si>
  <si>
    <t>НЕВА-ФАРВАТЕР, ООО, Санкт-Петербург</t>
  </si>
  <si>
    <t>Нептун, ООО, Санкт-Петербург</t>
  </si>
  <si>
    <t>НПП АНТАРУС, ООО, Санкт-Петербург</t>
  </si>
  <si>
    <t>Одинцов СН, ИП, Петрозаводск</t>
  </si>
  <si>
    <t>Онг НВ, ИП, Санкт-Петербург</t>
  </si>
  <si>
    <t>ПЛАСТЭК, ООО, Санкт-Петербург</t>
  </si>
  <si>
    <t xml:space="preserve">ПОЖСНАБ, ООО, Великий Новгород </t>
  </si>
  <si>
    <t>ПРОМТЕХ, ООО, Санкт-Петербург</t>
  </si>
  <si>
    <t>ПРОФСТАЙЛ, ООО, Калининград</t>
  </si>
  <si>
    <t>РЕАЛТРЕЙД, ООО, Санкт-Петербург</t>
  </si>
  <si>
    <t>Реновация Северо-Запад, ООО, Санкт-Петербург</t>
  </si>
  <si>
    <t>САНЕКСТ.ПРО, ООО, Санкт-Петербург</t>
  </si>
  <si>
    <t>СантехРесурс, ООО, Санкт-Петербург</t>
  </si>
  <si>
    <t>САНТЕХТЕРМООПТ, ООО, Санкт-Петербург</t>
  </si>
  <si>
    <t>Санфит, ООО, Санкт-Петербург</t>
  </si>
  <si>
    <t>САРДОНИКС ГРУПП ООО, Санкт-Петербург</t>
  </si>
  <si>
    <t>СЗГАЗ КОМПАНИ, ООО, Санкт-Петербург</t>
  </si>
  <si>
    <t>Сивакова СА, ИП, Санкт-Петербург</t>
  </si>
  <si>
    <t>Соколов ИВ, ИП, Вологда</t>
  </si>
  <si>
    <t>СПЕЦИНЖИНИРИНГ, ООО, Санкт-Петербург</t>
  </si>
  <si>
    <t>СтройКреп, ООО, Санкт-Петербург</t>
  </si>
  <si>
    <t>СТРОЙМЕТАЛЛ, ООО, Санкт-Петербург</t>
  </si>
  <si>
    <t>СтройПоставка, ООО, Вологда</t>
  </si>
  <si>
    <t>Стройресурс, ООО, г.Саратов</t>
  </si>
  <si>
    <t>СтройТерминал, ООО, Вологда</t>
  </si>
  <si>
    <t>ТЕКС-НЕВА, ООО, Санкт-Петербург</t>
  </si>
  <si>
    <t>ТЕПЛОТОРГ, ООО, Санкт-Петербург</t>
  </si>
  <si>
    <t>Терскол, ООО, Санкт-Петербург</t>
  </si>
  <si>
    <t>Титан Систем, ООО, г.Санкт-Петербург</t>
  </si>
  <si>
    <t>ТИТАН СПб, ООО, Санкт-Петербург</t>
  </si>
  <si>
    <t>ТопТан ООО г.Санкт-Петербург</t>
  </si>
  <si>
    <t>Торговая компания Меркурий, ООО, Санкт-Петербург</t>
  </si>
  <si>
    <t>УПТК САНТЕХКОМПЛЕКТ, ООО, Санкт-Петербург</t>
  </si>
  <si>
    <t>Фирма Основной поставщик, ООО, Санкт-Петербург</t>
  </si>
  <si>
    <t>ФторИзолит, ООО, Санкт-Петербург</t>
  </si>
  <si>
    <t>Храмцов Р.С, ИП, Петрозаводск</t>
  </si>
  <si>
    <t>Чернова КА, ИП, Орел</t>
  </si>
  <si>
    <t>ЭКО-БАЛТ, АО, Санкт-Петербург</t>
  </si>
  <si>
    <t>АКВА-САН, ООО, Кемерово</t>
  </si>
  <si>
    <t xml:space="preserve">А-САНТЕХНИКА, ООО, Кемерово </t>
  </si>
  <si>
    <t>АКВА-СЕТИ, ООО, Новосибирск</t>
  </si>
  <si>
    <t>АЛИРАН ООО, Новосибирск</t>
  </si>
  <si>
    <t>АЛМА, ООО, Бийск</t>
  </si>
  <si>
    <t>Андреев Андрей Викторович, ИП, Новосибирск</t>
  </si>
  <si>
    <t>Арес Групп, ООО, Новосибирск</t>
  </si>
  <si>
    <t>АРМАСЕТИ ИМПОРТ, ООО, Новосибирск</t>
  </si>
  <si>
    <t>АСГАРД, ООО, Новосибирск</t>
  </si>
  <si>
    <t xml:space="preserve">Афини, ООО, Томск </t>
  </si>
  <si>
    <t>Бакшеев АВ, ИП, Чита</t>
  </si>
  <si>
    <t xml:space="preserve">Тепло Сибирь, ООО, Чита </t>
  </si>
  <si>
    <t>Барнаулторгснаб, ООО, Барнаул</t>
  </si>
  <si>
    <t>Большешапова НИ, ИП, Иркутск</t>
  </si>
  <si>
    <t>Бухаров ГВ, ИП, Улан-Удэ</t>
  </si>
  <si>
    <t xml:space="preserve">Васильев ИБ, ИП, Чита </t>
  </si>
  <si>
    <t xml:space="preserve">Васильева МВ, ИП, Чита </t>
  </si>
  <si>
    <t>ВДСМ, ООО, Кемерово</t>
  </si>
  <si>
    <t>Востоктехторг, АО, Якутск</t>
  </si>
  <si>
    <t xml:space="preserve">ГазСервис, ООО, Новосибирск </t>
  </si>
  <si>
    <t>Галичанина ОМ, ИП, Ленинск-Кузнецкий</t>
  </si>
  <si>
    <t xml:space="preserve">Гандыбин ВБ, ИП, Томск </t>
  </si>
  <si>
    <t>ГРАФ, ООО, Барнаул</t>
  </si>
  <si>
    <t>ДАНИКС, ООО, Барнаул</t>
  </si>
  <si>
    <t xml:space="preserve">Аквамарин, ООО, Барнаул </t>
  </si>
  <si>
    <t>Дельта, ООО, Барнаул</t>
  </si>
  <si>
    <t xml:space="preserve">ЕВРОПРИБОР, ООО, Новосибирск </t>
  </si>
  <si>
    <t>Еремин АВ, ИП, Барнаул</t>
  </si>
  <si>
    <t xml:space="preserve">Ефремов АА, ИП, Кемерово </t>
  </si>
  <si>
    <t>ЗАВХОЗ, ООО, Красноярск</t>
  </si>
  <si>
    <t xml:space="preserve">Компания Теплоцентр, ООО, Новосибирск </t>
  </si>
  <si>
    <t>КРОНА, ООО, Нерюнгри</t>
  </si>
  <si>
    <t>Кутсар ДИ, ИП, Чита</t>
  </si>
  <si>
    <t xml:space="preserve">Кутсар ИГ, ИП, Чита </t>
  </si>
  <si>
    <t>Лаборатория тепла ТД, ООО, Новосибирск</t>
  </si>
  <si>
    <t xml:space="preserve">Легион, ООО, Томск </t>
  </si>
  <si>
    <t>Логвинов А.В., ИП, Кемерово</t>
  </si>
  <si>
    <t xml:space="preserve">Лягаев НЮ, ИП, Новосибирск </t>
  </si>
  <si>
    <t>Мазанцев ИС, ИП, Железногорск-Илимский</t>
  </si>
  <si>
    <t xml:space="preserve">Мальцев НМ, ИП, Чита </t>
  </si>
  <si>
    <t xml:space="preserve">Меркурий Импорт, ООО, Новосибирск </t>
  </si>
  <si>
    <t xml:space="preserve">Энергия, ООО, Новосибирск </t>
  </si>
  <si>
    <t>Павленов И.В., ИП, Бийск</t>
  </si>
  <si>
    <t>Плотников СС, ИП, Кемерово</t>
  </si>
  <si>
    <t>РАДИАТ ПРОФ, ООО, Омск</t>
  </si>
  <si>
    <t>РемСтройИнтерьер, ООО, Чита</t>
  </si>
  <si>
    <t xml:space="preserve">РК - Регион, ООО, Москва </t>
  </si>
  <si>
    <t xml:space="preserve">Рубан ОВ, ИП, Абакан </t>
  </si>
  <si>
    <t>САНАЛТАЙ, ООО, Барнаул</t>
  </si>
  <si>
    <t>САНТЕХРЕСУРС-М, ООО, Кемерово</t>
  </si>
  <si>
    <t>Энергокомплект, ООО, Чита</t>
  </si>
  <si>
    <t xml:space="preserve">Сеева АС, ИП, Якутск </t>
  </si>
  <si>
    <t xml:space="preserve">Норд-трейд, ООО, Якутск </t>
  </si>
  <si>
    <t>Сергеев ВЮ, ИП, Новосибирск</t>
  </si>
  <si>
    <t xml:space="preserve">Фабос - Новосибирск, ООО, Новосибирск </t>
  </si>
  <si>
    <t xml:space="preserve">Сибирская техническая компания, ООО, Барнаул </t>
  </si>
  <si>
    <t xml:space="preserve">СИБИРЬ-АКВА, ООО, Братск </t>
  </si>
  <si>
    <t xml:space="preserve">Аква-Плюс, ООО, Братск </t>
  </si>
  <si>
    <t>Симакова СВ, ИП, Чита</t>
  </si>
  <si>
    <t>Спицына ЛП, ИП, Чита</t>
  </si>
  <si>
    <t>СПУТНИК, ООО, Барнаул</t>
  </si>
  <si>
    <t>СТРОИТЕЛЬНЫЕ РЕСУРСЫ, ООО, Красноярск</t>
  </si>
  <si>
    <t>Теплоснаб, ООО, Новосибирск</t>
  </si>
  <si>
    <t>ТК Инструмент Маркет, ООО, Томск</t>
  </si>
  <si>
    <t xml:space="preserve">ТК УНИВЕРСАЛ-НОВОСИБИРСК, ООО, Новосибирск </t>
  </si>
  <si>
    <t>ТЭС, ООО, Омск</t>
  </si>
  <si>
    <t>Улусов АВ, ИП, Могоча</t>
  </si>
  <si>
    <t>Хватов МВ, ИП, Кемерово</t>
  </si>
  <si>
    <t>ХОЗДОМ, ООО, Новосибирск</t>
  </si>
  <si>
    <t xml:space="preserve">Центральная Стройбаза, ООО, Кемерово </t>
  </si>
  <si>
    <t>Чупров А.Г. ИП, Чернышевск пгт</t>
  </si>
  <si>
    <t>Шакурова ЕП, ИП, Томмот</t>
  </si>
  <si>
    <t xml:space="preserve">Шипулина МЮ, ИП, Томск </t>
  </si>
  <si>
    <t xml:space="preserve">Энергия - НСК, ООО, Новосибирск </t>
  </si>
  <si>
    <t>ЭСК, ООО, Новосибирск</t>
  </si>
  <si>
    <t>ЭТС, ООО, Новокузнецк</t>
  </si>
  <si>
    <t>АГАВА ООО, г. Екатеринбург</t>
  </si>
  <si>
    <t>АКВАГИД, ООО, Екатеринбург</t>
  </si>
  <si>
    <t>Акватекс, ООО, Екатеринбург</t>
  </si>
  <si>
    <t>АКВАУНИВЕРСАЛ, ООО, Екатеринбург</t>
  </si>
  <si>
    <t>Александрова Наталья Валерьевна ИП, г.Соликамск</t>
  </si>
  <si>
    <t>Алышев Игорь Иванович, ИП, Екатеринбург</t>
  </si>
  <si>
    <t xml:space="preserve">Антистов Александр Александрович, ИП, Челябинск </t>
  </si>
  <si>
    <t>ВЕНТИЛЬ, ООО, Екатеринбург</t>
  </si>
  <si>
    <t xml:space="preserve">Волчков Владимир Анатольевич ИП, г. Курган </t>
  </si>
  <si>
    <t>ГЛОБИШ, ООО, Екатеринбург</t>
  </si>
  <si>
    <t>Глушкова Ольга Николаевна, ИП , г. Богданович</t>
  </si>
  <si>
    <t>ЗАЛЕЖ, ООО, Екатеринбург</t>
  </si>
  <si>
    <t>ИНСТРОЙСНАБ ООО, г. Екатеринбург</t>
  </si>
  <si>
    <t>КВАДРО-Т, ООО, Миасс</t>
  </si>
  <si>
    <t>Мантюкова Инна Борисовна, ИП, Челябинск</t>
  </si>
  <si>
    <t>Мануйленко Александр Павлович, ИП, Екатеринбург</t>
  </si>
  <si>
    <t>Мещерякова Полина Сергеевна, ИП, Челябинск</t>
  </si>
  <si>
    <t>Миронова Светлана Юрьевна, ИП, Магнитогорск</t>
  </si>
  <si>
    <t>МОДУС ТРЕЙД, ООО, г. Магнитогорск</t>
  </si>
  <si>
    <t>НЕПТУН, ООО, Миасс</t>
  </si>
  <si>
    <t>Пермская Сантехническая Компания, ООО, Пермь</t>
  </si>
  <si>
    <t>ПОСЕЙДОН ООО, г. Екатеринбург</t>
  </si>
  <si>
    <t>ПРОГРЕСС ООО,  Екатеринбург</t>
  </si>
  <si>
    <t>ПРОКСИМА, ООО, Екатеринбург</t>
  </si>
  <si>
    <t xml:space="preserve">Рыжак Леся Валериевна, ИП, Нефтеюганск </t>
  </si>
  <si>
    <t>Рявкина Юлия Владимировна ИП, г. Березовский</t>
  </si>
  <si>
    <t>Савицкий Станислав Игоревич ИП, г. Пермь</t>
  </si>
  <si>
    <t>САНТЕХГАРАНТ, ООО, Курган</t>
  </si>
  <si>
    <t xml:space="preserve">САНТЕХМАГ, ООО, Магнитогорск </t>
  </si>
  <si>
    <t>СИБВЕНТ+ ООО, г. Тюмень</t>
  </si>
  <si>
    <t>Склюев Сергей Алексеевич, ИП, Артемовский</t>
  </si>
  <si>
    <t xml:space="preserve">СКОР, ООО, Пермь </t>
  </si>
  <si>
    <t>Смирнов Игорь Алексеевич ИП, г. Екатеринбург</t>
  </si>
  <si>
    <t>СНАБЖЕНИЕ, ООО, Екатеринбург</t>
  </si>
  <si>
    <t>СТРОИТЕЛЬНЫЙ ДВОР. КОМПЛЕКТАЦИЯ ООО, г. Тюмень</t>
  </si>
  <si>
    <t>Строй Декор ООО, г. Асбест</t>
  </si>
  <si>
    <t>Тепловед, ООО, Екатеринбург</t>
  </si>
  <si>
    <t>УЛЫБКА, ООО, Пермь</t>
  </si>
  <si>
    <t>Хон Станислав Романович, ИП, г.Тюмень</t>
  </si>
  <si>
    <t>ЦЕНТРТРЕХСИСТЕМ, ООО, Екатеринбург</t>
  </si>
  <si>
    <t>ЭНЕРГИЯ + 2000, ООО, Иркутск</t>
  </si>
  <si>
    <t>Агафонова С. Н., ИП, Елец</t>
  </si>
  <si>
    <t>Арс-Технолоджис, ООО, Москва</t>
  </si>
  <si>
    <t>Беларм 2017, ООО, Белгород</t>
  </si>
  <si>
    <t>ВИРИЙ, ООО, Москва</t>
  </si>
  <si>
    <t>Гидросклад, ООО, Орёл</t>
  </si>
  <si>
    <t>Горлов Е.В., ИП, Владимирская обл.</t>
  </si>
  <si>
    <t>Инженерные системы, ООО, Иваново</t>
  </si>
  <si>
    <t>ИнтерДекор, ООО, Тула</t>
  </si>
  <si>
    <t>Копачев М.К., ИП, Брянск</t>
  </si>
  <si>
    <t>Копачева Н.А., ИП, Брянск</t>
  </si>
  <si>
    <t>Курс-Логистика, ООО, г. Курск</t>
  </si>
  <si>
    <t>Меркурий, ООО, Смоленск</t>
  </si>
  <si>
    <t xml:space="preserve">Сантехкомплект, ООО, Видное </t>
  </si>
  <si>
    <t>Сантехэлит 37, ООО, Иваново</t>
  </si>
  <si>
    <t>СПЕКТР, ООО, Воронеж</t>
  </si>
  <si>
    <t>Стрельченко А.П., ИП, Москва</t>
  </si>
  <si>
    <t xml:space="preserve">СтройСервис ТД, ООО, Владимир </t>
  </si>
  <si>
    <t>Хозтовары-35, ООО, Иваново</t>
  </si>
  <si>
    <t>Шевцов Дмитрий Геннадьевич, ИП, г.Королев</t>
  </si>
  <si>
    <t>Юго-Западная Торговая Компания, ООО, г.Курск</t>
  </si>
  <si>
    <t>Агаев РА, ИП, Пятигорск</t>
  </si>
  <si>
    <t>Аганиязов А.Д., ИП, Краснодар</t>
  </si>
  <si>
    <t>АНТТЕК, ООО, Москва</t>
  </si>
  <si>
    <t>АРТЕНА, ООО, Москва</t>
  </si>
  <si>
    <t>ВОДНЫЕ РЕСУРСЫ, ООО, Краснодар</t>
  </si>
  <si>
    <t>ГК АЛЬТЕРРА, ООО, Сочи</t>
  </si>
  <si>
    <t>Давидов Д.Д., ИП, Пятигорск</t>
  </si>
  <si>
    <t>Давидова Т.Н., ИП, Пятигорск</t>
  </si>
  <si>
    <t>МАГИСТРАЛЬ-ЮГ, ООО, Аксай</t>
  </si>
  <si>
    <t>Полтавец ГА, ИП, Волгоград</t>
  </si>
  <si>
    <t>Сайфуддинов АМ, ИП, Махачкала</t>
  </si>
  <si>
    <t>САМ, ООО, Лесной городок</t>
  </si>
  <si>
    <t>СК АРТЕНА, ООО, Москва</t>
  </si>
  <si>
    <t>Солодкая А.И., ИП, Краснодар</t>
  </si>
  <si>
    <t xml:space="preserve">СПЕЦИАЛИЗИРОВАННЫЙ ЗАСТРОЙЩИК ГОР-СТРОЙ, ООО, Грозный </t>
  </si>
  <si>
    <t>Стрела, ООО, Шукты</t>
  </si>
  <si>
    <t>СТРОЙИННОВАЦИЯ, ООО, Санкт-Петербург</t>
  </si>
  <si>
    <t>Телушкин Е.В., ИП, Волгоград</t>
  </si>
  <si>
    <t>Теремок, ООО, Владикавказ</t>
  </si>
  <si>
    <t>Толмач АН, ИП, Краснодар</t>
  </si>
  <si>
    <t>ТРИУМФ, ООО, Москва</t>
  </si>
  <si>
    <t>УРБАН-СТРОЙ, ООО, Москва</t>
  </si>
  <si>
    <t>Юсупов Р.М., ИП, Махачкала</t>
  </si>
  <si>
    <t>ПФО Андреева</t>
  </si>
  <si>
    <t>Январь 2023 г.</t>
  </si>
  <si>
    <t>Февраль 2023 г.</t>
  </si>
  <si>
    <t xml:space="preserve">ТЕПЛОТЕХНИКА, ТД, ООО г.Набережные Челны </t>
  </si>
  <si>
    <t>ПФО Владимирова</t>
  </si>
  <si>
    <t>ПФО Овсянников</t>
  </si>
  <si>
    <t xml:space="preserve">ПАРИТЕТ, ООО, г. Саратов </t>
  </si>
  <si>
    <t xml:space="preserve">Порфирьева Марина Николаевна, ИП, г.Чебоксары </t>
  </si>
  <si>
    <t>САНТЕХКОМФОРТ, ООО, г.Альметьевск</t>
  </si>
  <si>
    <t xml:space="preserve">ТИ КОСС, ООО, г.Саратов </t>
  </si>
  <si>
    <t xml:space="preserve">ТИП-ТОП, ООО, г.Казань </t>
  </si>
  <si>
    <t xml:space="preserve">ЭНЕРГОСЕРВИС НЧ, ООО, г. Наб.Челны </t>
  </si>
  <si>
    <t>ПФО Ручкин</t>
  </si>
  <si>
    <t>Баширова С.А,,ИП, г.Стерлитамак</t>
  </si>
  <si>
    <t xml:space="preserve">Безрукова Е.А.,ИП, г.Саранск </t>
  </si>
  <si>
    <t xml:space="preserve">Булатова М.А.,ИП, г.Саранск </t>
  </si>
  <si>
    <t>Кузнецова Л.А., ИП, г. Стерлитамак</t>
  </si>
  <si>
    <t>Паршин А.П., ИП, г.Нижний Новгород</t>
  </si>
  <si>
    <t>САНТИ НН, ООО, г.Нижний Новгород</t>
  </si>
  <si>
    <t>ПФО Тёмная</t>
  </si>
  <si>
    <t>ПФО Шашкина</t>
  </si>
  <si>
    <t>Гревцев Е.А., ИП, г.Оренбург</t>
  </si>
  <si>
    <t>Дружко С.Г, ИП, Алексеевка</t>
  </si>
  <si>
    <t>ДЮЙМ-САМАРА, ООО, г. Самара</t>
  </si>
  <si>
    <t>ИНЖЕНЕРНЫЕ СИСТЕМЫ, ООО, г. Сарапул</t>
  </si>
  <si>
    <t>Ярышева Р.Р., ИП, г. Оренбург</t>
  </si>
  <si>
    <t>СЗФО Кривцова</t>
  </si>
  <si>
    <t>РСМУ, ООО, г. Москва</t>
  </si>
  <si>
    <t>Орлов А.А., ИП, Санкт-Петербург</t>
  </si>
  <si>
    <t>РемСтройКомплект, ООО, Санкт-Петербург</t>
  </si>
  <si>
    <t>ЭСТА ПРОМ, ООО, Санкт-Петербург</t>
  </si>
  <si>
    <t>СЗФО Разин</t>
  </si>
  <si>
    <t>КЛИМАТМАРКЕТ, ООО, Санкт-Петербург</t>
  </si>
  <si>
    <t>ПЕТРОМЕТАРМ, ООО, Санкт-Петербург</t>
  </si>
  <si>
    <t>ПТМ, ООО, Санкт-Петербург</t>
  </si>
  <si>
    <t>Чумаков РВ, ИП, Санкт-Петербург</t>
  </si>
  <si>
    <t>Широков Б.В. ИП, Вологда</t>
  </si>
  <si>
    <t>СНГ Герасимкова</t>
  </si>
  <si>
    <t>СНГ Фёдоров</t>
  </si>
  <si>
    <t>АТБ АЛЬФА-ГРУПП, ООО, ДНР г. Горловка</t>
  </si>
  <si>
    <t>Диамонд Платинум, ООО, Ереван</t>
  </si>
  <si>
    <t>Компания ИКТАВА, ООО, Могилёв</t>
  </si>
  <si>
    <t>Сантех КЗ, ТОО, Астана</t>
  </si>
  <si>
    <t>СФО Жучкова</t>
  </si>
  <si>
    <t>Ярче, ООО, Томск</t>
  </si>
  <si>
    <t>СФО Копылова</t>
  </si>
  <si>
    <t>СФО Тактонова</t>
  </si>
  <si>
    <t>Выходцев В.С. ИП, Чернышевск</t>
  </si>
  <si>
    <t>ЦСМ ООО, Хабаровск</t>
  </si>
  <si>
    <t>СФО Томлоп</t>
  </si>
  <si>
    <t>Байыр-оол ЛС, ИП, Кызыл</t>
  </si>
  <si>
    <t>Бипрон, ООО, Якутск</t>
  </si>
  <si>
    <t>Головин СВ, ИП, Анжеро-Судженск</t>
  </si>
  <si>
    <t>Корягина ГА, ИП, Чита</t>
  </si>
  <si>
    <t>Куйдин В.В. ИП, Улеты</t>
  </si>
  <si>
    <t>Марина, ООО, Холмск</t>
  </si>
  <si>
    <t>Сантехтрейд, ООО, Новокузнецк</t>
  </si>
  <si>
    <t>СБЧ, ООО, Новосибирск</t>
  </si>
  <si>
    <t>Сибирь-промкомплект, ООО, Новосибирск</t>
  </si>
  <si>
    <t>СФО Хазеева</t>
  </si>
  <si>
    <t>СФО Хвостова</t>
  </si>
  <si>
    <t>ТД КРОНОС-ГРУПП ООО, Новокузнецк</t>
  </si>
  <si>
    <t>СФО Чемоданова</t>
  </si>
  <si>
    <t>Миронов ИВ, ИП, Якутск</t>
  </si>
  <si>
    <t>СФО Чучкалов</t>
  </si>
  <si>
    <t>Алтайэлектро, ООО, Барнаул</t>
  </si>
  <si>
    <t>Алтайэлектро Барнаул, ООО, Барнаул</t>
  </si>
  <si>
    <t>Стародубов СС, ИП, Омск</t>
  </si>
  <si>
    <t>Черномор, ООО, Петропавловск- Камчатский</t>
  </si>
  <si>
    <t>УФО Анташова</t>
  </si>
  <si>
    <t>Теплосеть, ООО, г. Тюмень</t>
  </si>
  <si>
    <t>УФО Кудряшов</t>
  </si>
  <si>
    <t>УФО Маринич</t>
  </si>
  <si>
    <t>ВЕКТОР, ООО, Екатеринбург</t>
  </si>
  <si>
    <t>Дмитриев Виталий Евгеньевич, ИП, Екатеринбург</t>
  </si>
  <si>
    <t xml:space="preserve">Лебенков Станислав Валерьевич, ИП, Челябинск </t>
  </si>
  <si>
    <t xml:space="preserve">Мамыч Кирилл Владимирович, ИП, Магнитогорск  </t>
  </si>
  <si>
    <t>ПО ХСК, ООО, Озерск</t>
  </si>
  <si>
    <t>ПРОМСНАБ ООО, г. Курган</t>
  </si>
  <si>
    <t>УФО Москалева</t>
  </si>
  <si>
    <t>ПРОСТОР-УРАЛ, ООО, Екатеринбург</t>
  </si>
  <si>
    <t>САНТЕХЛАЙН ТД, ООО, г.Екатеринбург</t>
  </si>
  <si>
    <t>СФЕРАГРУПП  ПК, ООО,  Екатеринбург</t>
  </si>
  <si>
    <t>УРАЛИНТЕРЬЕР, ООО, Екатеринбург</t>
  </si>
  <si>
    <t>Гаврилов Александр Викторович, ИП, Нижний Тагил</t>
  </si>
  <si>
    <t>МЗИК ПАО, г.Екатеринбург</t>
  </si>
  <si>
    <t>СМУ АПАРТАМЕНТ ООО, г. Екатеринбург</t>
  </si>
  <si>
    <t>ЭЛЕКТРОТЕХСТРОЙ-2 ООО, г. Тюмень</t>
  </si>
  <si>
    <t>ЯМАЛЭЛЕКТРО ТД ООО, г. Екатеринбург</t>
  </si>
  <si>
    <t>ЦФО Ляшенко</t>
  </si>
  <si>
    <t>ВМ-ГРУПП ПЛЮС, ООО, г. Москва</t>
  </si>
  <si>
    <t>Стройберг,ООО, Видное</t>
  </si>
  <si>
    <t xml:space="preserve">Супермаркет Сантехники, ООО, Москва </t>
  </si>
  <si>
    <t>ЮФО Нестерова</t>
  </si>
  <si>
    <t>Айдаров А.В, ИП, Чикола</t>
  </si>
  <si>
    <t>АЛЬТИМУС, ООО, Санкт-Петербург</t>
  </si>
  <si>
    <t>КЭС, ООО, Москва</t>
  </si>
  <si>
    <t>Лисицын Е.В., ИП, Волгоград</t>
  </si>
  <si>
    <t>ГРУППА ДОСТУПА</t>
  </si>
  <si>
    <t>Клиеты</t>
  </si>
  <si>
    <t xml:space="preserve">ГидроКомплект, ООО, г. Казань( рабочий 2023) </t>
  </si>
  <si>
    <t>Мошенец В.В. ИП, Орск</t>
  </si>
  <si>
    <t>Ракова Е.Г., ИП, г. Ульяновск</t>
  </si>
  <si>
    <t>Токарева А.А., ИП, Киров</t>
  </si>
  <si>
    <t>Алматерм Солтүстік, ИП, Кокшетау (Байшин)</t>
  </si>
  <si>
    <t>Алматерм Шығыс, ИП, Павлодар (Кумажанов)</t>
  </si>
  <si>
    <t>КОСТА КЕРАМИКА, ИП, Костанай (Зайцев)</t>
  </si>
  <si>
    <t>ПОЛНЫЙ СПЕКТР, ООО, Минск (Медэост)</t>
  </si>
  <si>
    <t>ЦФО Апрелкин</t>
  </si>
  <si>
    <t>АЙРОН ПЛАСТ, ТОО, Астана</t>
  </si>
  <si>
    <t>Март 2023 г.</t>
  </si>
  <si>
    <t xml:space="preserve">АКСИС ТД, ООО, г.Казань </t>
  </si>
  <si>
    <t>Макаров Константин Владимирович, ИП, с.Сокуры</t>
  </si>
  <si>
    <t xml:space="preserve">МЕГА ТЕРМ+ ,ООО, Казань </t>
  </si>
  <si>
    <t>Газ Стандарт, ООО, г.Нижний Новгород</t>
  </si>
  <si>
    <t>ГВОЗДЬ ХОЗТОРГ, ООО, г. Оренбург</t>
  </si>
  <si>
    <t>ЮНИЛЕКС, ООО, г. Тольятти</t>
  </si>
  <si>
    <t>Колесник Владимир Иванович, ИП, Санкт-Петербург</t>
  </si>
  <si>
    <t>КОМФОРТ ТРЕЙД, ООО, Калининград</t>
  </si>
  <si>
    <t>Минимакс-Волга, ООО, Самара</t>
  </si>
  <si>
    <t>МистерСтройМеталл, ООО, Сыктывкар</t>
  </si>
  <si>
    <t>Промспецстрой, ООО, Великий Новгород</t>
  </si>
  <si>
    <t>ТД НОРД ООО, Санкт-Петербург</t>
  </si>
  <si>
    <t>Aqsham electric, ИП, Актобе</t>
  </si>
  <si>
    <t>Алматерм Jetisu, ИП, Алматы (Абашев)</t>
  </si>
  <si>
    <t>Алматерм Ontustik, ИП, Шымкент (Абдилов)</t>
  </si>
  <si>
    <t>РОМИС, ОДО, Витебск</t>
  </si>
  <si>
    <t>ТеплоБай, ООО, Витебск</t>
  </si>
  <si>
    <t>Девелопком, ООО, Томск</t>
  </si>
  <si>
    <t>Аджем АЮ, ИП, Ленск</t>
  </si>
  <si>
    <t>Гермес, ООО, Новосибирск</t>
  </si>
  <si>
    <t>Золотов ВВ, ИП, Свободный</t>
  </si>
  <si>
    <t xml:space="preserve">Мартынова СФ, ИП, Якутия </t>
  </si>
  <si>
    <t>ТРУДАРМЕЙСКАЯ ПФ, ООО, Мыски</t>
  </si>
  <si>
    <t>Жигулёв Александр Викторович ИП, г. Санкт-Петербург</t>
  </si>
  <si>
    <t>УФО Головина</t>
  </si>
  <si>
    <t>АЛЬФА-СБ ООО, г.Екатеринбург</t>
  </si>
  <si>
    <t>Шарапов Денис Владимирович ИП, г. Кунгур</t>
  </si>
  <si>
    <t>ЭНЕРГОСИСТЕМА ТПА ООО, г. Екатеринбург</t>
  </si>
  <si>
    <t>СТРОЙМАШДЕТАЛЬ ООО, г. Сургут</t>
  </si>
  <si>
    <t>ГОФРА-Е, ООО, Екатеринбург</t>
  </si>
  <si>
    <t>ПЕРСПЕКТИВА, ООО, Челябинск</t>
  </si>
  <si>
    <t>РАЗВИТИЕ, ООО, Челябинск 7447272624</t>
  </si>
  <si>
    <t>Савельева Елена Александровна, ИП, Курган</t>
  </si>
  <si>
    <t>ЦФО Лоберг</t>
  </si>
  <si>
    <t>ЛИДИС, ООО, г.Ярославль</t>
  </si>
  <si>
    <t>Белов ДВ, ИП, Москва</t>
  </si>
  <si>
    <t>ЦФО Нагалевская</t>
  </si>
  <si>
    <t>СТК Пальмира, ООО, Санкт-Петербург</t>
  </si>
  <si>
    <t xml:space="preserve">Теплоимпорт- Юг, ООО, Волгоград </t>
  </si>
  <si>
    <t>ТК ОПТТИМ, ООО, Пятигорск</t>
  </si>
  <si>
    <t>Трансрегиональная Аутсорсинговая Компания, OOO, Москва</t>
  </si>
  <si>
    <t>ЭквипментХаус, ООО, Санкт-Петербург</t>
  </si>
  <si>
    <t>ЭКСЕЛЬСИОР, ООО, Санкт-Петербург</t>
  </si>
  <si>
    <t>итог</t>
  </si>
  <si>
    <t>Апрель 2023 г.</t>
  </si>
  <si>
    <t>Мигунова Е.В., ИП, г. Волжск</t>
  </si>
  <si>
    <t xml:space="preserve">Процветов Виталий Владимирович, ИП , г. Саратов </t>
  </si>
  <si>
    <t xml:space="preserve">БРИГАДИР, ООО, г. Салават </t>
  </si>
  <si>
    <t xml:space="preserve">Газовик М, ООО, г.Пенза </t>
  </si>
  <si>
    <t xml:space="preserve">Малкин А.Н.,ИП, г.Кузнецк </t>
  </si>
  <si>
    <t>Барабошина Н.В., ИП, г.Тольятти</t>
  </si>
  <si>
    <t>САНТЕХМАГ, ООО, г.Тольятти</t>
  </si>
  <si>
    <t>Сатон групп, ООО, Тольятти</t>
  </si>
  <si>
    <t>Сатон ГК, ООО, Тольятти</t>
  </si>
  <si>
    <t>СМАРТСЕРВИС, ООО, г.Тольятти</t>
  </si>
  <si>
    <t>Шитиков А.В., ИП, г. Оренбург</t>
  </si>
  <si>
    <t>АкваСити Плюс, ООО, Санкт-Петербург</t>
  </si>
  <si>
    <t>Андрианова ЯГ, ИП, Калининград</t>
  </si>
  <si>
    <t>ВК-ТЕПЛО, ООО, Санкт-Петербург</t>
  </si>
  <si>
    <t>ОВК Инженерные Системы, ООО, Санкт-Петербург</t>
  </si>
  <si>
    <t>ПАРТНЕР ИНТ, ООО, Санкт-Петербург</t>
  </si>
  <si>
    <t>ОптСтройГрупп, ООО, Барановичи</t>
  </si>
  <si>
    <t>Шакиртов С.С., ИП, Алматы</t>
  </si>
  <si>
    <t>ИНСТАЛЛЯТОР, ООО, Томск</t>
  </si>
  <si>
    <t>СФО Мацкевич</t>
  </si>
  <si>
    <t>АДМИРАЛСТРОЙ ООО, Владивосток</t>
  </si>
  <si>
    <t>МегаОптДВ, ООО, Находка</t>
  </si>
  <si>
    <t>Адамян ТА, ИП, Якутск</t>
  </si>
  <si>
    <t>Бойченко В.В. ИП, Краснокаменск</t>
  </si>
  <si>
    <t>Вандышев Ю.В, ИП, Кузбасс</t>
  </si>
  <si>
    <t>Вентиль-плюс, ООО, Кемерово</t>
  </si>
  <si>
    <t>Касаткина СА, ИП, Новосибирск</t>
  </si>
  <si>
    <t xml:space="preserve">ОниксПром, ООО, Томск </t>
  </si>
  <si>
    <t>Пичхадзе СА, ИП, Бердск</t>
  </si>
  <si>
    <t>Колесникова ГГ, ИП, Ангарск</t>
  </si>
  <si>
    <t>Коркишко Дмитрий Сергеевич, ИП, Междуреченский</t>
  </si>
  <si>
    <t>РЕЗЕРВ ООО ФИРМА, г.Тюмень</t>
  </si>
  <si>
    <t xml:space="preserve">Самсонов Павел Сергеевич ИП, г. Нижняя Тура </t>
  </si>
  <si>
    <t>СИБИРЬ ДИСТРИБУЦИЯ ООО, г. Тюмень</t>
  </si>
  <si>
    <t>Южакова Ирина Сергеевна, ИП, г.Тобольск</t>
  </si>
  <si>
    <t xml:space="preserve">Воронин Вячеслав Сергеевич ИП, г. Красноуфимск </t>
  </si>
  <si>
    <t>Копосов Андрей Владимирович, ИП, Магнитогорск</t>
  </si>
  <si>
    <t>ПОЛИМЕР ЭКСПЕРТ, ООО, Екатеринбург</t>
  </si>
  <si>
    <t>Черепанов Александр Николаевич, ИП, Екатеринбург</t>
  </si>
  <si>
    <t>Теплокомплект-апэ, ООО, Ярославль</t>
  </si>
  <si>
    <t>Агропромэнерго - Т, ООО, Ярославль</t>
  </si>
  <si>
    <t xml:space="preserve">МИБ Б, ООО, г.Москва </t>
  </si>
  <si>
    <t>АРМСНАБ, ООО, г. Иваново</t>
  </si>
  <si>
    <t>Интерстрой ПС, ООО,г.Москва</t>
  </si>
  <si>
    <t>Антонов Ю. Ю., ИП, ДНР</t>
  </si>
  <si>
    <t>Бурлаченко Г.Я., ИП, Ростов-на-Дону</t>
  </si>
  <si>
    <t>Есаян В.Я., ИП, Краснодар</t>
  </si>
  <si>
    <t>САНТЕХСТРОЙ УЮТ, ООО, Дагестан</t>
  </si>
  <si>
    <t>ЭНЕРГОСТРОЙПРОЕКТ, ООО, Санкт-Петербург</t>
  </si>
  <si>
    <t>Май 2023 г.</t>
  </si>
  <si>
    <t>Булыгина Яна Игоревна, ИП, Йошкар-ола</t>
  </si>
  <si>
    <t xml:space="preserve">ВЭКО, ООО, г.Казань </t>
  </si>
  <si>
    <t>МАСТЕР, ООО, г.Нижнекамск</t>
  </si>
  <si>
    <t>РЕСУРС,ООО, г.Уфа</t>
  </si>
  <si>
    <t>ГАРАНТ-СМ, ООО, г. Киров</t>
  </si>
  <si>
    <t>Кутельвас Т.А., ИП, г.Оренбург</t>
  </si>
  <si>
    <t>Механика-Киров, ООО, г. Киров</t>
  </si>
  <si>
    <t>ТРЕЙДМИ, ООО, Санкт-Петребург</t>
  </si>
  <si>
    <t>Во Тепло, ООО, Вологда</t>
  </si>
  <si>
    <t>ГИД, ООО, Санкт-Петербург</t>
  </si>
  <si>
    <t>Деянов МИ, ИП, Санкт-Петербург</t>
  </si>
  <si>
    <t>ИД СТРОЙ, ООО, Калининград</t>
  </si>
  <si>
    <t>АО "Вюрт Северо-Запад"</t>
  </si>
  <si>
    <t>ТЕХНОИНДУСТРИЯ, ООО, Санкт-Петербург</t>
  </si>
  <si>
    <t>Филиппова ЕВ, ИП, Якутск</t>
  </si>
  <si>
    <t>СПК, ООО, Томск</t>
  </si>
  <si>
    <t xml:space="preserve">Сибкомплект, ООО, Томск </t>
  </si>
  <si>
    <t>ТД КОНТУР, ООО, Барнаул</t>
  </si>
  <si>
    <t>Грибовский АО, ИП, Новосибирск</t>
  </si>
  <si>
    <t>Дедю Т.В. ИП, пгт. Новый Ургал</t>
  </si>
  <si>
    <t>Колесников А.А. ИП, г. Хабаровск</t>
  </si>
  <si>
    <t>Николаева С.А. ИП, г. Комсомольск-на-Амуре</t>
  </si>
  <si>
    <t>Черкашин ИЛ, ИП, Новосибирск</t>
  </si>
  <si>
    <t>ЗПИ ПЛЮС, ООО, Новосибирск</t>
  </si>
  <si>
    <t>Зуев АМ, ИП, Абакан</t>
  </si>
  <si>
    <t>Маленкова ЕВ, ИП, Нерюнгри</t>
  </si>
  <si>
    <t>Мурунова А.И. ИП, с.Ытык-кюель</t>
  </si>
  <si>
    <t>Пестерев Е.Ю. ИП, г. Балей</t>
  </si>
  <si>
    <t>Щеглов МВ, ИП, Черногорск</t>
  </si>
  <si>
    <t xml:space="preserve">Тепло-Чита, ООО, Чита </t>
  </si>
  <si>
    <t>Аква мастер, ООО, Алдан</t>
  </si>
  <si>
    <t>ВАГНЕР, ООО, Новосибирск</t>
  </si>
  <si>
    <t>СТРОЙ-ГРАНД, ООО, Барнаул</t>
  </si>
  <si>
    <t>Берлин Евгений Владимирович, ИП,  рп Боровский</t>
  </si>
  <si>
    <t>ВПК, ООО, Пермь</t>
  </si>
  <si>
    <t>Овчинникова Надежда Николаевна, ИП, Соликамск</t>
  </si>
  <si>
    <t>ТД АРМТЕХНИКА, ООО, Пермь</t>
  </si>
  <si>
    <t>УФО Григорьев</t>
  </si>
  <si>
    <t>БКС, ООО, Нижневартовск</t>
  </si>
  <si>
    <t>Курлыкова Владислава Викторовна, ИП, Челябинск</t>
  </si>
  <si>
    <t>Легачев Иван Сергеевич, ИП, Екатеринбург</t>
  </si>
  <si>
    <t>Павлов Евгений Викторович, ИП, Касли</t>
  </si>
  <si>
    <t>БУДЕМ СТРОИТЬ, ООО, г.Москва</t>
  </si>
  <si>
    <t>СИТИ22, ООО, г.Москва</t>
  </si>
  <si>
    <t>СИТЭМ, ООО, г.Москва</t>
  </si>
  <si>
    <t>Гончаров ДВ, ИП, Тверь</t>
  </si>
  <si>
    <t xml:space="preserve">Кокина Екатерина Валерьевна, ИП, г. Калуга </t>
  </si>
  <si>
    <t>Пашнин В.В., ИП, Московская обл.</t>
  </si>
  <si>
    <t>Бушуев М.В., ИП, г. Москва</t>
  </si>
  <si>
    <t>ЦФО Паршина</t>
  </si>
  <si>
    <t>ВИТА-ГРУПП, ООО, Москва</t>
  </si>
  <si>
    <t>КУРТ ОГЛУ КРЫМ, ООО, Симферополь</t>
  </si>
  <si>
    <t>Нозиров С.С., ИП, Ростов</t>
  </si>
  <si>
    <t>РГГ, ООО, Ростов-на-Дону</t>
  </si>
  <si>
    <t>РЕМЕЗ, ООО, Санкт-Петербург</t>
  </si>
  <si>
    <t>Бурашников ДК, ИП, Н. Новгород</t>
  </si>
  <si>
    <t>СЗФО Киселев</t>
  </si>
  <si>
    <t>ТоргСтройСервис ООО, Санкт-Петербург</t>
  </si>
  <si>
    <t>СЗФО Солнцева</t>
  </si>
  <si>
    <t>Алтайтранс, ООО, Барнаул</t>
  </si>
  <si>
    <t>УФО Бай</t>
  </si>
  <si>
    <t>Компания Технология, ООО, г. Ярославль</t>
  </si>
  <si>
    <t>Дунаева Е.А., ИП, Ивановская обл.</t>
  </si>
  <si>
    <t>Июнь 2023 г.</t>
  </si>
  <si>
    <t xml:space="preserve">АБРИС, ООО, г. Чебоксары </t>
  </si>
  <si>
    <t xml:space="preserve">АКАДЕМИЯ ТЕПЛА НЧ, ООО, г.Набережные Челны </t>
  </si>
  <si>
    <t>Арчибасов С.Г., ИП, г.Бугульма</t>
  </si>
  <si>
    <t>ДОРСТРОЙТРЕСТ,ООО, г. Чебоксары</t>
  </si>
  <si>
    <t>САНТЭКС КАЗАНЬ, ООО, г. Казань</t>
  </si>
  <si>
    <t xml:space="preserve">СПЕЦБЫТ, ООО, г. Балаково </t>
  </si>
  <si>
    <t>АСГАРД,ООО, г.Кстово</t>
  </si>
  <si>
    <t>КОТЕЛ-НН,ООО, г.Нижний Новгород</t>
  </si>
  <si>
    <t>Лобанов С.В.,ИП, г.Саранск</t>
  </si>
  <si>
    <t>Матвеев П.М.,ИП, г.Уфа</t>
  </si>
  <si>
    <t>ГазПрофСервис, ООО, г.Уфа</t>
  </si>
  <si>
    <t>Бельтюков И.В., ИП, г.Самара</t>
  </si>
  <si>
    <t>ГидроКомплект, ООО, г. Тольятти</t>
  </si>
  <si>
    <t>КИРОВСКИЙ ССК, АО СЗ, г.Киров</t>
  </si>
  <si>
    <t>КВАДРАТ, ООО, Киров</t>
  </si>
  <si>
    <t>КабоДеРока, ООО, Санкт-Петербург</t>
  </si>
  <si>
    <t>СанМарка, ООО, Санкт-Петербург</t>
  </si>
  <si>
    <t>ФНМ, АО, Санкт-Петербург</t>
  </si>
  <si>
    <t>Алматерм Batys,  ИП, Актау</t>
  </si>
  <si>
    <t>Иванов ВС, ИП, Челябинск</t>
  </si>
  <si>
    <t>Дедова МЮ, ИП, Братск</t>
  </si>
  <si>
    <t>Антоник АА, ИП, Новосибирск</t>
  </si>
  <si>
    <t>Вертков С.А. ИП, г. Дальнереченск</t>
  </si>
  <si>
    <t>ГРАНД-МАСТЕР, ООО, Новосибирск</t>
  </si>
  <si>
    <t>СФО Расулов</t>
  </si>
  <si>
    <t>Батуев А.О.,ИП, г. Белогорск</t>
  </si>
  <si>
    <t>Батуев Олег Михайлович, ИП, Благовещенск</t>
  </si>
  <si>
    <t>Богомолова О.В. ИП, с.Ленинское</t>
  </si>
  <si>
    <t>Грищенко А.Л. ИП, г. Благовещенск</t>
  </si>
  <si>
    <t>Иванова И.Г. ИП, г. Зея</t>
  </si>
  <si>
    <t>Макаренко А.И. ИП, г. Благовещенск</t>
  </si>
  <si>
    <t>Новах Г.К. ИП, г. Облучье</t>
  </si>
  <si>
    <t>Синельникова С.А. ИП, г. Благовещенск</t>
  </si>
  <si>
    <t>ТЕПЛОФФ ООО, г. Свободный</t>
  </si>
  <si>
    <t>Турыгин Д.Н. ИП. г. Биробиджан</t>
  </si>
  <si>
    <t>БЕСТ ГУДС, ООО, Якутск</t>
  </si>
  <si>
    <t>Дружинин С.В. ИП, с. Нерчинский Завод</t>
  </si>
  <si>
    <t>Подкаменный В.А. ИП, г. Якутск</t>
  </si>
  <si>
    <t>Скворцов Л.И. ИП, п. Сангар</t>
  </si>
  <si>
    <t>ЭЛЕКТРОКОМПЛЕКТ, ООО, г.Томск</t>
  </si>
  <si>
    <t xml:space="preserve">Юраш СВ, ИП, Северск </t>
  </si>
  <si>
    <t>ИНВЕСТСЕРВИС, ООО, Новосибирск</t>
  </si>
  <si>
    <t>ГИДРАВЛИК - ХОЛЛ, ООО, Тюмень</t>
  </si>
  <si>
    <t>ПРОМЭНЕРГОНАСОС ООО, г. Сургут</t>
  </si>
  <si>
    <t>Златин Станислав Юрьевич, ИП, с.Култаево</t>
  </si>
  <si>
    <t>Брякова Ирина Георгиевна ИП, г.Екатеринбург</t>
  </si>
  <si>
    <t xml:space="preserve">Дмитриева Татьяна Владимировна, ИП , Заводоуковск </t>
  </si>
  <si>
    <t>Козлов Сергей Владимирович, ИП, Каменск-Уральский</t>
  </si>
  <si>
    <t>Мамаев Николай Сергеевич, ИП, Екатеринбург</t>
  </si>
  <si>
    <t>Сабирянов Талгат Галимянович, ИП, г. Первоуральск</t>
  </si>
  <si>
    <t>СТМ, ООО, ГРУППА КОМПАНИЙ</t>
  </si>
  <si>
    <t>Чесноков Александр Сергеевич, ИП,Челябинск</t>
  </si>
  <si>
    <t>ВОДОТОК-КРАСНОДАР, ООО, Краснодар</t>
  </si>
  <si>
    <t>Гулуев Ф.Р., ИП, Пятигорск</t>
  </si>
  <si>
    <t>ОТОПЛЕНИЕ 21 ВЕКА, ООО, Грозный</t>
  </si>
  <si>
    <t>СтройИндустрия, ООО, Санкт-Петербург</t>
  </si>
  <si>
    <t>ТЕПЛОГАЗСТРОЙ, ООО, Грозный</t>
  </si>
  <si>
    <t>ФЕНИКС, ООО, Санкт-Петербург</t>
  </si>
  <si>
    <t>Резникова О.А. ИП , г.Саратов</t>
  </si>
  <si>
    <t>Сантехповолжья ТД, ООО, Казань</t>
  </si>
  <si>
    <t>Аквилон Трейд, ТОО, Экибастуз</t>
  </si>
  <si>
    <t>Пак Мун Су, ИП, Корсаков</t>
  </si>
  <si>
    <t>Мулюкова Гузель Камилевна, ИП, Нижневартовск</t>
  </si>
  <si>
    <t>Клиент_Головное</t>
  </si>
  <si>
    <t>Ютишев А.С. ИП, г. Владивосток</t>
  </si>
  <si>
    <t>ПИОН ООО, п. Циммермановка</t>
  </si>
  <si>
    <t>Рыбкин М.Ю. ИП, г. Южно-Сахалинск</t>
  </si>
  <si>
    <t>РЕМСИТИ ООО, г. Хабаровск</t>
  </si>
  <si>
    <t>СТРОЙ ЭФФЕКТ ДВ ООО, г. Владивосток</t>
  </si>
  <si>
    <t>Юдичева СН, ИП, Комсомольск-на-Амуре</t>
  </si>
  <si>
    <t>Близнюк О.В. ИП, г. Белогорск</t>
  </si>
  <si>
    <t>Никифоров ВЛ, ИП, Якутск</t>
  </si>
  <si>
    <t>Борохин А.В. ИП, с. Амга</t>
  </si>
  <si>
    <t>Котеля М.К. ИП, г. Якутск</t>
  </si>
  <si>
    <t>Рахматуллин АШ, ИП, Якутск</t>
  </si>
  <si>
    <t>CeZar group, ТОО, Астана</t>
  </si>
  <si>
    <t>ЭТАЛОНСНАБРЕСУРС,ООО, г.Набережные Челны</t>
  </si>
  <si>
    <t>Родин В.А.,ИП, г.Саратов</t>
  </si>
  <si>
    <t>НОХТ,АО, г.Нижний Новгород</t>
  </si>
  <si>
    <t>ГИДРОКОМПЛЕКТНН,ООО, г.Нижний Новгород</t>
  </si>
  <si>
    <t>УСК-18, ООО,г.Ижевск(ликвидирована 16.05.2022)</t>
  </si>
  <si>
    <t>ТПГ, ООО, г.Оренбург</t>
  </si>
  <si>
    <t>Ананин А.С., ИП, г.Ижевск</t>
  </si>
  <si>
    <t>ПК СМП - 707, АО, Санкт-Петербург</t>
  </si>
  <si>
    <t>ТОПКОНКРЕТУМ, ООО, Кемерово</t>
  </si>
  <si>
    <t>АЙЯН Фирма , ООО, Новосибирск</t>
  </si>
  <si>
    <t>Новгородова ОГ, ИП, Якутск</t>
  </si>
  <si>
    <t>Урбаев ОС, ИП, Улан-Удэ</t>
  </si>
  <si>
    <t>Геба АВ.ИП. Новосибирск</t>
  </si>
  <si>
    <t>ЮграПартс, ООО, Сургут</t>
  </si>
  <si>
    <t>ОРБИТА, ООО, Екатеринбург ИНН 6658465510</t>
  </si>
  <si>
    <t>Потехин Сергей Викторович, ИП, Курган</t>
  </si>
  <si>
    <t>Ступина Елена Михайловна, ИП, Заречный</t>
  </si>
  <si>
    <t>ПРО ТД ,ООО,г.Москва</t>
  </si>
  <si>
    <t>Гамаюнов Геннадий Николаевич ,ИП, г.Калуга</t>
  </si>
  <si>
    <t>Сумма по столбцу Выручка</t>
  </si>
  <si>
    <t>месяц</t>
  </si>
  <si>
    <t>индекс</t>
  </si>
  <si>
    <t>Расчетный период</t>
  </si>
  <si>
    <t>Начальная дата</t>
  </si>
  <si>
    <t>Отчетный месяц</t>
  </si>
  <si>
    <t>Июль 2023 г.</t>
  </si>
  <si>
    <t>КП</t>
  </si>
  <si>
    <t>Сотрудник наш</t>
  </si>
  <si>
    <t>ФИНТЕХ ФАБРИК ООО</t>
  </si>
  <si>
    <t>САНТЕХМАС , ООО, Казань</t>
  </si>
  <si>
    <t xml:space="preserve">СК ИНЖСТРОЙ, ООО, г.Чебоксары </t>
  </si>
  <si>
    <t>Егоров А.А.,ООО, г.Уфа</t>
  </si>
  <si>
    <t>ОРИОН,ООО, г.Уфа</t>
  </si>
  <si>
    <t>Варданян А.А., ИП, Санкт-Петербург</t>
  </si>
  <si>
    <t>Комиссаров А.Ю, ИП, Санкт-Петербург</t>
  </si>
  <si>
    <t>Развитие, ООО, Санкт-Петербург</t>
  </si>
  <si>
    <t>САНТЕХСНАБ, ООО, Петрозаводск</t>
  </si>
  <si>
    <t>Современные системы перегородок, ООО, Санкт-Петербург</t>
  </si>
  <si>
    <t>КЛИНКЕРБУД, ООО, Калининград</t>
  </si>
  <si>
    <t>ФЕНЕК, ООО, Калининград</t>
  </si>
  <si>
    <t>Сахарова И.М., ИП, Великий Новгород</t>
  </si>
  <si>
    <t>ТеплоВодоПрибор, ИП, Кызылорда</t>
  </si>
  <si>
    <t xml:space="preserve">Шалаев Д.А. ИП, Благовещенск </t>
  </si>
  <si>
    <t>ДВЭСК ООО, г. Владивосток</t>
  </si>
  <si>
    <t>Пак А.М. ИП, г. Корсаков</t>
  </si>
  <si>
    <t>Бобрышев СН, ИП, Чита</t>
  </si>
  <si>
    <t>Промресурс, ООО, Томск</t>
  </si>
  <si>
    <t>ЭКОСТРОЙ, ООО, Анжеро-Судженск</t>
  </si>
  <si>
    <t>Вилана, ООО, Новосибирск</t>
  </si>
  <si>
    <t>Воскобоев МА,ИП, Барнаул</t>
  </si>
  <si>
    <t>Техавтоцентр, ООО, Сургут</t>
  </si>
  <si>
    <t>АРТЕКС, ООО, Москва</t>
  </si>
  <si>
    <t xml:space="preserve">БИЛД, ООО, Ростов-на-Дону </t>
  </si>
  <si>
    <t>ГК ЕКС, АО, Ярославль</t>
  </si>
  <si>
    <t>МЕРИДИАН,  ООО, Санкт-Петербург</t>
  </si>
  <si>
    <t>Пискунов С.А., ИП, Ставрополь</t>
  </si>
  <si>
    <t>ТОРГОВЫЙ ДОМ АЛЕВИТ, ООО, Краснодар</t>
  </si>
  <si>
    <t xml:space="preserve">Интерсервис, ООО, Чита </t>
  </si>
  <si>
    <t xml:space="preserve">Потапов НА, ИП, Томск </t>
  </si>
  <si>
    <t>Г_Д</t>
  </si>
  <si>
    <t>Сумма баллов "Н. Клиенты"</t>
  </si>
  <si>
    <t>Баллы кол-во клиентов</t>
  </si>
  <si>
    <t>Баллы выручка Н.клиентов</t>
  </si>
  <si>
    <t>Место в рейтинге "Н. Клиенты"</t>
  </si>
  <si>
    <t>Качура ДИ, ИП, Дудинка</t>
  </si>
  <si>
    <t>Рудых ОЮ, ИП, Олекминск</t>
  </si>
  <si>
    <t>Онами, ООО, Казань</t>
  </si>
  <si>
    <t>СТРОЙСОЮЗ, ООО, г. Чебоксары</t>
  </si>
  <si>
    <t>Хорошавин А.В, ИП, Киров</t>
  </si>
  <si>
    <t>Акватория-Актобе, ТОО, г.Актобе</t>
  </si>
  <si>
    <t>ТД Ресурс, ООО, Новосибирск</t>
  </si>
  <si>
    <t>ТЕПЛОИЗОЛЯЦИЯ НОВОСИБИРСК, ООО, Новосибирск</t>
  </si>
  <si>
    <t>Вялкова Е.Э. ИП, г. Благовещенск</t>
  </si>
  <si>
    <t>Малов И.Н. ИП, г. Благовещенск</t>
  </si>
  <si>
    <t>Насопрун О.В. ИП, г.Благовещенск</t>
  </si>
  <si>
    <t>РЕГИОН-СТАЛЬ ООО, г. Магадан</t>
  </si>
  <si>
    <t>Чубенко Е.В. ИП, с. Ивановка</t>
  </si>
  <si>
    <t>Доманов РС, ИП, Барнаул</t>
  </si>
  <si>
    <t>ТЕХНОСИЛА, ООО, Иркутск</t>
  </si>
  <si>
    <t>Кононюк Александр Васильевич, ИП, Пермь</t>
  </si>
  <si>
    <t>САНТЕХБУМ, ООО, Екатеринбург</t>
  </si>
  <si>
    <t>Гимранов Андрей Рафаилович, ИП, Челябинск</t>
  </si>
  <si>
    <t>СП ПАРТНЕР, ООО, Курган</t>
  </si>
  <si>
    <t>АВМ-СЕРВИС ООО, г.Воронеж</t>
  </si>
  <si>
    <t>ЛАНДИА ТМ, ООО, Москва</t>
  </si>
  <si>
    <t>Количество клиентов</t>
  </si>
  <si>
    <t>Приволжский ФО</t>
  </si>
  <si>
    <t>ЕАЭС</t>
  </si>
  <si>
    <t>Северо-Западный ФО</t>
  </si>
  <si>
    <t>Сибирский ФО</t>
  </si>
  <si>
    <t>Уральский ФО</t>
  </si>
  <si>
    <t>Центральный ФО</t>
  </si>
  <si>
    <t>Южный + Кавказский ФО</t>
  </si>
  <si>
    <t>ПФО</t>
  </si>
  <si>
    <t>СНГ</t>
  </si>
  <si>
    <t>СЗФО</t>
  </si>
  <si>
    <t>СФО</t>
  </si>
  <si>
    <t>УФО</t>
  </si>
  <si>
    <t>ЦФО</t>
  </si>
  <si>
    <t>ЮФО</t>
  </si>
  <si>
    <t>Сегмент</t>
  </si>
  <si>
    <t>Индекс</t>
  </si>
  <si>
    <t>СЕГМЕНТ</t>
  </si>
  <si>
    <t>Должность</t>
  </si>
  <si>
    <t>Развитие</t>
  </si>
  <si>
    <t>Авиор, ООО, Хабаровск</t>
  </si>
  <si>
    <t>Аврора, ООО, Новосибирск</t>
  </si>
  <si>
    <t>Аквамарин, ООО, Барнаул</t>
  </si>
  <si>
    <t>А-ТОПП, ООО, Новосибирск</t>
  </si>
  <si>
    <t>Баженов ВВ, ИП, Омск</t>
  </si>
  <si>
    <t>Бауэр ЮВ, ИП, Новосибирск</t>
  </si>
  <si>
    <t>ВесСтрой, ООО, Магадан</t>
  </si>
  <si>
    <t>Герман ВН, ИП, Новосибирск</t>
  </si>
  <si>
    <t>Диар, ООО, Бийск</t>
  </si>
  <si>
    <t>ДТТ, ООО, Хабаровск</t>
  </si>
  <si>
    <t>Захаров ВВ, ИП, Омск</t>
  </si>
  <si>
    <t>ИНЖЕНЕРНАЯ КОМПАНИЯ, ООО, Хабаровск</t>
  </si>
  <si>
    <t>Интер-Строй, ООО, Омск</t>
  </si>
  <si>
    <t>Камышникова ЛА, ИП, Барнаул</t>
  </si>
  <si>
    <t>Квартира 54, ООО, Новосибирск</t>
  </si>
  <si>
    <t>КРОНОС-Сибирь, ООО, Новосибирск</t>
  </si>
  <si>
    <t>Метасила, ООО, Барнаул</t>
  </si>
  <si>
    <t>Михайлов АВ, ИП, р.п.Коченево</t>
  </si>
  <si>
    <t>Муливанов ДО, ИП, Новоалтайск</t>
  </si>
  <si>
    <t>Мустя МК, ИП, Новосибирск</t>
  </si>
  <si>
    <t>Никитин К.А.,ИП, Хабаровск</t>
  </si>
  <si>
    <t>Оноприйчук АА, ИП, Новосибирск</t>
  </si>
  <si>
    <t>Пласткомплект-ДВ, ООО, г. Хабаровск</t>
  </si>
  <si>
    <t>Порядин ВА, ИП, Новосибирск</t>
  </si>
  <si>
    <t>РУСЭТ, ООО, Иркутск</t>
  </si>
  <si>
    <t>СанТех, ООО, Иркутск</t>
  </si>
  <si>
    <t>СДВ, ООО, Бийск</t>
  </si>
  <si>
    <t>Сириус, ООО, Новосибирск</t>
  </si>
  <si>
    <t>СНАБСТРОЙИНВЕСТ, ООО, Новосибирск</t>
  </si>
  <si>
    <t>Сторожко ТМ, ИП, Елизово</t>
  </si>
  <si>
    <t>ТЛС, ООО, Новосибирск</t>
  </si>
  <si>
    <t>АБРИС, ООО, г. Чебоксары</t>
  </si>
  <si>
    <t>АИР ГРУПП, ООО , Альметьевск</t>
  </si>
  <si>
    <t>АКАДЕМИЯ ТЕПЛА НЧ, ООО, г.Набережные Челны</t>
  </si>
  <si>
    <t>АКВАЛИР ТД ,ООО, г. Казань</t>
  </si>
  <si>
    <t>Альметьевскснаб, ООО, Альметьевск</t>
  </si>
  <si>
    <t>Арматура ТД, ООО, г. Казань</t>
  </si>
  <si>
    <t>АрмСнаб ООО, Набережные Челны</t>
  </si>
  <si>
    <t>АРМСНАБ,ООО,Саратов</t>
  </si>
  <si>
    <t>Бамбуров Юрий Александрович, ИП, г. Саратов</t>
  </si>
  <si>
    <t>Борисов Н.А.,ИП,г.Саратов</t>
  </si>
  <si>
    <t>ВГК ООО, г.Чебоксары</t>
  </si>
  <si>
    <t>Верхневолгосантехмонтаж - Ч, ООО, г.Чебоксары</t>
  </si>
  <si>
    <t>Веста, ООО, г.Альметьевск ( Добрострой )</t>
  </si>
  <si>
    <t>Вира-С, ООО, Саратов</t>
  </si>
  <si>
    <t>Воронина Александра Александровна, ИП , Новочебоксарск</t>
  </si>
  <si>
    <t>Гидропласт, ООО, г.Йошкар-Ола</t>
  </si>
  <si>
    <t>Горинов С.В., ИП, г. Йошкар-Ола</t>
  </si>
  <si>
    <t>Грабалин Евгений Владимирович, ИП, г.Казань</t>
  </si>
  <si>
    <t>Зарубин Антон Вячеславович, ИП, г.Чебоксары</t>
  </si>
  <si>
    <t>ИНЖЕНЕРНЫЕ ТЕХНОЛОГИИ, ООО, г. Казань</t>
  </si>
  <si>
    <t>Казанская Сантехническая Компания, ООО, г.Набережные Челны</t>
  </si>
  <si>
    <t>Компания «ЗАТЛЫ» ООО, Казань</t>
  </si>
  <si>
    <t>Константинов Юрий Алексеевич, ИП , Чебоксары</t>
  </si>
  <si>
    <t>Конструктив, ООО, г. Альметьевск</t>
  </si>
  <si>
    <t>КОНТРАКТ-С ТД ООО, Саратов</t>
  </si>
  <si>
    <t>Кормилкин П.Н., ИП, г.Балаково</t>
  </si>
  <si>
    <t>Лейб А.А.,ИП, г.Йошкар-Ола</t>
  </si>
  <si>
    <t>МИР ТЕПЛА, ООО , г.Казань</t>
  </si>
  <si>
    <t>Немыкин Максим Сергеевич, ИП, г.Саратов</t>
  </si>
  <si>
    <t>Нурсантехстрой, ООО, г. Нурлат</t>
  </si>
  <si>
    <t>ПКФ БАРКО,ООО, Саратов</t>
  </si>
  <si>
    <t>ПОЛИМЕРПЛАСТ ООО, Чебокрасы</t>
  </si>
  <si>
    <t>Портнов В.В., ИП, Чебоксары</t>
  </si>
  <si>
    <t>Примех, ООО, Чебоксары</t>
  </si>
  <si>
    <t>Процветов Виталий Владимирович, ИП , г. Саратов</t>
  </si>
  <si>
    <t>РССЕРВИС ПАЙЩИК МПО "ГОЛДЕН АКСИС" ООО, г. Казань</t>
  </si>
  <si>
    <t>РТИ ООО, Чебоксары</t>
  </si>
  <si>
    <t>САНТЕХКОМ, ООО, г. Саратов</t>
  </si>
  <si>
    <t>САНТЕХКОМПЛЕКТ, ООО, г.Альметьевск</t>
  </si>
  <si>
    <t>Саратовская НефтеГазовая Компания, ООО, г.Энгельс</t>
  </si>
  <si>
    <t>СИСТЕМА ООО, Казань</t>
  </si>
  <si>
    <t>СПЕЦБЫТ, ООО, г. Балаково</t>
  </si>
  <si>
    <t>Стройинжиниринг, ООО, Саратов</t>
  </si>
  <si>
    <t>ТИ КОСС, ООО, г.Саратов</t>
  </si>
  <si>
    <t>ТИП-ТОП, ООО, г.Казань</t>
  </si>
  <si>
    <t>Тогаз,ООО,Чебоксары</t>
  </si>
  <si>
    <t>ТПК Техпромснаб, ООО, г. Йошкар-Ола</t>
  </si>
  <si>
    <t>Трубопластмонтаж  ПФ ООО, Наб.Челны</t>
  </si>
  <si>
    <t>ФРЕГАТ, ООО, г.Энгельс</t>
  </si>
  <si>
    <t>ХОЗАРСЕНАЛ СК ООО, Казань</t>
  </si>
  <si>
    <t>Энергоплюс, ООО, п. Высокая Гора</t>
  </si>
  <si>
    <t>ЭПК, ООО , г. Казань</t>
  </si>
  <si>
    <t>Янзигитова Е.В., ИП, г. Балаково</t>
  </si>
  <si>
    <t>Абдуллина Л.А., ИП, г.Уфа</t>
  </si>
  <si>
    <t>Агеев Д.Ю., ИП, г. Пенза</t>
  </si>
  <si>
    <t>АКВАСИСТЕМЫ, ООО, г.Нижний Новгород</t>
  </si>
  <si>
    <t>Балтоптторг-НН ООО, Нижний Новгород</t>
  </si>
  <si>
    <t>Башснабсервис, ООО, Уфа</t>
  </si>
  <si>
    <t>Безрукова Е.А.,ИП, г.Саранск</t>
  </si>
  <si>
    <t>БРИГАДИР, ООО, г. Салават</t>
  </si>
  <si>
    <t>Валиуллин А.А.,ИП,г.Стерлитамак</t>
  </si>
  <si>
    <t>Варянова Е.А.,ИП, г.Саранск</t>
  </si>
  <si>
    <t>Вечные трубы, ООО, г. Пенза</t>
  </si>
  <si>
    <t>Гольфстрим, ООО, г. Октябрьский</t>
  </si>
  <si>
    <t>Зажигин В.Н., ИП, г. Нижний Новгород</t>
  </si>
  <si>
    <t>Ильясов С.В. ИП, Октябрьский</t>
  </si>
  <si>
    <t>Карат, ООО, г. Туймазы</t>
  </si>
  <si>
    <t>Континент ГК, ООО, Уфа</t>
  </si>
  <si>
    <t>Кулькова Е.Н. ИП, Пенза</t>
  </si>
  <si>
    <t>Малкин А.Н.,ИП, г.Кузнецк</t>
  </si>
  <si>
    <t>Малыгин А.С, ИП, Нижний Новгород</t>
  </si>
  <si>
    <t>Матвеев И.С., ИП, г. Нижний Новгород</t>
  </si>
  <si>
    <t>Махалин Руслан Александрович, ИП, г.Нижний Новгород</t>
  </si>
  <si>
    <t>Милсома, ООО, Кстово</t>
  </si>
  <si>
    <t>Пастушенко ОФ, ИП, Н.Новгород</t>
  </si>
  <si>
    <t>ПРОМОКНА,ООО, г.Пенза</t>
  </si>
  <si>
    <t>РусПолимерГрупп, ООО, Н.Новгород</t>
  </si>
  <si>
    <t>Сафин Р.М.,ИП, г.Уфа</t>
  </si>
  <si>
    <t>Семенов А.В.,ИП, г.Н.Новгород</t>
  </si>
  <si>
    <t>СТК, ООО, г. Пенза</t>
  </si>
  <si>
    <t>Фазлетдинов Р.Р. ИП, Дюртюли</t>
  </si>
  <si>
    <t>ФД-пласт НН, ООО, г. Нижний Новгород</t>
  </si>
  <si>
    <t>Фитингснаб, ООО, Нижний Новгород</t>
  </si>
  <si>
    <t>Чесноков А.Г., ИП, г. Нижний Новгород</t>
  </si>
  <si>
    <t>Айнутдинов Р.А., ИП, г. Ульяновск</t>
  </si>
  <si>
    <t>Аквакомфорт, ООО, Самара</t>
  </si>
  <si>
    <t>Альфа, ООО, г. Тольятти</t>
  </si>
  <si>
    <t>Армресурс, ООО, г.Ульяновск</t>
  </si>
  <si>
    <t>АРМТРЕЙД ООО, Ижевск</t>
  </si>
  <si>
    <t>БЕТОНСТРОЙКОМПЛЕКТ ООО, Оренбург</t>
  </si>
  <si>
    <t>Бондарев К.А, ИП, Дубовый умет</t>
  </si>
  <si>
    <t>Булычёва В.И., ИП, г. Сызрань</t>
  </si>
  <si>
    <t>Буровая Техника, ООО, г. Самара</t>
  </si>
  <si>
    <t>Бурханов Р.Н. ИП, Самара</t>
  </si>
  <si>
    <t>Венсида плюс, ООО, Самара</t>
  </si>
  <si>
    <t>ГазСтройРемонт ООО, Оренбург</t>
  </si>
  <si>
    <t>Гизатуллин Л.А., ИП, С.Асекеево</t>
  </si>
  <si>
    <t>ГК ТСК, ООО, г. Самара</t>
  </si>
  <si>
    <t>Двойнин С.В.,ИП,Самара</t>
  </si>
  <si>
    <t>Доровский Д.Г., ИП, г. Самара</t>
  </si>
  <si>
    <t>Достойный товар, ООО, г. Киров</t>
  </si>
  <si>
    <t>Захаров В.Е., ИП, Самара</t>
  </si>
  <si>
    <t>Ильина Л.Л.,ИП, г.Самара</t>
  </si>
  <si>
    <t>Инпайп, ООО, г. Тольятти</t>
  </si>
  <si>
    <t>Ирис, ООО, г. Тольятти</t>
  </si>
  <si>
    <t>Малхасян А.Э., ИП, г. Самара</t>
  </si>
  <si>
    <t>Маслюхина И.В. ИП, Самара</t>
  </si>
  <si>
    <t>МИР, ООО, г. Ижевск</t>
  </si>
  <si>
    <t>Михеев ДВ, ИП, Ульяновск</t>
  </si>
  <si>
    <t>Мусаев Т.М., ИП, г.Ульяновск</t>
  </si>
  <si>
    <t>Назаров М.В. ИП, Новотроицк</t>
  </si>
  <si>
    <t>НИВА ООО, Самара</t>
  </si>
  <si>
    <t>ОренПроф ООО, Оренбург</t>
  </si>
  <si>
    <t>Отвод и К, ООО, г. Самара</t>
  </si>
  <si>
    <t>ПАЙП-ПОВОЛЖЬЕ ООО, Самара</t>
  </si>
  <si>
    <t>Полимер ТПК ООО, Оренбург</t>
  </si>
  <si>
    <t>Прохорова А.А. ИП, Самара</t>
  </si>
  <si>
    <t>Разоренов А.В., ИП, г. Самара</t>
  </si>
  <si>
    <t>РЕГИОНСНАБ, ООО, г. Жигулевск</t>
  </si>
  <si>
    <t>РемСтройИнвест, ООО, г. Оренбург</t>
  </si>
  <si>
    <t>Романов С.А., ИП, г. Тольятти</t>
  </si>
  <si>
    <t>САНКОМ, ООО, г.Самара</t>
  </si>
  <si>
    <t>Сантехмаркет, ООО, г. Тольятти</t>
  </si>
  <si>
    <t>СанЭксперт, ООО, г. Воткинск</t>
  </si>
  <si>
    <t>Сатдарова З.А. ИП, Самара</t>
  </si>
  <si>
    <t>Севрюков И.С. ИП, Бузулук</t>
  </si>
  <si>
    <t>Сивакова О.А., ИП, с. Курумоч</t>
  </si>
  <si>
    <t>СИТИ ТЕХ СЕРВИС, ООО, г. Ульяновск</t>
  </si>
  <si>
    <t>Скиф, ООО, Оренбург</t>
  </si>
  <si>
    <t>СнабТехСтрой, ООО, Оренбург</t>
  </si>
  <si>
    <t>Спецкомплект ИС, ООО, Оренбург</t>
  </si>
  <si>
    <t>Стилмарт ТД, ООО, Самара</t>
  </si>
  <si>
    <t>Столярова Е.М., ИП, г. Бузулук</t>
  </si>
  <si>
    <t>Сычугов Д.В. ИП, г. Ижевск</t>
  </si>
  <si>
    <t>ТАЙП-С ООО, Самара</t>
  </si>
  <si>
    <t>Ташлинцев К.Н. ИП, Сызрань</t>
  </si>
  <si>
    <t>Техкомплект, ООО, г. Ижевск</t>
  </si>
  <si>
    <t>Техно Союз, ООО, г. Ижевск</t>
  </si>
  <si>
    <t>ТОР ТЗПО, ООО, г. Тольятти</t>
  </si>
  <si>
    <t>Третьяков В.В. ИП, г.Самара</t>
  </si>
  <si>
    <t>ТСК ПКФ, ООО, г. Самара</t>
  </si>
  <si>
    <t>Урал-резерв, ООО, г. Оренбург</t>
  </si>
  <si>
    <t>Устюгова Л.А., ИП, г. Тольятти</t>
  </si>
  <si>
    <t>Утехин А.С., ИП, г. Сызрань</t>
  </si>
  <si>
    <t>Цапин И.В. ИП, Орск</t>
  </si>
  <si>
    <t>ЦИС, ООО, г. Самара</t>
  </si>
  <si>
    <t>Шайхуллин Р.Н., ИП, г. Бугуруслан</t>
  </si>
  <si>
    <t>АкваСити, ООО, Санкт-Петербург</t>
  </si>
  <si>
    <t>АНТ, ООО, Санкт-Петербург</t>
  </si>
  <si>
    <t>Ваховская АР, ИП, Санкт-Петербург</t>
  </si>
  <si>
    <t>Заказ, ООО, Псков</t>
  </si>
  <si>
    <t>Илион ТД, ООО, Санкт-Петербург</t>
  </si>
  <si>
    <t>Климат Тепло, ООО, Санкт-Петербург</t>
  </si>
  <si>
    <t>Комфорт-Монтаж, ООО, Санкт-Петербург</t>
  </si>
  <si>
    <t>Нева-Арматура, ООО, Санкт-Петербург</t>
  </si>
  <si>
    <t>НЕВАГРАД-ИНЖЕНЕРНЫЕ СИСТЕМЫ, ООО, Санкт Петербург</t>
  </si>
  <si>
    <t>Неоком, ООО, Санкт-Петербург</t>
  </si>
  <si>
    <t>Патрикеев Александр Сергеевич, ИП, Псковская обл.</t>
  </si>
  <si>
    <t>ПРОМАВТОМАТИКА, ООО, г. Санкт-Петербург</t>
  </si>
  <si>
    <t>ПСК (Первая Сантехническая Компания), ООО, Санкт-Петербург</t>
  </si>
  <si>
    <t>Сантехкомплект, ООО, Санкт-Петербург</t>
  </si>
  <si>
    <t>Северо-Западное Снабжение (СЗС), ООО, Вологда</t>
  </si>
  <si>
    <t>СЕРВИСПЛЮС, ООО, Санкт-Петербург</t>
  </si>
  <si>
    <t>Солнечный день Северо-Запад, ООО, Санкт-Петербург</t>
  </si>
  <si>
    <t>СтройДомСервис, ООО, Санкт-Петербург</t>
  </si>
  <si>
    <t>ТВС комплект, ООО, Санкт-Петербург</t>
  </si>
  <si>
    <t>Теплый дом ГК, ООО, Санкт-Петербург</t>
  </si>
  <si>
    <t>Техногаз проект, ООО, Санкт-Петербург</t>
  </si>
  <si>
    <t>Ткач ГБ, ИП, Санкт-Петербург</t>
  </si>
  <si>
    <t>Ушаков РА, ИП, Санкт-Петербург</t>
  </si>
  <si>
    <t>ЦКС, ООО, Вологда</t>
  </si>
  <si>
    <t>Авдей М.Г., ИП, Гродно</t>
  </si>
  <si>
    <t>Азалия, ИП, Семей</t>
  </si>
  <si>
    <t>Аква Система, ТОО, Кокшетау</t>
  </si>
  <si>
    <t>Актив Фирма, ТОО, Павлодар</t>
  </si>
  <si>
    <t>АрмаАртИнвест, ООО, Минск</t>
  </si>
  <si>
    <t>Арматон, ООО, Минск</t>
  </si>
  <si>
    <t>Асботехника, ОсОО, Бишкек</t>
  </si>
  <si>
    <t>АТБ АЛЬФА-ГРУПП, ООО, ДНР, г. Горловка  (нерезидент)</t>
  </si>
  <si>
    <t>БелпромАрм, ООО, Минск</t>
  </si>
  <si>
    <t>БПК-инвест, ООО Минск</t>
  </si>
  <si>
    <t>Вектерм, ТОО, Алматы</t>
  </si>
  <si>
    <t>Вергун В.М., ИП, Усть-Каменогорск</t>
  </si>
  <si>
    <t>ГидроТехГрупп, ЧТУП, Минск</t>
  </si>
  <si>
    <t>Даана-Ош, ОсОО, Ош</t>
  </si>
  <si>
    <t>Домина, ЧП, Цнянка</t>
  </si>
  <si>
    <t>Дэш, ООО, Минск</t>
  </si>
  <si>
    <t>Евразия-НС, ТОО, Нур-Султан</t>
  </si>
  <si>
    <t>Зычков Д.В., ИП, Могилев</t>
  </si>
  <si>
    <t>Ибраева ЖД, ИП, Казахстан</t>
  </si>
  <si>
    <t>Кабимолданов МС, ИП, Казахстан</t>
  </si>
  <si>
    <t>Компенсатор групп, ООО, Минск</t>
  </si>
  <si>
    <t>Макаренко АЕ, ИП, Кокшетау</t>
  </si>
  <si>
    <t>Мега Сантех Склад, ОсОО, Бишкек</t>
  </si>
  <si>
    <t>Метизно-торговая компания, ТОО, Усть-Каменогорск</t>
  </si>
  <si>
    <t>Мир Сантехника, ООО, Гомель</t>
  </si>
  <si>
    <t>Монтаж Спец Снаб, ТОО, Уральск</t>
  </si>
  <si>
    <t>Онищенко С.А., ИП, Кокшетау</t>
  </si>
  <si>
    <t>ОПОРА-ПВ, ТОО, Павлодар</t>
  </si>
  <si>
    <t>Промтеплоснаб, ООО, Витебск</t>
  </si>
  <si>
    <t>Сан-Арм, ЧПТУП, Гомель</t>
  </si>
  <si>
    <t>Сантех-запад, ТОО, Уральск</t>
  </si>
  <si>
    <t>Сантех-линия, ООО, Гомель</t>
  </si>
  <si>
    <t>САНТЕХПЛАСТ, ТОО, Караганда</t>
  </si>
  <si>
    <t>СтройДорЛогистик, ТОО, Петропавловск</t>
  </si>
  <si>
    <t>СТРОЙЛЕНД, ООО, Цхинвал</t>
  </si>
  <si>
    <t>ТАМЕНТ, ОсОО, Бишкек</t>
  </si>
  <si>
    <t>Тепло Сервис Темиртау, ТОО, Темиртау</t>
  </si>
  <si>
    <t>Транс Регион, ОсОО, Ош</t>
  </si>
  <si>
    <t>ТРИАЛ ТОО, Усть-Каменогорск</t>
  </si>
  <si>
    <t>Уайпи компани, ТОО, Астана</t>
  </si>
  <si>
    <t>ФЕВИТ, ИП, Костанай</t>
  </si>
  <si>
    <t>Фитинг, ОсОО, Бишкек</t>
  </si>
  <si>
    <t>Чубирина М.Н., ИП, Караганда</t>
  </si>
  <si>
    <t>Иванова Л.А. ИП, п. Чегдомын</t>
  </si>
  <si>
    <t>Пикалов ВА, ИП, Арсеньев</t>
  </si>
  <si>
    <t>ФОЛИАНТ ООО, г. Петропаловск-Камчаткий</t>
  </si>
  <si>
    <t>Цой В.К. ИП, г. Елизово</t>
  </si>
  <si>
    <t>Головко ЕМ, ИП, Биробиджан</t>
  </si>
  <si>
    <t>ТЕХЭНЕРГОСТРОЙ ООО, г. Благовещенск</t>
  </si>
  <si>
    <t>Шалаев Д.А. ИП, Благовещенск</t>
  </si>
  <si>
    <t>Абдурахманова СШ, ИП, Борзя</t>
  </si>
  <si>
    <t>Авантаж,ООО, Новокузнецк</t>
  </si>
  <si>
    <t>Акваресурс, ООО, Томск</t>
  </si>
  <si>
    <t>Арутюнян СЯ, ИП,  Бестях</t>
  </si>
  <si>
    <t>Барвинченко ВЛ, ИП, Нерюнгри</t>
  </si>
  <si>
    <t>Болдарев ИВ, ИП, Белогорск</t>
  </si>
  <si>
    <t>Интерсервис, ООО, Чита</t>
  </si>
  <si>
    <t>Кныш, ВМ, ИП, Ленск</t>
  </si>
  <si>
    <t>Максимова НА, ИП, Якутск</t>
  </si>
  <si>
    <t>Мартынова СФ, ИП, Якутия</t>
  </si>
  <si>
    <t>Мой дом, ООО, Прокопьевск</t>
  </si>
  <si>
    <t>ОниксПром, ООО, Томск</t>
  </si>
  <si>
    <t>Петрова ИЕ, ИП, Якутия</t>
  </si>
  <si>
    <t>Потапов НА, ИП, Томск</t>
  </si>
  <si>
    <t>Роговой ВС, ИП, Нерюнгри</t>
  </si>
  <si>
    <t>Романов АВ, ИП, Кемерово</t>
  </si>
  <si>
    <t>Рубан ОВ, ИП, Абакан</t>
  </si>
  <si>
    <t>Саввинов С.В. ИП, Якутск</t>
  </si>
  <si>
    <t>СибНорд, ООО, Якутск</t>
  </si>
  <si>
    <t>Сидоренко ЮА, ИП, Кемерово</t>
  </si>
  <si>
    <t>Уваровский АВ, ИП, Новосибирск</t>
  </si>
  <si>
    <t>Хусаинова РХ, ИП, Нерюнгри</t>
  </si>
  <si>
    <t>Центральная Стройбаза, ООО, Кемерово</t>
  </si>
  <si>
    <t>Боярчук Наталья Вениаминовна ИП, г. Полевской</t>
  </si>
  <si>
    <t>Гельбинг Дмитрий Михайлович ИП, г.Нижний Тагил</t>
  </si>
  <si>
    <t>Давлетбаев Сергей Иванович, ИП, Красноуфимск</t>
  </si>
  <si>
    <t>Зайцев Валерий Константинович, ИП, г.Серов</t>
  </si>
  <si>
    <t>Инженерные системы, ООО, Пермь</t>
  </si>
  <si>
    <t>Леконцев Максим Павлович, ИП, г. Пермь</t>
  </si>
  <si>
    <t>ОДЕЖДА, ООО, ХМАО Пионерский</t>
  </si>
  <si>
    <t>Петров Иван Валерьевич ИП, г. Екатеринбург</t>
  </si>
  <si>
    <t>ПЖКУ П. ДИНАС ПМУП, г. Первоуральск</t>
  </si>
  <si>
    <t>ПЗПТ ООО, г. Полевской</t>
  </si>
  <si>
    <t>Плугатырёв Дмитрий Александрович, ИП, Байкалово</t>
  </si>
  <si>
    <t>ПТК ЭКРА-Урал ООО, г. Екатеринбург</t>
  </si>
  <si>
    <t>Семериков Станислав Борисович ИП, с. Бруснятское</t>
  </si>
  <si>
    <t>Сидоренко Андрей Львович ИП, г. Верхняя Пышма</t>
  </si>
  <si>
    <t>СК Урала ООО ТД, г. Екатеринбург</t>
  </si>
  <si>
    <t>Теплобаза, ООО, Тюмень</t>
  </si>
  <si>
    <t>ТЕПЛОСЕТ ООО, г. Екатеринбург</t>
  </si>
  <si>
    <t>УРАЛЬСКИЙ КОТЕЛЬНЫЙ ЗАВОД, АО, Екатеринбург</t>
  </si>
  <si>
    <t>Фирма МИР ООО, г. Серов</t>
  </si>
  <si>
    <t>ЧИСТАЯ ВОДА ООО, г.Екатеринбург</t>
  </si>
  <si>
    <t>АЛЬФАВЭСК, ООО, Нижневартовск</t>
  </si>
  <si>
    <t>Бровкин Александр Юрьевич, ИП, Советский</t>
  </si>
  <si>
    <t>Водясов Максим Леонидович ИП, г. Сургут</t>
  </si>
  <si>
    <t>Дмитриева Татьяна Владимировна, ИП , Заводоуковск</t>
  </si>
  <si>
    <t>КОМПЛЕКТСЕРВИС ООО, г. Екатеринбург</t>
  </si>
  <si>
    <t>Мельниченко Ольга Ивановна, ИП, Тюмень</t>
  </si>
  <si>
    <t>Сидорова Светлана Анатольевна, ИП, Советский</t>
  </si>
  <si>
    <t>АКВАТЕПЛО, ООО, Челябинск</t>
  </si>
  <si>
    <t>АкваТрейд, ООО, Челябинск</t>
  </si>
  <si>
    <t>АМАКС, ООО, Челябинск</t>
  </si>
  <si>
    <t>Анохина Татьяна Борисовна, ИП, Златоуст</t>
  </si>
  <si>
    <t>Антистов Александр Александрович, ИП, Челябинск</t>
  </si>
  <si>
    <t>Арепина Галина Юрьевна, ИП, Магнитогорск</t>
  </si>
  <si>
    <t>Бастрон Ольга Адамовна, ИП, Копейск</t>
  </si>
  <si>
    <t>Волчков Владимир Анатольевич ИП, г. Курган</t>
  </si>
  <si>
    <t>Воронин Вячеслав Сергеевич ИП, г. Красноуфимск</t>
  </si>
  <si>
    <t>Гаврилова Алла Артамоновна ИП, г. Челябинск</t>
  </si>
  <si>
    <t>ГАЗСЕРВИС, ООО, Челябинск</t>
  </si>
  <si>
    <t>Гисс Алексей Владимирович, ИП, Коркино</t>
  </si>
  <si>
    <t>Глухов Игорь Анатольевич, ИП, Шадринск</t>
  </si>
  <si>
    <t>ГОРСТРОЙСНАБ, ООО, г.Каменск-Уральский</t>
  </si>
  <si>
    <t>Григорьева Елена Александровна, ИП, Шадринск</t>
  </si>
  <si>
    <t>ГСК ООО, г. Екатеринбург (ГАЗ СТРОЙ КОМПЛЕКТ)</t>
  </si>
  <si>
    <t>Давыдов Николай Федорович, ИП, Катайск</t>
  </si>
  <si>
    <t>Европа, ООО, Екатеринбург</t>
  </si>
  <si>
    <t>Ежов Илья Олегович, ИП, Челябинск</t>
  </si>
  <si>
    <t>Жуйков Дмитрий Александрович, ИП, Екатеринбург</t>
  </si>
  <si>
    <t>Исакаев Руслан Шамилевич, ИП, д. Моховички</t>
  </si>
  <si>
    <t>Каширин Михаил Александрович, ИП, Магнитогорск</t>
  </si>
  <si>
    <t>КВАДРО-МВН, ООО, Миасс</t>
  </si>
  <si>
    <t>Комплектснабсервис, ООО, Курган</t>
  </si>
  <si>
    <t>КОНТУР ПЛЮС, ООО ТД, Екатеринбург</t>
  </si>
  <si>
    <t>Котов Константин Александрович ИП, Магнитогорск</t>
  </si>
  <si>
    <t>Крестников Игорь Вячеславович, ИП, Челябинск</t>
  </si>
  <si>
    <t>Кручинин Александр Сергеевич, ИП, Красноуфимск</t>
  </si>
  <si>
    <t>Лебенков Станислав Валерьевич, ИП, Челябинск</t>
  </si>
  <si>
    <t>Мамыч Кирилл Владимирович, ИП, Магнитогорск</t>
  </si>
  <si>
    <t>Марусин Антон Анатольевич, ИП, Курган</t>
  </si>
  <si>
    <t>МИХЕЕВ И К, ООО, Челябинск</t>
  </si>
  <si>
    <t>МК-СЕРВИС ООО, Екатеринбург</t>
  </si>
  <si>
    <t>МТК, ООО, Екатеринбург</t>
  </si>
  <si>
    <t>Налимова Анна Викторовна, ИП, Миасс</t>
  </si>
  <si>
    <t>Новикова Ирина Владимировна, ИП, Екатеринбург</t>
  </si>
  <si>
    <t>Павлов Виктор Михайлович, ИП, Челябинск</t>
  </si>
  <si>
    <t>Перевязкина Вера Алексеевна, ИП, Снежинск</t>
  </si>
  <si>
    <t>Петраков Александр Сергеевич, ИП, Челябинск</t>
  </si>
  <si>
    <t>Петухов Илья Владимирович, ИП, Первоуральск</t>
  </si>
  <si>
    <t>ПОЛИДЕКОР, ООО, Екатеринбург</t>
  </si>
  <si>
    <t>ПОЛИТОРГ ООО, г. Екатеринбург</t>
  </si>
  <si>
    <t>Понамарев Дмитрий Николаевич, ИП, Тюмень</t>
  </si>
  <si>
    <t>Попов А.В, ИП, Сысерть</t>
  </si>
  <si>
    <t>Порошин Андрей Николаевич, ИП, Снежинск</t>
  </si>
  <si>
    <t>ПРАКТИКА ПЛЮС, ООО, Кыштым</t>
  </si>
  <si>
    <t>Приходько Дмитрий Викторович, ИП с. Бородулино</t>
  </si>
  <si>
    <t>Ракова Марина Леонидовна, ИП, Екатеринбург</t>
  </si>
  <si>
    <t>Регион 96, ООО, Косулино</t>
  </si>
  <si>
    <t>Резниченко Юлия Викторовна, ИП, Курган</t>
  </si>
  <si>
    <t>САНТЕХМАГ, ООО, Магнитогорск</t>
  </si>
  <si>
    <t>Сафин Денис Радулевич ИП, г.Златоуст</t>
  </si>
  <si>
    <t>СМ-ЛИГА, ООО, Екатеринбург</t>
  </si>
  <si>
    <t>СПЕЦЭЛИТА-96, ООО, Екатеринбург</t>
  </si>
  <si>
    <t>СТРОЙ СИСТЕМЫ Р, ООО, Челябинск</t>
  </si>
  <si>
    <t>Тайманкин Никита Сергеевич, ИП, Шадринск</t>
  </si>
  <si>
    <t>ТЕПЛО ДЛЯ ДОМА, ООО, Челябинск</t>
  </si>
  <si>
    <t>ТЕПЛО, ООО, г.Магнитогорск</t>
  </si>
  <si>
    <t>Тормозин Виталий Васильевич, ИП, Краснотурьинск</t>
  </si>
  <si>
    <t>ТФ АДЕЛИ, ООО, Челябинск</t>
  </si>
  <si>
    <t>Усманов Тагир Иршатович, ИП, Челябинск</t>
  </si>
  <si>
    <t>Фадеев Алексей Михайлович, ИП, Шадринск</t>
  </si>
  <si>
    <t>Хрушкова Людмила Тимофеевна, ИП, Магнитогорск</t>
  </si>
  <si>
    <t>ЮНИТЕРМ+, ООО, Челябинск</t>
  </si>
  <si>
    <t>Агропромкомплект, ООО, Рязань</t>
  </si>
  <si>
    <t>АКВАТЕРМ, ООО, г. Иваново</t>
  </si>
  <si>
    <t>АЛЕКС ООО ТД, г. Москва</t>
  </si>
  <si>
    <t>АЛЬФА ТРЕЙД, ООО, Москва</t>
  </si>
  <si>
    <t>АРМА, ООО, Москва</t>
  </si>
  <si>
    <t>Атриа, ООО, Люберцы</t>
  </si>
  <si>
    <t>БИС, ООО, Москва</t>
  </si>
  <si>
    <t>Болквадзе МЛ, ИП, Ивановская обл.</t>
  </si>
  <si>
    <t>Быкова МИ, ИП, Липецк</t>
  </si>
  <si>
    <t>ВОЗДУХПРОМ, ООО,Московская обл</t>
  </si>
  <si>
    <t>Вострейкин Я.Я., ИП, Брянск</t>
  </si>
  <si>
    <t>Генатулин А.Р., ИП, г. Иваново</t>
  </si>
  <si>
    <t>Гермес, ООО, Липецк</t>
  </si>
  <si>
    <t>Гордеенков А.Л., ИП, Смоленск</t>
  </si>
  <si>
    <t>ДААРА, ООО, Липецк</t>
  </si>
  <si>
    <t>Диамонд, ООО, г. Калуга</t>
  </si>
  <si>
    <t>ДОМИНИОН, ООО, Люберцы</t>
  </si>
  <si>
    <t>ДУНКАН, ООО, г.Смоленск</t>
  </si>
  <si>
    <t>КМ СтройЦентр, ООО, г Люберцы</t>
  </si>
  <si>
    <t>Козина ВИ, ИП, Воронеж</t>
  </si>
  <si>
    <t>Кокина Екатерина Валерьевна, ИП, г. Калуга</t>
  </si>
  <si>
    <t>Комаров АС, ИП, Ярославская обл.</t>
  </si>
  <si>
    <t>ЛЕГИОН, ООО, Москва</t>
  </si>
  <si>
    <t>Леснухин А. С., ИП, Липецк</t>
  </si>
  <si>
    <t>Лыткаринский Завод Самоходных Машин, ООО, г. Люберцы</t>
  </si>
  <si>
    <t>МегаСтрой67, ООО, Смоленская обл.</t>
  </si>
  <si>
    <t>МИБ Б, ООО, г.Москва</t>
  </si>
  <si>
    <t>ММ-ТРЕЙД, ООО, Москва</t>
  </si>
  <si>
    <t>МСК ,  ООО, г. Ярославль</t>
  </si>
  <si>
    <t>Николаевский Б.П, ИП, Смоленск</t>
  </si>
  <si>
    <t>Овчинникова НМ, ИП, Тамбов</t>
  </si>
  <si>
    <t>Осипов В.М., ИП, Брянск</t>
  </si>
  <si>
    <t>ОЦПН, ООО, Калужская обл.</t>
  </si>
  <si>
    <t>Паллант, ООО, Ярославль</t>
  </si>
  <si>
    <t>ПРО ВОСТОК, ООО, Москва</t>
  </si>
  <si>
    <t>ПрофСтройКомплект, ООО, Тула</t>
  </si>
  <si>
    <t>Санков АЕ, ИП, Рязань</t>
  </si>
  <si>
    <t>Сантехник, ООО, г. Калуга</t>
  </si>
  <si>
    <t>СантехОптТверь, ООО, Тверь</t>
  </si>
  <si>
    <t>Сантехплюс, ООО, Рязань</t>
  </si>
  <si>
    <t>САНТЕХПОСТАВКА, ООО, Тверь</t>
  </si>
  <si>
    <t>САНТЕХСИТИ, ООО, Москва</t>
  </si>
  <si>
    <t>САНТЕХСНАБ, ООО, г. Тула</t>
  </si>
  <si>
    <t>Сидоров А.А. ИП, Рязань</t>
  </si>
  <si>
    <t>СнабСервисМ, ООО, Москва</t>
  </si>
  <si>
    <t>Стройдоставка, ООО, Москва</t>
  </si>
  <si>
    <t>Супермаркет Сантехники, ООО, Москва</t>
  </si>
  <si>
    <t>СУПЕРСТРОЙ -М ООО, г. Москва</t>
  </si>
  <si>
    <t>Триханов Роман Анатольевич, ИП, Липецк</t>
  </si>
  <si>
    <t>ТХТ, ООО, Тула</t>
  </si>
  <si>
    <t>ЦСТ, ООО, Смоленская обл.</t>
  </si>
  <si>
    <t>Гальцов А.В, ИП, Новосибирск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</si>
</sst>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0.00;[Red]\-0.00"/>
    <numFmt numFmtId="165" formatCode="[$-419]mmmm\ yyyy;@"/>
    <numFmt numFmtId="166" formatCode="#,##0.00\ _₽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8"/>
      <name val="Calibri"/>
      <family val="2"/>
      <scheme val="minor"/>
    </font>
    <font>
      <sz val="10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thin">
        <color indexed="60"/>
      </right>
      <top/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4" fillId="0" borderId="0"/>
    <xf numFmtId="0" fontId="2" fillId="0" borderId="0"/>
    <xf numFmtId="43" fontId="8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pivotButton="1"/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/>
    <xf numFmtId="0" fontId="0" fillId="0" borderId="1" xfId="0" applyBorder="1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" xfId="0" applyFill="1" applyBorder="1"/>
    <xf numFmtId="166" fontId="0" fillId="0" borderId="0" xfId="0" applyNumberFormat="1"/>
    <xf numFmtId="0" fontId="0" fillId="0" borderId="0" xfId="0" applyAlignment="1">
      <alignment vertical="center" wrapText="1"/>
    </xf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Continuous"/>
    </xf>
    <xf numFmtId="0" fontId="6" fillId="2" borderId="2" xfId="1" applyFont="1" applyFill="1" applyBorder="1" applyAlignment="1">
      <alignment vertical="top" wrapText="1"/>
    </xf>
    <xf numFmtId="0" fontId="6" fillId="2" borderId="2" xfId="1" applyFont="1" applyFill="1" applyBorder="1" applyAlignment="1">
      <alignment horizontal="right" vertical="top" wrapText="1"/>
    </xf>
    <xf numFmtId="0" fontId="4" fillId="0" borderId="2" xfId="1" applyBorder="1" applyAlignment="1">
      <alignment vertical="top" wrapText="1"/>
    </xf>
    <xf numFmtId="40" fontId="4" fillId="0" borderId="2" xfId="1" applyNumberFormat="1" applyBorder="1" applyAlignment="1">
      <alignment horizontal="right" vertical="top" wrapText="1"/>
    </xf>
    <xf numFmtId="164" fontId="4" fillId="0" borderId="2" xfId="1" applyNumberFormat="1" applyBorder="1" applyAlignment="1">
      <alignment horizontal="right" vertical="top" wrapText="1"/>
    </xf>
    <xf numFmtId="0" fontId="4" fillId="0" borderId="2" xfId="1" applyBorder="1" applyAlignment="1">
      <alignment horizontal="right" vertical="top" wrapText="1"/>
    </xf>
    <xf numFmtId="40" fontId="4" fillId="4" borderId="2" xfId="1" applyNumberFormat="1" applyFill="1" applyBorder="1" applyAlignment="1">
      <alignment horizontal="right" vertical="top" wrapText="1"/>
    </xf>
    <xf numFmtId="0" fontId="4" fillId="5" borderId="2" xfId="1" applyFill="1" applyBorder="1" applyAlignment="1">
      <alignment vertical="top" wrapText="1"/>
    </xf>
    <xf numFmtId="0" fontId="4" fillId="4" borderId="2" xfId="1" applyFill="1" applyBorder="1" applyAlignment="1">
      <alignment vertical="top" wrapText="1"/>
    </xf>
    <xf numFmtId="0" fontId="3" fillId="0" borderId="5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 wrapText="1"/>
    </xf>
    <xf numFmtId="0" fontId="0" fillId="0" borderId="11" xfId="0" applyBorder="1"/>
    <xf numFmtId="3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5" borderId="14" xfId="0" applyFont="1" applyFill="1" applyBorder="1"/>
    <xf numFmtId="0" fontId="0" fillId="0" borderId="15" xfId="0" applyBorder="1"/>
    <xf numFmtId="0" fontId="0" fillId="0" borderId="16" xfId="0" applyBorder="1"/>
    <xf numFmtId="0" fontId="3" fillId="0" borderId="16" xfId="0" applyFont="1" applyBorder="1" applyAlignment="1">
      <alignment horizontal="center" vertical="center" wrapText="1"/>
    </xf>
    <xf numFmtId="0" fontId="3" fillId="0" borderId="0" xfId="0" applyFont="1"/>
    <xf numFmtId="0" fontId="0" fillId="6" borderId="17" xfId="0" applyFill="1" applyBorder="1"/>
    <xf numFmtId="0" fontId="0" fillId="0" borderId="17" xfId="0" applyBorder="1"/>
    <xf numFmtId="0" fontId="3" fillId="0" borderId="0" xfId="0" applyFont="1" applyAlignment="1">
      <alignment horizontal="center" vertical="center" wrapText="1"/>
    </xf>
    <xf numFmtId="0" fontId="0" fillId="6" borderId="18" xfId="0" applyFill="1" applyBorder="1"/>
    <xf numFmtId="0" fontId="0" fillId="0" borderId="18" xfId="0" applyBorder="1"/>
    <xf numFmtId="0" fontId="0" fillId="0" borderId="19" xfId="0" applyBorder="1"/>
    <xf numFmtId="166" fontId="3" fillId="5" borderId="14" xfId="0" applyNumberFormat="1" applyFont="1" applyFill="1" applyBorder="1"/>
    <xf numFmtId="166" fontId="0" fillId="0" borderId="19" xfId="3" applyNumberFormat="1" applyFont="1" applyBorder="1"/>
    <xf numFmtId="166" fontId="0" fillId="0" borderId="19" xfId="0" applyNumberFormat="1" applyBorder="1"/>
    <xf numFmtId="166" fontId="0" fillId="0" borderId="18" xfId="0" applyNumberFormat="1" applyBorder="1"/>
    <xf numFmtId="166" fontId="0" fillId="0" borderId="15" xfId="0" applyNumberFormat="1" applyBorder="1"/>
    <xf numFmtId="0" fontId="0" fillId="0" borderId="5" xfId="0" applyBorder="1" applyAlignment="1">
      <alignment horizontal="center"/>
    </xf>
    <xf numFmtId="0" fontId="6" fillId="2" borderId="3" xfId="1" applyFont="1" applyFill="1" applyBorder="1" applyAlignment="1">
      <alignment vertical="top" wrapText="1"/>
    </xf>
    <xf numFmtId="0" fontId="6" fillId="2" borderId="4" xfId="1" applyFont="1" applyFill="1" applyBorder="1" applyAlignment="1">
      <alignment vertical="top" wrapText="1"/>
    </xf>
  </cellXfs>
  <cellStyles count="4">
    <cellStyle name="Обычный" xfId="0" builtinId="0"/>
    <cellStyle name="Обычный 2" xfId="2" xr:uid="{38A2E235-5157-43E0-85CE-133960CCBCC7}"/>
    <cellStyle name="Обычный_Лист1" xfId="1" xr:uid="{9D4D9C29-4BD2-4D29-A514-FA94B1056387}"/>
    <cellStyle name="Финансовый" xfId="3" builtinId="3"/>
  </cellStyles>
  <dxfs count="28">
    <dxf>
      <numFmt numFmtId="166" formatCode="#,##0.00\ _₽"/>
    </dxf>
    <dxf>
      <numFmt numFmtId="165" formatCode="[$-419]mmmm\ yyyy;@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>
          <bgColor theme="8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3" defaultTableStyle="TableStyleMedium2" defaultPivotStyle="PivotStyleLight16">
    <tableStyle name="Плоский стиль сводного представления" table="0" count="3" xr9:uid="{C01013A1-A012-4889-B17C-93D3F0E51592}">
      <tableStyleElement type="headerRow" dxfId="27"/>
      <tableStyleElement type="totalRow" dxfId="26"/>
      <tableStyleElement type="secondRowStripe" dxfId="25"/>
    </tableStyle>
    <tableStyle name="Стиль сводной таблицы 1" table="0" count="3" xr9:uid="{559F3A8F-512F-4902-89E0-B005A5C431C5}">
      <tableStyleElement type="wholeTable" dxfId="24"/>
      <tableStyleElement type="headerRow" dxfId="23"/>
      <tableStyleElement type="firstColumn" dxfId="22"/>
    </tableStyle>
    <tableStyle name="Стиль таблицы 1" pivot="0" count="2" xr9:uid="{F9FF6786-0217-467C-86F6-C0FF6552513C}">
      <tableStyleElement type="wholeTable" dxfId="21"/>
      <tableStyleElement type="headerRow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34" Type="http://schemas.openxmlformats.org/officeDocument/2006/relationships/customXml" Target="../customXml/item22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35" Type="http://schemas.microsoft.com/office/2006/relationships/vbaProject" Target="vbaProject.bin"/><Relationship Id="rId8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0</xdr:rowOff>
        </xdr:from>
        <xdr:to>
          <xdr:col>3</xdr:col>
          <xdr:colOff>9525</xdr:colOff>
          <xdr:row>2</xdr:row>
          <xdr:rowOff>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Жигульских Евгений Олегович" refreshedDate="45201.681614583336" createdVersion="5" refreshedVersion="7" minRefreshableVersion="3" recordCount="0" supportSubquery="1" supportAdvancedDrill="1" xr:uid="{201B3707-5055-4DD8-BB3C-A635A51FC460}">
  <cacheSource type="external" connectionId="2"/>
  <cacheFields count="4">
    <cacheField name="[Продажи_НДС].[Группа доступа].[Группа доступа]" caption="Группа доступа" numFmtId="0" hierarchy="7" level="1">
      <sharedItems count="13">
        <s v="ПФО Овсянников"/>
        <s v="ПФО Ручкин"/>
        <s v="ПФО Шашкина"/>
        <s v="СЗФО Разин"/>
        <s v="СНГ Фёдоров"/>
        <s v="СФО Мацкевич"/>
        <s v="СФО Расулов"/>
        <s v="СФО Томлоп"/>
        <s v="СФО Чучкалов"/>
        <s v="УФО Бай"/>
        <s v="УФО Григорьев"/>
        <s v="УФО Маринич"/>
        <s v="ЦФО Лоберг"/>
      </sharedItems>
    </cacheField>
    <cacheField name="[Продажи_НДС].[Период, месяц].[Период, месяц]" caption="Период, месяц" numFmtId="0" hierarchy="10" level="1">
      <sharedItems containsSemiMixedTypes="0" containsNonDate="0" containsDate="1" containsString="0" minDate="2021-01-01T00:00:00" maxDate="2023-08-02T00:00:00" count="32"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</sharedItems>
    </cacheField>
    <cacheField name="[Продажи_НДС].[Клиент_Головное].[Клиент_Головное]" caption="Клиент_Головное" numFmtId="0" hierarchy="9" level="1">
      <sharedItems count="1015">
        <s v="АБРИС, ООО, г. Чебоксары"/>
        <s v="АИР ГРУПП, ООО , Альметьевск"/>
        <s v="АКАДЕМИЯ ТЕПЛА НЧ, ООО, г.Набережные Челны"/>
        <s v="АКВАЛИР ТД ,ООО, г. Казань"/>
        <s v="АкваРитм, ООО, Казань"/>
        <s v="АКВА-СИТИ, ООО, г.Саратов"/>
        <s v="Акведук ТД, ООО, Саратов"/>
        <s v="Альметьевскснаб, ООО, Альметьевск"/>
        <s v="Арматура ТД, ООО, г. Казань"/>
        <s v="АрмСнаб ООО, Набережные Челны"/>
        <s v="АРМСНАБ,ООО,Саратов"/>
        <s v="Арчибасов С.Г., ИП, г.Бугульма"/>
        <s v="Афруз, ООО, Казань"/>
        <s v="Балканский А.Р., ИП, с.Габишево"/>
        <s v="Бамбуров Юрий Александрович, ИП, г. Саратов"/>
        <s v="Борисов Н.А.,ИП,г.Саратов"/>
        <s v="Бузенков А.В., ИП, г. Балаково"/>
        <s v="Булыгина Яна Игоревна, ИП, Йошкар-ола"/>
        <s v="Васильев В.А. ИП, Чебоксары"/>
        <s v="Вахитов Р.Р. ИП, г. Елабуга"/>
        <s v="ВГК ООО, г.Чебоксары"/>
        <s v="Верхневолгосантехмонтаж - Ч, ООО, г.Чебоксары"/>
        <s v="Веста, ООО, г.Альметьевск ( Добрострой )"/>
        <s v="Вира-С, ООО, Саратов"/>
        <s v="Водвентснаб, ООО, Саратов"/>
        <s v="ВОДОВОРОТ-С, ООО, г.Саратов"/>
        <s v="ВОК-Челны, ООО, г. Набережные Челны"/>
        <s v="Волков А.А. ИП, Саратов"/>
        <s v="Воронина Александра Александровна, ИП , Новочебоксарск"/>
        <s v="Вязников А.В.,ИП, г. Волжск Марий Эл"/>
        <s v="Гидрокомплект, ООО, Казань"/>
        <s v="Гидропласт, ООО, г.Йошкар-Ола"/>
        <s v="Горинов С.В., ИП, г. Йошкар-Ола"/>
        <s v="Грабалин Евгений Владимирович, ИП, г.Казань"/>
        <s v="Григорьев А.С. ИП, Новочебоксарск"/>
        <s v="Жилснаб, ООО, Казань"/>
        <s v="Зарубин Антон Вячеславович, ИП, г.Чебоксары"/>
        <s v="Земсков Константин Николаевич, ИП, Саратов"/>
        <s v="ИНЖЕНЕРНЫЕ ТЕХНОЛОГИИ, ООО, г. Казань"/>
        <s v="Казанская Сантехническая Компания, ООО, г.Набережные Челны"/>
        <s v="Карат Поволжье, ООО, Чебоксары"/>
        <s v="Компания «ЗАТЛЫ» ООО, Казань"/>
        <s v="Комцентр Стратегия, ООО, г. Чебоксары"/>
        <s v="Константинов Юрий Алексеевич, ИП , Чебоксары"/>
        <s v="Конструктив, ООО, г. Альметьевск"/>
        <s v="КОНТРАКТ-С ТД ООО, Саратов"/>
        <s v="Кормилкин П.Н., ИП, г.Балаково"/>
        <s v="КСК, ООО, г. Набережные Челны"/>
        <s v="Кузнецов А.Н, ИП, Чебоксары"/>
        <s v="Лейб А.А.,ИП, г.Йошкар-Ола"/>
        <s v="Макаров Константин Владимирович, ИП, с.Сокуры"/>
        <s v="МАСТЕР, ООО, г.Нижнекамск"/>
        <s v="Мега Терм, ООО, Казань"/>
        <s v="Мигунова Е.В., ИП, г. Волжск"/>
        <s v="МИДИ ЛТД ООО, Энгельс"/>
        <s v="МИР ТЕПЛА, ООО , г.Казань"/>
        <s v="Немыкин Максим Сергеевич, ИП, г.Саратов"/>
        <s v="Нурсантехстрой, ООО, г. Нурлат"/>
        <s v="Онами, ООО, Казань"/>
        <s v="ПКФ БАРКО,ООО, Саратов"/>
        <s v="ПКФ ГРАНД, ООО, г.Наб. Челны"/>
        <s v="Плотников Д.А,, ИП, Йошкар-Ола"/>
        <s v="ПОЛИВАЙ-КА , ООО, г.Набережные Челны"/>
        <s v="ПОЛИМЕРПЛАСТ ООО, Чебокрасы"/>
        <s v="Полытов Л.А., ИП, Чебоксары"/>
        <s v="Портнов В.В., ИП, Чебоксары"/>
        <s v="Порфирьев РВ, ИП, Чувашия"/>
        <s v="Примех, ООО, Чебоксары"/>
        <s v="Промпроект, ООО, г. Казань"/>
        <s v="Процветов Виталий Владимирович, ИП , г. Саратов"/>
        <s v="РАДЭЛЬ ООО, Высокая Гора"/>
        <s v="РегионПласт ТД, ООО, Набережные Челны"/>
        <s v="Резникова О.А. ИП , г.Саратов"/>
        <s v="Родин В.А.,ИП, г.Саратов"/>
        <s v="РССЕРВИС ПАЙЩИК МПО &quot;ГОЛДЕН АКСИС&quot; ООО, г. Казань"/>
        <s v="РТИ ООО, Чебоксары"/>
        <s v="Сангрео, ООО, Казань"/>
        <s v="САНТЕХКОМ, ООО, г. Саратов"/>
        <s v="САНТЕХКОМПЛЕКТ, ООО, г.Альметьевск"/>
        <s v="САНТЕХКОМФОРТ, ООО, г.Альметьевск"/>
        <s v="Сантехповолжья ТД, ООО, Казань"/>
        <s v="САНТЕХСНАБЖЕНИЕ ТД, ООО, г.Набережные Челны"/>
        <s v="Сантехстрой, ООО, г.Чебоксары"/>
        <s v="СанТэкс, ООО, г.Казань"/>
        <s v="Саратовская НефтеГазовая Компания, ООО, г.Энгельс"/>
        <s v="СИСТЕМА ООО, Казань"/>
        <s v="СПЕЦБЫТ, ООО, г. Балаково"/>
        <s v="Спецснабжение, ООО, г. Йошкар-Ола"/>
        <s v="Средняя Волга ЭТПК, ООО, г. Энгельс"/>
        <s v="Стройинжиниринг, ООО, Саратов"/>
        <s v="СТРОЙСОЮЗ, ООО, г. Чебоксары"/>
        <s v="ТЕХМАСТЕР ООО, г. Наб. Челны"/>
        <s v="ТЕХНОАКТИВ, ООО, г.Чебоксары"/>
        <s v="ТИ КОСС, ООО, г.Саратов"/>
        <s v="Тимерхан, ООО, Казань"/>
        <s v="ТИП-ТОП, ООО, г.Казань"/>
        <s v="Тогаз,ООО,Чебоксары"/>
        <s v="Тола, ООО, г. Набережные Челны"/>
        <s v="ТПК Техпромснаб, ООО, г. Йошкар-Ола"/>
        <s v="Трубопластмонтаж  ПФ ООО, Наб.Челны"/>
        <s v="ТТЦ ССМ, ООО, г.Казань"/>
        <s v="ФРЕГАТ, ООО, г.Энгельс"/>
        <s v="ХОЗАРСЕНАЛ СК ООО, Казань"/>
        <s v="Чупахин В.А., ИП, г.Балаково"/>
        <s v="Шайхутдинов И. Р., ИП г. Сарманово"/>
        <s v="Шульгов С.А, ИП, Энгельс"/>
        <s v="Экодом-С, ООО, Энгельс"/>
        <s v="Энергомашкомплект, ЗАО, Саратов"/>
        <s v="Энергоплюс, ООО, п. Высокая Гора"/>
        <s v="ЭПК, ООО , г. Казань"/>
        <s v="ЭТАЛОНСНАБРЕСУРС,ООО, г.Набережные Челны"/>
        <s v="ЮниКом ТД, ООО, г.Наб.Челны"/>
        <s v="ЮРАТ ООО, г.Чебоксары"/>
        <s v="Янзигитова Е.В., ИП, г. Балаково"/>
        <s v="777, ООО, Ишимбай"/>
        <s v="Абдуллина Л.А., ИП, г.Уфа"/>
        <s v="Агеев Д.Ю., ИП, г. Пенза"/>
        <s v="Аетбаев ДШ, ИП, Стерлитамак"/>
        <s v="АкваГранд, ООО, Нижний Новгород"/>
        <s v="Аквариус ТПК, ООО, Нижний Новгород"/>
        <s v="АКВАСИСТЕМЫ, ООО, г.Нижний Новгород"/>
        <s v="Анфёров О.К., ИП, Уфа"/>
        <s v="Армада, ООО, Нижний Новгород"/>
        <s v="Балтоптторг-НН ООО, Нижний Новгород"/>
        <s v="Башснабсервис, ООО, Уфа"/>
        <s v="Безрукова Е.А.,ИП, г.Саранск"/>
        <s v="Блинов С.Н. ИП, Нижний Новгород"/>
        <s v="Богданов И.Р.,ИП,Стерлитамак"/>
        <s v="БРИГАДИР, ООО, г. Салават"/>
        <s v="Бурашников ДК, ИП, Н. Новгород"/>
        <s v="Быковский А.И , ИП, г.Белебей"/>
        <s v="Ваганов Д.В.,ИП, г.Саранск"/>
        <s v="Валиуллин А.А.,ИП,г.Стерлитамак"/>
        <s v="Варвара, ООО, г. Мелеуз"/>
        <s v="Варянова Е.А.,ИП, г.Саранск"/>
        <s v="ВДГО, ООО, г. Нижний Новгород"/>
        <s v="Вечные трубы, ООО, г. Пенза"/>
        <s v="ВОДОГАЗОАРМАТУРА ТД, ООО, г.Нижний Новгород"/>
        <s v="Газ Стандарт, ООО, г.Нижний Новгород"/>
        <s v="ГазПрофСервис, ООО, г.Уфа"/>
        <s v="Галеев РГ, ИП, Уфа"/>
        <s v="Галиуллин А.Р, ИП, Нефтекамск"/>
        <s v="Галиуллин РР, ИП, Октябрьский"/>
        <s v="Гареев М.Ш., ИП,г. Белебей"/>
        <s v="ГИДРОКОМПЛЕКТНН,ООО, г.Нижний Новгород"/>
        <s v="Гольфстрим, ООО, г. Октябрьский"/>
        <s v="Григорян СА, ИП, Н.Новгород"/>
        <s v="Зажигин В.Н., ИП, г. Нижний Новгород"/>
        <s v="Зарипова А.Н., ИП, г. Туймазы"/>
        <s v="Ибатуллин В.Я.,ИП, г.Стерлитамак"/>
        <s v="Ильясов С.В. ИП, Октябрьский"/>
        <s v="Исаева Ю.В., ИП, г. Уфа"/>
        <s v="Исмагилова Л.А. ИП, Красная Горка"/>
        <s v="Карат, ООО, г. Туймазы"/>
        <s v="Компания Квартал, ООО, Н.Новгород"/>
        <s v="Коновалов Д.Ю, ИП, Нижний Новгород"/>
        <s v="Континент ГК, ООО, Уфа"/>
        <s v="КОТЕЛ-НН,ООО, г.Нижний Новгород"/>
        <s v="Котков С.Ю., ИП, г. Арзамас"/>
        <s v="Кузнецов И.И.,ИП, г.Стерлитамак"/>
        <s v="Кульков Д.Е. ИП, Пенза"/>
        <s v="Кулькова Е.Н. ИП, Пенза"/>
        <s v="Ликон-НН, ООО, Н.Новгород"/>
        <s v="Лобанов С.В.,ИП, г.Саранск"/>
        <s v="Лопушко А.Г.,ИП,Нижний Новгород"/>
        <s v="Лунева ИС, ИП, Н.Новгород"/>
        <s v="Малкин А.Н.,ИП, г.Кузнецк"/>
        <s v="Малыгин А.С, ИП, Нижний Новгород"/>
        <s v="Матвеев И.С., ИП, г. Нижний Новгород"/>
        <s v="Махалин Руслан Александрович, ИП, г.Нижний Новгород"/>
        <s v="Медведев А.В., ИП, г. Пенза"/>
        <s v="Мехтиев В.В.,ИП, г.Пенза"/>
        <s v="Милсома, ООО, Кстово"/>
        <s v="МТС-Сантехника, ООО, Уфа"/>
        <s v="Мухаметзянов Р.Р. ИП, г. Стерлитамак"/>
        <s v="Ненюхин Р.Н.,ИП, г.Нижний Новгород"/>
        <s v="НОХТ,АО, г.Нижний Новгород"/>
        <s v="Пастушенко ОФ, ИП, Н.Новгород"/>
        <s v="Перетятько М. Ф. ИП, Уфа"/>
        <s v="Петров А.Г., ИП, Стерлитамак"/>
        <s v="Плаза, ООО, г.Нижний Новгород"/>
        <s v="ПРЕМИУМАРМ ТД, ООО, г.Ниж.Новгород"/>
        <s v="Прокофьев Д.В, ИП, Кстово"/>
        <s v="ПРОМОКНА,ООО, г.Пенза"/>
        <s v="РЕСУРС,ООО, г.Уфа"/>
        <s v="Рус-Пласт ГК, ООО, г. Нижний Новгород"/>
        <s v="РусПолимерГрупп, ООО, Н.Новгород"/>
        <s v="САНТИ НН, ООО, г.Нижний Новгород"/>
        <s v="Сафин И.А.,ИП, г.Белебей"/>
        <s v="Сафин Р.М.,ИП, г.Уфа"/>
        <s v="Семенов А.В.,ИП, г.Н.Новгород"/>
        <s v="Семенчук И.В., ИП, г. Уфа"/>
        <s v="Сергеев А.П., ИП,  г. Стерлитамак"/>
        <s v="Сильянова Ю.А.,ИП, г.Нижний Новгород"/>
        <s v="СМК - НОВАТОР ООО, Н.Новгород"/>
        <s v="СТК, ООО, г. Пенза"/>
        <s v="Стройтекс, ООО, г. Октябрьский"/>
        <s v="Судьин В.К. ИП, Белебей"/>
        <s v="Тарасов АС, ИП, Уфа (ИОНАС)"/>
        <s v="ТД Тепломаркет, ООО, Уфа"/>
        <s v="ТеплоСанКомплект,ООО, г.Нижний Новгород"/>
        <s v="ТЕПЛОСТРОЙ-НН ООО, Кстово"/>
        <s v="ТЕПЛО-УФА, ООО, г. Уфа"/>
        <s v="Техноклимат, ООО, Туймазы"/>
        <s v="ТехноЛидер+,ООО, г.Саранск"/>
        <s v="Техснаб, ООО, г. Стерлитамак"/>
        <s v="ТисГрупп, ООО, г.Нижний Новгород"/>
        <s v="ТМ-УФА, ООО, Уфа"/>
        <s v="Фазлетдинов Р.Р. ИП, Дюртюли"/>
        <s v="Фаткуллин А.Р.ИП,Уфа"/>
        <s v="ФД-пласт НН, ООО, г. Нижний Новгород"/>
        <s v="Федоренко И.В, ИП, Уфа"/>
        <s v="Федюнин Г.А., ИП, г. Пенза"/>
        <s v="Фитингснаб, ООО, Нижний Новгород"/>
        <s v="Форс компания, ООО, Уфа"/>
        <s v="Хайдаров Д.Ф., ИП, г. Октябрьский"/>
        <s v="Цапко А.А.,ИП, г.Саранск"/>
        <s v="Чесноков А.Г., ИП, г. Нижний Новгород"/>
        <s v="Шагиева Л.Ш., ИП, Уфа"/>
        <s v="Шмуклер Д.А.,ИП, г.Саранск"/>
        <s v="ЭкоТайм ООО, Уфа"/>
        <s v="ЭНКОМ, ООО, Уфа"/>
        <s v="Адякова О.Г., ИП, г. Самара"/>
        <s v="Айнутдинов Р.А., ИП, г. Ульяновск"/>
        <s v="Аквакомфорт, ООО, Самара"/>
        <s v="Аквасервис, ООО, Ижевск"/>
        <s v="Акватех, ООО, Самара"/>
        <s v="Акватория-Термо, ООО, Оренбург"/>
        <s v="Альфа, ООО, г. Тольятти"/>
        <s v="Ананин А.С., ИП, г.Ижевск"/>
        <s v="Андреев С.Ю. ИП, Самара"/>
        <s v="Арма, ООО, Самара"/>
        <s v="Армо Волга, ООО, г. Кинель"/>
        <s v="Армресурс, ООО, г.Ульяновск"/>
        <s v="АРМТРЕЙД ООО, Ижевск"/>
        <s v="Асфитинг,  ООО, Тольятти"/>
        <s v="Барабошина Н.В., ИП, г.Тольятти"/>
        <s v="Белов В.В., ИП, г. Орск"/>
        <s v="Бельтюков И.В., ИП, г.Самара"/>
        <s v="БЕТОНСТРОЙКОМПЛЕКТ ООО, Оренбург"/>
        <s v="Бондарев К.А, ИП, Дубовый умет"/>
        <s v="Бузмакова Л.Н., ИП, г. Воткинск"/>
        <s v="Булычёва В.И., ИП, г. Сызрань"/>
        <s v="Буровая Техника, ООО, г. Самара"/>
        <s v="Бурханов Р.Н. ИП, Самара"/>
        <s v="Бушуев Максим Анатольевич, ИП, Киров"/>
        <s v="Варламов С.Р., ИП, г. Ижевск"/>
        <s v="Венсида плюс, ООО, Самара"/>
        <s v="Водполимер, ООО, Киров"/>
        <s v="ГАЗКОМ, ООО, г.Киров"/>
        <s v="ГазСтройРемонт ООО, Оренбург"/>
        <s v="Галузин АВ, ИП, Киров"/>
        <s v="ГАРАНТ-СМ, ООО, г. Киров"/>
        <s v="Гарифуллин Р.Г., ИП, г. Ижевск"/>
        <s v="ГВОЗДЬ ХОЗТОРГ, ООО, г. Оренбург"/>
        <s v="ГидроКомплект, ООО, г. Тольятти"/>
        <s v="Гизатуллин Л.А., ИП, С.Асекеево"/>
        <s v="ГК ТСК, ООО, г. Самара"/>
        <s v="Гревцев Е.А., ИП, г.Оренбург"/>
        <s v="Двойнин С.В.,ИП,Самара"/>
        <s v="Доровский Д.Г., ИП, г. Самара"/>
        <s v="Достойный товар, ООО, г. Киров"/>
        <s v="Дружко С.Г, ИП, Алексеевка"/>
        <s v="Евроопт, ООО, г.Самара"/>
        <s v="Ефремова Е.И., ИП, г. Киров"/>
        <s v="Захаров В.Е., ИП, Самара"/>
        <s v="Ильина Л.Л.,ИП, г.Самара"/>
        <s v="Инпайп, ООО, г. Тольятти"/>
        <s v="Ирис, ООО, г. Тольятти"/>
        <s v="ИСТ, ООО, г. Тольятти"/>
        <s v="Исуткин А.В., ИП, г. Самара"/>
        <s v="ИЦ Аква-Комплект, ООО, г. Тольятти"/>
        <s v="Калугина Е. В., ИП, г. Оренбург"/>
        <s v="КИРОВСКИЙ ССК, АО СЗ, г.Киров"/>
        <s v="Климат, ООО, г. Ижевск"/>
        <s v="Кривко О.Н., ИП, Орск"/>
        <s v="Криволап С.А. ИП, Сызрань"/>
        <s v="Крона, ООО, Самара"/>
        <s v="Курушкина НН, ИП, Самара"/>
        <s v="Лакирев А.Н., ИП, г. Бугуруслан"/>
        <s v="Макарова И.А., ИП,  г. Сызрань"/>
        <s v="Малова Н.Э., ИП, г. Кинель"/>
        <s v="Малхасян А.Э., ИП, г. Самара"/>
        <s v="МАРКЕТ, ООО, г.Тольятти"/>
        <s v="Масленников А.Ю., ИП, г. Киров"/>
        <s v="Маслюхина И.В. ИП, Самара"/>
        <s v="Машснабкомплект, ООО, г. Киров"/>
        <s v="М-Групп, ООО, Самара"/>
        <s v="Механика-Киров, ООО, г. Киров"/>
        <s v="МИР, ООО, г. Ижевск"/>
        <s v="Михеев ДВ, ИП, Ульяновск"/>
        <s v="Мошенец В.В. ИП, Орск"/>
        <s v="Мусаев Т.М., ИП, г.Ульяновск"/>
        <s v="Назаров М.В. ИП, Новотроицк"/>
        <s v="Нептун, ООО, г. Димитровград"/>
        <s v="НИВА ООО, Самара"/>
        <s v="Никашин К.Г., ИП, г. Ульяновск"/>
        <s v="Нимакс, ООО, Тольятти"/>
        <s v="Окна Алмаз, ООО, г. Димитровград"/>
        <s v="Ольшевский В.Б., ИП, г. Бузулук"/>
        <s v="ОПТТОРГ, ООО, г. Сызрань"/>
        <s v="Оренбургская растворно-бетонная компания №3, АО, г. Оренбург"/>
        <s v="ОренПроф ООО, Оренбург"/>
        <s v="Отвод и К, ООО, г. Самара"/>
        <s v="ОТК, ООО, г. Ижевск"/>
        <s v="ПАЙП-ПОВОЛЖЬЕ ООО, Самара"/>
        <s v="Пахомов О.М. ИП, Тольятти"/>
        <s v="Первомай, ООО, пгт.Ува"/>
        <s v="Перспектива, ООО, г. Ижевск"/>
        <s v="ПЛАНЕТА ТЕПЛА ООО, Оренбург"/>
        <s v="Полимер ТПК ООО, Оренбург"/>
        <s v="Прохорова А.А. ИП, Самара"/>
        <s v="Разоренов А.В., ИП, г. Самара"/>
        <s v="Ракова Е.Г., ИП, г. Ульяновск"/>
        <s v="РВК-Оренбург, ООО, Оренбург"/>
        <s v="РЕГИОНСНАБ, ООО, г. Жигулевск"/>
        <s v="РемСтройИнвест, ООО, г. Оренбург"/>
        <s v="Романов С.А., ИП, г. Тольятти"/>
        <s v="Рыжаков Д.А., ИП, г. Бузулук"/>
        <s v="САНКОМ, ООО, г.Самара"/>
        <s v="Сантех-заказ, ООО, Киров"/>
        <s v="Сантехкомплект, ООО, г. Оренбург"/>
        <s v="САНТЕХКОМПЛЕКТ, ООО, г.Ульяновск"/>
        <s v="Сантехмаркет, ООО, г. Тольятти"/>
        <s v="Сантехник плюс, ООО, Ульяновск"/>
        <s v="Сантехника 888, ООО, Киров"/>
        <s v="Сантехторг ТД ,ООО, Тольятти"/>
        <s v="Сантрейд, ООО, г. Ижевск"/>
        <s v="СанЭксперт, ООО, г. Воткинск"/>
        <s v="Сатдарова З.А. ИП, Самара"/>
        <s v="Сатон ГК, ООО, Тольятти"/>
        <s v="СВСервис, ООО, г. Самара"/>
        <s v="Севрюков И.С. ИП, Бузулук"/>
        <s v="Сивакова О.А., ИП, с. Курумоч"/>
        <s v="СИТИ ТЕХ СЕРВИС, ООО, г. Ульяновск"/>
        <s v="Скиф, ООО, Оренбург"/>
        <s v="СМАРТСЕРВИС, ООО, г.Тольятти"/>
        <s v="Смитиенко Е.В. ИП, Оренбург"/>
        <s v="СнабТехСтрой, ООО, Оренбург"/>
        <s v="Спецкомплект ИС, ООО, Оренбург"/>
        <s v="Стилмарт ТД, ООО, Самара"/>
        <s v="Стойко С.В. ИП, Оренбург"/>
        <s v="Столярова Е.М., ИП, г. Бузулук"/>
        <s v="СТРОЙГРУПП ООО, Ижевск"/>
        <s v="СтройТех, ООО, г. Сарапул"/>
        <s v="Субеев Р.Э., ИП, Похвистнево"/>
        <s v="СуперСтрой, ООО, Оренбург"/>
        <s v="Сычугов Д.В. ИП, г. Ижевск"/>
        <s v="ТАЙП-С ООО, Самара"/>
        <s v="Ташлинцев К.Н. ИП, Сызрань"/>
        <s v="ТвинСнаб, ООО, г. Самара"/>
        <s v="ТВК, ООО, Оренбург"/>
        <s v="ТеплоСити, ООО, г. Самара"/>
        <s v="ТермоДом56 ООО, Оренбург"/>
        <s v="Техкомплект, ООО, г. Ижевск"/>
        <s v="Техно Союз, ООО, г. Ижевск"/>
        <s v="Техномир, ООО, г.Ульяновск"/>
        <s v="ТЕХНОСНАБ, ООО, г. Тольятти"/>
        <s v="ТОР ТЗПО, ООО, г. Тольятти"/>
        <s v="Торгстрой, ООО, Самара"/>
        <s v="ТПГ, ООО, г.Оренбург"/>
        <s v="Третьяков В.В. ИП, г.Самара"/>
        <s v="Трефилов А.О., ИП, пгт.Смышляевка"/>
        <s v="ТСК ПКФ, ООО, г. Самара"/>
        <s v="Удалов Е.Е., ИП, г. Самара"/>
        <s v="Урал-резерв, ООО, г. Оренбург"/>
        <s v="УСК-18, ООО,г.Ижевск(ликвидирована 16.05.2022)"/>
        <s v="Устюгова Л.А., ИП, г. Тольятти"/>
        <s v="Утехин А.С., ИП, г. Сызрань"/>
        <s v="Хорошавин А.В, ИП, Киров"/>
        <s v="Хортэк-Ижевск, ООО, г.Ижевск"/>
        <s v="Хохлов Д.А., ИП, г. Ульяновск"/>
        <s v="Цапин И.В. ИП, Орск"/>
        <s v="ЦИС, ООО, г. Самара"/>
        <s v="Цыркин Л.З., ИП, г. Оренбург"/>
        <s v="Шайхуллин Р.Н., ИП, г. Бугуруслан"/>
        <s v="Шайхутдинова Г.Х, ИП, Самара"/>
        <s v="Шевляков А.Г., ИП, г. Оренбург"/>
        <s v="ЮНИЛЕКС, ООО, г. Тольятти"/>
        <s v="Ястребова Е.А.,ИП, г.Ульяновск"/>
        <s v="АДЭЛЬ, ООО, Санкт-Петербург"/>
        <s v="АкваСити, ООО, Санкт-Петербург"/>
        <s v="Аква-Снаб, ООО, Санкт-Петербург"/>
        <s v="Андрианова ЯГ, ИП, Калининград"/>
        <s v="АНТ, ООО, Санкт-Петербург"/>
        <s v="АНТАРЕС ООО, Санкт-Петербург"/>
        <s v="Антеро, ООО, Санкт-Петербург"/>
        <s v="АО &quot;Вюрт Северо-Запад&quot;"/>
        <s v="Артелия, ООО, Санкт-Петербург"/>
        <s v="Архпромкомплект ПСК, ООО, Архангельск"/>
        <s v="Брик, ООО, Санкт-Петербург"/>
        <s v="Бурганшин ЕИ, ИП, Калининград"/>
        <s v="Ваховская АР, ИП, Санкт-Петербург"/>
        <s v="ВЕЗЕР ТРЕЙДИНГ, ООО, Санкт-Петербург"/>
        <s v="Во Тепло, ООО, Вологда"/>
        <s v="ГРУППА ОВК, ООО, Санкт-Петербург"/>
        <s v="Дюйм и К, ООО, Калининград"/>
        <s v="Заказ, ООО, Псков"/>
        <s v="ИД СТРОЙ, ООО, Калининград"/>
        <s v="Иларт, ООО, Санкт-Петербург"/>
        <s v="Илион ТД, ООО, Санкт-Петербург"/>
        <s v="ИНСТАЛ, ООО - ИЦ, Псков"/>
        <s v="КабоДеРока, ООО, Санкт-Петербург"/>
        <s v="Климат Тепло, ООО, Санкт-Петербург"/>
        <s v="Козина НГ, ИП, Санкт-Петербург"/>
        <s v="КОМФОРТ ТРЕЙД, ООО, Калининград"/>
        <s v="Комфорт-Монтаж, ООО, Санкт-Петербург"/>
        <s v="Курынов СН, ИП, Калининград"/>
        <s v="Минимакс, ООО, Санкт-Петербург"/>
        <s v="МистерСтройМеталл, ООО, Сыктывкар"/>
        <s v="Напор, ООО, Санкт-Петербург"/>
        <s v="Нева-Арматура, ООО, Санкт-Петербург"/>
        <s v="НЕВАГРАД-ИНЖЕНЕРНЫЕ СИСТЕМЫ, ООО, Санкт Петербург"/>
        <s v="Неоком, ООО, Санкт-Петербург"/>
        <s v="Нова Газ, ООО, Санкт-Петербург"/>
        <s v="Омега, ООО, Санкт-Петербург"/>
        <s v="Патрикеев Александр Сергеевич, ИП, Псковская обл."/>
        <s v="Перспектива, ООО, Санкт-Петербург"/>
        <s v="ПЕТРОКОМПЛЕКТ КОМПАНИЯ, ООО, Санкт-Петербург (НЕ ГРУЗИТЬ)"/>
        <s v="ПК СМП - 707, АО, Санкт-Петербург"/>
        <s v="Приоритет Инжиниринг, ООО, Санкт-Петербург"/>
        <s v="ПРОМАВТОМАТИКА, ООО, г. Санкт-Петербург"/>
        <s v="ПромЭкстра, ООО, Псков"/>
        <s v="ПСК (Первая Сантехническая Компания), ООО, Санкт-Петербург"/>
        <s v="ПСК КОМПЛЕКС, ООО, Санкт-Петербург"/>
        <s v="РСТ, ООО, Пушкин"/>
        <s v="РУБЕЖ, ООО, Санкт-Петербург"/>
        <s v="Санат Инжиниринг, ООО, Санкт-Петербург"/>
        <s v="САНЕКСТ, ООО, Санкт-Петербург"/>
        <s v="СанМарка, ООО, Санкт-Петербург"/>
        <s v="Сантехкомплект, ООО, Санкт-Петербург"/>
        <s v="Сантехлюкс СПб ООО, Санкт-Петербург"/>
        <s v="СантехОпт, ООО, Калининград"/>
        <s v="Северо-Западное Снабжение (СЗС), ООО, Вологда"/>
        <s v="СЕРВИСПЛЮС, ООО, Санкт-Петербург"/>
        <s v="Серкизюк АВ, ИП, Санкт-Петербург"/>
        <s v="СЗГАЗ, ООО, Санкт-Петербург"/>
        <s v="СЗИК (Северо-Западная Инжиниринговая компания), ООО, Санкт-Петербург"/>
        <s v="СК ВЕН, ООО, Красное Село"/>
        <s v="Солнечный день Северо-Запад, ООО, Санкт-Петербург"/>
        <s v="СТК-КОМПЛЕКТАЦИЯ, ООО, Санкт-Петербург"/>
        <s v="СТМ, ООО, Ярославль"/>
        <s v="СтройДомСервис, ООО, Санкт-Петербург"/>
        <s v="ТВС комплект, ООО, Санкт-Петербург"/>
        <s v="ТД Электротехмонтаж, ООО, Санкт-Петербург"/>
        <s v="Теплый дом ГК, ООО, Санкт-Петербург"/>
        <s v="Техногаз проект, ООО, Санкт-Петербург"/>
        <s v="ТЕХНОИНДУСТРИЯ, ООО, Санкт-Петербург"/>
        <s v="ТИМАКВА, ООО, Санкт-Петербург"/>
        <s v="Ткач ГБ, ИП, Санкт-Петербург"/>
        <s v="Трамп СПБ, ООО, Санкт-Петербург"/>
        <s v="Ушаков РА, ИП, Санкт-Петербург"/>
        <s v="ФНМ, АО, Санкт-Петербург"/>
        <s v="ЦЕНТРУМ, ООО, Санкт-Петербург"/>
        <s v="ЦКС, ООО, Вологда"/>
        <s v="Штакес ДВ, ИП, Калининград"/>
        <s v="CeZar group, ТОО, Астана"/>
        <s v="QazTradeBuilding, ТОО, Тараз"/>
        <s v="Авдей М.Г., ИП, Гродно"/>
        <s v="Азалия, ИП, Семей"/>
        <s v="АЙРОН ПЛАСТ, ТОО, Астана"/>
        <s v="Аква Система, ТОО, Кокшетау"/>
        <s v="АкваКонтур, ООО, Минск"/>
        <s v="Аквалайн Глобал, ТОО, Алматы"/>
        <s v="АКВАСИНТЕЗ, ООО, Брест"/>
        <s v="Акватория-Актобе, ТОО, г.Актобе"/>
        <s v="Аквилон"/>
        <s v="Аквилон Трейд, ТОО, Экибастуз"/>
        <s v="Актив Фирма, ТОО, Павлодар"/>
        <s v="Алекс KZ, ТОО, Караганда"/>
        <s v="Александров В.А. ИП, Брест"/>
        <s v="АрмаАртИнвест, ООО, Минск"/>
        <s v="Арматон, ООО, Минск"/>
        <s v="Асботехника, ОсОО, Бишкек"/>
        <s v="АТБ АЛЬФА-ГРУПП, ООО, ДНР г. Горловка"/>
        <s v="АТБ АЛЬФА-ГРУПП, ООО, ДНР, г. Горловка  (нерезидент)"/>
        <s v="БелпромАрм, ООО, Минск"/>
        <s v="БПК-инвест, ООО Минск"/>
        <s v="Вектерм, ТОО, Алматы"/>
        <s v="Вергун В.М., ИП, Усть-Каменогорск"/>
        <s v="ВиКПластКомплект, ООО, Минск"/>
        <s v="ВИТТОРГКОМПЛЕКТ, ЧТПУП, Витебск"/>
        <s v="Гамма-Сан, ЧУП, Брест"/>
        <s v="ГидроТехГрупп, ЧТУП, Минск"/>
        <s v="Город котлов и отопления, ООО, Минск"/>
        <s v="Даана-Ош, ОсОО, Ош"/>
        <s v="Домина, ЧП, Цнянка"/>
        <s v="Дэш, ООО, Минск"/>
        <s v="Евразия-НС, ТОО, Нур-Султан"/>
        <s v="Зычков Д.В., ИП, Могилев"/>
        <s v="Ибраева ЖД, ИП, Казахстан"/>
        <s v="ИКТАВА-БЕЛ, ООО, Могилев"/>
        <s v="Кабимолданов МС, ИП, Казахстан"/>
        <s v="Кажибеков А.К., ИП, Семей"/>
        <s v="Компенсатор групп, ООО, Минск"/>
        <s v="КОСТА КЕРАМИКА, ИП, Костанай (Зайцев)"/>
        <s v="Кочетов В.А., ИП, Челябинск"/>
        <s v="Кошик Д.Е. ИП, Семей"/>
        <s v="Мазур С.Н., ИП, Петропавловск"/>
        <s v="Макаренко АЕ, ИП, Кокшетау"/>
        <s v="Максресурс, ЧУП, Минск"/>
        <s v="МВЛмакс, ООО, Минск"/>
        <s v="Мега Сантех Склад, ОсОО, Бишкек"/>
        <s v="Метизно-торговая компания, ТОО, Усть-Каменогорск"/>
        <s v="Мир Сантехника, ООО, Гомель"/>
        <s v="Монтаж Спец Снаб, ТОО, Уральск"/>
        <s v="Навасардян АК, ИП, Ереван"/>
        <s v="Онищенко С.А., ИП, Кокшетау"/>
        <s v="ОПОРА-ПВ, ТОО, Павлодар"/>
        <s v="ОптСтройГрупп, ООО, Барановичи"/>
        <s v="ПОЛНЫЙ СПЕКТР, ООО, Минск (Медэост)"/>
        <s v="Промтеплоснаб, ООО, Витебск"/>
        <s v="РОМИС, ОДО, Витебск"/>
        <s v="Сан-Арм, ЧПТУП, Гомель"/>
        <s v="Сантех КЗ, ТОО, Астана"/>
        <s v="Сантех Регион Шыгыс, ИП, Усть-Каменогорск"/>
        <s v="Сантех-запад, ТОО, Уральск"/>
        <s v="Сантех-линия, ООО, Гомель"/>
        <s v="САНТЕХПЛАСТ, ТОО, Караганда"/>
        <s v="Сибирь ИмпЭкс, ООО, Омск"/>
        <s v="СКТ инжиниринг, ООО, Могилёв"/>
        <s v="СНАБСТРОЙСЕРВИС, ОДО, Минск"/>
        <s v="СтилонТрейд, ООО, Жлобин"/>
        <s v="СтройДорЛогистик, ТОО, Петропавловск"/>
        <s v="СТРОЙЛЕНД, ООО, Цхинвал"/>
        <s v="ТАМЕНТ, ОсОО, Бишкек"/>
        <s v="ТВИПЛ-СЕРВИС,ТОО, г. Костанай"/>
        <s v="Тепло и Вода, ТОО, Павлодар"/>
        <s v="Тепло Сервис Темиртау, ТОО, Темиртау"/>
        <s v="ТеплоБай, ООО, Витебск"/>
        <s v="Терра Аква, ТОО, Павлодар"/>
        <s v="ТехноОпт Петропавловск, ТОО, Петропавловск"/>
        <s v="Транс Регион, ОсОО, Ош"/>
        <s v="ТРИАЛ ТОО, Усть-Каменогорск"/>
        <s v="Трубопроводная Арматура, ООО, Минск"/>
        <s v="ТСК НАСОСЫ, ООО Минск"/>
        <s v="Уайпи компани, ТОО, Астана"/>
        <s v="ФЕВИТ, ИП, Костанай"/>
        <s v="Фитинг, ОсОО, Бишкек"/>
        <s v="Чубирина М.Н., ИП, Караганда"/>
        <s v="Шакиртов С.С., ИП, Алматы"/>
        <s v="АДМИРАЛСТРОЙ ООО, Владивосток"/>
        <s v="Антоник АА, ИП, Новосибирск"/>
        <s v="Вертков С.А. ИП, г. Дальнереченск"/>
        <s v="ГРАНД-МАСТЕР, ООО, Новосибирск"/>
        <s v="Грибовский АО, ИП, Новосибирск"/>
        <s v="Дедю Т.В. ИП, пгт. Новый Ургал"/>
        <s v="Иванова Л.А. ИП, п. Чегдомын"/>
        <s v="Колесников А.А. ИП, г. Хабаровск"/>
        <s v="Николаева С.А. ИП, г. Комсомольск-на-Амуре"/>
        <s v="Пикалов ВА, ИП, Арсеньев"/>
        <s v="ПИОН ООО, п. Циммермановка"/>
        <s v="РЕМСИТИ ООО, г. Хабаровск"/>
        <s v="Рыбкин М.Ю. ИП, г. Южно-Сахалинск"/>
        <s v="СТРОЙ ЭФФЕКТ ДВ ООО, г. Владивосток"/>
        <s v="ТД Ресурс, ООО, Новосибирск"/>
        <s v="ТЕПЛОИЗОЛЯЦИЯ НОВОСИБИРСК, ООО, Новосибирск"/>
        <s v="ФОЛИАНТ ООО, г. Петропаловск-Камчаткий"/>
        <s v="Цой В.К. ИП, г. Елизово"/>
        <s v="Черкашин ИЛ, ИП, Новосибирск"/>
        <s v="Юдичева СН, ИП, Комсомольск-на-Амуре"/>
        <s v="Ютишев А.С. ИП, г. Владивосток"/>
        <s v="Батуев Олег Михайлович, ИП, Благовещенск"/>
        <s v="Близнюк О.В. ИП, г. Белогорск"/>
        <s v="Богомолова О.В. ИП, с.Ленинское"/>
        <s v="Вялкова Е.Э. ИП, г. Благовещенск"/>
        <s v="Головко ЕМ, ИП, Биробиджан"/>
        <s v="Грищенко А.Л. ИП, г. Благовещенск"/>
        <s v="Иванова И.Г. ИП, г. Зея"/>
        <s v="Макаренко А.И. ИП, г. Благовещенск"/>
        <s v="Малов И.Н. ИП, г. Благовещенск"/>
        <s v="Насопрун О.В. ИП, г.Благовещенск"/>
        <s v="Новах Г.К. ИП, г. Облучье"/>
        <s v="РЕГИОН-СТАЛЬ ООО, г. Магадан"/>
        <s v="Синельникова С.А. ИП, г. Благовещенск"/>
        <s v="ТЕПЛОФФ ООО, г. Свободный"/>
        <s v="ТЕХЭНЕРГОСТРОЙ ООО, г. Благовещенск"/>
        <s v="Турыгин Д.Н. ИП. г. Биробиджан"/>
        <s v="Чубенко Е.В. ИП, с. Ивановка"/>
        <s v="Шалаев Д.А. ИП, Благовещенск"/>
        <s v="Абдурахманова СШ, ИП, Борзя"/>
        <s v="Авантаж,ООО, Новокузнецк"/>
        <s v="Адамян ТА, ИП, Якутск"/>
        <s v="Аджем АЮ, ИП, Ленск"/>
        <s v="АЙЯН Фирма , ООО, Новосибирск"/>
        <s v="Акваресурс, ООО, Томск"/>
        <s v="Аникеев АА, ИП, Юрга"/>
        <s v="Арутюнян СЯ, ИП,  Бестях"/>
        <s v="Атмосфера тепла, ООО, Кемерово"/>
        <s v="Ахрамович АА, ИП, Зея"/>
        <s v="Байыр-оол ЛС, ИП, Кызыл"/>
        <s v="Барвинченко ВЛ, ИП, Нерюнгри"/>
        <s v="Бастракова ОГ, ИП, Красноярск"/>
        <s v="БЕСТ ГУДС, ООО, Якутск"/>
        <s v="Бипрон, ООО, Якутск"/>
        <s v="Бойченко В.В. ИП, Краснокаменск"/>
        <s v="Болдарев ИВ, ИП, Белогорск"/>
        <s v="Борохин А.В. ИП, с. Амга"/>
        <s v="Бриллиант Сибири, ООО, Новосибирск"/>
        <s v="Вандышев Ю.В, ИП, Кузбасс"/>
        <s v="Вентиль-плюс, ООО, Кемерово"/>
        <s v="Воронина АЮ, ИП, Мирный"/>
        <s v="Востоктехторг, АО, Якутск"/>
        <s v="Гермес, ООО, Новосибирск"/>
        <s v="Головин СВ, ИП, Анжеро-Судженск"/>
        <s v="Дружинин С.В. ИП, с. Нерчинский Завод"/>
        <s v="Залеев РА, ИП, Топки"/>
        <s v="Золотов НВ, ИП, Свободный"/>
        <s v="ЗПИ ПЛЮС, ООО, Новосибирск"/>
        <s v="Зуев АМ, ИП, Абакан"/>
        <s v="Интерсервис, ООО, Чита"/>
        <s v="Касаткина СА, ИП, Новосибирск"/>
        <s v="Качура ДИ, ИП, Дудинка"/>
        <s v="Кныш, ВМ, ИП, Ленск"/>
        <s v="Корягина ГА, ИП, Чита"/>
        <s v="Котеля М.К. ИП, г. Якутск"/>
        <s v="Куйдин В.В. ИП, Улеты"/>
        <s v="Лишутин АВ, ИП, Красноярск"/>
        <s v="Максимова НА, ИП, Якутск"/>
        <s v="Маленкова ЕВ, ИП, Нерюнгри"/>
        <s v="Марина, ООО, Холмск"/>
        <s v="Мартынова СФ, ИП, Якутия"/>
        <s v="Михайлов ОВ, ИП, Покровск"/>
        <s v="Мой дом, ООО, Прокопьевск"/>
        <s v="Мордасов АП, ИП, Новая Чара"/>
        <s v="Мурунова А.И. ИП, с.Ытык-кюель"/>
        <s v="Никифоров ВЛ, ИП, Якутск"/>
        <s v="Новгородова ОГ, ИП, Якутск"/>
        <s v="ОниксПром, ООО, Томск"/>
        <s v="Пестерев Е.Ю. ИП, г. Балей"/>
        <s v="Петрова ИЕ, ИП, Якутия"/>
        <s v="Пичхадзе СА, ИП, Бердск"/>
        <s v="Подкаменный В.А. ИП, г. Якутск"/>
        <s v="Подшивалова ОФ, ИП, Алдан"/>
        <s v="Полозун ЕА, ИП, Северобайкальск"/>
        <s v="Потапов НА, ИП, Томск"/>
        <s v="Рахматуллин АШ, ИП, Якутск"/>
        <s v="Роговой ВС, ИП, Нерюнгри"/>
        <s v="Романов АВ, ИП, Кемерово"/>
        <s v="Рубан ОВ, ИП, Абакан"/>
        <s v="Рудых ОЮ, ИП, Олекминск"/>
        <s v="Саввинов С.В. ИП, Якутск"/>
        <s v="СантехСтрой, ООО, Новокузнецк"/>
        <s v="Сантехтрейд, ООО, Новокузнецк"/>
        <s v="Сибирь-промкомплект, ООО, Новосибирск"/>
        <s v="СибНорд, ООО, Якутск"/>
        <s v="Сидоренко ЮА, ИП, Кемерово"/>
        <s v="Скворцов Л.И. ИП, п. Сангар"/>
        <s v="Сокольников АН, ИП, Якутск"/>
        <s v="Стежкина ТН, ИП, Мирный"/>
        <s v="ТОПКОНКРЕТУМ, ООО, Кемерово"/>
        <s v="ТРУДАРМЕЙСКАЯ ПФ, ООО, Мыски"/>
        <s v="Уваровский АВ, ИП, Новосибирск"/>
        <s v="Федотов АВ, ИП, Кисилевск"/>
        <s v="Хватов МВ, ИП, Кемерово"/>
        <s v="Хусаинова РХ, ИП, Нерюнгри"/>
        <s v="Центральная Стройбаза, ООО, Кемерово"/>
        <s v="Червинский СВ, ИП, Ленинск-Кузнецкий"/>
        <s v="Шакурова ЕП, ИП, Томмот"/>
        <s v="Щеглов МВ, ИП, Черногорск"/>
        <s v="ЭЛЕКТРОКОМПЛЕКТ, ООО, г.Томск"/>
        <s v="ЭНЕРГОТЕХМОНТАЖ, ООО, Барнаул"/>
        <s v="ЭТС, ООО, Новокузнецк"/>
        <s v="АА РУФЦЕНТР, ООО, Новосибирск"/>
        <s v="Авиор, ООО, Хабаровск"/>
        <s v="Аврора, ООО, Новосибирск"/>
        <s v="АкваАльянс ООО, Иркутск"/>
        <s v="Аквамарин, ООО, Барнаул"/>
        <s v="Алтайэлектро Барнаул, ООО, Барнаул"/>
        <s v="А-ТОПП, ООО, Новосибирск"/>
        <s v="Баженов ВВ, ИП, Омск"/>
        <s v="БайкалПром, ООО, Иркутск"/>
        <s v="Бакор, ООО, Рубцовск"/>
        <s v="Бауэр ЮВ, ИП, Новосибирск"/>
        <s v="ВАГНЕР, ООО, Новосибирск"/>
        <s v="ВесСтрой, ООО, Магадан"/>
        <s v="Гальцов А.В, ИП, Новосибирск"/>
        <s v="Гальцов АВ, ИП, Новосибирск"/>
        <s v="Геба АВ.ИП. Новосибирск"/>
        <s v="Герман ВН, ИП, Новосибирск"/>
        <s v="Гидротерм-ДВ, ООО, г. Хабаровск"/>
        <s v="Горбачевский СВ, ИП, Бердск"/>
        <s v="Гуля-Яновская ЛА, ИП, Улан-Удэ"/>
        <s v="Диар, ООО, Бийск"/>
        <s v="Доманов РС, ИП, Барнаул"/>
        <s v="ДТТ, ООО, Хабаровск"/>
        <s v="Дудоров СВ, ИП, Хабаровск"/>
        <s v="Жунусов Ринат Александрович, ИП, Омск"/>
        <s v="Захаров ВВ, ИП, Омск"/>
        <s v="ИНВЕСТСЕРВИС, ООО, Новосибирск"/>
        <s v="ИНЖЕНЕР ТЕПЛОТЕХНИК,ООО,г. Петропавловск-Камчатский"/>
        <s v="ИНЖЕНЕРНАЯ КОМПАНИЯ, ООО, Хабаровск"/>
        <s v="Инженерные Системы, ООО, Хабаровск"/>
        <s v="Интер-Строй, ООО, Омск"/>
        <s v="Кабанова НГ, ИП, Вилючинск"/>
        <s v="Калинин ВИ, ИП, Магадан"/>
        <s v="Камышникова ЛА, ИП, Барнаул"/>
        <s v="Квартира 54, ООО, Новосибирск"/>
        <s v="Колесникова ГГ, ИП, Ангарск"/>
        <s v="Косых СК, ИП, Иркутск"/>
        <s v="Кратос ТД, ООО, Омск"/>
        <s v="КРОНОС-Сибирь, ООО, Новосибирск"/>
        <s v="Лапин ЕВ, ИП, Барнаул"/>
        <s v="Лещев ВВ, ИП, Барнаул"/>
        <s v="Лядов НА, ИП, Омск"/>
        <s v="Мазанцев ИС, ИП, Железногорск-Илимский"/>
        <s v="МаксиСтрой, ООО, Иркутск"/>
        <s v="Метасила, ООО, Барнаул"/>
        <s v="МИР САНТЕХНИКИ, ООО, Петропавловск-Камчатский"/>
        <s v="Михайлов АВ, ИП, р.п.Коченево"/>
        <s v="Михалева ИА, ИП, Бийск"/>
        <s v="Муливанов ДО, ИП, Новоалтайск"/>
        <s v="Мустя МК, ИП, Новосибирск"/>
        <s v="Немков АС, ИП, Улан-Удэ"/>
        <s v="Несвитов Владимир Викторович, ИП, Камчатский край"/>
        <s v="Никитин К.А.,ИП, Хабаровск"/>
        <s v="Оноприйчук АА, ИП, Новосибирск"/>
        <s v="Перемыкин АВ, ИП, Новосибирск"/>
        <s v="Пивень ОА, ИП, Рубцовск"/>
        <s v="Пласткомплект-ДВ, ООО, г. Хабаровск"/>
        <s v="Полярник, ООО, Иркутск"/>
        <s v="Порядин ВА, ИП, Новосибирск"/>
        <s v="Прокопенко НВ, ИП, Новосибирск"/>
        <s v="Пьянкова А.И., ИП, г. Хабаровск"/>
        <s v="РУСЭТ, ООО, Иркутск"/>
        <s v="СанТех, ООО, Иркутск"/>
        <s v="СДВ, ООО, Бийск"/>
        <s v="Сириус, ООО, Новосибирск"/>
        <s v="СНАБСТРОЙИНВЕСТ, ООО, Новосибирск"/>
        <s v="Стародубов СС, ИП, Омск"/>
        <s v="Сторожко ТМ, ИП, Елизово"/>
        <s v="СТРОЙ-ГРАНД, ООО, Барнаул"/>
        <s v="Стройторг, ООО, Иркутск"/>
        <s v="ТД &quot;СТК&quot;, ООО, Новосибирск"/>
        <s v="Теплоарматура, ООО, Улан-Удэ"/>
        <s v="ТЕХНОСИЛА, ООО, Иркутск"/>
        <s v="Тимофеев ММ, ИП, Якутск"/>
        <s v="ТЛС, ООО, Новосибирск"/>
        <s v="Траст-ДВ, ООО, г.Хабаровск"/>
        <s v="Урбаев ОС, ИП, Улан-Удэ"/>
        <s v="Холдинг ВелКом, ООО, Омск"/>
        <s v="Черномор, ООО, Петропавловск- Камчатский"/>
        <s v="Черных СА, ИП, Новосибирск"/>
        <s v="ЭКО-ДЕКО, ООО, Барнаул"/>
        <s v="Боярчук Наталья Вениаминовна ИП, г. Полевской"/>
        <s v="Гельбинг Дмитрий Михайлович ИП, г.Нижний Тагил"/>
        <s v="Давлетбаев Сергей Иванович, ИП, Красноуфимск"/>
        <s v="Зайцев Валерий Константинович, ИП, г.Серов"/>
        <s v="Инженерные системы, ООО, Пермь"/>
        <s v="Кононюк Александр Васильевич, ИП, Пермь"/>
        <s v="Леконцев Максим Павлович, ИП, г. Пермь"/>
        <s v="МЗИК ПАО, г.Екатеринбург"/>
        <s v="ОДЕЖДА, ООО, ХМАО Пионерский"/>
        <s v="Петров Иван Валерьевич ИП, г. Екатеринбург"/>
        <s v="ПЖКУ П. ДИНАС ПМУП, г. Первоуральск"/>
        <s v="ПЗПТ ООО, г. Полевской"/>
        <s v="Плугатырёв Дмитрий Александрович, ИП, Байкалово"/>
        <s v="ПТК ЭКРА-Урал ООО, г. Екатеринбург"/>
        <s v="Семериков Станислав Борисович ИП, с. Бруснятское"/>
        <s v="Сидоренко Андрей Львович ИП, г. Верхняя Пышма"/>
        <s v="СК Урала ООО ТД, г. Екатеринбург"/>
        <s v="Склюев Максим Олегович, ИП, Реж"/>
        <s v="Теплобаза, ООО, Тюмень"/>
        <s v="ТЕПЛОСЕТ ООО, г. Екатеринбург"/>
        <s v="УРАЛЬСКИЙ КОТЕЛЬНЫЙ ЗАВОД, АО, Екатеринбург"/>
        <s v="Фирма МИР ООО, г. Серов"/>
        <s v="ЧИСТАЯ ВОДА ООО, г.Екатеринбург"/>
        <s v="АЗБУКА ОТОПЛЕНИЯ ООО, г.Тюмень"/>
        <s v="АЛЬФАВЭСК, ООО, Нижневартовск"/>
        <s v="Бровкин Александр Юрьевич, ИП, Советский"/>
        <s v="Брякова Ирина Георгиевна ИП, г.Екатеринбург"/>
        <s v="Водясов Максим Леонидович ИП, г. Сургут"/>
        <s v="Дельта-Тюмень, ООО, Тюмень"/>
        <s v="Дмитриева Татьяна Владимировна, ИП , Заводоуковск"/>
        <s v="ИРВИТА ООО, г. Тюмень"/>
        <s v="КОМПЛЕКТСЕРВИС ООО, г. Екатеринбург"/>
        <s v="Мельниченко Ольга Ивановна, ИП, Тюмень"/>
        <s v="Мулюкова Гузель Камилевна, ИП, Нижневартовск"/>
        <s v="ОРБИТА, ООО, Екатеринбург ИНН 6658465510"/>
        <s v="РЕЗЕРВ ООО ФИРМА, г.Тюмень"/>
        <s v="САНТЕХБУМ, ООО, Екатеринбург"/>
        <s v="Сидорова Светлана Анатольевна, ИП, Советский"/>
        <s v="СТРОЙМАШДЕТАЛЬ ООО, г. Сургут"/>
        <s v="ТЕПЛОПРОМ, ООО, Екатеринбург"/>
        <s v="ЮграПартс, ООО, Сургут"/>
        <s v="Ярков Сергей Валериевич ИП, г. Тобольск"/>
        <s v="АГАВА ООО, г. Екатеринбург"/>
        <s v="АКВАСЕРВИС, ООО, Челябинск"/>
        <s v="АКВАТЕПЛО, ООО, Челябинск"/>
        <s v="АкваТрейд, ООО, Челябинск"/>
        <s v="АМАКС, ООО, Челябинск"/>
        <s v="Анохина Татьяна Борисовна, ИП, Златоуст"/>
        <s v="Антистов Александр Александрович, ИП, Челябинск"/>
        <s v="Арепина Галина Юрьевна, ИП, Магнитогорск"/>
        <s v="Бастрон Ольга Адамовна, ИП, Копейск"/>
        <s v="БКС, ООО, Нижневартовск"/>
        <s v="ВЕКТОР, ООО, Екатеринбург"/>
        <s v="ВОДОМЕР, ООО, Магнитогорск"/>
        <s v="Волчков Владимир Анатольевич ИП, г. Курган"/>
        <s v="Воронин Вячеслав Сергеевич ИП, г. Красноуфимск"/>
        <s v="Гаврилова Алла Артамоновна ИП, г. Челябинск"/>
        <s v="ГАЗСЕРВИС, ООО, Челябинск"/>
        <s v="ГАЗСНАБУРАЛ, ООО, Челябинск"/>
        <s v="ГАЗСПЕЦСТРОЙСЕРВИС, ООО, Артемовский"/>
        <s v="Гимранов Андрей Рафаилович, ИП, Челябинск"/>
        <s v="Гисс Алексей Владимирович, ИП, Коркино"/>
        <s v="Глухов Игорь Анатольевич, ИП, Шадринск"/>
        <s v="ГОВК, ООО, Челябинск"/>
        <s v="ГОРСТРОЙСНАБ, ООО, г.Каменск-Уральский"/>
        <s v="ГОФРА-Е, ООО, Екатеринбург"/>
        <s v="Григорьева Елена Александровна, ИП, Шадринск"/>
        <s v="ГСК ООО, г. Екатеринбург (ГАЗ СТРОЙ КОМПЛЕКТ)"/>
        <s v="Давыдов Николай Федорович, ИП, Катайск"/>
        <s v="Дмитриев Виталий Евгеньевич, ИП, Екатеринбург"/>
        <s v="Европа, ООО, Екатеринбург"/>
        <s v="Ежов Илья Олегович, ИП, Челябинск"/>
        <s v="Жданов Андрей Александрович, ИП, Шадринск"/>
        <s v="Жуйков Дмитрий Александрович, ИП, Екатеринбург"/>
        <s v="Исакаев Руслан Шамилевич, ИП, д. Моховички"/>
        <s v="Каширин Михаил Александрович, ИП, Магнитогорск"/>
        <s v="КВАДРО-МВН, ООО, Миасс"/>
        <s v="КВАДРО-Т, ООО, Миасс"/>
        <s v="Козлов Сергей Владимирович, ИП, Каменск-Уральский"/>
        <s v="КОМПАНИЯ ТЕПЛОГРАДЪ, ООО, Тюмень"/>
        <s v="Комплектснабсервис, ООО, Курган"/>
        <s v="КОНТУР ПЛЮС, ООО ТД, Екатеринбург"/>
        <s v="Копосов Андрей Владимирович, ИП, Магнитогорск"/>
        <s v="Котов Константин Александрович ИП, Магнитогорск"/>
        <s v="Крестников Александр Игоревич, ИП, Челябинск"/>
        <s v="Крестников Игорь Вячеславович, ИП, Челябинск"/>
        <s v="Кручинин Александр Сергеевич, ИП, Красноуфимск"/>
        <s v="Курлыкова Владислава Викторовна, ИП, Челябинск"/>
        <s v="Лебенков Станислав Валерьевич, ИП, Челябинск"/>
        <s v="Легачев Иван Сергеевич, ИП, Екатеринбург"/>
        <s v="Мамаев Николай Сергеевич, ИП, Екатеринбург"/>
        <s v="Мамыч Кирилл Владимирович, ИП, Магнитогорск"/>
        <s v="Мануйленко Александр Павлович, ИП, Екатеринбург"/>
        <s v="Марусин Антон Анатольевич, ИП, Курган"/>
        <s v="Мешкова Светлана Геннадьевна, ИП, Озерск"/>
        <s v="МИХЕЕВ И К, ООО, Челябинск"/>
        <s v="МК-СЕРВИС ООО, Екатеринбург"/>
        <s v="МТК, ООО, Екатеринбург"/>
        <s v="Мусиенко ЮЮ, ИП, Курган"/>
        <s v="Налимова Анна Викторовна, ИП, Миасс"/>
        <s v="Новикова Ирина Владимировна, ИП, Екатеринбург"/>
        <s v="ОВКМ, ООО, Челябинск"/>
        <s v="Олецкая АА, ИП, Курган"/>
        <s v="Павлов Виктор Михайлович, ИП, Челябинск"/>
        <s v="Павлов Евгений Викторович, ИП, Касли"/>
        <s v="Павлов Михаил Викторович, ИП, Касли"/>
        <s v="ПАРТНЁР.РУ ООО, Екатеринбург"/>
        <s v="Пекельный Евгений Викторович, ИП, Курган"/>
        <s v="Перевязкина Вера Алексеевна, ИП, Снежинск"/>
        <s v="ПЕРСПЕКТИВА, ООО, Челябинск"/>
        <s v="Петраков Александр Сергеевич, ИП, Челябинск"/>
        <s v="Петухов Илья Владимирович, ИП, Первоуральск"/>
        <s v="ПКФ НАНО-СТРОЙ, ООО, Челябинск"/>
        <s v="ПО ХСК, ООО, Озерск"/>
        <s v="ПОЛИДЕКОР, ООО, Екатеринбург"/>
        <s v="ПОЛИМЕР ЭКСПЕРТ, ООО, Екатеринбург"/>
        <s v="ПОЛИТОРГ ООО, г. Екатеринбург"/>
        <s v="Понамарев Дмитрий Николаевич, ИП, Тюмень"/>
        <s v="Попов А.В, ИП, Сысерть"/>
        <s v="Порошин Андрей Николаевич, ИП, Снежинск"/>
        <s v="Потехин Сергей Викторович, ИП, Курган"/>
        <s v="ПРАКТИКА ПЛЮС, ООО, Кыштым"/>
        <s v="Приходько Дмитрий Викторович, ИП с. Бородулино"/>
        <s v="ПРОМСНАБ ООО, г. Курган"/>
        <s v="РАЗВИТИЕ, ООО, Челябинск 7447272624"/>
        <s v="Ракова Марина Леонидовна, ИП, Екатеринбург"/>
        <s v="Регион 96, ООО, Косулино"/>
        <s v="Резниченко Юлия Викторовна, ИП, Курган"/>
        <s v="Сабирянов Талгат Галимянович, ИП, г. Первоуральск"/>
        <s v="Салимов Геннадий Гаптрауфович. ИП, Тобольск"/>
        <s v="САНТЕХКЛУБ, ООО, Екатеринбург"/>
        <s v="САНТЕХМАГ, ООО, Магнитогорск"/>
        <s v="СанТехМир, ООО, Екатеринбург"/>
        <s v="Сантехурал ТД, ООО, Челябинск"/>
        <s v="Сафин Денис Радулевич ИП, г.Златоуст"/>
        <s v="Сикорский Владислав Павлович, ИП, Челябинск"/>
        <s v="СК ЮНИОН, ООО, Челябинск"/>
        <s v="Смирнов АВ, ИП, Курган"/>
        <s v="СМ-ЛИГА, ООО, Екатеринбург"/>
        <s v="СП ПАРТНЕР, ООО, Курган"/>
        <s v="СПЕЦЭЛИТА-96, ООО, Екатеринбург"/>
        <s v="СТРОЙ МИР, ООО, Миасс"/>
        <s v="СТРОЙ СИСТЕМЫ Р, ООО, Челябинск"/>
        <s v="СТРОЙКОМПЛЕКТ ТК , ООО, Челябинск"/>
        <s v="Стройлес, ООО, Челябинск"/>
        <s v="Ступина Елена Михайловна, ИП, Заречный"/>
        <s v="Тайманкин Никита Сергеевич, ИП, Шадринск"/>
        <s v="ТЕПЛО ДЛЯ ДОМА, ООО, Челябинск"/>
        <s v="ТЕПЛО, ООО, г.Магнитогорск"/>
        <s v="ТЕПЛОГРАД УРАЛ, ООО, Тюмень"/>
        <s v="Тепломир, ООО, Магнитогорск"/>
        <s v="Теплоотдача, ООО, Магнитогорск"/>
        <s v="ТЕРМОСНАБ, ООО, Челябинск"/>
        <s v="ТОПГРУПП, ООО, Челябинск"/>
        <s v="Торговая компания Градострой, ООО, Екатеринбург"/>
        <s v="Тормозин Виталий Васильевич, ИП, Краснотурьинск"/>
        <s v="ТФ АДЕЛИ, ООО, Челябинск"/>
        <s v="Усманов Тагир Иршатович, ИП, Челябинск"/>
        <s v="Фадеев Алексей Михайлович, ИП, Шадринск"/>
        <s v="ФОРС ПРОДАКШН, ООО, Челябинск"/>
        <s v="Хрушкова Людмила Тимофеевна, ИП, Магнитогорск"/>
        <s v="Черепанов Александр Николаевич, ИП, Екатеринбург"/>
        <s v="Чесноков Александр Сергеевич, ИП,Челябинск"/>
        <s v="Шунин Виталий Иванович, ИП, Магнитогорск"/>
        <s v="ЭЛВИН, ООО ПКФ, Миасс"/>
        <s v="ЮНИТЕРМ+, ООО, Челябинск"/>
        <s v="Якушева Людмила Васильевна ИП, Катайск"/>
        <s v="АВМ-СЕРВИС ООО, г.Воронеж"/>
        <s v="Агропромкомплект, ООО, Рязань"/>
        <s v="Агропромэнерго - Т, ООО, Ярославль"/>
        <s v="АКВАТЕРМ, ООО, г. Иваново"/>
        <s v="АЛЕКС ООО ТД, г. Москва"/>
        <s v="АЛЬФА ТРЕЙД, ООО, Москва"/>
        <s v="АРМА, ООО, Москва"/>
        <s v="Атриа, ООО, Люберцы"/>
        <s v="Баумастер, ООО, Воронеж"/>
        <s v="Беззубикова НН, ИП, Рязань"/>
        <s v="Белов ДВ, ИП, Москва"/>
        <s v="Беляев ИФ, ИП, Воронеж"/>
        <s v="Бигам-инвест, ООО, Ярославль"/>
        <s v="БИС, ООО, Москва"/>
        <s v="Болквадзе МЛ, ИП, Ивановская обл."/>
        <s v="Бушуев М.В., ИП, г. Москва"/>
        <s v="Быкова МИ, ИП, Липецк"/>
        <s v="Виноградова НЮ, ИП, Ярославль"/>
        <s v="ВМ-ГРУПП ПЛЮС, ООО, г. Москва"/>
        <s v="ВОЗДУХПРОМ, ООО,Московская обл"/>
        <s v="Вострейкин Я.Я., ИП, Брянск"/>
        <s v="Гамаюнов Геннадий Николаевич ,ИП, г.Калуга"/>
        <s v="Генатулин А.Р., ИП, г. Иваново"/>
        <s v="Гермес, ООО, Липецк"/>
        <s v="ГЛАВТЕПЛО, ООО, г,Москва"/>
        <s v="Гордеенков А.Л., ИП, Смоленск"/>
        <s v="ДААРА, ООО, Липецк"/>
        <s v="Диамонд, ООО, г. Калуга"/>
        <s v="Дом сантехники &quot;Сантехстрой&quot;, ООО, Иваново"/>
        <s v="ДОМИНИОН, ООО, Люберцы"/>
        <s v="Дунаева Е.А., ИП, Ивановская обл."/>
        <s v="ДУНКАН, ООО, г.Смоленск"/>
        <s v="Ермоленко ДВ, ИП, Калуга"/>
        <s v="ЖЕЛДОРТЕХПОСТАВКА, ООО, Воронеж"/>
        <s v="Зайцев С.М., ИП, Калуга"/>
        <s v="Интерстрой ПС, ООО,г.Москва"/>
        <s v="КЕНГУРУ-ОПТ, ООО, Иваново"/>
        <s v="Кисапов ИВ, ИП, МО Котельники"/>
        <s v="КМ СтройЦентр, ООО, г Люберцы"/>
        <s v="Козина ВИ, ИП, Воронеж"/>
        <s v="Кокина Екатерина Валерьевна, ИП, г. Калуга"/>
        <s v="Комаров АС, ИП, Ярославская обл."/>
        <s v="Комарова С.Ю, ИП, Рязань"/>
        <s v="Компания Технология, ООО, г. Ярославль"/>
        <s v="Коновалов Алексей Юрьевич, ИП, Тула"/>
        <s v="КУПИ-КИП, ООО, г.Москва"/>
        <s v="Лаваль, ООО, Москва"/>
        <s v="ЛАНДИА ТМ, ООО, Москва"/>
        <s v="ЛЕГИОН, ООО, Москва"/>
        <s v="Леснухин А. С., ИП, Липецк"/>
        <s v="Лидер-Сити, ООО, Воронеж"/>
        <s v="ЛИДИС, ООО, г.Ярославль"/>
        <s v="Липецк Пласт, ООО, Липецкая обл."/>
        <s v="Лыткаринский Завод Самоходных Машин, ООО, г. Люберцы"/>
        <s v="Макарова ТИ, ИП, Воронеж"/>
        <s v="МегаСтрой67, ООО, Смоленская обл."/>
        <s v="Меркурий +,  ООО, Брянск"/>
        <s v="МИБ Б, ООО, г.Москва"/>
        <s v="ММ-ТРЕЙД, ООО, Москва"/>
        <s v="МОСОПТТОРГ, ООО, Москва"/>
        <s v="МСК ,  ООО, г. Ярославль"/>
        <s v="Николаевский Б.П, ИП, Смоленск"/>
        <s v="Овчинникова НМ, ИП, Тамбов"/>
        <s v="Осипов В.М., ИП, Брянск"/>
        <s v="ОЦПН, ООО, Калужская обл."/>
        <s v="Паллант, ООО, Ярославль"/>
        <s v="Пашнин В.В., ИП, Московская обл."/>
        <s v="ПРО ВОСТОК, ООО, Москва"/>
        <s v="ПРО ТД ,ООО,г.Москва"/>
        <s v="ПрофСтройКомплект, ООО, Тула"/>
        <s v="РостКом, ООО, Смоленск"/>
        <s v="РУСХОМУТ, ООО, г.Иваново"/>
        <s v="Санинвест, ООО, Мытищи"/>
        <s v="Санков АЕ, ИП, Рязань"/>
        <s v="Сантехник, ООО, г. Калуга"/>
        <s v="СантехОптТверь, ООО, Тверь"/>
        <s v="Сантехоптторг Л, ООО, Липецк"/>
        <s v="Сантехплюс, ООО, Рязань"/>
        <s v="САНТЕХПОСТАВКА, ООО, Тверь"/>
        <s v="САНТЕХСИТИ, ООО, Москва"/>
        <s v="САНТЕХСНАБ, ООО, г. Тула"/>
        <s v="САНТЕХСТРОМ, ООО, г. Москва"/>
        <s v="Север ТДС, ООО, Москва"/>
        <s v="Сидоров А.А. ИП, Рязань"/>
        <s v="СИТИ22, ООО, г.Москва"/>
        <s v="СИТЭМ, ООО, г.Москва"/>
        <s v="СнабСервисМ, ООО, Москва"/>
        <s v="Спецприбор-М, ООО, Ярославль."/>
        <s v="Стройберг,ООО, Видное"/>
        <s v="Стройдоставка, ООО, Москва"/>
        <s v="Супермаркет Сантехники, ООО, Москва"/>
        <s v="СУПЕРСТРОЙ -М ООО, г. Москва"/>
        <s v="ТЕКОН,ВВ,ООО,Москва"/>
        <s v="Техснаб, ООО, Иваново"/>
        <s v="Техснаб, ООО, Подольск"/>
        <s v="ТК-Трейдинг, ООО, Ярославль"/>
        <s v="Триханов Роман Анатольевич, ИП, Липецк"/>
        <s v="Тришкин И.А., ИП, Брянск"/>
        <s v="ТХТ, ООО, Тула"/>
        <s v="Фарфор, ООО, Москва"/>
        <s v="Фланец-Комплект, ООО, Курск"/>
        <s v="ЦСТ, ООО, Смоленская обл."/>
        <s v="Эльф ГК, ООО, Тула"/>
        <s v="ЮНИО-ВЕНТ, ООО, г. Москва"/>
      </sharedItems>
    </cacheField>
    <cacheField name="[Measures].[Сумма по столбцу Выручка]" caption="Сумма по столбцу Выручка" numFmtId="0" hierarchy="16" level="32767"/>
  </cacheFields>
  <cacheHierarchies count="22">
    <cacheHierarchy uniqueName="[МР].[СЕГМЕНТ]" caption="СЕГМЕНТ" attribute="1" defaultMemberUniqueName="[МР].[СЕГМЕНТ].[All]" allUniqueName="[МР].[СЕГМЕНТ].[All]" dimensionUniqueName="[МР]" displayFolder="" count="0" memberValueDatatype="130" unbalanced="0"/>
    <cacheHierarchy uniqueName="[МР].[Должность]" caption="Должность" attribute="1" defaultMemberUniqueName="[МР].[Должность].[All]" allUniqueName="[МР].[Должность].[All]" dimensionUniqueName="[МР]" displayFolder="" count="0" memberValueDatatype="130" unbalanced="0"/>
    <cacheHierarchy uniqueName="[МР].[ГРУППА ДОСТУПА]" caption="ГРУППА ДОСТУПА" attribute="1" defaultMemberUniqueName="[МР].[ГРУППА ДОСТУПА].[All]" allUniqueName="[МР].[ГРУППА ДОСТУПА].[All]" dimensionUniqueName="[МР]" displayFolder="" count="0" memberValueDatatype="130" unbalanced="0"/>
    <cacheHierarchy uniqueName="[Период].[Расчетный период]" caption="Расчетный период" attribute="1" time="1" defaultMemberUniqueName="[Период].[Расчетный период].[All]" allUniqueName="[Период].[Расчетный период].[All]" dimensionUniqueName="[Период]" displayFolder="" count="0" memberValueDatatype="7" unbalanced="0"/>
    <cacheHierarchy uniqueName="[Период].[Начальный период]" caption="Начальный период" attribute="1" time="1" defaultMemberUniqueName="[Период].[Начальный период].[All]" allUniqueName="[Период].[Начальный период].[All]" dimensionUniqueName="[Период]" displayFolder="" count="0" memberValueDatatype="7" unbalanced="0"/>
    <cacheHierarchy uniqueName="[Период].[Начальная дата]" caption="Начальная дата" attribute="1" time="1" defaultMemberUniqueName="[Период].[Начальная дата].[All]" allUniqueName="[Период].[Начальная дата].[All]" dimensionUniqueName="[Период]" displayFolder="" count="0" memberValueDatatype="7" unbalanced="0"/>
    <cacheHierarchy uniqueName="[Продажи_НДС].[Сегмент]" caption="Сегмент" attribute="1" defaultMemberUniqueName="[Продажи_НДС].[Сегмент].[All]" allUniqueName="[Продажи_НДС].[Сегмент].[All]" dimensionUniqueName="[Продажи_НДС]" displayFolder="" count="0" memberValueDatatype="130" unbalanced="0"/>
    <cacheHierarchy uniqueName="[Продажи_НДС].[Группа доступа]" caption="Группа доступа" attribute="1" defaultMemberUniqueName="[Продажи_НДС].[Группа доступа].[All]" allUniqueName="[Продажи_НДС].[Группа доступа].[All]" dimensionUniqueName="[Продажи_НДС]" displayFolder="" count="2" memberValueDatatype="130" unbalanced="0">
      <fieldsUsage count="2">
        <fieldUsage x="-1"/>
        <fieldUsage x="0"/>
      </fieldsUsage>
    </cacheHierarchy>
    <cacheHierarchy uniqueName="[Продажи_НДС].[СВОД.Должность]" caption="СВОД.Должность" attribute="1" defaultMemberUniqueName="[Продажи_НДС].[СВОД.Должность].[All]" allUniqueName="[Продажи_НДС].[СВОД.Должность].[All]" dimensionUniqueName="[Продажи_НДС]" displayFolder="" count="0" memberValueDatatype="130" unbalanced="0"/>
    <cacheHierarchy uniqueName="[Продажи_НДС].[Клиент_Головное]" caption="Клиент_Головное" attribute="1" defaultMemberUniqueName="[Продажи_НДС].[Клиент_Головное].[All]" allUniqueName="[Продажи_НДС].[Клиент_Головное].[All]" dimensionUniqueName="[Продажи_НДС]" displayFolder="" count="2" memberValueDatatype="130" unbalanced="0">
      <fieldsUsage count="2">
        <fieldUsage x="-1"/>
        <fieldUsage x="2"/>
      </fieldsUsage>
    </cacheHierarchy>
    <cacheHierarchy uniqueName="[Продажи_НДС].[Период, месяц]" caption="Период, месяц" attribute="1" time="1" defaultMemberUniqueName="[Продажи_НДС].[Период, месяц].[All]" allUniqueName="[Продажи_НДС].[Период, месяц].[All]" dimensionUniqueName="[Продажи_НДС]" displayFolder="" count="2" memberValueDatatype="7" unbalanced="0">
      <fieldsUsage count="2">
        <fieldUsage x="-1"/>
        <fieldUsage x="1"/>
      </fieldsUsage>
    </cacheHierarchy>
    <cacheHierarchy uniqueName="[Продажи_НДС].[Выручка]" caption="Выручка" attribute="1" defaultMemberUniqueName="[Продажи_НДС].[Выручка].[All]" allUniqueName="[Продажи_НДС].[Выручка].[All]" dimensionUniqueName="[Продажи_НДС]" displayFolder="" count="0" memberValueDatatype="5" unbalanced="0"/>
    <cacheHierarchy uniqueName="[Продажи_НДС].[Период, месяц (Год)]" caption="Период, месяц (Год)" attribute="1" defaultMemberUniqueName="[Продажи_НДС].[Период, месяц (Год)].[All]" allUniqueName="[Продажи_НДС].[Период, месяц (Год)].[All]" dimensionUniqueName="[Продажи_НДС]" displayFolder="" count="0" memberValueDatatype="130" unbalanced="0"/>
    <cacheHierarchy uniqueName="[Продажи_НДС].[Период, месяц (Квартал)]" caption="Период, месяц (Квартал)" attribute="1" defaultMemberUniqueName="[Продажи_НДС].[Период, месяц (Квартал)].[All]" allUniqueName="[Продажи_НДС].[Период, месяц (Квартал)].[All]" dimensionUniqueName="[Продажи_НДС]" displayFolder="" count="0" memberValueDatatype="130" unbalanced="0"/>
    <cacheHierarchy uniqueName="[Продажи_НДС].[Период, месяц (Месяц)]" caption="Период, месяц (Месяц)" attribute="1" defaultMemberUniqueName="[Продажи_НДС].[Период, месяц (Месяц)].[All]" allUniqueName="[Продажи_НДС].[Период, месяц (Месяц)].[All]" dimensionUniqueName="[Продажи_НДС]" displayFolder="" count="0" memberValueDatatype="130" unbalanced="0"/>
    <cacheHierarchy uniqueName="[Продажи_НДС].[Период, месяц (Индекс месяца)]" caption="Период, месяц (Индекс месяца)" attribute="1" defaultMemberUniqueName="[Продажи_НДС].[Период, месяц (Индекс месяца)].[All]" allUniqueName="[Продажи_НДС].[Период, месяц (Индекс месяца)].[All]" dimensionUniqueName="[Продажи_НДС]" displayFolder="" count="0" memberValueDatatype="20" unbalanced="0" hidden="1"/>
    <cacheHierarchy uniqueName="[Measures].[Сумма по столбцу Выручка]" caption="Сумма по столбцу Выручка" measure="1" displayFolder="" measureGroup="Продажи_НДС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мера 1]" caption="мера 1" measure="1" displayFolder="" measureGroup="Период" count="0"/>
    <cacheHierarchy uniqueName="[Measures].[__XL_Count Продажи_НДС]" caption="__XL_Count Продажи_НДС" measure="1" displayFolder="" measureGroup="Продажи_НДС" count="0" hidden="1"/>
    <cacheHierarchy uniqueName="[Measures].[__XL_Count Период]" caption="__XL_Count Период" measure="1" displayFolder="" measureGroup="Период" count="0" hidden="1"/>
    <cacheHierarchy uniqueName="[Measures].[__XL_Count МР]" caption="__XL_Count МР" measure="1" displayFolder="" measureGroup="МР" count="0" hidden="1"/>
    <cacheHierarchy uniqueName="[Measures].[__No measures defined]" caption="__No measures defined" measure="1" displayFolder="" count="0" hidden="1"/>
  </cacheHierarchies>
  <kpis count="0"/>
  <dimensions count="4">
    <dimension measure="1" name="Measures" uniqueName="[Measures]" caption="Measures"/>
    <dimension name="МР" uniqueName="[МР]" caption="МР"/>
    <dimension name="Период" uniqueName="[Период]" caption="Период"/>
    <dimension name="Продажи_НДС" uniqueName="[Продажи_НДС]" caption="Продажи_НДС"/>
  </dimensions>
  <measureGroups count="3">
    <measureGroup name="МР" caption="МР"/>
    <measureGroup name="Период" caption="Период"/>
    <measureGroup name="Продажи_НДС" caption="Продажи_НДС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9AD3B-3F4D-4993-A64E-215C2227E68E}" name="Свод_Н_Кл" cacheId="11" applyNumberFormats="0" applyBorderFormats="0" applyFontFormats="0" applyPatternFormats="0" applyAlignmentFormats="0" applyWidthHeightFormats="1" dataCaption="Значения" tag="7614fcc1-8404-4631-b0b5-a22bc1f3c4e3" updatedVersion="7" minRefreshableVersion="3" useAutoFormatting="1" rowGrandTotals="0" colGrandTotals="0" itemPrintTitles="1" createdVersion="5" indent="0" compact="0" compactData="0" multipleFieldFilters="0">
  <location ref="A5:AH1021" firstHeaderRow="1" firstDataRow="2" firstDataCol="2"/>
  <pivotFields count="4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0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2"/>
  </rowFields>
  <rowItems count="101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>
      <x v="1"/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>
      <x v="2"/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>
      <x v="3"/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33"/>
    </i>
    <i r="1">
      <x v="434"/>
    </i>
    <i r="1">
      <x v="435"/>
    </i>
    <i r="1">
      <x v="436"/>
    </i>
    <i r="1">
      <x v="437"/>
    </i>
    <i r="1">
      <x v="438"/>
    </i>
    <i r="1">
      <x v="439"/>
    </i>
    <i r="1">
      <x v="440"/>
    </i>
    <i r="1">
      <x v="441"/>
    </i>
    <i r="1">
      <x v="442"/>
    </i>
    <i r="1">
      <x v="443"/>
    </i>
    <i r="1">
      <x v="444"/>
    </i>
    <i r="1">
      <x v="445"/>
    </i>
    <i r="1">
      <x v="446"/>
    </i>
    <i r="1">
      <x v="447"/>
    </i>
    <i r="1">
      <x v="448"/>
    </i>
    <i r="1">
      <x v="449"/>
    </i>
    <i r="1">
      <x v="450"/>
    </i>
    <i r="1">
      <x v="451"/>
    </i>
    <i r="1">
      <x v="452"/>
    </i>
    <i r="1">
      <x v="453"/>
    </i>
    <i r="1">
      <x v="454"/>
    </i>
    <i r="1">
      <x v="455"/>
    </i>
    <i>
      <x v="4"/>
      <x v="456"/>
    </i>
    <i r="1">
      <x v="457"/>
    </i>
    <i r="1">
      <x v="458"/>
    </i>
    <i r="1">
      <x v="459"/>
    </i>
    <i r="1">
      <x v="460"/>
    </i>
    <i r="1">
      <x v="461"/>
    </i>
    <i r="1">
      <x v="462"/>
    </i>
    <i r="1">
      <x v="463"/>
    </i>
    <i r="1">
      <x v="464"/>
    </i>
    <i r="1">
      <x v="465"/>
    </i>
    <i r="1">
      <x v="466"/>
    </i>
    <i r="1">
      <x v="467"/>
    </i>
    <i r="1">
      <x v="468"/>
    </i>
    <i r="1">
      <x v="469"/>
    </i>
    <i r="1">
      <x v="470"/>
    </i>
    <i r="1">
      <x v="471"/>
    </i>
    <i r="1">
      <x v="472"/>
    </i>
    <i r="1">
      <x v="473"/>
    </i>
    <i r="1">
      <x v="474"/>
    </i>
    <i r="1">
      <x v="475"/>
    </i>
    <i r="1">
      <x v="476"/>
    </i>
    <i r="1">
      <x v="477"/>
    </i>
    <i r="1">
      <x v="478"/>
    </i>
    <i r="1">
      <x v="479"/>
    </i>
    <i r="1">
      <x v="480"/>
    </i>
    <i r="1">
      <x v="481"/>
    </i>
    <i r="1">
      <x v="482"/>
    </i>
    <i r="1">
      <x v="483"/>
    </i>
    <i r="1">
      <x v="484"/>
    </i>
    <i r="1">
      <x v="485"/>
    </i>
    <i r="1">
      <x v="486"/>
    </i>
    <i r="1">
      <x v="487"/>
    </i>
    <i r="1">
      <x v="488"/>
    </i>
    <i r="1">
      <x v="489"/>
    </i>
    <i r="1">
      <x v="490"/>
    </i>
    <i r="1">
      <x v="491"/>
    </i>
    <i r="1">
      <x v="492"/>
    </i>
    <i r="1">
      <x v="493"/>
    </i>
    <i r="1">
      <x v="494"/>
    </i>
    <i r="1">
      <x v="495"/>
    </i>
    <i r="1">
      <x v="496"/>
    </i>
    <i r="1">
      <x v="497"/>
    </i>
    <i r="1">
      <x v="498"/>
    </i>
    <i r="1">
      <x v="499"/>
    </i>
    <i r="1">
      <x v="500"/>
    </i>
    <i r="1">
      <x v="501"/>
    </i>
    <i r="1">
      <x v="502"/>
    </i>
    <i r="1">
      <x v="503"/>
    </i>
    <i r="1">
      <x v="504"/>
    </i>
    <i r="1">
      <x v="505"/>
    </i>
    <i r="1">
      <x v="506"/>
    </i>
    <i r="1">
      <x v="507"/>
    </i>
    <i r="1">
      <x v="508"/>
    </i>
    <i r="1">
      <x v="509"/>
    </i>
    <i r="1">
      <x v="510"/>
    </i>
    <i r="1">
      <x v="511"/>
    </i>
    <i r="1">
      <x v="512"/>
    </i>
    <i r="1">
      <x v="513"/>
    </i>
    <i r="1">
      <x v="514"/>
    </i>
    <i r="1">
      <x v="515"/>
    </i>
    <i r="1">
      <x v="516"/>
    </i>
    <i r="1">
      <x v="517"/>
    </i>
    <i r="1">
      <x v="518"/>
    </i>
    <i r="1">
      <x v="519"/>
    </i>
    <i r="1">
      <x v="520"/>
    </i>
    <i r="1">
      <x v="521"/>
    </i>
    <i r="1">
      <x v="522"/>
    </i>
    <i r="1">
      <x v="523"/>
    </i>
    <i r="1">
      <x v="524"/>
    </i>
    <i r="1">
      <x v="525"/>
    </i>
    <i r="1">
      <x v="526"/>
    </i>
    <i r="1">
      <x v="527"/>
    </i>
    <i r="1">
      <x v="528"/>
    </i>
    <i r="1">
      <x v="529"/>
    </i>
    <i r="1">
      <x v="530"/>
    </i>
    <i r="1">
      <x v="531"/>
    </i>
    <i r="1">
      <x v="532"/>
    </i>
    <i r="1">
      <x v="533"/>
    </i>
    <i r="1">
      <x v="534"/>
    </i>
    <i r="1">
      <x v="535"/>
    </i>
    <i r="1">
      <x v="536"/>
    </i>
    <i r="1">
      <x v="537"/>
    </i>
    <i r="1">
      <x v="538"/>
    </i>
    <i r="1">
      <x v="539"/>
    </i>
    <i r="1">
      <x v="540"/>
    </i>
    <i>
      <x v="5"/>
      <x v="541"/>
    </i>
    <i r="1">
      <x v="542"/>
    </i>
    <i r="1">
      <x v="543"/>
    </i>
    <i r="1">
      <x v="544"/>
    </i>
    <i r="1">
      <x v="545"/>
    </i>
    <i r="1">
      <x v="546"/>
    </i>
    <i r="1">
      <x v="547"/>
    </i>
    <i r="1">
      <x v="548"/>
    </i>
    <i r="1">
      <x v="549"/>
    </i>
    <i r="1">
      <x v="550"/>
    </i>
    <i r="1">
      <x v="551"/>
    </i>
    <i r="1">
      <x v="552"/>
    </i>
    <i r="1">
      <x v="553"/>
    </i>
    <i r="1">
      <x v="554"/>
    </i>
    <i r="1">
      <x v="555"/>
    </i>
    <i r="1">
      <x v="556"/>
    </i>
    <i r="1">
      <x v="557"/>
    </i>
    <i r="1">
      <x v="558"/>
    </i>
    <i r="1">
      <x v="559"/>
    </i>
    <i r="1">
      <x v="560"/>
    </i>
    <i r="1">
      <x v="561"/>
    </i>
    <i>
      <x v="6"/>
      <x v="562"/>
    </i>
    <i r="1">
      <x v="563"/>
    </i>
    <i r="1">
      <x v="564"/>
    </i>
    <i r="1">
      <x v="565"/>
    </i>
    <i r="1">
      <x v="566"/>
    </i>
    <i r="1">
      <x v="567"/>
    </i>
    <i r="1">
      <x v="568"/>
    </i>
    <i r="1">
      <x v="569"/>
    </i>
    <i r="1">
      <x v="570"/>
    </i>
    <i r="1">
      <x v="571"/>
    </i>
    <i r="1">
      <x v="572"/>
    </i>
    <i r="1">
      <x v="573"/>
    </i>
    <i r="1">
      <x v="574"/>
    </i>
    <i r="1">
      <x v="575"/>
    </i>
    <i r="1">
      <x v="576"/>
    </i>
    <i r="1">
      <x v="577"/>
    </i>
    <i r="1">
      <x v="578"/>
    </i>
    <i r="1">
      <x v="579"/>
    </i>
    <i>
      <x v="7"/>
      <x v="580"/>
    </i>
    <i r="1">
      <x v="581"/>
    </i>
    <i r="1">
      <x v="582"/>
    </i>
    <i r="1">
      <x v="583"/>
    </i>
    <i r="1">
      <x v="584"/>
    </i>
    <i r="1">
      <x v="585"/>
    </i>
    <i r="1">
      <x v="586"/>
    </i>
    <i r="1">
      <x v="587"/>
    </i>
    <i r="1">
      <x v="588"/>
    </i>
    <i r="1">
      <x v="589"/>
    </i>
    <i r="1">
      <x v="590"/>
    </i>
    <i r="1">
      <x v="591"/>
    </i>
    <i r="1">
      <x v="592"/>
    </i>
    <i r="1">
      <x v="593"/>
    </i>
    <i r="1">
      <x v="594"/>
    </i>
    <i r="1">
      <x v="595"/>
    </i>
    <i r="1">
      <x v="596"/>
    </i>
    <i r="1">
      <x v="597"/>
    </i>
    <i r="1">
      <x v="598"/>
    </i>
    <i r="1">
      <x v="599"/>
    </i>
    <i r="1">
      <x v="600"/>
    </i>
    <i r="1">
      <x v="601"/>
    </i>
    <i r="1">
      <x v="602"/>
    </i>
    <i r="1">
      <x v="603"/>
    </i>
    <i r="1">
      <x v="604"/>
    </i>
    <i r="1">
      <x v="605"/>
    </i>
    <i r="1">
      <x v="606"/>
    </i>
    <i r="1">
      <x v="607"/>
    </i>
    <i r="1">
      <x v="608"/>
    </i>
    <i r="1">
      <x v="609"/>
    </i>
    <i r="1">
      <x v="610"/>
    </i>
    <i r="1">
      <x v="611"/>
    </i>
    <i r="1">
      <x v="612"/>
    </i>
    <i r="1">
      <x v="613"/>
    </i>
    <i r="1">
      <x v="614"/>
    </i>
    <i r="1">
      <x v="615"/>
    </i>
    <i r="1">
      <x v="616"/>
    </i>
    <i r="1">
      <x v="617"/>
    </i>
    <i r="1">
      <x v="618"/>
    </i>
    <i r="1">
      <x v="619"/>
    </i>
    <i r="1">
      <x v="620"/>
    </i>
    <i r="1">
      <x v="621"/>
    </i>
    <i r="1">
      <x v="622"/>
    </i>
    <i r="1">
      <x v="623"/>
    </i>
    <i r="1">
      <x v="624"/>
    </i>
    <i r="1">
      <x v="625"/>
    </i>
    <i r="1">
      <x v="626"/>
    </i>
    <i r="1">
      <x v="627"/>
    </i>
    <i r="1">
      <x v="628"/>
    </i>
    <i r="1">
      <x v="629"/>
    </i>
    <i r="1">
      <x v="630"/>
    </i>
    <i r="1">
      <x v="631"/>
    </i>
    <i r="1">
      <x v="632"/>
    </i>
    <i r="1">
      <x v="633"/>
    </i>
    <i r="1">
      <x v="634"/>
    </i>
    <i r="1">
      <x v="635"/>
    </i>
    <i r="1">
      <x v="636"/>
    </i>
    <i r="1">
      <x v="637"/>
    </i>
    <i r="1">
      <x v="638"/>
    </i>
    <i r="1">
      <x v="639"/>
    </i>
    <i r="1">
      <x v="640"/>
    </i>
    <i r="1">
      <x v="641"/>
    </i>
    <i r="1">
      <x v="642"/>
    </i>
    <i r="1">
      <x v="643"/>
    </i>
    <i r="1">
      <x v="644"/>
    </i>
    <i r="1">
      <x v="645"/>
    </i>
    <i r="1">
      <x v="646"/>
    </i>
    <i r="1">
      <x v="647"/>
    </i>
    <i r="1">
      <x v="648"/>
    </i>
    <i r="1">
      <x v="649"/>
    </i>
    <i r="1">
      <x v="650"/>
    </i>
    <i r="1">
      <x v="651"/>
    </i>
    <i r="1">
      <x v="652"/>
    </i>
    <i r="1">
      <x v="653"/>
    </i>
    <i r="1">
      <x v="654"/>
    </i>
    <i r="1">
      <x v="655"/>
    </i>
    <i r="1">
      <x v="656"/>
    </i>
    <i r="1">
      <x v="657"/>
    </i>
    <i r="1">
      <x v="658"/>
    </i>
    <i r="1">
      <x v="659"/>
    </i>
    <i r="1">
      <x v="660"/>
    </i>
    <i r="1">
      <x v="661"/>
    </i>
    <i r="1">
      <x v="662"/>
    </i>
    <i>
      <x v="8"/>
      <x v="663"/>
    </i>
    <i r="1">
      <x v="664"/>
    </i>
    <i r="1">
      <x v="665"/>
    </i>
    <i r="1">
      <x v="666"/>
    </i>
    <i r="1">
      <x v="667"/>
    </i>
    <i r="1">
      <x v="668"/>
    </i>
    <i r="1">
      <x v="669"/>
    </i>
    <i r="1">
      <x v="670"/>
    </i>
    <i r="1">
      <x v="671"/>
    </i>
    <i r="1">
      <x v="672"/>
    </i>
    <i r="1">
      <x v="673"/>
    </i>
    <i r="1">
      <x v="674"/>
    </i>
    <i r="1">
      <x v="675"/>
    </i>
    <i r="1">
      <x v="676"/>
    </i>
    <i r="1">
      <x v="677"/>
    </i>
    <i r="1">
      <x v="678"/>
    </i>
    <i r="1">
      <x v="679"/>
    </i>
    <i r="1">
      <x v="680"/>
    </i>
    <i r="1">
      <x v="681"/>
    </i>
    <i r="1">
      <x v="682"/>
    </i>
    <i r="1">
      <x v="683"/>
    </i>
    <i r="1">
      <x v="684"/>
    </i>
    <i r="1">
      <x v="685"/>
    </i>
    <i r="1">
      <x v="686"/>
    </i>
    <i r="1">
      <x v="687"/>
    </i>
    <i r="1">
      <x v="688"/>
    </i>
    <i r="1">
      <x v="689"/>
    </i>
    <i r="1">
      <x v="690"/>
    </i>
    <i r="1">
      <x v="691"/>
    </i>
    <i r="1">
      <x v="692"/>
    </i>
    <i r="1">
      <x v="693"/>
    </i>
    <i r="1">
      <x v="694"/>
    </i>
    <i r="1">
      <x v="695"/>
    </i>
    <i r="1">
      <x v="696"/>
    </i>
    <i r="1">
      <x v="697"/>
    </i>
    <i r="1">
      <x v="698"/>
    </i>
    <i r="1">
      <x v="699"/>
    </i>
    <i r="1">
      <x v="700"/>
    </i>
    <i r="1">
      <x v="701"/>
    </i>
    <i r="1">
      <x v="702"/>
    </i>
    <i r="1">
      <x v="703"/>
    </i>
    <i r="1">
      <x v="704"/>
    </i>
    <i r="1">
      <x v="705"/>
    </i>
    <i r="1">
      <x v="706"/>
    </i>
    <i r="1">
      <x v="707"/>
    </i>
    <i r="1">
      <x v="708"/>
    </i>
    <i r="1">
      <x v="709"/>
    </i>
    <i r="1">
      <x v="710"/>
    </i>
    <i r="1">
      <x v="711"/>
    </i>
    <i r="1">
      <x v="712"/>
    </i>
    <i r="1">
      <x v="713"/>
    </i>
    <i r="1">
      <x v="714"/>
    </i>
    <i r="1">
      <x v="715"/>
    </i>
    <i r="1">
      <x v="716"/>
    </i>
    <i r="1">
      <x v="717"/>
    </i>
    <i r="1">
      <x v="718"/>
    </i>
    <i r="1">
      <x v="719"/>
    </i>
    <i r="1">
      <x v="720"/>
    </i>
    <i r="1">
      <x v="721"/>
    </i>
    <i r="1">
      <x v="722"/>
    </i>
    <i r="1">
      <x v="723"/>
    </i>
    <i r="1">
      <x v="724"/>
    </i>
    <i r="1">
      <x v="725"/>
    </i>
    <i r="1">
      <x v="726"/>
    </i>
    <i r="1">
      <x v="727"/>
    </i>
    <i r="1">
      <x v="728"/>
    </i>
    <i r="1">
      <x v="729"/>
    </i>
    <i r="1">
      <x v="730"/>
    </i>
    <i r="1">
      <x v="731"/>
    </i>
    <i r="1">
      <x v="732"/>
    </i>
    <i r="1">
      <x v="733"/>
    </i>
    <i r="1">
      <x v="734"/>
    </i>
    <i r="1">
      <x v="735"/>
    </i>
    <i r="1">
      <x v="736"/>
    </i>
    <i r="1">
      <x v="737"/>
    </i>
    <i r="1">
      <x v="738"/>
    </i>
    <i r="1">
      <x v="739"/>
    </i>
    <i r="1">
      <x v="740"/>
    </i>
    <i r="1">
      <x v="741"/>
    </i>
    <i r="1">
      <x v="742"/>
    </i>
    <i r="1">
      <x v="743"/>
    </i>
    <i>
      <x v="9"/>
      <x v="744"/>
    </i>
    <i r="1">
      <x v="745"/>
    </i>
    <i r="1">
      <x v="746"/>
    </i>
    <i r="1">
      <x v="747"/>
    </i>
    <i r="1">
      <x v="748"/>
    </i>
    <i r="1">
      <x v="749"/>
    </i>
    <i r="1">
      <x v="750"/>
    </i>
    <i r="1">
      <x v="751"/>
    </i>
    <i r="1">
      <x v="752"/>
    </i>
    <i r="1">
      <x v="753"/>
    </i>
    <i r="1">
      <x v="754"/>
    </i>
    <i r="1">
      <x v="755"/>
    </i>
    <i r="1">
      <x v="756"/>
    </i>
    <i r="1">
      <x v="757"/>
    </i>
    <i r="1">
      <x v="758"/>
    </i>
    <i r="1">
      <x v="759"/>
    </i>
    <i r="1">
      <x v="760"/>
    </i>
    <i r="1">
      <x v="761"/>
    </i>
    <i r="1">
      <x v="762"/>
    </i>
    <i r="1">
      <x v="763"/>
    </i>
    <i r="1">
      <x v="764"/>
    </i>
    <i r="1">
      <x v="765"/>
    </i>
    <i r="1">
      <x v="766"/>
    </i>
    <i>
      <x v="10"/>
      <x v="767"/>
    </i>
    <i r="1">
      <x v="768"/>
    </i>
    <i r="1">
      <x v="769"/>
    </i>
    <i r="1">
      <x v="770"/>
    </i>
    <i r="1">
      <x v="771"/>
    </i>
    <i r="1">
      <x v="772"/>
    </i>
    <i r="1">
      <x v="773"/>
    </i>
    <i r="1">
      <x v="774"/>
    </i>
    <i r="1">
      <x v="775"/>
    </i>
    <i r="1">
      <x v="776"/>
    </i>
    <i r="1">
      <x v="777"/>
    </i>
    <i r="1">
      <x v="778"/>
    </i>
    <i r="1">
      <x v="779"/>
    </i>
    <i r="1">
      <x v="780"/>
    </i>
    <i r="1">
      <x v="781"/>
    </i>
    <i r="1">
      <x v="782"/>
    </i>
    <i r="1">
      <x v="783"/>
    </i>
    <i r="1">
      <x v="784"/>
    </i>
    <i r="1">
      <x v="785"/>
    </i>
    <i>
      <x v="11"/>
      <x v="786"/>
    </i>
    <i r="1">
      <x v="787"/>
    </i>
    <i r="1">
      <x v="788"/>
    </i>
    <i r="1">
      <x v="789"/>
    </i>
    <i r="1">
      <x v="790"/>
    </i>
    <i r="1">
      <x v="791"/>
    </i>
    <i r="1">
      <x v="792"/>
    </i>
    <i r="1">
      <x v="793"/>
    </i>
    <i r="1">
      <x v="794"/>
    </i>
    <i r="1">
      <x v="795"/>
    </i>
    <i r="1">
      <x v="796"/>
    </i>
    <i r="1">
      <x v="797"/>
    </i>
    <i r="1">
      <x v="798"/>
    </i>
    <i r="1">
      <x v="799"/>
    </i>
    <i r="1">
      <x v="800"/>
    </i>
    <i r="1">
      <x v="801"/>
    </i>
    <i r="1">
      <x v="802"/>
    </i>
    <i r="1">
      <x v="803"/>
    </i>
    <i r="1">
      <x v="804"/>
    </i>
    <i r="1">
      <x v="805"/>
    </i>
    <i r="1">
      <x v="806"/>
    </i>
    <i r="1">
      <x v="807"/>
    </i>
    <i r="1">
      <x v="808"/>
    </i>
    <i r="1">
      <x v="809"/>
    </i>
    <i r="1">
      <x v="810"/>
    </i>
    <i r="1">
      <x v="811"/>
    </i>
    <i r="1">
      <x v="812"/>
    </i>
    <i r="1">
      <x v="813"/>
    </i>
    <i r="1">
      <x v="814"/>
    </i>
    <i r="1">
      <x v="815"/>
    </i>
    <i r="1">
      <x v="816"/>
    </i>
    <i r="1">
      <x v="817"/>
    </i>
    <i r="1">
      <x v="818"/>
    </i>
    <i r="1">
      <x v="819"/>
    </i>
    <i r="1">
      <x v="820"/>
    </i>
    <i r="1">
      <x v="821"/>
    </i>
    <i r="1">
      <x v="822"/>
    </i>
    <i r="1">
      <x v="823"/>
    </i>
    <i r="1">
      <x v="824"/>
    </i>
    <i r="1">
      <x v="825"/>
    </i>
    <i r="1">
      <x v="826"/>
    </i>
    <i r="1">
      <x v="827"/>
    </i>
    <i r="1">
      <x v="828"/>
    </i>
    <i r="1">
      <x v="829"/>
    </i>
    <i r="1">
      <x v="830"/>
    </i>
    <i r="1">
      <x v="831"/>
    </i>
    <i r="1">
      <x v="832"/>
    </i>
    <i r="1">
      <x v="833"/>
    </i>
    <i r="1">
      <x v="834"/>
    </i>
    <i r="1">
      <x v="835"/>
    </i>
    <i r="1">
      <x v="836"/>
    </i>
    <i r="1">
      <x v="837"/>
    </i>
    <i r="1">
      <x v="838"/>
    </i>
    <i r="1">
      <x v="839"/>
    </i>
    <i r="1">
      <x v="840"/>
    </i>
    <i r="1">
      <x v="841"/>
    </i>
    <i r="1">
      <x v="842"/>
    </i>
    <i r="1">
      <x v="843"/>
    </i>
    <i r="1">
      <x v="844"/>
    </i>
    <i r="1">
      <x v="845"/>
    </i>
    <i r="1">
      <x v="846"/>
    </i>
    <i r="1">
      <x v="847"/>
    </i>
    <i r="1">
      <x v="848"/>
    </i>
    <i r="1">
      <x v="849"/>
    </i>
    <i r="1">
      <x v="850"/>
    </i>
    <i r="1">
      <x v="851"/>
    </i>
    <i r="1">
      <x v="852"/>
    </i>
    <i r="1">
      <x v="853"/>
    </i>
    <i r="1">
      <x v="854"/>
    </i>
    <i r="1">
      <x v="855"/>
    </i>
    <i r="1">
      <x v="856"/>
    </i>
    <i r="1">
      <x v="857"/>
    </i>
    <i r="1">
      <x v="858"/>
    </i>
    <i r="1">
      <x v="859"/>
    </i>
    <i r="1">
      <x v="860"/>
    </i>
    <i r="1">
      <x v="861"/>
    </i>
    <i r="1">
      <x v="862"/>
    </i>
    <i r="1">
      <x v="863"/>
    </i>
    <i r="1">
      <x v="864"/>
    </i>
    <i r="1">
      <x v="865"/>
    </i>
    <i r="1">
      <x v="866"/>
    </i>
    <i r="1">
      <x v="867"/>
    </i>
    <i r="1">
      <x v="868"/>
    </i>
    <i r="1">
      <x v="869"/>
    </i>
    <i r="1">
      <x v="870"/>
    </i>
    <i r="1">
      <x v="871"/>
    </i>
    <i r="1">
      <x v="872"/>
    </i>
    <i r="1">
      <x v="873"/>
    </i>
    <i r="1">
      <x v="874"/>
    </i>
    <i r="1">
      <x v="875"/>
    </i>
    <i r="1">
      <x v="876"/>
    </i>
    <i r="1">
      <x v="877"/>
    </i>
    <i r="1">
      <x v="878"/>
    </i>
    <i r="1">
      <x v="879"/>
    </i>
    <i r="1">
      <x v="880"/>
    </i>
    <i r="1">
      <x v="881"/>
    </i>
    <i r="1">
      <x v="882"/>
    </i>
    <i r="1">
      <x v="883"/>
    </i>
    <i r="1">
      <x v="884"/>
    </i>
    <i r="1">
      <x v="885"/>
    </i>
    <i r="1">
      <x v="886"/>
    </i>
    <i r="1">
      <x v="887"/>
    </i>
    <i r="1">
      <x v="888"/>
    </i>
    <i r="1">
      <x v="889"/>
    </i>
    <i r="1">
      <x v="890"/>
    </i>
    <i r="1">
      <x v="891"/>
    </i>
    <i r="1">
      <x v="892"/>
    </i>
    <i r="1">
      <x v="893"/>
    </i>
    <i r="1">
      <x v="894"/>
    </i>
    <i r="1">
      <x v="895"/>
    </i>
    <i r="1">
      <x v="896"/>
    </i>
    <i r="1">
      <x v="897"/>
    </i>
    <i r="1">
      <x v="898"/>
    </i>
    <i r="1">
      <x v="899"/>
    </i>
    <i r="1">
      <x v="900"/>
    </i>
    <i r="1">
      <x v="901"/>
    </i>
    <i r="1">
      <x v="902"/>
    </i>
    <i r="1">
      <x v="903"/>
    </i>
    <i r="1">
      <x v="904"/>
    </i>
    <i r="1">
      <x v="905"/>
    </i>
    <i r="1">
      <x v="906"/>
    </i>
    <i r="1">
      <x v="907"/>
    </i>
    <i r="1">
      <x v="908"/>
    </i>
    <i r="1">
      <x v="909"/>
    </i>
    <i r="1">
      <x v="910"/>
    </i>
    <i>
      <x v="12"/>
      <x v="911"/>
    </i>
    <i r="1">
      <x v="912"/>
    </i>
    <i r="1">
      <x v="913"/>
    </i>
    <i r="1">
      <x v="914"/>
    </i>
    <i r="1">
      <x v="915"/>
    </i>
    <i r="1">
      <x v="916"/>
    </i>
    <i r="1">
      <x v="917"/>
    </i>
    <i r="1">
      <x v="918"/>
    </i>
    <i r="1">
      <x v="919"/>
    </i>
    <i r="1">
      <x v="920"/>
    </i>
    <i r="1">
      <x v="921"/>
    </i>
    <i r="1">
      <x v="922"/>
    </i>
    <i r="1">
      <x v="923"/>
    </i>
    <i r="1">
      <x v="924"/>
    </i>
    <i r="1">
      <x v="925"/>
    </i>
    <i r="1">
      <x v="926"/>
    </i>
    <i r="1">
      <x v="927"/>
    </i>
    <i r="1">
      <x v="928"/>
    </i>
    <i r="1">
      <x v="929"/>
    </i>
    <i r="1">
      <x v="930"/>
    </i>
    <i r="1">
      <x v="931"/>
    </i>
    <i r="1">
      <x v="932"/>
    </i>
    <i r="1">
      <x v="933"/>
    </i>
    <i r="1">
      <x v="934"/>
    </i>
    <i r="1">
      <x v="935"/>
    </i>
    <i r="1">
      <x v="936"/>
    </i>
    <i r="1">
      <x v="937"/>
    </i>
    <i r="1">
      <x v="938"/>
    </i>
    <i r="1">
      <x v="939"/>
    </i>
    <i r="1">
      <x v="940"/>
    </i>
    <i r="1">
      <x v="941"/>
    </i>
    <i r="1">
      <x v="942"/>
    </i>
    <i r="1">
      <x v="943"/>
    </i>
    <i r="1">
      <x v="944"/>
    </i>
    <i r="1">
      <x v="945"/>
    </i>
    <i r="1">
      <x v="946"/>
    </i>
    <i r="1">
      <x v="947"/>
    </i>
    <i r="1">
      <x v="948"/>
    </i>
    <i r="1">
      <x v="949"/>
    </i>
    <i r="1">
      <x v="950"/>
    </i>
    <i r="1">
      <x v="951"/>
    </i>
    <i r="1">
      <x v="952"/>
    </i>
    <i r="1">
      <x v="953"/>
    </i>
    <i r="1">
      <x v="954"/>
    </i>
    <i r="1">
      <x v="955"/>
    </i>
    <i r="1">
      <x v="956"/>
    </i>
    <i r="1">
      <x v="957"/>
    </i>
    <i r="1">
      <x v="958"/>
    </i>
    <i r="1">
      <x v="959"/>
    </i>
    <i r="1">
      <x v="960"/>
    </i>
    <i r="1">
      <x v="961"/>
    </i>
    <i r="1">
      <x v="962"/>
    </i>
    <i r="1">
      <x v="963"/>
    </i>
    <i r="1">
      <x v="964"/>
    </i>
    <i r="1">
      <x v="965"/>
    </i>
    <i r="1">
      <x v="966"/>
    </i>
    <i r="1">
      <x v="967"/>
    </i>
    <i r="1">
      <x v="968"/>
    </i>
    <i r="1">
      <x v="969"/>
    </i>
    <i r="1">
      <x v="970"/>
    </i>
    <i r="1">
      <x v="971"/>
    </i>
    <i r="1">
      <x v="972"/>
    </i>
    <i r="1">
      <x v="973"/>
    </i>
    <i r="1">
      <x v="974"/>
    </i>
    <i r="1">
      <x v="975"/>
    </i>
    <i r="1">
      <x v="976"/>
    </i>
    <i r="1">
      <x v="977"/>
    </i>
    <i r="1">
      <x v="978"/>
    </i>
    <i r="1">
      <x v="979"/>
    </i>
    <i r="1">
      <x v="980"/>
    </i>
    <i r="1">
      <x v="981"/>
    </i>
    <i r="1">
      <x v="982"/>
    </i>
    <i r="1">
      <x v="983"/>
    </i>
    <i r="1">
      <x v="984"/>
    </i>
    <i r="1">
      <x v="985"/>
    </i>
    <i r="1">
      <x v="986"/>
    </i>
    <i r="1">
      <x v="987"/>
    </i>
    <i r="1">
      <x v="988"/>
    </i>
    <i r="1">
      <x v="989"/>
    </i>
    <i r="1">
      <x v="990"/>
    </i>
    <i r="1">
      <x v="991"/>
    </i>
    <i r="1">
      <x v="992"/>
    </i>
    <i r="1">
      <x v="993"/>
    </i>
    <i r="1">
      <x v="994"/>
    </i>
    <i r="1">
      <x v="995"/>
    </i>
    <i r="1">
      <x v="996"/>
    </i>
    <i r="1">
      <x v="997"/>
    </i>
    <i r="1">
      <x v="998"/>
    </i>
    <i r="1">
      <x v="999"/>
    </i>
    <i r="1">
      <x v="1000"/>
    </i>
    <i r="1">
      <x v="1001"/>
    </i>
    <i r="1">
      <x v="1002"/>
    </i>
    <i r="1">
      <x v="1003"/>
    </i>
    <i r="1">
      <x v="1004"/>
    </i>
    <i r="1">
      <x v="1005"/>
    </i>
    <i r="1">
      <x v="1006"/>
    </i>
    <i r="1">
      <x v="1007"/>
    </i>
    <i r="1">
      <x v="1008"/>
    </i>
    <i r="1">
      <x v="1009"/>
    </i>
    <i r="1">
      <x v="1010"/>
    </i>
    <i r="1">
      <x v="1011"/>
    </i>
    <i r="1">
      <x v="1012"/>
    </i>
    <i r="1">
      <x v="1013"/>
    </i>
    <i r="1">
      <x v="1014"/>
    </i>
  </rowItems>
  <colFields count="1">
    <field x="1"/>
  </colFields>
  <col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dataFields count="1">
    <dataField name="Сумма по столбцу Выручка" fld="3" baseField="0" baseItem="0" numFmtId="166"/>
  </dataFields>
  <formats count="2">
    <format dxfId="1">
      <pivotArea dataOnly="0" labelOnly="1" fieldPosition="0">
        <references count="1">
          <reference field="1" count="0"/>
        </references>
      </pivotArea>
    </format>
    <format dxfId="0">
      <pivotArea outline="0" collapsedLevelsAreSubtotals="1" fieldPosition="0"/>
    </format>
  </formats>
  <pivotHierarchies count="2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Стиль сводной таблицы 1" showRowHeaders="1" showColHeaders="1" showRowStripes="0" showColStripes="0" showLastColumn="1"/>
  <rowHierarchiesUsage count="2">
    <rowHierarchyUsage hierarchyUsage="7"/>
    <rowHierarchyUsage hierarchyUsage="9"/>
  </rowHierarchiesUsage>
  <colHierarchiesUsage count="1">
    <colHierarchyUsage hierarchyUsage="10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Продажи_НДС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8958F49E-E8F9-4101-8101-8E3E22F694EE}" autoFormatId="16" applyNumberFormats="0" applyBorderFormats="0" applyFontFormats="0" applyPatternFormats="0" applyAlignmentFormats="0" applyWidthHeightFormats="0">
  <queryTableRefresh nextId="4">
    <queryTableFields count="3">
      <queryTableField id="1" name="СЕГМЕНТ" tableColumnId="1"/>
      <queryTableField id="2" name="Должность" tableColumnId="2"/>
      <queryTableField id="3" name="ГРУППА ДОСТУПА" tableColumnId="3"/>
    </queryTableFields>
  </queryTableRefresh>
  <extLst>
    <ext xmlns:x15="http://schemas.microsoft.com/office/spreadsheetml/2010/11/main" uri="{883FBD77-0823-4a55-B5E3-86C4891E6966}">
      <x15:queryTable sourceDataName="Запрос — МР"/>
    </ext>
  </extLst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92CFBE-9688-4B72-8C14-2A28093B71FE}" name="Период" displayName="Период" ref="F1:G2" totalsRowShown="0" dataDxfId="19">
  <autoFilter ref="F1:G2" xr:uid="{3D92CFBE-9688-4B72-8C14-2A28093B71FE}"/>
  <tableColumns count="2">
    <tableColumn id="1" xr3:uid="{751EDFD4-F040-4F73-844E-CDE254039396}" name="Расчетный период" dataDxfId="18"/>
    <tableColumn id="4" xr3:uid="{0EB5C904-C821-4815-9999-5549425F35FC}" name="Начальная дата" dataDxfId="17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09AA54-4E2F-429A-9AF4-FE64CDB52070}" name="Новые_клиенты_для_премии" displayName="Новые_клиенты_для_премии" ref="I2:K15" totalsRowShown="0" headerRowDxfId="16" tableBorderDxfId="15">
  <autoFilter ref="I2:K15" xr:uid="{6A09AA54-4E2F-429A-9AF4-FE64CDB52070}"/>
  <tableColumns count="3">
    <tableColumn id="1" xr3:uid="{DBDE624F-F7D7-48BC-9E5D-75FFAE9C0CEF}" name="ГРУППА ДОСТУПА" dataDxfId="14">
      <calculatedColumnFormula>IF(МР!$D23="","",МР!$D23)</calculatedColumnFormula>
    </tableColumn>
    <tableColumn id="3" xr3:uid="{ED35414A-2881-4F47-91E4-D75C6EA07F3D}" name="Сегмент">
      <calculatedColumnFormula>VLOOKUP(LEFT(Новые_клиенты_для_премии[[#This Row],[ГРУППА ДОСТУПА]],(SEARCH(" ",Новые_клиенты_для_премии[[#This Row],[ГРУППА ДОСТУПА]])-1)),$M$2:$N$9,2,0)</calculatedColumnFormula>
    </tableColumn>
    <tableColumn id="2" xr3:uid="{681C3DA2-8714-4EE0-96B9-A8C0E2F4007D}" name="Количество клиентов">
      <calculatedColumnFormula>VLOOKUP($I3,МР!$D$21:$AB$41,MATCH(МР!$D$2,МР!$D$21:$AB$21,0),)</calculatedColumnFormula>
    </tableColumn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838E64-3D0A-4D3D-9602-FAAD115D0F83}" name="Таблица4" displayName="Таблица4" ref="N2:N9" totalsRowShown="0">
  <autoFilter ref="N2:N9" xr:uid="{FE838E64-3D0A-4D3D-9602-FAAD115D0F83}"/>
  <tableColumns count="1">
    <tableColumn id="1" xr3:uid="{5D5FAE20-3BC5-4E79-ADF8-7179E2B2C493}" name="Сегмент"/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06A1B-1B76-4FD0-BEC6-A6C2AD880DF1}" name="Свод_НКл_МР" displayName="Свод_НКл_МР" ref="D7:J16" totalsRowShown="0" headerRowDxfId="13" dataDxfId="11" headerRowBorderDxfId="12" tableBorderDxfId="10" totalsRowBorderDxfId="9">
  <autoFilter ref="D7:J16" xr:uid="{E7606A1B-1B76-4FD0-BEC6-A6C2AD880DF1}"/>
  <tableColumns count="7">
    <tableColumn id="1" xr3:uid="{2326A8AB-46CC-4D47-B827-37A26F4B92F1}" name="ГРУППА ДОСТУПА" dataDxfId="8"/>
    <tableColumn id="2" xr3:uid="{8E85764D-53F8-4CAF-868A-E1029158676A}" name="Клиеты" dataDxfId="7">
      <calculatedColumnFormula>IF($D8="","",SUMIF($E$22:$AB$22,$E$7,$E23:$AB23))</calculatedColumnFormula>
    </tableColumn>
    <tableColumn id="3" xr3:uid="{40CC5FE7-3F92-4E8B-8E2C-402686EE8F6A}" name="Сумма" dataDxfId="6">
      <calculatedColumnFormula>IF($D8="","",SUMIF($E$22:$AB$22,$F$7,$E23:$AB23))</calculatedColumnFormula>
    </tableColumn>
    <tableColumn id="4" xr3:uid="{7B8B6FC3-0A7C-4AAE-B858-1CA2BA85EBB6}" name="Баллы кол-во клиентов" dataDxfId="5"/>
    <tableColumn id="5" xr3:uid="{C9788DD4-B453-4F89-ACC2-278EB30BB291}" name="Баллы выручка Н.клиентов" dataDxfId="4"/>
    <tableColumn id="6" xr3:uid="{E01B5C9A-19EE-41DF-9659-C2593309E760}" name="Сумма баллов &quot;Н. Клиенты&quot;" dataDxfId="3"/>
    <tableColumn id="7" xr3:uid="{C0474C26-22B2-4979-8121-FD7764C54FD4}" name="Место в рейтинге &quot;Н. Клиенты&quot;" dataDxfId="2"/>
  </tableColumns>
  <tableStyleInfo name="Стиль таблицы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495B508-4552-4B2D-AAEB-C862191601EF}" name="МР" displayName="МР" ref="B22:D35" tableType="queryTable" totalsRowShown="0">
  <autoFilter ref="B22:D35" xr:uid="{6495B508-4552-4B2D-AAEB-C862191601EF}"/>
  <tableColumns count="3">
    <tableColumn id="1" xr3:uid="{5132E203-F37C-4C45-9338-C18ACC858218}" uniqueName="1" name="СЕГМЕНТ" queryTableFieldId="1"/>
    <tableColumn id="2" xr3:uid="{C78AFC88-3566-4E78-8D6A-22C271D33FF3}" uniqueName="2" name="Должность" queryTableFieldId="2"/>
    <tableColumn id="3" xr3:uid="{0888FBDA-6024-427B-BEF3-EDAD54970A59}" uniqueName="3" name="ГРУППА ДОСТУПА" queryTableFieldId="3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2C17B-2BEB-404C-980D-77CA1913A07A}">
  <sheetPr codeName="Лист2"/>
  <dimension ref="A1:N16"/>
  <sheetViews>
    <sheetView tabSelected="1" workbookViewId="0">
      <selection activeCell="F3" sqref="F3"/>
    </sheetView>
  </sheetViews>
  <sheetFormatPr defaultRowHeight="15" x14ac:dyDescent="0.25"/>
  <cols>
    <col min="6" max="6" width="20.5703125" bestFit="1" customWidth="1"/>
    <col min="7" max="7" width="17.42578125" bestFit="1" customWidth="1"/>
    <col min="8" max="8" width="20.42578125" bestFit="1" customWidth="1"/>
    <col min="9" max="9" width="19.28515625" customWidth="1"/>
    <col min="10" max="10" width="21" bestFit="1" customWidth="1"/>
    <col min="11" max="11" width="22.7109375" customWidth="1"/>
    <col min="12" max="12" width="21" bestFit="1" customWidth="1"/>
    <col min="13" max="13" width="7.7109375" bestFit="1" customWidth="1"/>
    <col min="14" max="14" width="23.7109375" bestFit="1" customWidth="1"/>
  </cols>
  <sheetData>
    <row r="1" spans="1:14" x14ac:dyDescent="0.25">
      <c r="A1" s="9" t="s">
        <v>1499</v>
      </c>
      <c r="B1" s="9" t="s">
        <v>1500</v>
      </c>
      <c r="F1" t="s">
        <v>1501</v>
      </c>
      <c r="G1" t="s">
        <v>1502</v>
      </c>
    </row>
    <row r="2" spans="1:14" x14ac:dyDescent="0.25">
      <c r="A2" s="5" t="s">
        <v>2</v>
      </c>
      <c r="B2" s="5">
        <v>1</v>
      </c>
      <c r="F2" s="4">
        <v>45139</v>
      </c>
      <c r="G2" s="4">
        <v>44197</v>
      </c>
      <c r="H2" s="4"/>
      <c r="I2" s="36" t="s">
        <v>1231</v>
      </c>
      <c r="J2" s="40" t="s">
        <v>1579</v>
      </c>
      <c r="K2" s="37" t="s">
        <v>1564</v>
      </c>
      <c r="M2" s="38" t="s">
        <v>1580</v>
      </c>
      <c r="N2" t="s">
        <v>1579</v>
      </c>
    </row>
    <row r="3" spans="1:14" x14ac:dyDescent="0.25">
      <c r="A3" s="5" t="s">
        <v>3</v>
      </c>
      <c r="B3" s="5">
        <v>2</v>
      </c>
      <c r="I3" s="35" t="str">
        <f>IF(МР!$D23="","",МР!$D23)</f>
        <v>СНГ Фёдоров</v>
      </c>
      <c r="J3" t="str">
        <f>VLOOKUP(LEFT(Новые_клиенты_для_премии[[#This Row],[ГРУППА ДОСТУПА]],(SEARCH(" ",Новые_клиенты_для_премии[[#This Row],[ГРУППА ДОСТУПА]])-1)),$M$2:$N$9,2,0)</f>
        <v>ЕАЭС</v>
      </c>
      <c r="K3">
        <f>VLOOKUP($I3,МР!$D$21:$AB$41,MATCH(МР!$D$2,МР!$D$21:$AB$21,0),)</f>
        <v>1</v>
      </c>
      <c r="M3" s="39" t="s">
        <v>1572</v>
      </c>
      <c r="N3" t="s">
        <v>1565</v>
      </c>
    </row>
    <row r="4" spans="1:14" x14ac:dyDescent="0.25">
      <c r="A4" s="5" t="s">
        <v>4</v>
      </c>
      <c r="B4" s="5">
        <v>3</v>
      </c>
      <c r="I4" s="35" t="str">
        <f>IF(МР!$D24="","",МР!$D24)</f>
        <v>ПФО Овсянников</v>
      </c>
      <c r="J4" t="str">
        <f>VLOOKUP(LEFT(Новые_клиенты_для_премии[[#This Row],[ГРУППА ДОСТУПА]],(SEARCH(" ",Новые_клиенты_для_премии[[#This Row],[ГРУППА ДОСТУПА]])-1)),$M$2:$N$9,2,0)</f>
        <v>Приволжский ФО</v>
      </c>
      <c r="K4">
        <f>VLOOKUP($I4,МР!$D$21:$AB$41,MATCH(МР!$D$2,МР!$D$21:$AB$21,0),)</f>
        <v>2</v>
      </c>
      <c r="M4" s="39" t="s">
        <v>1573</v>
      </c>
      <c r="N4" t="s">
        <v>1566</v>
      </c>
    </row>
    <row r="5" spans="1:14" x14ac:dyDescent="0.25">
      <c r="A5" s="5" t="s">
        <v>5</v>
      </c>
      <c r="B5" s="5">
        <v>4</v>
      </c>
      <c r="I5" s="35" t="str">
        <f>IF(МР!$D25="","",МР!$D25)</f>
        <v>ПФО Шашкина</v>
      </c>
      <c r="J5" t="str">
        <f>VLOOKUP(LEFT(Новые_клиенты_для_премии[[#This Row],[ГРУППА ДОСТУПА]],(SEARCH(" ",Новые_клиенты_для_премии[[#This Row],[ГРУППА ДОСТУПА]])-1)),$M$2:$N$9,2,0)</f>
        <v>Приволжский ФО</v>
      </c>
      <c r="K5">
        <f>VLOOKUP($I5,МР!$D$21:$AB$41,MATCH(МР!$D$2,МР!$D$21:$AB$21,0),)</f>
        <v>1</v>
      </c>
      <c r="M5" s="39" t="s">
        <v>1574</v>
      </c>
      <c r="N5" t="s">
        <v>1567</v>
      </c>
    </row>
    <row r="6" spans="1:14" x14ac:dyDescent="0.25">
      <c r="A6" s="5" t="s">
        <v>6</v>
      </c>
      <c r="B6" s="5">
        <v>5</v>
      </c>
      <c r="I6" s="35" t="str">
        <f>IF(МР!$D26="","",МР!$D26)</f>
        <v>ПФО Ручкин</v>
      </c>
      <c r="J6" t="str">
        <f>VLOOKUP(LEFT(Новые_клиенты_для_премии[[#This Row],[ГРУППА ДОСТУПА]],(SEARCH(" ",Новые_клиенты_для_премии[[#This Row],[ГРУППА ДОСТУПА]])-1)),$M$2:$N$9,2,0)</f>
        <v>Приволжский ФО</v>
      </c>
      <c r="K6">
        <f>VLOOKUP($I6,МР!$D$21:$AB$41,MATCH(МР!$D$2,МР!$D$21:$AB$21,0),)</f>
        <v>2</v>
      </c>
      <c r="M6" s="39" t="s">
        <v>1575</v>
      </c>
      <c r="N6" t="s">
        <v>1568</v>
      </c>
    </row>
    <row r="7" spans="1:14" x14ac:dyDescent="0.25">
      <c r="A7" s="5" t="s">
        <v>7</v>
      </c>
      <c r="B7" s="5">
        <v>6</v>
      </c>
      <c r="F7" s="11"/>
      <c r="G7" s="11"/>
      <c r="H7" s="11"/>
      <c r="I7" s="35" t="str">
        <f>IF(МР!$D27="","",МР!$D27)</f>
        <v>СЗФО Разин</v>
      </c>
      <c r="J7" t="str">
        <f>VLOOKUP(LEFT(Новые_клиенты_для_премии[[#This Row],[ГРУППА ДОСТУПА]],(SEARCH(" ",Новые_клиенты_для_премии[[#This Row],[ГРУППА ДОСТУПА]])-1)),$M$2:$N$9,2,0)</f>
        <v>Северо-Западный ФО</v>
      </c>
      <c r="K7">
        <f>VLOOKUP($I7,МР!$D$21:$AB$41,MATCH(МР!$D$2,МР!$D$21:$AB$21,0),)</f>
        <v>1</v>
      </c>
      <c r="M7" s="39" t="s">
        <v>1576</v>
      </c>
      <c r="N7" t="s">
        <v>1569</v>
      </c>
    </row>
    <row r="8" spans="1:14" x14ac:dyDescent="0.25">
      <c r="A8" s="5" t="s">
        <v>13</v>
      </c>
      <c r="B8" s="5">
        <v>7</v>
      </c>
      <c r="I8" s="35" t="str">
        <f>IF(МР!$D28="","",МР!$D28)</f>
        <v>СФО Томлоп</v>
      </c>
      <c r="J8" t="str">
        <f>VLOOKUP(LEFT(Новые_клиенты_для_премии[[#This Row],[ГРУППА ДОСТУПА]],(SEARCH(" ",Новые_клиенты_для_премии[[#This Row],[ГРУППА ДОСТУПА]])-1)),$M$2:$N$9,2,0)</f>
        <v>Сибирский ФО</v>
      </c>
      <c r="K8">
        <f>VLOOKUP($I8,МР!$D$21:$AB$41,MATCH(МР!$D$2,МР!$D$21:$AB$21,0),)</f>
        <v>6</v>
      </c>
      <c r="M8" s="39" t="s">
        <v>1577</v>
      </c>
      <c r="N8" t="s">
        <v>1570</v>
      </c>
    </row>
    <row r="9" spans="1:14" x14ac:dyDescent="0.25">
      <c r="A9" s="5" t="s">
        <v>8</v>
      </c>
      <c r="B9" s="5">
        <v>8</v>
      </c>
      <c r="I9" s="35" t="str">
        <f>IF(МР!$D29="","",МР!$D29)</f>
        <v>СФО Чучкалов</v>
      </c>
      <c r="J9" t="str">
        <f>VLOOKUP(LEFT(Новые_клиенты_для_премии[[#This Row],[ГРУППА ДОСТУПА]],(SEARCH(" ",Новые_клиенты_для_премии[[#This Row],[ГРУППА ДОСТУПА]])-1)),$M$2:$N$9,2,0)</f>
        <v>Сибирский ФО</v>
      </c>
      <c r="K9">
        <f>VLOOKUP($I9,МР!$D$21:$AB$41,MATCH(МР!$D$2,МР!$D$21:$AB$21,0),)</f>
        <v>3</v>
      </c>
      <c r="M9" s="39" t="s">
        <v>1578</v>
      </c>
      <c r="N9" t="s">
        <v>1571</v>
      </c>
    </row>
    <row r="10" spans="1:14" x14ac:dyDescent="0.25">
      <c r="A10" s="5" t="s">
        <v>9</v>
      </c>
      <c r="B10" s="5">
        <v>9</v>
      </c>
      <c r="I10" s="35" t="str">
        <f>IF(МР!$D30="","",МР!$D30)</f>
        <v>СФО Мацкевич</v>
      </c>
      <c r="J10" t="str">
        <f>VLOOKUP(LEFT(Новые_клиенты_для_премии[[#This Row],[ГРУППА ДОСТУПА]],(SEARCH(" ",Новые_клиенты_для_премии[[#This Row],[ГРУППА ДОСТУПА]])-1)),$M$2:$N$9,2,0)</f>
        <v>Сибирский ФО</v>
      </c>
      <c r="K10">
        <f>VLOOKUP($I10,МР!$D$21:$AB$41,MATCH(МР!$D$2,МР!$D$21:$AB$21,0),)</f>
        <v>2</v>
      </c>
    </row>
    <row r="11" spans="1:14" x14ac:dyDescent="0.25">
      <c r="A11" s="5" t="s">
        <v>10</v>
      </c>
      <c r="B11" s="5">
        <v>10</v>
      </c>
      <c r="I11" s="35" t="str">
        <f>IF(МР!$D31="","",МР!$D31)</f>
        <v>СФО Расулов</v>
      </c>
      <c r="J11" t="str">
        <f>VLOOKUP(LEFT(Новые_клиенты_для_премии[[#This Row],[ГРУППА ДОСТУПА]],(SEARCH(" ",Новые_клиенты_для_премии[[#This Row],[ГРУППА ДОСТУПА]])-1)),$M$2:$N$9,2,0)</f>
        <v>Сибирский ФО</v>
      </c>
      <c r="K11">
        <f>VLOOKUP($I11,МР!$D$21:$AB$41,MATCH(МР!$D$2,МР!$D$21:$AB$21,0),)</f>
        <v>5</v>
      </c>
    </row>
    <row r="12" spans="1:14" x14ac:dyDescent="0.25">
      <c r="A12" s="5" t="s">
        <v>11</v>
      </c>
      <c r="B12" s="5">
        <v>11</v>
      </c>
      <c r="I12" s="35" t="str">
        <f>IF(МР!$D32="","",МР!$D32)</f>
        <v>УФО Маринич</v>
      </c>
      <c r="J12" t="str">
        <f>VLOOKUP(LEFT(Новые_клиенты_для_премии[[#This Row],[ГРУППА ДОСТУПА]],(SEARCH(" ",Новые_клиенты_для_премии[[#This Row],[ГРУППА ДОСТУПА]])-1)),$M$2:$N$9,2,0)</f>
        <v>Уральский ФО</v>
      </c>
      <c r="K12">
        <f>VLOOKUP($I12,МР!$D$21:$AB$41,MATCH(МР!$D$2,МР!$D$21:$AB$21,0),)</f>
        <v>3</v>
      </c>
    </row>
    <row r="13" spans="1:14" x14ac:dyDescent="0.25">
      <c r="A13" s="5" t="s">
        <v>19</v>
      </c>
      <c r="B13" s="5">
        <v>12</v>
      </c>
      <c r="I13" s="35" t="str">
        <f>IF(МР!$D33="","",МР!$D33)</f>
        <v>УФО Григорьев</v>
      </c>
      <c r="J13" t="str">
        <f>VLOOKUP(LEFT(Новые_клиенты_для_премии[[#This Row],[ГРУППА ДОСТУПА]],(SEARCH(" ",Новые_клиенты_для_премии[[#This Row],[ГРУППА ДОСТУПА]])-1)),$M$2:$N$9,2,0)</f>
        <v>Уральский ФО</v>
      </c>
      <c r="K13">
        <f>VLOOKUP($I13,МР!$D$21:$AB$41,MATCH(МР!$D$2,МР!$D$21:$AB$21,0),)</f>
        <v>1</v>
      </c>
    </row>
    <row r="14" spans="1:14" x14ac:dyDescent="0.25">
      <c r="I14" s="35" t="str">
        <f>IF(МР!$D34="","",МР!$D34)</f>
        <v>УФО Бай</v>
      </c>
      <c r="J14" t="str">
        <f>VLOOKUP(LEFT(Новые_клиенты_для_премии[[#This Row],[ГРУППА ДОСТУПА]],(SEARCH(" ",Новые_клиенты_для_премии[[#This Row],[ГРУППА ДОСТУПА]])-1)),$M$2:$N$9,2,0)</f>
        <v>Уральский ФО</v>
      </c>
      <c r="K14">
        <f>VLOOKUP($I14,МР!$D$21:$AB$41,MATCH(МР!$D$2,МР!$D$21:$AB$21,0),)</f>
        <v>1</v>
      </c>
    </row>
    <row r="15" spans="1:14" x14ac:dyDescent="0.25">
      <c r="I15" s="35" t="str">
        <f>IF(МР!$D35="","",МР!$D35)</f>
        <v>ЦФО Лоберг</v>
      </c>
      <c r="J15" t="str">
        <f>VLOOKUP(LEFT(Новые_клиенты_для_премии[[#This Row],[ГРУППА ДОСТУПА]],(SEARCH(" ",Новые_клиенты_для_премии[[#This Row],[ГРУППА ДОСТУПА]])-1)),$M$2:$N$9,2,0)</f>
        <v>Центральный ФО</v>
      </c>
      <c r="K15">
        <f>VLOOKUP($I15,МР!$D$21:$AB$41,MATCH(МР!$D$2,МР!$D$21:$AB$21,0),)</f>
        <v>2</v>
      </c>
    </row>
    <row r="16" spans="1:14" x14ac:dyDescent="0.25">
      <c r="I16" s="35"/>
    </row>
  </sheetData>
  <phoneticPr fontId="5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3774-4D23-47A2-805B-34927E9227B9}">
  <sheetPr codeName="Лист7"/>
  <dimension ref="B1:AB35"/>
  <sheetViews>
    <sheetView zoomScale="130" zoomScaleNormal="130" workbookViewId="0">
      <pane xSplit="4" topLeftCell="Q1" activePane="topRight" state="frozen"/>
      <selection pane="topRight" activeCell="U37" sqref="U37"/>
    </sheetView>
  </sheetViews>
  <sheetFormatPr defaultRowHeight="15" x14ac:dyDescent="0.25"/>
  <cols>
    <col min="1" max="1" width="5.7109375" customWidth="1"/>
    <col min="2" max="2" width="21.140625" bestFit="1" customWidth="1"/>
    <col min="3" max="3" width="13.42578125" bestFit="1" customWidth="1"/>
    <col min="4" max="4" width="19.7109375" bestFit="1" customWidth="1"/>
    <col min="5" max="10" width="12.85546875" customWidth="1"/>
    <col min="11" max="28" width="10.7109375" customWidth="1"/>
  </cols>
  <sheetData>
    <row r="1" spans="4:10" x14ac:dyDescent="0.25">
      <c r="D1" s="9" t="s">
        <v>1503</v>
      </c>
    </row>
    <row r="2" spans="4:10" x14ac:dyDescent="0.25">
      <c r="D2" s="12" t="str">
        <f>IFERROR(_xlfn.XLOOKUP(MONTH(Период[[#This Row],[Расчетный период]]),ВСП!$B$2:$B$13,ВСП!$A$2:$A$13),"")</f>
        <v>Август</v>
      </c>
    </row>
    <row r="3" spans="4:10" hidden="1" x14ac:dyDescent="0.25"/>
    <row r="4" spans="4:10" ht="17.25" hidden="1" customHeight="1" x14ac:dyDescent="0.25"/>
    <row r="5" spans="4:10" ht="17.25" hidden="1" customHeight="1" x14ac:dyDescent="0.25"/>
    <row r="6" spans="4:10" ht="17.25" hidden="1" customHeight="1" x14ac:dyDescent="0.25">
      <c r="E6" s="23">
        <v>0.4</v>
      </c>
      <c r="F6" s="23">
        <v>0.6</v>
      </c>
      <c r="I6" s="49" t="s">
        <v>1287</v>
      </c>
      <c r="J6" s="49"/>
    </row>
    <row r="7" spans="4:10" ht="38.25" hidden="1" x14ac:dyDescent="0.25">
      <c r="D7" s="26" t="s">
        <v>1231</v>
      </c>
      <c r="E7" s="27" t="s">
        <v>1232</v>
      </c>
      <c r="F7" s="27" t="s">
        <v>778</v>
      </c>
      <c r="G7" s="27" t="s">
        <v>1540</v>
      </c>
      <c r="H7" s="27" t="s">
        <v>1541</v>
      </c>
      <c r="I7" s="27" t="s">
        <v>1539</v>
      </c>
      <c r="J7" s="28" t="s">
        <v>1542</v>
      </c>
    </row>
    <row r="8" spans="4:10" hidden="1" x14ac:dyDescent="0.25">
      <c r="D8" s="24" t="s">
        <v>1164</v>
      </c>
      <c r="E8" s="2">
        <f t="shared" ref="E8:E16" si="0">IF($D8="","",SUMIF($E$22:$AB$22,$E$7,$E23:$AB23))</f>
        <v>11</v>
      </c>
      <c r="F8" s="2">
        <f t="shared" ref="F8:F16" si="1">IF($D8="","",SUMIF($E$22:$AB$22,$F$7,$E23:$AB23))</f>
        <v>2810118</v>
      </c>
      <c r="G8" s="3">
        <f t="shared" ref="G8:G15" si="2">(1.1-_xlfn.RANK.EQ(E8,$E$8:$E$15,0)*0.1)*$E$6</f>
        <v>0.3600000000000001</v>
      </c>
      <c r="H8" s="3">
        <f t="shared" ref="H8:H15" si="3">(1.1-_xlfn.RANK.EQ(F8,$F$8:$F$15,0)*0.1)*$F$6</f>
        <v>0.54</v>
      </c>
      <c r="I8" s="3">
        <f t="shared" ref="I8:I15" si="4">SUM(G8:H8)</f>
        <v>0.90000000000000013</v>
      </c>
      <c r="J8" s="25">
        <f>_xlfn.RANK.EQ(I8,$I$8:$I$15,0)</f>
        <v>2</v>
      </c>
    </row>
    <row r="9" spans="4:10" hidden="1" x14ac:dyDescent="0.25">
      <c r="D9" s="24" t="s">
        <v>1171</v>
      </c>
      <c r="E9" s="2">
        <f t="shared" si="0"/>
        <v>9</v>
      </c>
      <c r="F9" s="2">
        <f t="shared" si="1"/>
        <v>1732003</v>
      </c>
      <c r="G9" s="3">
        <f t="shared" si="2"/>
        <v>0.28000000000000003</v>
      </c>
      <c r="H9" s="3">
        <f t="shared" si="3"/>
        <v>0.36000000000000004</v>
      </c>
      <c r="I9" s="3">
        <f t="shared" si="4"/>
        <v>0.64000000000000012</v>
      </c>
      <c r="J9" s="25">
        <f t="shared" ref="J9:J15" si="5">_xlfn.RANK.EQ(I9,$I$8:$I$15,0)</f>
        <v>5</v>
      </c>
    </row>
    <row r="10" spans="4:10" hidden="1" x14ac:dyDescent="0.25">
      <c r="D10" s="24" t="s">
        <v>1138</v>
      </c>
      <c r="E10" s="2">
        <f t="shared" si="0"/>
        <v>11</v>
      </c>
      <c r="F10" s="2">
        <f t="shared" si="1"/>
        <v>1721168</v>
      </c>
      <c r="G10" s="3">
        <f t="shared" si="2"/>
        <v>0.3600000000000001</v>
      </c>
      <c r="H10" s="3">
        <f t="shared" si="3"/>
        <v>0.3</v>
      </c>
      <c r="I10" s="3">
        <f t="shared" si="4"/>
        <v>0.66000000000000014</v>
      </c>
      <c r="J10" s="25">
        <f t="shared" si="5"/>
        <v>4</v>
      </c>
    </row>
    <row r="11" spans="4:10" hidden="1" x14ac:dyDescent="0.25">
      <c r="D11" s="24" t="s">
        <v>1153</v>
      </c>
      <c r="E11" s="2">
        <f t="shared" si="0"/>
        <v>9</v>
      </c>
      <c r="F11" s="2">
        <f t="shared" si="1"/>
        <v>1466684</v>
      </c>
      <c r="G11" s="3">
        <f t="shared" si="2"/>
        <v>0.28000000000000003</v>
      </c>
      <c r="H11" s="3">
        <f t="shared" si="3"/>
        <v>0.24</v>
      </c>
      <c r="I11" s="3">
        <f t="shared" si="4"/>
        <v>0.52</v>
      </c>
      <c r="J11" s="25">
        <f t="shared" si="5"/>
        <v>7</v>
      </c>
    </row>
    <row r="12" spans="4:10" hidden="1" x14ac:dyDescent="0.25">
      <c r="D12" s="24" t="s">
        <v>1145</v>
      </c>
      <c r="E12" s="2">
        <f t="shared" si="0"/>
        <v>5</v>
      </c>
      <c r="F12" s="2">
        <f t="shared" si="1"/>
        <v>2210512</v>
      </c>
      <c r="G12" s="3">
        <f t="shared" si="2"/>
        <v>0.12000000000000002</v>
      </c>
      <c r="H12" s="3">
        <f t="shared" si="3"/>
        <v>0.48</v>
      </c>
      <c r="I12" s="3">
        <f t="shared" si="4"/>
        <v>0.6</v>
      </c>
      <c r="J12" s="25">
        <f t="shared" si="5"/>
        <v>6</v>
      </c>
    </row>
    <row r="13" spans="4:10" hidden="1" x14ac:dyDescent="0.25">
      <c r="D13" s="24" t="s">
        <v>1182</v>
      </c>
      <c r="E13" s="2">
        <f t="shared" si="0"/>
        <v>22</v>
      </c>
      <c r="F13" s="2">
        <f t="shared" si="1"/>
        <v>6249591</v>
      </c>
      <c r="G13" s="3">
        <f t="shared" si="2"/>
        <v>0.4</v>
      </c>
      <c r="H13" s="3">
        <f t="shared" si="3"/>
        <v>0.6</v>
      </c>
      <c r="I13" s="3">
        <f t="shared" si="4"/>
        <v>1</v>
      </c>
      <c r="J13" s="25">
        <f t="shared" si="5"/>
        <v>1</v>
      </c>
    </row>
    <row r="14" spans="4:10" hidden="1" x14ac:dyDescent="0.25">
      <c r="D14" s="24" t="s">
        <v>1197</v>
      </c>
      <c r="E14" s="2">
        <f t="shared" si="0"/>
        <v>9</v>
      </c>
      <c r="F14" s="2">
        <f t="shared" si="1"/>
        <v>1787753</v>
      </c>
      <c r="G14" s="3">
        <f t="shared" si="2"/>
        <v>0.28000000000000003</v>
      </c>
      <c r="H14" s="3">
        <f t="shared" si="3"/>
        <v>0.42000000000000004</v>
      </c>
      <c r="I14" s="3">
        <f t="shared" si="4"/>
        <v>0.70000000000000007</v>
      </c>
      <c r="J14" s="25">
        <f t="shared" si="5"/>
        <v>3</v>
      </c>
    </row>
    <row r="15" spans="4:10" hidden="1" x14ac:dyDescent="0.25">
      <c r="D15" s="24" t="s">
        <v>1205</v>
      </c>
      <c r="E15" s="2">
        <f t="shared" si="0"/>
        <v>9</v>
      </c>
      <c r="F15" s="2">
        <f t="shared" si="1"/>
        <v>1353448</v>
      </c>
      <c r="G15" s="3">
        <f t="shared" si="2"/>
        <v>0.28000000000000003</v>
      </c>
      <c r="H15" s="3">
        <f t="shared" si="3"/>
        <v>0.18000000000000002</v>
      </c>
      <c r="I15" s="3">
        <f t="shared" si="4"/>
        <v>0.46000000000000008</v>
      </c>
      <c r="J15" s="25">
        <f t="shared" si="5"/>
        <v>8</v>
      </c>
    </row>
    <row r="16" spans="4:10" hidden="1" x14ac:dyDescent="0.25">
      <c r="D16" s="29"/>
      <c r="E16" s="30" t="str">
        <f t="shared" si="0"/>
        <v/>
      </c>
      <c r="F16" s="30" t="str">
        <f t="shared" si="1"/>
        <v/>
      </c>
      <c r="G16" s="31"/>
      <c r="H16" s="31"/>
      <c r="I16" s="31"/>
      <c r="J16" s="32"/>
    </row>
    <row r="17" spans="2:28" hidden="1" x14ac:dyDescent="0.25">
      <c r="E17" s="6"/>
      <c r="F17" s="6"/>
      <c r="G17" s="6"/>
      <c r="H17" s="6"/>
      <c r="I17" s="7"/>
      <c r="J17" s="7"/>
    </row>
    <row r="18" spans="2:28" hidden="1" x14ac:dyDescent="0.25">
      <c r="E18" s="6"/>
      <c r="F18" s="6"/>
      <c r="G18" s="6"/>
      <c r="H18" s="6"/>
      <c r="I18" s="7"/>
      <c r="J18" s="7"/>
    </row>
    <row r="19" spans="2:28" hidden="1" x14ac:dyDescent="0.25">
      <c r="E19" s="6"/>
      <c r="F19" s="6"/>
      <c r="G19" s="6"/>
      <c r="H19" s="6"/>
      <c r="I19" s="7"/>
      <c r="J19" s="7"/>
    </row>
    <row r="20" spans="2:28" x14ac:dyDescent="0.25">
      <c r="E20" s="6"/>
      <c r="F20" s="6"/>
      <c r="G20" s="6"/>
      <c r="H20" s="6"/>
      <c r="I20" s="7"/>
      <c r="J20" s="7"/>
    </row>
    <row r="21" spans="2:28" x14ac:dyDescent="0.25">
      <c r="E21" s="13" t="s">
        <v>19</v>
      </c>
      <c r="F21" s="13"/>
      <c r="G21" s="13" t="s">
        <v>2</v>
      </c>
      <c r="H21" s="13"/>
      <c r="I21" s="13" t="s">
        <v>3</v>
      </c>
      <c r="J21" s="13"/>
      <c r="K21" s="13" t="s">
        <v>4</v>
      </c>
      <c r="L21" s="13"/>
      <c r="M21" s="13" t="s">
        <v>5</v>
      </c>
      <c r="N21" s="13"/>
      <c r="O21" s="13" t="s">
        <v>6</v>
      </c>
      <c r="P21" s="13"/>
      <c r="Q21" s="13" t="s">
        <v>7</v>
      </c>
      <c r="R21" s="13"/>
      <c r="S21" s="13" t="s">
        <v>13</v>
      </c>
      <c r="T21" s="13"/>
      <c r="U21" s="13" t="s">
        <v>8</v>
      </c>
      <c r="V21" s="13"/>
      <c r="W21" s="13" t="s">
        <v>9</v>
      </c>
      <c r="X21" s="13"/>
      <c r="Y21" s="13" t="s">
        <v>10</v>
      </c>
      <c r="Z21" s="13"/>
      <c r="AA21" s="13" t="s">
        <v>11</v>
      </c>
      <c r="AB21" s="13"/>
    </row>
    <row r="22" spans="2:28" x14ac:dyDescent="0.25">
      <c r="B22" t="s">
        <v>1581</v>
      </c>
      <c r="C22" t="s">
        <v>1582</v>
      </c>
      <c r="D22" t="s">
        <v>1231</v>
      </c>
      <c r="E22" s="41" t="s">
        <v>1232</v>
      </c>
      <c r="F22" s="41" t="s">
        <v>778</v>
      </c>
      <c r="G22" s="41" t="s">
        <v>1232</v>
      </c>
      <c r="H22" s="41" t="s">
        <v>778</v>
      </c>
      <c r="I22" s="41" t="s">
        <v>1232</v>
      </c>
      <c r="J22" s="41" t="s">
        <v>778</v>
      </c>
      <c r="K22" s="41" t="s">
        <v>1232</v>
      </c>
      <c r="L22" s="41" t="s">
        <v>778</v>
      </c>
      <c r="M22" s="41" t="s">
        <v>1232</v>
      </c>
      <c r="N22" s="41" t="s">
        <v>778</v>
      </c>
      <c r="O22" s="41" t="s">
        <v>1232</v>
      </c>
      <c r="P22" s="41" t="s">
        <v>778</v>
      </c>
      <c r="Q22" s="41" t="s">
        <v>1232</v>
      </c>
      <c r="R22" s="41" t="s">
        <v>778</v>
      </c>
      <c r="S22" s="41" t="s">
        <v>1232</v>
      </c>
      <c r="T22" s="41" t="s">
        <v>778</v>
      </c>
      <c r="U22" s="41" t="s">
        <v>1232</v>
      </c>
      <c r="V22" s="41" t="s">
        <v>778</v>
      </c>
      <c r="W22" s="41" t="s">
        <v>1232</v>
      </c>
      <c r="X22" s="41" t="s">
        <v>778</v>
      </c>
      <c r="Y22" s="41" t="s">
        <v>1232</v>
      </c>
      <c r="Z22" s="41" t="s">
        <v>778</v>
      </c>
      <c r="AA22" s="41" t="s">
        <v>1232</v>
      </c>
      <c r="AB22" s="41" t="s">
        <v>778</v>
      </c>
    </row>
    <row r="23" spans="2:28" x14ac:dyDescent="0.25">
      <c r="B23" t="s">
        <v>1566</v>
      </c>
      <c r="C23" t="s">
        <v>1583</v>
      </c>
      <c r="D23" t="s">
        <v>1171</v>
      </c>
      <c r="E23" s="42"/>
      <c r="F23" s="42"/>
      <c r="G23" s="42"/>
      <c r="H23" s="42"/>
      <c r="I23" s="42"/>
      <c r="J23" s="42"/>
      <c r="K23" s="42"/>
      <c r="L23" s="42"/>
      <c r="M23" s="42">
        <v>4</v>
      </c>
      <c r="N23" s="42">
        <v>1083452</v>
      </c>
      <c r="O23" s="42">
        <v>2</v>
      </c>
      <c r="P23" s="42">
        <v>646433</v>
      </c>
      <c r="Q23" s="42">
        <v>1</v>
      </c>
      <c r="R23" s="42">
        <v>106046</v>
      </c>
      <c r="S23" s="42">
        <v>3</v>
      </c>
      <c r="T23" s="42">
        <v>773229</v>
      </c>
      <c r="U23" s="42">
        <v>1</v>
      </c>
      <c r="V23" s="42">
        <v>200958</v>
      </c>
      <c r="W23" s="42"/>
      <c r="X23" s="42"/>
      <c r="Y23" s="42"/>
      <c r="Z23" s="42"/>
      <c r="AA23" s="42"/>
      <c r="AB23" s="42"/>
    </row>
    <row r="24" spans="2:28" x14ac:dyDescent="0.25">
      <c r="B24" t="s">
        <v>1565</v>
      </c>
      <c r="C24" t="s">
        <v>1583</v>
      </c>
      <c r="D24" t="s">
        <v>1138</v>
      </c>
      <c r="E24" s="42"/>
      <c r="F24" s="42"/>
      <c r="G24" s="42"/>
      <c r="H24" s="42"/>
      <c r="I24" s="42"/>
      <c r="J24" s="42"/>
      <c r="K24" s="42"/>
      <c r="L24" s="42"/>
      <c r="M24" s="42">
        <v>1</v>
      </c>
      <c r="N24" s="42">
        <v>123920</v>
      </c>
      <c r="O24" s="42">
        <v>3</v>
      </c>
      <c r="P24" s="42">
        <v>401388</v>
      </c>
      <c r="Q24" s="42">
        <v>1</v>
      </c>
      <c r="R24" s="42">
        <v>311887</v>
      </c>
      <c r="S24" s="42">
        <v>2</v>
      </c>
      <c r="T24" s="42">
        <v>414232</v>
      </c>
      <c r="U24" s="42">
        <v>2</v>
      </c>
      <c r="V24" s="42">
        <v>480576</v>
      </c>
      <c r="W24" s="42"/>
      <c r="X24" s="42"/>
      <c r="Y24" s="42"/>
      <c r="Z24" s="42"/>
      <c r="AA24" s="42"/>
      <c r="AB24" s="42"/>
    </row>
    <row r="25" spans="2:28" x14ac:dyDescent="0.25">
      <c r="B25" t="s">
        <v>1565</v>
      </c>
      <c r="C25" t="s">
        <v>1583</v>
      </c>
      <c r="D25" t="s">
        <v>1153</v>
      </c>
      <c r="E25" s="42"/>
      <c r="F25" s="42"/>
      <c r="G25" s="42"/>
      <c r="H25" s="42"/>
      <c r="I25" s="42"/>
      <c r="J25" s="42"/>
      <c r="K25" s="42"/>
      <c r="L25" s="42"/>
      <c r="M25" s="42">
        <v>3</v>
      </c>
      <c r="N25" s="42">
        <v>443833</v>
      </c>
      <c r="O25" s="42">
        <v>3</v>
      </c>
      <c r="P25" s="42">
        <v>487485</v>
      </c>
      <c r="Q25" s="42">
        <v>1</v>
      </c>
      <c r="R25" s="42">
        <v>130004</v>
      </c>
      <c r="S25" s="42">
        <v>3</v>
      </c>
      <c r="T25" s="42">
        <v>469816</v>
      </c>
      <c r="U25" s="42">
        <v>1</v>
      </c>
      <c r="V25" s="42">
        <v>190030</v>
      </c>
      <c r="W25" s="42"/>
      <c r="X25" s="42"/>
      <c r="Y25" s="42"/>
      <c r="Z25" s="42"/>
      <c r="AA25" s="42"/>
      <c r="AB25" s="42"/>
    </row>
    <row r="26" spans="2:28" x14ac:dyDescent="0.25">
      <c r="B26" t="s">
        <v>1565</v>
      </c>
      <c r="C26" t="s">
        <v>1583</v>
      </c>
      <c r="D26" t="s">
        <v>1145</v>
      </c>
      <c r="E26" s="42"/>
      <c r="F26" s="42"/>
      <c r="G26" s="42"/>
      <c r="H26" s="42"/>
      <c r="I26" s="42"/>
      <c r="J26" s="42"/>
      <c r="K26" s="42"/>
      <c r="L26" s="42"/>
      <c r="M26" s="42">
        <v>1</v>
      </c>
      <c r="N26" s="42">
        <v>124263</v>
      </c>
      <c r="O26" s="42">
        <v>1</v>
      </c>
      <c r="P26" s="42">
        <v>176158</v>
      </c>
      <c r="Q26" s="42">
        <v>3</v>
      </c>
      <c r="R26" s="42">
        <v>610824</v>
      </c>
      <c r="S26" s="42">
        <v>2</v>
      </c>
      <c r="T26" s="42">
        <v>332177</v>
      </c>
      <c r="U26" s="42">
        <v>2</v>
      </c>
      <c r="V26" s="42">
        <v>223262</v>
      </c>
      <c r="W26" s="42"/>
      <c r="X26" s="42"/>
      <c r="Y26" s="42"/>
      <c r="Z26" s="42"/>
      <c r="AA26" s="42"/>
      <c r="AB26" s="42"/>
    </row>
    <row r="27" spans="2:28" x14ac:dyDescent="0.25">
      <c r="B27" t="s">
        <v>1567</v>
      </c>
      <c r="C27" t="s">
        <v>1583</v>
      </c>
      <c r="D27" t="s">
        <v>1164</v>
      </c>
      <c r="E27" s="42"/>
      <c r="F27" s="42"/>
      <c r="G27" s="42"/>
      <c r="H27" s="42"/>
      <c r="I27" s="42"/>
      <c r="J27" s="42"/>
      <c r="K27" s="42"/>
      <c r="L27" s="42"/>
      <c r="M27" s="42">
        <v>1</v>
      </c>
      <c r="N27" s="42">
        <v>160370</v>
      </c>
      <c r="O27" s="42">
        <v>1</v>
      </c>
      <c r="P27" s="42">
        <v>773192</v>
      </c>
      <c r="Q27" s="42">
        <v>1</v>
      </c>
      <c r="R27" s="42">
        <v>741731</v>
      </c>
      <c r="S27" s="42">
        <v>1</v>
      </c>
      <c r="T27" s="42">
        <v>258136</v>
      </c>
      <c r="U27" s="42">
        <v>1</v>
      </c>
      <c r="V27" s="42">
        <v>277083</v>
      </c>
      <c r="W27" s="42"/>
      <c r="X27" s="42"/>
      <c r="Y27" s="42"/>
      <c r="Z27" s="42"/>
      <c r="AA27" s="42"/>
      <c r="AB27" s="42"/>
    </row>
    <row r="28" spans="2:28" x14ac:dyDescent="0.25">
      <c r="B28" t="s">
        <v>1568</v>
      </c>
      <c r="C28" t="s">
        <v>1583</v>
      </c>
      <c r="D28" t="s">
        <v>1182</v>
      </c>
      <c r="E28" s="42"/>
      <c r="F28" s="42"/>
      <c r="G28" s="42"/>
      <c r="H28" s="42"/>
      <c r="I28" s="42"/>
      <c r="J28" s="42"/>
      <c r="K28" s="42"/>
      <c r="L28" s="42"/>
      <c r="M28" s="42">
        <v>1</v>
      </c>
      <c r="N28" s="42">
        <v>438570</v>
      </c>
      <c r="O28" s="42">
        <v>4</v>
      </c>
      <c r="P28" s="42">
        <v>1328280</v>
      </c>
      <c r="Q28" s="42">
        <v>4</v>
      </c>
      <c r="R28" s="42">
        <v>1022977</v>
      </c>
      <c r="S28" s="42">
        <v>7</v>
      </c>
      <c r="T28" s="42">
        <v>1581321</v>
      </c>
      <c r="U28" s="42">
        <v>6</v>
      </c>
      <c r="V28" s="42">
        <v>1878443</v>
      </c>
      <c r="W28" s="42"/>
      <c r="X28" s="42"/>
      <c r="Y28" s="42"/>
      <c r="Z28" s="42"/>
      <c r="AA28" s="42"/>
      <c r="AB28" s="42"/>
    </row>
    <row r="29" spans="2:28" x14ac:dyDescent="0.25">
      <c r="B29" t="s">
        <v>1568</v>
      </c>
      <c r="C29" t="s">
        <v>1583</v>
      </c>
      <c r="D29" t="s">
        <v>1197</v>
      </c>
      <c r="E29" s="42"/>
      <c r="F29" s="42"/>
      <c r="G29" s="42"/>
      <c r="H29" s="42"/>
      <c r="I29" s="42"/>
      <c r="J29" s="42"/>
      <c r="K29" s="42"/>
      <c r="L29" s="42"/>
      <c r="M29" s="42">
        <v>0</v>
      </c>
      <c r="N29" s="42">
        <v>0</v>
      </c>
      <c r="O29" s="42">
        <v>2</v>
      </c>
      <c r="P29" s="42">
        <v>205614</v>
      </c>
      <c r="Q29" s="42">
        <v>1</v>
      </c>
      <c r="R29" s="42">
        <v>191984</v>
      </c>
      <c r="S29" s="42">
        <v>3</v>
      </c>
      <c r="T29" s="42">
        <v>780421</v>
      </c>
      <c r="U29" s="42">
        <v>3</v>
      </c>
      <c r="V29" s="42">
        <v>609734</v>
      </c>
      <c r="W29" s="42"/>
      <c r="X29" s="42"/>
      <c r="Y29" s="42"/>
      <c r="Z29" s="42"/>
      <c r="AA29" s="42"/>
      <c r="AB29" s="42"/>
    </row>
    <row r="30" spans="2:28" x14ac:dyDescent="0.25">
      <c r="B30" t="s">
        <v>1568</v>
      </c>
      <c r="C30" t="s">
        <v>1583</v>
      </c>
      <c r="D30" t="s">
        <v>1308</v>
      </c>
      <c r="E30" s="42"/>
      <c r="F30" s="42"/>
      <c r="G30" s="42"/>
      <c r="H30" s="42"/>
      <c r="I30" s="42"/>
      <c r="J30" s="42"/>
      <c r="K30" s="42"/>
      <c r="L30" s="42"/>
      <c r="M30" s="42">
        <v>1</v>
      </c>
      <c r="N30" s="42">
        <v>201008</v>
      </c>
      <c r="O30" s="42">
        <v>2</v>
      </c>
      <c r="P30" s="42">
        <v>313994</v>
      </c>
      <c r="Q30" s="42">
        <v>2</v>
      </c>
      <c r="R30" s="42">
        <v>207882</v>
      </c>
      <c r="S30" s="42">
        <v>2</v>
      </c>
      <c r="T30" s="42">
        <v>385596</v>
      </c>
      <c r="U30" s="42">
        <v>2</v>
      </c>
      <c r="V30" s="42">
        <v>244968</v>
      </c>
      <c r="W30" s="42"/>
      <c r="X30" s="42"/>
      <c r="Y30" s="42"/>
      <c r="Z30" s="42"/>
      <c r="AA30" s="42"/>
      <c r="AB30" s="42"/>
    </row>
    <row r="31" spans="2:28" x14ac:dyDescent="0.25">
      <c r="B31" t="s">
        <v>1568</v>
      </c>
      <c r="C31" t="s">
        <v>1583</v>
      </c>
      <c r="D31" t="s">
        <v>1427</v>
      </c>
      <c r="E31" s="42"/>
      <c r="F31" s="42"/>
      <c r="G31" s="42"/>
      <c r="H31" s="42"/>
      <c r="I31" s="42"/>
      <c r="J31" s="42"/>
      <c r="K31" s="42"/>
      <c r="L31" s="42"/>
      <c r="M31" s="42">
        <v>0</v>
      </c>
      <c r="N31" s="42">
        <v>0</v>
      </c>
      <c r="O31" s="42">
        <v>0</v>
      </c>
      <c r="P31" s="42">
        <v>0</v>
      </c>
      <c r="Q31" s="42">
        <v>4</v>
      </c>
      <c r="R31" s="42">
        <v>1384542</v>
      </c>
      <c r="S31" s="42">
        <v>0</v>
      </c>
      <c r="T31" s="42">
        <v>0</v>
      </c>
      <c r="U31" s="42">
        <v>5</v>
      </c>
      <c r="V31" s="42">
        <v>781414</v>
      </c>
      <c r="W31" s="42"/>
      <c r="X31" s="42"/>
      <c r="Y31" s="42"/>
      <c r="Z31" s="42"/>
      <c r="AA31" s="42"/>
      <c r="AB31" s="42"/>
    </row>
    <row r="32" spans="2:28" x14ac:dyDescent="0.25">
      <c r="B32" t="s">
        <v>1569</v>
      </c>
      <c r="C32" t="s">
        <v>1583</v>
      </c>
      <c r="D32" t="s">
        <v>1205</v>
      </c>
      <c r="E32" s="42"/>
      <c r="F32" s="42"/>
      <c r="G32" s="42"/>
      <c r="H32" s="42"/>
      <c r="I32" s="42"/>
      <c r="J32" s="42"/>
      <c r="K32" s="42"/>
      <c r="L32" s="42"/>
      <c r="M32" s="42">
        <v>0</v>
      </c>
      <c r="N32" s="42">
        <v>0</v>
      </c>
      <c r="O32" s="42">
        <v>2</v>
      </c>
      <c r="P32" s="42">
        <v>895591</v>
      </c>
      <c r="Q32" s="42">
        <v>1</v>
      </c>
      <c r="R32" s="42">
        <v>233764</v>
      </c>
      <c r="S32" s="42">
        <v>2</v>
      </c>
      <c r="T32" s="42">
        <v>344419</v>
      </c>
      <c r="U32" s="42">
        <v>3</v>
      </c>
      <c r="V32" s="42">
        <v>459857</v>
      </c>
      <c r="W32" s="42"/>
      <c r="X32" s="42"/>
      <c r="Y32" s="42"/>
      <c r="Z32" s="42"/>
      <c r="AA32" s="42"/>
      <c r="AB32" s="42"/>
    </row>
    <row r="33" spans="2:28" x14ac:dyDescent="0.25">
      <c r="B33" t="s">
        <v>1569</v>
      </c>
      <c r="C33" t="s">
        <v>1583</v>
      </c>
      <c r="D33" t="s">
        <v>1376</v>
      </c>
      <c r="E33" s="42"/>
      <c r="F33" s="42"/>
      <c r="G33" s="42"/>
      <c r="H33" s="42"/>
      <c r="I33" s="42"/>
      <c r="J33" s="42"/>
      <c r="K33" s="42"/>
      <c r="L33" s="42"/>
      <c r="M33" s="42">
        <v>0</v>
      </c>
      <c r="N33" s="42">
        <v>0</v>
      </c>
      <c r="O33" s="42">
        <v>0</v>
      </c>
      <c r="P33" s="42">
        <v>0</v>
      </c>
      <c r="Q33" s="42">
        <v>0</v>
      </c>
      <c r="R33" s="42">
        <v>0</v>
      </c>
      <c r="S33" s="42">
        <v>2</v>
      </c>
      <c r="T33" s="42">
        <v>394418</v>
      </c>
      <c r="U33" s="42">
        <v>1</v>
      </c>
      <c r="V33" s="42">
        <v>107623</v>
      </c>
      <c r="W33" s="42"/>
      <c r="X33" s="42"/>
      <c r="Y33" s="42"/>
      <c r="Z33" s="42"/>
      <c r="AA33" s="42"/>
      <c r="AB33" s="42"/>
    </row>
    <row r="34" spans="2:28" x14ac:dyDescent="0.25">
      <c r="B34" t="s">
        <v>1569</v>
      </c>
      <c r="C34" t="s">
        <v>1583</v>
      </c>
      <c r="D34" t="s">
        <v>1399</v>
      </c>
      <c r="E34" s="42"/>
      <c r="F34" s="42"/>
      <c r="G34" s="42"/>
      <c r="H34" s="42"/>
      <c r="I34" s="42"/>
      <c r="J34" s="42"/>
      <c r="K34" s="42"/>
      <c r="L34" s="42"/>
      <c r="M34" s="42">
        <v>0</v>
      </c>
      <c r="N34" s="42">
        <v>0</v>
      </c>
      <c r="O34" s="42">
        <v>0</v>
      </c>
      <c r="P34" s="42">
        <v>0</v>
      </c>
      <c r="Q34" s="42">
        <v>0</v>
      </c>
      <c r="R34" s="42">
        <v>0</v>
      </c>
      <c r="S34" s="42">
        <v>0</v>
      </c>
      <c r="T34" s="42">
        <v>0</v>
      </c>
      <c r="U34" s="42">
        <v>1</v>
      </c>
      <c r="V34" s="42">
        <v>129318</v>
      </c>
      <c r="W34" s="42"/>
      <c r="X34" s="42"/>
      <c r="Y34" s="42"/>
      <c r="Z34" s="42"/>
      <c r="AA34" s="42"/>
      <c r="AB34" s="42"/>
    </row>
    <row r="35" spans="2:28" x14ac:dyDescent="0.25">
      <c r="B35" t="s">
        <v>1570</v>
      </c>
      <c r="C35" t="s">
        <v>1583</v>
      </c>
      <c r="D35" t="s">
        <v>1277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>
        <v>2</v>
      </c>
      <c r="V35" s="42">
        <v>407638</v>
      </c>
      <c r="W35" s="42"/>
      <c r="X35" s="42"/>
      <c r="Y35" s="42"/>
      <c r="Z35" s="42"/>
      <c r="AA35" s="42"/>
      <c r="AB35" s="42"/>
    </row>
  </sheetData>
  <mergeCells count="1">
    <mergeCell ref="I6:J6"/>
  </mergeCells>
  <phoneticPr fontId="5" type="noConversion"/>
  <conditionalFormatting sqref="J8:J16 H17:H2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8:I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autoPict="0" r:id="rId5">
            <anchor moveWithCells="1">
              <from>
                <xdr:col>0</xdr:col>
                <xdr:colOff>76200</xdr:colOff>
                <xdr:row>0</xdr:row>
                <xdr:rowOff>0</xdr:rowOff>
              </from>
              <to>
                <xdr:col>3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2289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A415-8476-4033-BF51-609F7ED7AC74}">
  <sheetPr codeName="Лист3"/>
  <dimension ref="A1:J1269"/>
  <sheetViews>
    <sheetView topLeftCell="A13" workbookViewId="0">
      <selection activeCell="C15" sqref="C15"/>
    </sheetView>
  </sheetViews>
  <sheetFormatPr defaultRowHeight="15" x14ac:dyDescent="0.25"/>
  <cols>
    <col min="1" max="1" width="18.85546875" customWidth="1"/>
    <col min="2" max="3" width="42.140625" customWidth="1"/>
    <col min="4" max="9" width="18.85546875" customWidth="1"/>
    <col min="10" max="10" width="16.28515625" customWidth="1"/>
  </cols>
  <sheetData>
    <row r="1" spans="1:10" ht="25.5" customHeight="1" x14ac:dyDescent="0.25">
      <c r="A1" s="50" t="s">
        <v>0</v>
      </c>
      <c r="B1" s="50" t="s">
        <v>779</v>
      </c>
      <c r="C1" s="50" t="s">
        <v>780</v>
      </c>
      <c r="D1" s="14" t="s">
        <v>1134</v>
      </c>
      <c r="E1" s="14" t="s">
        <v>1135</v>
      </c>
      <c r="F1" s="14" t="s">
        <v>1243</v>
      </c>
      <c r="G1" s="14" t="s">
        <v>1288</v>
      </c>
      <c r="H1" s="14" t="s">
        <v>1338</v>
      </c>
      <c r="I1" s="14" t="s">
        <v>1402</v>
      </c>
      <c r="J1" s="14" t="s">
        <v>1504</v>
      </c>
    </row>
    <row r="2" spans="1:10" x14ac:dyDescent="0.25">
      <c r="A2" s="51"/>
      <c r="B2" s="51"/>
      <c r="C2" s="51"/>
      <c r="D2" s="15" t="s">
        <v>777</v>
      </c>
      <c r="E2" s="15" t="s">
        <v>777</v>
      </c>
      <c r="F2" s="15" t="s">
        <v>777</v>
      </c>
      <c r="G2" s="15" t="s">
        <v>777</v>
      </c>
      <c r="H2" s="15" t="s">
        <v>777</v>
      </c>
      <c r="I2" s="15" t="s">
        <v>777</v>
      </c>
      <c r="J2" s="15" t="s">
        <v>777</v>
      </c>
    </row>
    <row r="3" spans="1:10" x14ac:dyDescent="0.25">
      <c r="A3" s="16" t="s">
        <v>1505</v>
      </c>
      <c r="B3" s="16" t="s">
        <v>1506</v>
      </c>
      <c r="C3" s="16"/>
      <c r="D3" s="17">
        <v>4349.92</v>
      </c>
      <c r="E3" s="17">
        <v>20971.46</v>
      </c>
      <c r="F3" s="17">
        <v>1425.03</v>
      </c>
      <c r="G3" s="17">
        <v>35560.080000000002</v>
      </c>
      <c r="H3" s="18">
        <v>775.71</v>
      </c>
      <c r="I3" s="17">
        <v>13840.9</v>
      </c>
      <c r="J3" s="17">
        <v>7437.89</v>
      </c>
    </row>
    <row r="4" spans="1:10" x14ac:dyDescent="0.25">
      <c r="A4" s="16" t="s">
        <v>1505</v>
      </c>
      <c r="B4" s="16" t="s">
        <v>1507</v>
      </c>
      <c r="C4" s="16"/>
      <c r="D4" s="17">
        <v>18126</v>
      </c>
      <c r="E4" s="17">
        <v>15405</v>
      </c>
      <c r="F4" s="17">
        <v>13175</v>
      </c>
      <c r="G4" s="17">
        <v>12750</v>
      </c>
      <c r="H4" s="17">
        <v>21455</v>
      </c>
      <c r="I4" s="19"/>
      <c r="J4" s="19"/>
    </row>
    <row r="5" spans="1:10" x14ac:dyDescent="0.25">
      <c r="A5" s="16" t="s">
        <v>1133</v>
      </c>
      <c r="B5" s="16" t="s">
        <v>51</v>
      </c>
      <c r="C5" s="16"/>
      <c r="D5" s="17">
        <v>281220.21000000002</v>
      </c>
      <c r="E5" s="17">
        <v>258340.27</v>
      </c>
      <c r="F5" s="17">
        <v>641046.44999999995</v>
      </c>
      <c r="G5" s="17">
        <v>691009.72</v>
      </c>
      <c r="H5" s="17">
        <v>432924.22</v>
      </c>
      <c r="I5" s="17">
        <v>279339.11</v>
      </c>
      <c r="J5" s="17">
        <v>292160.28999999998</v>
      </c>
    </row>
    <row r="6" spans="1:10" x14ac:dyDescent="0.25">
      <c r="A6" s="16" t="s">
        <v>1133</v>
      </c>
      <c r="B6" s="16" t="s">
        <v>52</v>
      </c>
      <c r="C6" s="16"/>
      <c r="D6" s="17">
        <v>332456.03999999998</v>
      </c>
      <c r="E6" s="17">
        <v>174131.91</v>
      </c>
      <c r="F6" s="17">
        <v>411322.92</v>
      </c>
      <c r="G6" s="17">
        <v>675392.24</v>
      </c>
      <c r="H6" s="17">
        <v>1151960.1000000001</v>
      </c>
      <c r="I6" s="17">
        <v>1811383.81</v>
      </c>
      <c r="J6" s="17">
        <v>2076035.47</v>
      </c>
    </row>
    <row r="7" spans="1:10" x14ac:dyDescent="0.25">
      <c r="A7" s="16" t="s">
        <v>1133</v>
      </c>
      <c r="B7" s="16" t="s">
        <v>890</v>
      </c>
      <c r="C7" s="16" t="s">
        <v>53</v>
      </c>
      <c r="D7" s="19"/>
      <c r="E7" s="17">
        <v>873671.37</v>
      </c>
      <c r="F7" s="17">
        <v>172746.2</v>
      </c>
      <c r="G7" s="17">
        <v>543273.65</v>
      </c>
      <c r="H7" s="17">
        <v>731520.71</v>
      </c>
      <c r="I7" s="17">
        <v>955052.96</v>
      </c>
      <c r="J7" s="17">
        <v>232580.42</v>
      </c>
    </row>
    <row r="8" spans="1:10" x14ac:dyDescent="0.25">
      <c r="A8" s="16" t="s">
        <v>1133</v>
      </c>
      <c r="B8" s="16" t="s">
        <v>1136</v>
      </c>
      <c r="C8" s="16" t="s">
        <v>52</v>
      </c>
      <c r="D8" s="19"/>
      <c r="E8" s="17">
        <v>61931.26</v>
      </c>
      <c r="F8" s="17">
        <v>37618.400000000001</v>
      </c>
      <c r="G8" s="19"/>
      <c r="H8" s="17">
        <v>31429.89</v>
      </c>
      <c r="I8" s="19"/>
      <c r="J8" s="17">
        <v>46556.9</v>
      </c>
    </row>
    <row r="9" spans="1:10" x14ac:dyDescent="0.25">
      <c r="A9" s="16" t="s">
        <v>1137</v>
      </c>
      <c r="B9" s="16" t="s">
        <v>54</v>
      </c>
      <c r="C9" s="16"/>
      <c r="D9" s="17">
        <v>89896.04</v>
      </c>
      <c r="E9" s="17">
        <v>58315.49</v>
      </c>
      <c r="F9" s="17">
        <v>193731.52</v>
      </c>
      <c r="G9" s="17">
        <v>848442.12</v>
      </c>
      <c r="H9" s="17">
        <v>326633.37</v>
      </c>
      <c r="I9" s="17">
        <v>397626.24</v>
      </c>
      <c r="J9" s="17">
        <v>386670.22</v>
      </c>
    </row>
    <row r="10" spans="1:10" x14ac:dyDescent="0.25">
      <c r="A10" s="16" t="s">
        <v>1137</v>
      </c>
      <c r="B10" s="16" t="s">
        <v>55</v>
      </c>
      <c r="C10" s="16"/>
      <c r="D10" s="17">
        <v>1185747.3700000001</v>
      </c>
      <c r="E10" s="17">
        <v>1856719.75</v>
      </c>
      <c r="F10" s="17">
        <v>1999571.86</v>
      </c>
      <c r="G10" s="17">
        <v>2520748.5699999998</v>
      </c>
      <c r="H10" s="17">
        <v>3747697.58</v>
      </c>
      <c r="I10" s="17">
        <v>2987417.31</v>
      </c>
      <c r="J10" s="17">
        <v>2925764.68</v>
      </c>
    </row>
    <row r="11" spans="1:10" x14ac:dyDescent="0.25">
      <c r="A11" s="16" t="s">
        <v>1137</v>
      </c>
      <c r="B11" s="16" t="s">
        <v>864</v>
      </c>
      <c r="C11" s="16" t="s">
        <v>56</v>
      </c>
      <c r="D11" s="17">
        <v>164617.35</v>
      </c>
      <c r="E11" s="17">
        <v>87284.95</v>
      </c>
      <c r="F11" s="17">
        <v>378085.09</v>
      </c>
      <c r="G11" s="17">
        <v>33920.699999999997</v>
      </c>
      <c r="H11" s="17">
        <v>106884.45</v>
      </c>
      <c r="I11" s="17">
        <v>149923.03</v>
      </c>
      <c r="J11" s="17">
        <v>259681.88</v>
      </c>
    </row>
    <row r="12" spans="1:10" x14ac:dyDescent="0.25">
      <c r="A12" s="16" t="s">
        <v>1137</v>
      </c>
      <c r="B12" s="16" t="s">
        <v>865</v>
      </c>
      <c r="C12" s="16" t="s">
        <v>56</v>
      </c>
      <c r="D12" s="17">
        <v>49840.79</v>
      </c>
      <c r="E12" s="19"/>
      <c r="F12" s="19"/>
      <c r="G12" s="19"/>
      <c r="H12" s="19"/>
      <c r="I12" s="17">
        <v>6485.15</v>
      </c>
      <c r="J12" s="19"/>
    </row>
    <row r="13" spans="1:10" x14ac:dyDescent="0.25">
      <c r="A13" s="16" t="s">
        <v>1137</v>
      </c>
      <c r="B13" s="16" t="s">
        <v>866</v>
      </c>
      <c r="C13" s="16" t="s">
        <v>56</v>
      </c>
      <c r="D13" s="19"/>
      <c r="E13" s="19"/>
      <c r="F13" s="19"/>
      <c r="G13" s="19"/>
      <c r="H13" s="19"/>
      <c r="I13" s="17">
        <v>17794.259999999998</v>
      </c>
      <c r="J13" s="19"/>
    </row>
    <row r="14" spans="1:10" x14ac:dyDescent="0.25">
      <c r="A14" s="16" t="s">
        <v>1137</v>
      </c>
      <c r="B14" s="16" t="s">
        <v>56</v>
      </c>
      <c r="C14" s="16"/>
      <c r="D14" s="17">
        <v>688357.91</v>
      </c>
      <c r="E14" s="17">
        <v>373381.66</v>
      </c>
      <c r="F14" s="17">
        <v>115930.36</v>
      </c>
      <c r="G14" s="17">
        <v>249714.24</v>
      </c>
      <c r="H14" s="17">
        <v>659123.18000000005</v>
      </c>
      <c r="I14" s="17">
        <v>952308.81</v>
      </c>
      <c r="J14" s="17">
        <v>1001472.17</v>
      </c>
    </row>
    <row r="15" spans="1:10" x14ac:dyDescent="0.25">
      <c r="A15" s="16" t="s">
        <v>1138</v>
      </c>
      <c r="B15" s="16" t="s">
        <v>1403</v>
      </c>
      <c r="C15" s="16"/>
      <c r="D15" s="19"/>
      <c r="E15" s="19"/>
      <c r="F15" s="19"/>
      <c r="G15" s="19"/>
      <c r="H15" s="19"/>
      <c r="I15" s="17">
        <v>311886.98</v>
      </c>
      <c r="J15" s="19"/>
    </row>
    <row r="16" spans="1:10" x14ac:dyDescent="0.25">
      <c r="A16" s="16" t="s">
        <v>1138</v>
      </c>
      <c r="B16" s="16" t="s">
        <v>831</v>
      </c>
      <c r="C16" s="16"/>
      <c r="D16" s="19"/>
      <c r="E16" s="19"/>
      <c r="F16" s="19"/>
      <c r="G16" s="17">
        <v>32079.51</v>
      </c>
      <c r="H16" s="17">
        <v>48872.91</v>
      </c>
      <c r="I16" s="17">
        <v>16198.09</v>
      </c>
      <c r="J16" s="19"/>
    </row>
    <row r="17" spans="1:10" x14ac:dyDescent="0.25">
      <c r="A17" s="16" t="s">
        <v>1138</v>
      </c>
      <c r="B17" s="16" t="s">
        <v>1404</v>
      </c>
      <c r="C17" s="16"/>
      <c r="D17" s="19"/>
      <c r="E17" s="19"/>
      <c r="F17" s="19"/>
      <c r="G17" s="19"/>
      <c r="H17" s="19"/>
      <c r="I17" s="17">
        <v>53442.61</v>
      </c>
      <c r="J17" s="19"/>
    </row>
    <row r="18" spans="1:10" x14ac:dyDescent="0.25">
      <c r="A18" s="16" t="s">
        <v>1138</v>
      </c>
      <c r="B18" s="16" t="s">
        <v>58</v>
      </c>
      <c r="C18" s="16"/>
      <c r="D18" s="19"/>
      <c r="E18" s="17">
        <v>119014.81</v>
      </c>
      <c r="F18" s="17">
        <v>140102.82999999999</v>
      </c>
      <c r="G18" s="17">
        <v>365461.15</v>
      </c>
      <c r="H18" s="17">
        <v>590679.99</v>
      </c>
      <c r="I18" s="17">
        <v>121846.36</v>
      </c>
      <c r="J18" s="17">
        <v>187743.91</v>
      </c>
    </row>
    <row r="19" spans="1:10" x14ac:dyDescent="0.25">
      <c r="A19" s="16" t="s">
        <v>1138</v>
      </c>
      <c r="B19" s="16" t="s">
        <v>57</v>
      </c>
      <c r="C19" s="16"/>
      <c r="D19" s="19"/>
      <c r="E19" s="19"/>
      <c r="F19" s="19"/>
      <c r="G19" s="17">
        <v>103696.78</v>
      </c>
      <c r="H19" s="17">
        <v>41249.43</v>
      </c>
      <c r="I19" s="19"/>
      <c r="J19" s="19"/>
    </row>
    <row r="20" spans="1:10" x14ac:dyDescent="0.25">
      <c r="A20" s="16" t="s">
        <v>1138</v>
      </c>
      <c r="B20" s="16" t="s">
        <v>59</v>
      </c>
      <c r="C20" s="16"/>
      <c r="D20" s="19"/>
      <c r="E20" s="19"/>
      <c r="F20" s="19"/>
      <c r="G20" s="17">
        <v>38596.46</v>
      </c>
      <c r="H20" s="18">
        <v>-63.74</v>
      </c>
      <c r="I20" s="19"/>
      <c r="J20" s="19"/>
    </row>
    <row r="21" spans="1:10" x14ac:dyDescent="0.25">
      <c r="A21" s="16" t="s">
        <v>1138</v>
      </c>
      <c r="B21" s="16" t="s">
        <v>1244</v>
      </c>
      <c r="C21" s="16" t="s">
        <v>98</v>
      </c>
      <c r="D21" s="19"/>
      <c r="E21" s="19"/>
      <c r="F21" s="17">
        <v>182937.22</v>
      </c>
      <c r="G21" s="19"/>
      <c r="H21" s="19"/>
      <c r="I21" s="19"/>
      <c r="J21" s="17">
        <v>169843.13</v>
      </c>
    </row>
    <row r="22" spans="1:10" x14ac:dyDescent="0.25">
      <c r="A22" s="16" t="s">
        <v>1138</v>
      </c>
      <c r="B22" s="16" t="s">
        <v>837</v>
      </c>
      <c r="C22" s="16" t="s">
        <v>83</v>
      </c>
      <c r="D22" s="19"/>
      <c r="E22" s="19"/>
      <c r="F22" s="19"/>
      <c r="G22" s="17">
        <v>19672</v>
      </c>
      <c r="H22" s="17">
        <v>30003</v>
      </c>
      <c r="I22" s="19"/>
      <c r="J22" s="19"/>
    </row>
    <row r="23" spans="1:10" x14ac:dyDescent="0.25">
      <c r="A23" s="16" t="s">
        <v>1138</v>
      </c>
      <c r="B23" s="16" t="s">
        <v>838</v>
      </c>
      <c r="C23" s="16" t="s">
        <v>65</v>
      </c>
      <c r="D23" s="19"/>
      <c r="E23" s="19"/>
      <c r="F23" s="19"/>
      <c r="G23" s="19"/>
      <c r="H23" s="17">
        <v>30850.36</v>
      </c>
      <c r="I23" s="17">
        <v>7185.08</v>
      </c>
      <c r="J23" s="19"/>
    </row>
    <row r="24" spans="1:10" x14ac:dyDescent="0.25">
      <c r="A24" s="16" t="s">
        <v>1138</v>
      </c>
      <c r="B24" s="16" t="s">
        <v>1405</v>
      </c>
      <c r="C24" s="16"/>
      <c r="D24" s="19"/>
      <c r="E24" s="19"/>
      <c r="F24" s="19"/>
      <c r="G24" s="19"/>
      <c r="H24" s="19"/>
      <c r="I24" s="17">
        <v>27298.98</v>
      </c>
      <c r="J24" s="19"/>
    </row>
    <row r="25" spans="1:10" x14ac:dyDescent="0.25">
      <c r="A25" s="16" t="s">
        <v>1138</v>
      </c>
      <c r="B25" s="16" t="s">
        <v>61</v>
      </c>
      <c r="C25" s="16"/>
      <c r="D25" s="19"/>
      <c r="E25" s="17">
        <v>193584.7</v>
      </c>
      <c r="F25" s="17">
        <v>15629.55</v>
      </c>
      <c r="G25" s="17">
        <v>31893.19</v>
      </c>
      <c r="H25" s="19"/>
      <c r="I25" s="17">
        <v>50882.64</v>
      </c>
      <c r="J25" s="17">
        <v>252046.63</v>
      </c>
    </row>
    <row r="26" spans="1:10" x14ac:dyDescent="0.25">
      <c r="A26" s="16" t="s">
        <v>1138</v>
      </c>
      <c r="B26" s="16" t="s">
        <v>841</v>
      </c>
      <c r="C26" s="16" t="s">
        <v>60</v>
      </c>
      <c r="D26" s="19"/>
      <c r="E26" s="19"/>
      <c r="F26" s="19"/>
      <c r="G26" s="19"/>
      <c r="H26" s="17">
        <v>10587.78</v>
      </c>
      <c r="I26" s="19"/>
      <c r="J26" s="19"/>
    </row>
    <row r="27" spans="1:10" x14ac:dyDescent="0.25">
      <c r="A27" s="16" t="s">
        <v>1138</v>
      </c>
      <c r="B27" s="16" t="s">
        <v>62</v>
      </c>
      <c r="C27" s="16"/>
      <c r="D27" s="19"/>
      <c r="E27" s="19"/>
      <c r="F27" s="17">
        <v>145837.68</v>
      </c>
      <c r="G27" s="19"/>
      <c r="H27" s="17">
        <v>52675.44</v>
      </c>
      <c r="I27" s="17">
        <v>48768.34</v>
      </c>
      <c r="J27" s="17">
        <v>100035.79</v>
      </c>
    </row>
    <row r="28" spans="1:10" x14ac:dyDescent="0.25">
      <c r="A28" s="16" t="s">
        <v>1138</v>
      </c>
      <c r="B28" s="16" t="s">
        <v>1339</v>
      </c>
      <c r="C28" s="16"/>
      <c r="D28" s="19"/>
      <c r="E28" s="19"/>
      <c r="F28" s="19"/>
      <c r="G28" s="19"/>
      <c r="H28" s="17">
        <v>101090.28</v>
      </c>
      <c r="I28" s="19"/>
      <c r="J28" s="19"/>
    </row>
    <row r="29" spans="1:10" x14ac:dyDescent="0.25">
      <c r="A29" s="16" t="s">
        <v>1138</v>
      </c>
      <c r="B29" s="16" t="s">
        <v>63</v>
      </c>
      <c r="C29" s="16"/>
      <c r="D29" s="19"/>
      <c r="E29" s="19"/>
      <c r="F29" s="19"/>
      <c r="G29" s="19"/>
      <c r="H29" s="17">
        <v>40114.839999999997</v>
      </c>
      <c r="I29" s="19"/>
      <c r="J29" s="19"/>
    </row>
    <row r="30" spans="1:10" x14ac:dyDescent="0.25">
      <c r="A30" s="16" t="s">
        <v>1138</v>
      </c>
      <c r="B30" s="16" t="s">
        <v>64</v>
      </c>
      <c r="C30" s="16"/>
      <c r="D30" s="19"/>
      <c r="E30" s="19"/>
      <c r="F30" s="19"/>
      <c r="G30" s="19"/>
      <c r="H30" s="19"/>
      <c r="I30" s="19"/>
      <c r="J30" s="17">
        <v>16644.580000000002</v>
      </c>
    </row>
    <row r="31" spans="1:10" x14ac:dyDescent="0.25">
      <c r="A31" s="16" t="s">
        <v>1138</v>
      </c>
      <c r="B31" s="16" t="s">
        <v>844</v>
      </c>
      <c r="C31" s="16"/>
      <c r="D31" s="19"/>
      <c r="E31" s="17">
        <v>187443</v>
      </c>
      <c r="F31" s="19"/>
      <c r="G31" s="17">
        <v>1100095.71</v>
      </c>
      <c r="H31" s="17">
        <v>519733.5</v>
      </c>
      <c r="I31" s="19"/>
      <c r="J31" s="19"/>
    </row>
    <row r="32" spans="1:10" x14ac:dyDescent="0.25">
      <c r="A32" s="16" t="s">
        <v>1138</v>
      </c>
      <c r="B32" s="16" t="s">
        <v>66</v>
      </c>
      <c r="C32" s="16"/>
      <c r="D32" s="17">
        <v>33196.46</v>
      </c>
      <c r="E32" s="19"/>
      <c r="F32" s="17">
        <v>64641.4</v>
      </c>
      <c r="G32" s="17">
        <v>333288.52</v>
      </c>
      <c r="H32" s="17">
        <v>229779.47</v>
      </c>
      <c r="I32" s="17">
        <v>69845.179999999993</v>
      </c>
      <c r="J32" s="17">
        <v>98554.01</v>
      </c>
    </row>
    <row r="33" spans="1:10" x14ac:dyDescent="0.25">
      <c r="A33" s="16" t="s">
        <v>1138</v>
      </c>
      <c r="B33" s="16" t="s">
        <v>67</v>
      </c>
      <c r="C33" s="16"/>
      <c r="D33" s="17">
        <v>100919.77</v>
      </c>
      <c r="E33" s="17">
        <v>115777.76</v>
      </c>
      <c r="F33" s="17">
        <v>121501.58</v>
      </c>
      <c r="G33" s="17">
        <v>224807.18</v>
      </c>
      <c r="H33" s="17">
        <v>218123.85</v>
      </c>
      <c r="I33" s="17">
        <v>879304.64</v>
      </c>
      <c r="J33" s="17">
        <v>390908.3</v>
      </c>
    </row>
    <row r="34" spans="1:10" x14ac:dyDescent="0.25">
      <c r="A34" s="16" t="s">
        <v>1138</v>
      </c>
      <c r="B34" s="16" t="s">
        <v>68</v>
      </c>
      <c r="C34" s="16"/>
      <c r="D34" s="19"/>
      <c r="E34" s="17">
        <v>147619.21</v>
      </c>
      <c r="F34" s="17">
        <v>61377.93</v>
      </c>
      <c r="G34" s="17">
        <v>91457.79</v>
      </c>
      <c r="H34" s="17">
        <v>129006.09</v>
      </c>
      <c r="I34" s="17">
        <v>115849.99</v>
      </c>
      <c r="J34" s="17">
        <v>119691.43</v>
      </c>
    </row>
    <row r="35" spans="1:10" ht="22.5" x14ac:dyDescent="0.25">
      <c r="A35" s="16" t="s">
        <v>1138</v>
      </c>
      <c r="B35" s="16" t="s">
        <v>845</v>
      </c>
      <c r="C35" s="16"/>
      <c r="D35" s="19"/>
      <c r="E35" s="19"/>
      <c r="F35" s="17">
        <v>58447</v>
      </c>
      <c r="G35" s="19"/>
      <c r="H35" s="17">
        <v>63702</v>
      </c>
      <c r="I35" s="17">
        <v>62077</v>
      </c>
      <c r="J35" s="17">
        <v>49927.35</v>
      </c>
    </row>
    <row r="36" spans="1:10" x14ac:dyDescent="0.25">
      <c r="A36" s="16" t="s">
        <v>1138</v>
      </c>
      <c r="B36" s="16" t="s">
        <v>1340</v>
      </c>
      <c r="C36" s="16" t="s">
        <v>98</v>
      </c>
      <c r="D36" s="19"/>
      <c r="E36" s="19"/>
      <c r="F36" s="19"/>
      <c r="G36" s="19"/>
      <c r="H36" s="17">
        <v>11839.83</v>
      </c>
      <c r="I36" s="19"/>
      <c r="J36" s="19"/>
    </row>
    <row r="37" spans="1:10" x14ac:dyDescent="0.25">
      <c r="A37" s="16" t="s">
        <v>1138</v>
      </c>
      <c r="B37" s="16" t="s">
        <v>69</v>
      </c>
      <c r="C37" s="16"/>
      <c r="D37" s="19"/>
      <c r="E37" s="17">
        <v>63025.02</v>
      </c>
      <c r="F37" s="17">
        <v>122635.07</v>
      </c>
      <c r="G37" s="17">
        <v>75182.5</v>
      </c>
      <c r="H37" s="17">
        <v>47406.77</v>
      </c>
      <c r="I37" s="17">
        <v>134406.29</v>
      </c>
      <c r="J37" s="17">
        <v>53635.79</v>
      </c>
    </row>
    <row r="38" spans="1:10" x14ac:dyDescent="0.25">
      <c r="A38" s="16" t="s">
        <v>1138</v>
      </c>
      <c r="B38" s="16" t="s">
        <v>1233</v>
      </c>
      <c r="C38" s="16" t="s">
        <v>70</v>
      </c>
      <c r="D38" s="17">
        <v>277898.17</v>
      </c>
      <c r="E38" s="17">
        <v>388303.67</v>
      </c>
      <c r="F38" s="17">
        <v>556817.18000000005</v>
      </c>
      <c r="G38" s="17">
        <v>710665.38</v>
      </c>
      <c r="H38" s="17">
        <v>517533.2</v>
      </c>
      <c r="I38" s="17">
        <v>1094162.2</v>
      </c>
      <c r="J38" s="17">
        <v>536027.04</v>
      </c>
    </row>
    <row r="39" spans="1:10" x14ac:dyDescent="0.25">
      <c r="A39" s="16" t="s">
        <v>1138</v>
      </c>
      <c r="B39" s="16" t="s">
        <v>71</v>
      </c>
      <c r="C39" s="16"/>
      <c r="D39" s="19"/>
      <c r="E39" s="17">
        <v>19167.43</v>
      </c>
      <c r="F39" s="17">
        <v>13195.21</v>
      </c>
      <c r="G39" s="17">
        <v>29700.11</v>
      </c>
      <c r="H39" s="17">
        <v>11724.7</v>
      </c>
      <c r="I39" s="17">
        <v>21959.02</v>
      </c>
      <c r="J39" s="19"/>
    </row>
    <row r="40" spans="1:10" x14ac:dyDescent="0.25">
      <c r="A40" s="16" t="s">
        <v>1138</v>
      </c>
      <c r="B40" s="16" t="s">
        <v>847</v>
      </c>
      <c r="C40" s="16" t="s">
        <v>75</v>
      </c>
      <c r="D40" s="17">
        <v>17632.72</v>
      </c>
      <c r="E40" s="17">
        <v>52153.51</v>
      </c>
      <c r="F40" s="17">
        <v>76805.919999999998</v>
      </c>
      <c r="G40" s="19"/>
      <c r="H40" s="17">
        <v>21982.66</v>
      </c>
      <c r="I40" s="17">
        <v>48505.89</v>
      </c>
      <c r="J40" s="17">
        <v>1778.85</v>
      </c>
    </row>
    <row r="41" spans="1:10" x14ac:dyDescent="0.25">
      <c r="A41" s="16" t="s">
        <v>1138</v>
      </c>
      <c r="B41" s="16" t="s">
        <v>1406</v>
      </c>
      <c r="C41" s="16" t="s">
        <v>860</v>
      </c>
      <c r="D41" s="19"/>
      <c r="E41" s="19"/>
      <c r="F41" s="19"/>
      <c r="G41" s="19"/>
      <c r="H41" s="19"/>
      <c r="I41" s="17">
        <v>167094.72</v>
      </c>
      <c r="J41" s="17">
        <v>175592.22</v>
      </c>
    </row>
    <row r="42" spans="1:10" x14ac:dyDescent="0.25">
      <c r="A42" s="16" t="s">
        <v>1138</v>
      </c>
      <c r="B42" s="16" t="s">
        <v>852</v>
      </c>
      <c r="C42" s="16" t="s">
        <v>72</v>
      </c>
      <c r="D42" s="19"/>
      <c r="E42" s="19"/>
      <c r="F42" s="19"/>
      <c r="G42" s="19"/>
      <c r="H42" s="19"/>
      <c r="I42" s="19"/>
      <c r="J42" s="17">
        <v>289138.82</v>
      </c>
    </row>
    <row r="43" spans="1:10" x14ac:dyDescent="0.25">
      <c r="A43" s="16" t="s">
        <v>1138</v>
      </c>
      <c r="B43" s="16" t="s">
        <v>73</v>
      </c>
      <c r="C43" s="16"/>
      <c r="D43" s="19"/>
      <c r="E43" s="19"/>
      <c r="F43" s="17">
        <v>88232.76</v>
      </c>
      <c r="G43" s="19"/>
      <c r="H43" s="19"/>
      <c r="I43" s="19"/>
      <c r="J43" s="17">
        <v>74531</v>
      </c>
    </row>
    <row r="44" spans="1:10" x14ac:dyDescent="0.25">
      <c r="A44" s="16" t="s">
        <v>1138</v>
      </c>
      <c r="B44" s="16" t="s">
        <v>854</v>
      </c>
      <c r="C44" s="16" t="s">
        <v>95</v>
      </c>
      <c r="D44" s="19"/>
      <c r="E44" s="19"/>
      <c r="F44" s="17">
        <v>49438.22</v>
      </c>
      <c r="G44" s="17">
        <v>33483.68</v>
      </c>
      <c r="H44" s="19"/>
      <c r="I44" s="19"/>
      <c r="J44" s="19"/>
    </row>
    <row r="45" spans="1:10" ht="22.5" x14ac:dyDescent="0.25">
      <c r="A45" s="16" t="s">
        <v>1138</v>
      </c>
      <c r="B45" s="16" t="s">
        <v>856</v>
      </c>
      <c r="C45" s="16"/>
      <c r="D45" s="17">
        <v>30598.38</v>
      </c>
      <c r="E45" s="17">
        <v>66419.89</v>
      </c>
      <c r="F45" s="17">
        <v>91489.21</v>
      </c>
      <c r="G45" s="17">
        <v>336167.22</v>
      </c>
      <c r="H45" s="17">
        <v>88864.74</v>
      </c>
      <c r="I45" s="17">
        <v>322318.15000000002</v>
      </c>
      <c r="J45" s="17">
        <v>463908.91</v>
      </c>
    </row>
    <row r="46" spans="1:10" x14ac:dyDescent="0.25">
      <c r="A46" s="16" t="s">
        <v>1138</v>
      </c>
      <c r="B46" s="16" t="s">
        <v>858</v>
      </c>
      <c r="C46" s="16" t="s">
        <v>74</v>
      </c>
      <c r="D46" s="19"/>
      <c r="E46" s="19"/>
      <c r="F46" s="19"/>
      <c r="G46" s="17">
        <v>59290.9</v>
      </c>
      <c r="H46" s="19"/>
      <c r="I46" s="17">
        <v>15763.38</v>
      </c>
      <c r="J46" s="19"/>
    </row>
    <row r="47" spans="1:10" x14ac:dyDescent="0.25">
      <c r="A47" s="16" t="s">
        <v>1138</v>
      </c>
      <c r="B47" s="16" t="s">
        <v>75</v>
      </c>
      <c r="C47" s="16"/>
      <c r="D47" s="19"/>
      <c r="E47" s="17">
        <v>36269.599999999999</v>
      </c>
      <c r="F47" s="17">
        <v>106176.58</v>
      </c>
      <c r="G47" s="17">
        <v>35993.910000000003</v>
      </c>
      <c r="H47" s="17">
        <v>107916.5</v>
      </c>
      <c r="I47" s="17">
        <v>139305.19</v>
      </c>
      <c r="J47" s="17">
        <v>136788.26</v>
      </c>
    </row>
    <row r="48" spans="1:10" x14ac:dyDescent="0.25">
      <c r="A48" s="16" t="s">
        <v>1138</v>
      </c>
      <c r="B48" s="16" t="s">
        <v>860</v>
      </c>
      <c r="C48" s="16"/>
      <c r="D48" s="17">
        <v>21444</v>
      </c>
      <c r="E48" s="17">
        <v>141030.17000000001</v>
      </c>
      <c r="F48" s="17">
        <v>217249.76</v>
      </c>
      <c r="G48" s="17">
        <v>344209.54</v>
      </c>
      <c r="H48" s="17">
        <v>284325.38</v>
      </c>
      <c r="I48" s="17">
        <v>75370</v>
      </c>
      <c r="J48" s="17">
        <v>632162.6</v>
      </c>
    </row>
    <row r="49" spans="1:10" x14ac:dyDescent="0.25">
      <c r="A49" s="16" t="s">
        <v>1138</v>
      </c>
      <c r="B49" s="16" t="s">
        <v>861</v>
      </c>
      <c r="C49" s="16"/>
      <c r="D49" s="17">
        <v>58368.61</v>
      </c>
      <c r="E49" s="19"/>
      <c r="F49" s="19"/>
      <c r="G49" s="19"/>
      <c r="H49" s="17">
        <v>43864.67</v>
      </c>
      <c r="I49" s="17">
        <v>14053</v>
      </c>
      <c r="J49" s="19"/>
    </row>
    <row r="50" spans="1:10" x14ac:dyDescent="0.25">
      <c r="A50" s="16" t="s">
        <v>1138</v>
      </c>
      <c r="B50" s="16" t="s">
        <v>76</v>
      </c>
      <c r="C50" s="16"/>
      <c r="D50" s="19"/>
      <c r="E50" s="17">
        <v>30615.84</v>
      </c>
      <c r="F50" s="17">
        <v>13097.29</v>
      </c>
      <c r="G50" s="19"/>
      <c r="H50" s="17">
        <v>43525.59</v>
      </c>
      <c r="I50" s="19"/>
      <c r="J50" s="17">
        <v>77316.31</v>
      </c>
    </row>
    <row r="51" spans="1:10" x14ac:dyDescent="0.25">
      <c r="A51" s="16" t="s">
        <v>1138</v>
      </c>
      <c r="B51" s="16" t="s">
        <v>77</v>
      </c>
      <c r="C51" s="16"/>
      <c r="D51" s="17">
        <v>10416.049999999999</v>
      </c>
      <c r="E51" s="17">
        <v>23133.43</v>
      </c>
      <c r="F51" s="19"/>
      <c r="G51" s="17">
        <v>18131.060000000001</v>
      </c>
      <c r="H51" s="17">
        <v>21485.62</v>
      </c>
      <c r="I51" s="19"/>
      <c r="J51" s="17">
        <v>32885.08</v>
      </c>
    </row>
    <row r="52" spans="1:10" x14ac:dyDescent="0.25">
      <c r="A52" s="16" t="s">
        <v>1138</v>
      </c>
      <c r="B52" s="16" t="s">
        <v>1245</v>
      </c>
      <c r="C52" s="16"/>
      <c r="D52" s="19"/>
      <c r="E52" s="19"/>
      <c r="F52" s="17">
        <v>58869.63</v>
      </c>
      <c r="G52" s="19"/>
      <c r="H52" s="17">
        <v>56115.75</v>
      </c>
      <c r="I52" s="17">
        <v>18660.87</v>
      </c>
      <c r="J52" s="17">
        <v>50995</v>
      </c>
    </row>
    <row r="53" spans="1:10" x14ac:dyDescent="0.25">
      <c r="A53" s="16" t="s">
        <v>1138</v>
      </c>
      <c r="B53" s="16" t="s">
        <v>1341</v>
      </c>
      <c r="C53" s="16"/>
      <c r="D53" s="19"/>
      <c r="E53" s="19"/>
      <c r="F53" s="19"/>
      <c r="G53" s="19"/>
      <c r="H53" s="17">
        <v>161363.62</v>
      </c>
      <c r="I53" s="17">
        <v>128140.16</v>
      </c>
      <c r="J53" s="17">
        <v>29984.69</v>
      </c>
    </row>
    <row r="54" spans="1:10" x14ac:dyDescent="0.25">
      <c r="A54" s="16" t="s">
        <v>1138</v>
      </c>
      <c r="B54" s="16" t="s">
        <v>1246</v>
      </c>
      <c r="C54" s="16" t="s">
        <v>78</v>
      </c>
      <c r="D54" s="19"/>
      <c r="E54" s="19"/>
      <c r="F54" s="17">
        <v>39915.019999999997</v>
      </c>
      <c r="G54" s="19"/>
      <c r="H54" s="17">
        <v>47455.74</v>
      </c>
      <c r="I54" s="19"/>
      <c r="J54" s="19"/>
    </row>
    <row r="55" spans="1:10" x14ac:dyDescent="0.25">
      <c r="A55" s="16" t="s">
        <v>1138</v>
      </c>
      <c r="B55" s="16" t="s">
        <v>1289</v>
      </c>
      <c r="C55" s="16"/>
      <c r="D55" s="19"/>
      <c r="E55" s="19"/>
      <c r="F55" s="19"/>
      <c r="G55" s="17">
        <v>58802</v>
      </c>
      <c r="H55" s="17">
        <v>138934</v>
      </c>
      <c r="I55" s="17">
        <v>262912.15999999997</v>
      </c>
      <c r="J55" s="17">
        <v>146141</v>
      </c>
    </row>
    <row r="56" spans="1:10" x14ac:dyDescent="0.25">
      <c r="A56" s="16" t="s">
        <v>1138</v>
      </c>
      <c r="B56" s="16" t="s">
        <v>79</v>
      </c>
      <c r="C56" s="16"/>
      <c r="D56" s="17">
        <v>35519.980000000003</v>
      </c>
      <c r="E56" s="19"/>
      <c r="F56" s="19"/>
      <c r="G56" s="19"/>
      <c r="H56" s="19"/>
      <c r="I56" s="19"/>
      <c r="J56" s="19"/>
    </row>
    <row r="57" spans="1:10" x14ac:dyDescent="0.25">
      <c r="A57" s="16" t="s">
        <v>1138</v>
      </c>
      <c r="B57" s="16" t="s">
        <v>868</v>
      </c>
      <c r="C57" s="16"/>
      <c r="D57" s="17">
        <v>36057.279999999999</v>
      </c>
      <c r="E57" s="19"/>
      <c r="F57" s="19"/>
      <c r="G57" s="19"/>
      <c r="H57" s="17">
        <v>50454.73</v>
      </c>
      <c r="I57" s="19"/>
      <c r="J57" s="17">
        <v>29577.13</v>
      </c>
    </row>
    <row r="58" spans="1:10" x14ac:dyDescent="0.25">
      <c r="A58" s="16" t="s">
        <v>1138</v>
      </c>
      <c r="B58" s="16" t="s">
        <v>870</v>
      </c>
      <c r="C58" s="16" t="s">
        <v>96</v>
      </c>
      <c r="D58" s="19"/>
      <c r="E58" s="19"/>
      <c r="F58" s="17">
        <v>115647.76</v>
      </c>
      <c r="G58" s="17">
        <v>76365.279999999999</v>
      </c>
      <c r="H58" s="19"/>
      <c r="I58" s="17">
        <v>72749.33</v>
      </c>
      <c r="J58" s="19"/>
    </row>
    <row r="59" spans="1:10" x14ac:dyDescent="0.25">
      <c r="A59" s="16" t="s">
        <v>1138</v>
      </c>
      <c r="B59" s="16" t="s">
        <v>871</v>
      </c>
      <c r="C59" s="16" t="s">
        <v>1462</v>
      </c>
      <c r="D59" s="17">
        <v>138434.54</v>
      </c>
      <c r="E59" s="17">
        <v>33326.620000000003</v>
      </c>
      <c r="F59" s="19"/>
      <c r="G59" s="19"/>
      <c r="H59" s="19"/>
      <c r="I59" s="17">
        <v>78028.62</v>
      </c>
      <c r="J59" s="17">
        <v>137489.26</v>
      </c>
    </row>
    <row r="60" spans="1:10" x14ac:dyDescent="0.25">
      <c r="A60" s="16" t="s">
        <v>1138</v>
      </c>
      <c r="B60" s="16" t="s">
        <v>873</v>
      </c>
      <c r="C60" s="16" t="s">
        <v>860</v>
      </c>
      <c r="D60" s="17">
        <v>72659.210000000006</v>
      </c>
      <c r="E60" s="19"/>
      <c r="F60" s="19"/>
      <c r="G60" s="19"/>
      <c r="H60" s="17">
        <v>209863</v>
      </c>
      <c r="I60" s="19"/>
      <c r="J60" s="19"/>
    </row>
    <row r="61" spans="1:10" x14ac:dyDescent="0.25">
      <c r="A61" s="16" t="s">
        <v>1138</v>
      </c>
      <c r="B61" s="16" t="s">
        <v>1139</v>
      </c>
      <c r="C61" s="16" t="s">
        <v>79</v>
      </c>
      <c r="D61" s="17">
        <v>285685.12</v>
      </c>
      <c r="E61" s="17">
        <v>150106.19</v>
      </c>
      <c r="F61" s="19"/>
      <c r="G61" s="19"/>
      <c r="H61" s="19"/>
      <c r="I61" s="19"/>
      <c r="J61" s="19"/>
    </row>
    <row r="62" spans="1:10" x14ac:dyDescent="0.25">
      <c r="A62" s="16" t="s">
        <v>1138</v>
      </c>
      <c r="B62" s="16" t="s">
        <v>80</v>
      </c>
      <c r="C62" s="16"/>
      <c r="D62" s="19"/>
      <c r="E62" s="17">
        <v>10201.07</v>
      </c>
      <c r="F62" s="17">
        <v>28533.34</v>
      </c>
      <c r="G62" s="19"/>
      <c r="H62" s="19"/>
      <c r="I62" s="19"/>
      <c r="J62" s="19"/>
    </row>
    <row r="63" spans="1:10" x14ac:dyDescent="0.25">
      <c r="A63" s="16" t="s">
        <v>1138</v>
      </c>
      <c r="B63" s="16" t="s">
        <v>81</v>
      </c>
      <c r="C63" s="16"/>
      <c r="D63" s="17">
        <v>55179</v>
      </c>
      <c r="E63" s="19"/>
      <c r="F63" s="19"/>
      <c r="G63" s="19"/>
      <c r="H63" s="19"/>
      <c r="I63" s="19"/>
      <c r="J63" s="19"/>
    </row>
    <row r="64" spans="1:10" x14ac:dyDescent="0.25">
      <c r="A64" s="16" t="s">
        <v>1138</v>
      </c>
      <c r="B64" s="16" t="s">
        <v>878</v>
      </c>
      <c r="C64" s="16" t="s">
        <v>82</v>
      </c>
      <c r="D64" s="19"/>
      <c r="E64" s="19"/>
      <c r="F64" s="17">
        <v>30277.37</v>
      </c>
      <c r="G64" s="19"/>
      <c r="H64" s="19"/>
      <c r="I64" s="19"/>
      <c r="J64" s="19"/>
    </row>
    <row r="65" spans="1:10" x14ac:dyDescent="0.25">
      <c r="A65" s="16" t="s">
        <v>1138</v>
      </c>
      <c r="B65" s="16" t="s">
        <v>82</v>
      </c>
      <c r="C65" s="16"/>
      <c r="D65" s="17">
        <v>12213.44</v>
      </c>
      <c r="E65" s="19"/>
      <c r="F65" s="19"/>
      <c r="G65" s="19"/>
      <c r="H65" s="19"/>
      <c r="I65" s="17">
        <v>41317.839999999997</v>
      </c>
      <c r="J65" s="19"/>
    </row>
    <row r="66" spans="1:10" x14ac:dyDescent="0.25">
      <c r="A66" s="16" t="s">
        <v>1138</v>
      </c>
      <c r="B66" s="16" t="s">
        <v>1140</v>
      </c>
      <c r="C66" s="16" t="s">
        <v>84</v>
      </c>
      <c r="D66" s="19"/>
      <c r="E66" s="17">
        <v>61517.94</v>
      </c>
      <c r="F66" s="19"/>
      <c r="G66" s="19"/>
      <c r="H66" s="19"/>
      <c r="I66" s="19"/>
      <c r="J66" s="19"/>
    </row>
    <row r="67" spans="1:10" x14ac:dyDescent="0.25">
      <c r="A67" s="16" t="s">
        <v>1138</v>
      </c>
      <c r="B67" s="16" t="s">
        <v>85</v>
      </c>
      <c r="C67" s="16"/>
      <c r="D67" s="19"/>
      <c r="E67" s="19"/>
      <c r="F67" s="19"/>
      <c r="G67" s="19"/>
      <c r="H67" s="19"/>
      <c r="I67" s="19"/>
      <c r="J67" s="17">
        <v>11414.69</v>
      </c>
    </row>
    <row r="68" spans="1:10" x14ac:dyDescent="0.25">
      <c r="A68" s="16" t="s">
        <v>1138</v>
      </c>
      <c r="B68" s="16" t="s">
        <v>1290</v>
      </c>
      <c r="C68" s="16"/>
      <c r="D68" s="19"/>
      <c r="E68" s="19"/>
      <c r="F68" s="19"/>
      <c r="G68" s="17">
        <v>123920.31</v>
      </c>
      <c r="H68" s="19"/>
      <c r="I68" s="17">
        <v>84732.56</v>
      </c>
      <c r="J68" s="17">
        <v>24941.62</v>
      </c>
    </row>
    <row r="69" spans="1:10" x14ac:dyDescent="0.25">
      <c r="A69" s="16" t="s">
        <v>1138</v>
      </c>
      <c r="B69" s="16" t="s">
        <v>86</v>
      </c>
      <c r="C69" s="16"/>
      <c r="D69" s="17">
        <v>45586</v>
      </c>
      <c r="E69" s="17">
        <v>52944</v>
      </c>
      <c r="F69" s="17">
        <v>58580</v>
      </c>
      <c r="G69" s="17">
        <v>59930</v>
      </c>
      <c r="H69" s="17">
        <v>78720</v>
      </c>
      <c r="I69" s="17">
        <v>43126</v>
      </c>
      <c r="J69" s="17">
        <v>140876</v>
      </c>
    </row>
    <row r="70" spans="1:10" x14ac:dyDescent="0.25">
      <c r="A70" s="16" t="s">
        <v>1138</v>
      </c>
      <c r="B70" s="16" t="s">
        <v>1461</v>
      </c>
      <c r="C70" s="16"/>
      <c r="D70" s="19"/>
      <c r="E70" s="19"/>
      <c r="F70" s="19"/>
      <c r="G70" s="19"/>
      <c r="H70" s="19"/>
      <c r="I70" s="19"/>
      <c r="J70" s="17">
        <v>125093.08</v>
      </c>
    </row>
    <row r="71" spans="1:10" x14ac:dyDescent="0.25">
      <c r="A71" s="16" t="s">
        <v>1138</v>
      </c>
      <c r="B71" s="16" t="s">
        <v>1480</v>
      </c>
      <c r="C71" s="16"/>
      <c r="D71" s="19"/>
      <c r="E71" s="19"/>
      <c r="F71" s="19"/>
      <c r="G71" s="19"/>
      <c r="H71" s="19"/>
      <c r="I71" s="19"/>
      <c r="J71" s="17">
        <v>43953.99</v>
      </c>
    </row>
    <row r="72" spans="1:10" x14ac:dyDescent="0.25">
      <c r="A72" s="16" t="s">
        <v>1138</v>
      </c>
      <c r="B72" s="16" t="s">
        <v>884</v>
      </c>
      <c r="C72" s="16" t="s">
        <v>88</v>
      </c>
      <c r="D72" s="19"/>
      <c r="E72" s="19"/>
      <c r="F72" s="19"/>
      <c r="G72" s="19"/>
      <c r="H72" s="19"/>
      <c r="I72" s="19"/>
      <c r="J72" s="17">
        <v>50971.56</v>
      </c>
    </row>
    <row r="73" spans="1:10" x14ac:dyDescent="0.25">
      <c r="A73" s="16" t="s">
        <v>1138</v>
      </c>
      <c r="B73" s="16" t="s">
        <v>1141</v>
      </c>
      <c r="C73" s="16"/>
      <c r="D73" s="19"/>
      <c r="E73" s="17">
        <v>43222.57</v>
      </c>
      <c r="F73" s="19"/>
      <c r="G73" s="19"/>
      <c r="H73" s="19"/>
      <c r="I73" s="17">
        <v>44098.37</v>
      </c>
      <c r="J73" s="17">
        <v>52800.7</v>
      </c>
    </row>
    <row r="74" spans="1:10" x14ac:dyDescent="0.25">
      <c r="A74" s="16" t="s">
        <v>1138</v>
      </c>
      <c r="B74" s="16" t="s">
        <v>1508</v>
      </c>
      <c r="C74" s="16" t="s">
        <v>1289</v>
      </c>
      <c r="D74" s="19"/>
      <c r="E74" s="19"/>
      <c r="F74" s="19"/>
      <c r="G74" s="19"/>
      <c r="H74" s="19"/>
      <c r="I74" s="19"/>
      <c r="J74" s="17">
        <v>17239.16</v>
      </c>
    </row>
    <row r="75" spans="1:10" x14ac:dyDescent="0.25">
      <c r="A75" s="16" t="s">
        <v>1138</v>
      </c>
      <c r="B75" s="16" t="s">
        <v>89</v>
      </c>
      <c r="C75" s="16"/>
      <c r="D75" s="17">
        <v>36301.18</v>
      </c>
      <c r="E75" s="17">
        <v>30656.799999999999</v>
      </c>
      <c r="F75" s="17">
        <v>33063.599999999999</v>
      </c>
      <c r="G75" s="17">
        <v>36785.4</v>
      </c>
      <c r="H75" s="19"/>
      <c r="I75" s="19"/>
      <c r="J75" s="19"/>
    </row>
    <row r="76" spans="1:10" x14ac:dyDescent="0.25">
      <c r="A76" s="16" t="s">
        <v>1138</v>
      </c>
      <c r="B76" s="16" t="s">
        <v>888</v>
      </c>
      <c r="C76" s="16" t="s">
        <v>90</v>
      </c>
      <c r="D76" s="19"/>
      <c r="E76" s="17">
        <v>138849.67000000001</v>
      </c>
      <c r="F76" s="17">
        <v>174939.19</v>
      </c>
      <c r="G76" s="17">
        <v>84569.24</v>
      </c>
      <c r="H76" s="17">
        <v>95487.37</v>
      </c>
      <c r="I76" s="17">
        <v>173757.14</v>
      </c>
      <c r="J76" s="19"/>
    </row>
    <row r="77" spans="1:10" x14ac:dyDescent="0.25">
      <c r="A77" s="16" t="s">
        <v>1138</v>
      </c>
      <c r="B77" s="16" t="s">
        <v>889</v>
      </c>
      <c r="C77" s="16" t="s">
        <v>87</v>
      </c>
      <c r="D77" s="17">
        <v>127702.83</v>
      </c>
      <c r="E77" s="17">
        <v>333206.87</v>
      </c>
      <c r="F77" s="17">
        <v>553553.64</v>
      </c>
      <c r="G77" s="17">
        <v>568075.80000000005</v>
      </c>
      <c r="H77" s="17">
        <v>350362.1</v>
      </c>
      <c r="I77" s="17">
        <v>741289.71</v>
      </c>
      <c r="J77" s="17">
        <v>419834.53</v>
      </c>
    </row>
    <row r="78" spans="1:10" x14ac:dyDescent="0.25">
      <c r="A78" s="16" t="s">
        <v>1138</v>
      </c>
      <c r="B78" s="16" t="s">
        <v>1407</v>
      </c>
      <c r="C78" s="16" t="s">
        <v>91</v>
      </c>
      <c r="D78" s="19"/>
      <c r="E78" s="19"/>
      <c r="F78" s="19"/>
      <c r="G78" s="19"/>
      <c r="H78" s="19"/>
      <c r="I78" s="17">
        <v>132583.95000000001</v>
      </c>
      <c r="J78" s="17">
        <v>32204.91</v>
      </c>
    </row>
    <row r="79" spans="1:10" x14ac:dyDescent="0.25">
      <c r="A79" s="16" t="s">
        <v>1138</v>
      </c>
      <c r="B79" s="16" t="s">
        <v>91</v>
      </c>
      <c r="C79" s="16"/>
      <c r="D79" s="17">
        <v>41991.61</v>
      </c>
      <c r="E79" s="17">
        <v>17929.349999999999</v>
      </c>
      <c r="F79" s="17">
        <v>73886.48</v>
      </c>
      <c r="G79" s="17">
        <v>84996.54</v>
      </c>
      <c r="H79" s="17">
        <v>251396.58</v>
      </c>
      <c r="I79" s="17">
        <v>109255.38</v>
      </c>
      <c r="J79" s="17">
        <v>72814.710000000006</v>
      </c>
    </row>
    <row r="80" spans="1:10" x14ac:dyDescent="0.25">
      <c r="A80" s="16" t="s">
        <v>1138</v>
      </c>
      <c r="B80" s="16" t="s">
        <v>1509</v>
      </c>
      <c r="C80" s="16" t="s">
        <v>95</v>
      </c>
      <c r="D80" s="19"/>
      <c r="E80" s="19"/>
      <c r="F80" s="19"/>
      <c r="G80" s="19"/>
      <c r="H80" s="19"/>
      <c r="I80" s="19"/>
      <c r="J80" s="17">
        <v>25693.32</v>
      </c>
    </row>
    <row r="81" spans="1:10" x14ac:dyDescent="0.25">
      <c r="A81" s="16" t="s">
        <v>1138</v>
      </c>
      <c r="B81" s="16" t="s">
        <v>1408</v>
      </c>
      <c r="C81" s="16"/>
      <c r="D81" s="19"/>
      <c r="E81" s="19"/>
      <c r="F81" s="19"/>
      <c r="G81" s="19"/>
      <c r="H81" s="19"/>
      <c r="I81" s="17">
        <v>70073.25</v>
      </c>
      <c r="J81" s="17">
        <v>14264.14</v>
      </c>
    </row>
    <row r="82" spans="1:10" x14ac:dyDescent="0.25">
      <c r="A82" s="16" t="s">
        <v>1138</v>
      </c>
      <c r="B82" s="16" t="s">
        <v>92</v>
      </c>
      <c r="C82" s="16"/>
      <c r="D82" s="19"/>
      <c r="E82" s="19"/>
      <c r="F82" s="19"/>
      <c r="G82" s="19"/>
      <c r="H82" s="19"/>
      <c r="I82" s="17">
        <v>72930.97</v>
      </c>
      <c r="J82" s="19"/>
    </row>
    <row r="83" spans="1:10" x14ac:dyDescent="0.25">
      <c r="A83" s="16" t="s">
        <v>1138</v>
      </c>
      <c r="B83" s="16" t="s">
        <v>93</v>
      </c>
      <c r="C83" s="16"/>
      <c r="D83" s="17">
        <v>50056.79</v>
      </c>
      <c r="E83" s="17">
        <v>32663.98</v>
      </c>
      <c r="F83" s="17">
        <v>11016.37</v>
      </c>
      <c r="G83" s="17">
        <v>122822.7</v>
      </c>
      <c r="H83" s="17">
        <v>79521.679999999993</v>
      </c>
      <c r="I83" s="17">
        <v>73877.600000000006</v>
      </c>
      <c r="J83" s="17">
        <v>158106.73000000001</v>
      </c>
    </row>
    <row r="84" spans="1:10" x14ac:dyDescent="0.25">
      <c r="A84" s="16" t="s">
        <v>1138</v>
      </c>
      <c r="B84" s="16" t="s">
        <v>892</v>
      </c>
      <c r="C84" s="16" t="s">
        <v>102</v>
      </c>
      <c r="D84" s="19"/>
      <c r="E84" s="17">
        <v>8500.24</v>
      </c>
      <c r="F84" s="17">
        <v>27229.84</v>
      </c>
      <c r="G84" s="17">
        <v>68667.67</v>
      </c>
      <c r="H84" s="17">
        <v>94465.05</v>
      </c>
      <c r="I84" s="17">
        <v>32007.17</v>
      </c>
      <c r="J84" s="17">
        <v>154946.32</v>
      </c>
    </row>
    <row r="85" spans="1:10" x14ac:dyDescent="0.25">
      <c r="A85" s="16" t="s">
        <v>1138</v>
      </c>
      <c r="B85" s="16" t="s">
        <v>1142</v>
      </c>
      <c r="C85" s="16"/>
      <c r="D85" s="17">
        <v>337688.65</v>
      </c>
      <c r="E85" s="17">
        <v>40518.449999999997</v>
      </c>
      <c r="F85" s="17">
        <v>66504.98</v>
      </c>
      <c r="G85" s="17">
        <v>256163.58</v>
      </c>
      <c r="H85" s="17">
        <v>478084.73</v>
      </c>
      <c r="I85" s="17">
        <v>613206.1</v>
      </c>
      <c r="J85" s="19"/>
    </row>
    <row r="86" spans="1:10" x14ac:dyDescent="0.25">
      <c r="A86" s="16" t="s">
        <v>1138</v>
      </c>
      <c r="B86" s="16" t="s">
        <v>1143</v>
      </c>
      <c r="C86" s="16"/>
      <c r="D86" s="17">
        <v>56978.42</v>
      </c>
      <c r="E86" s="19"/>
      <c r="F86" s="19"/>
      <c r="G86" s="19"/>
      <c r="H86" s="19"/>
      <c r="I86" s="19"/>
      <c r="J86" s="19"/>
    </row>
    <row r="87" spans="1:10" x14ac:dyDescent="0.25">
      <c r="A87" s="16" t="s">
        <v>1138</v>
      </c>
      <c r="B87" s="16" t="s">
        <v>97</v>
      </c>
      <c r="C87" s="16"/>
      <c r="D87" s="17">
        <v>21700.62</v>
      </c>
      <c r="E87" s="19"/>
      <c r="F87" s="19"/>
      <c r="G87" s="19"/>
      <c r="H87" s="17">
        <v>26349.38</v>
      </c>
      <c r="I87" s="19"/>
      <c r="J87" s="19"/>
    </row>
    <row r="88" spans="1:10" x14ac:dyDescent="0.25">
      <c r="A88" s="16" t="s">
        <v>1138</v>
      </c>
      <c r="B88" s="16" t="s">
        <v>901</v>
      </c>
      <c r="C88" s="16" t="s">
        <v>78</v>
      </c>
      <c r="D88" s="19"/>
      <c r="E88" s="17">
        <v>32761.61</v>
      </c>
      <c r="F88" s="17">
        <v>9607.52</v>
      </c>
      <c r="G88" s="19"/>
      <c r="H88" s="19"/>
      <c r="I88" s="19"/>
      <c r="J88" s="19"/>
    </row>
    <row r="89" spans="1:10" x14ac:dyDescent="0.25">
      <c r="A89" s="16" t="s">
        <v>1138</v>
      </c>
      <c r="B89" s="16" t="s">
        <v>904</v>
      </c>
      <c r="C89" s="16" t="s">
        <v>94</v>
      </c>
      <c r="D89" s="17">
        <v>252619.41</v>
      </c>
      <c r="E89" s="17">
        <v>282639.17</v>
      </c>
      <c r="F89" s="17">
        <v>176220.08</v>
      </c>
      <c r="G89" s="17">
        <v>272145.90999999997</v>
      </c>
      <c r="H89" s="17">
        <v>137834.10999999999</v>
      </c>
      <c r="I89" s="17">
        <v>373135.31</v>
      </c>
      <c r="J89" s="17">
        <v>1491230.66</v>
      </c>
    </row>
    <row r="90" spans="1:10" x14ac:dyDescent="0.25">
      <c r="A90" s="16" t="s">
        <v>1138</v>
      </c>
      <c r="B90" s="16" t="s">
        <v>98</v>
      </c>
      <c r="C90" s="16"/>
      <c r="D90" s="19"/>
      <c r="E90" s="19"/>
      <c r="F90" s="19"/>
      <c r="G90" s="17">
        <v>186533.04</v>
      </c>
      <c r="H90" s="19"/>
      <c r="I90" s="19"/>
      <c r="J90" s="17">
        <v>-1728.82</v>
      </c>
    </row>
    <row r="91" spans="1:10" x14ac:dyDescent="0.25">
      <c r="A91" s="16" t="s">
        <v>1138</v>
      </c>
      <c r="B91" s="16" t="s">
        <v>909</v>
      </c>
      <c r="C91" s="16"/>
      <c r="D91" s="19"/>
      <c r="E91" s="19"/>
      <c r="F91" s="19"/>
      <c r="G91" s="19"/>
      <c r="H91" s="17">
        <v>34744.800000000003</v>
      </c>
      <c r="I91" s="17">
        <v>28048.799999999999</v>
      </c>
      <c r="J91" s="19"/>
    </row>
    <row r="92" spans="1:10" x14ac:dyDescent="0.25">
      <c r="A92" s="16" t="s">
        <v>1138</v>
      </c>
      <c r="B92" s="16" t="s">
        <v>99</v>
      </c>
      <c r="C92" s="16"/>
      <c r="D92" s="17">
        <v>55807.79</v>
      </c>
      <c r="E92" s="17">
        <v>51732.34</v>
      </c>
      <c r="F92" s="17">
        <v>118187</v>
      </c>
      <c r="G92" s="17">
        <v>82029.48</v>
      </c>
      <c r="H92" s="17">
        <v>218550.27</v>
      </c>
      <c r="I92" s="17">
        <v>240064</v>
      </c>
      <c r="J92" s="17">
        <v>293430.15999999997</v>
      </c>
    </row>
    <row r="93" spans="1:10" x14ac:dyDescent="0.25">
      <c r="A93" s="16" t="s">
        <v>1138</v>
      </c>
      <c r="B93" s="16" t="s">
        <v>913</v>
      </c>
      <c r="C93" s="16" t="s">
        <v>100</v>
      </c>
      <c r="D93" s="19"/>
      <c r="E93" s="19"/>
      <c r="F93" s="19"/>
      <c r="G93" s="19"/>
      <c r="H93" s="19"/>
      <c r="I93" s="17">
        <v>71955</v>
      </c>
      <c r="J93" s="19"/>
    </row>
    <row r="94" spans="1:10" x14ac:dyDescent="0.25">
      <c r="A94" s="16" t="s">
        <v>1138</v>
      </c>
      <c r="B94" s="16" t="s">
        <v>101</v>
      </c>
      <c r="C94" s="16"/>
      <c r="D94" s="17">
        <v>70292.7</v>
      </c>
      <c r="E94" s="19"/>
      <c r="F94" s="17">
        <v>85000.38</v>
      </c>
      <c r="G94" s="17">
        <v>98414.09</v>
      </c>
      <c r="H94" s="17">
        <v>125236.3</v>
      </c>
      <c r="I94" s="17">
        <v>135191.59</v>
      </c>
      <c r="J94" s="17">
        <v>286613.95</v>
      </c>
    </row>
    <row r="95" spans="1:10" x14ac:dyDescent="0.25">
      <c r="A95" s="16" t="s">
        <v>1138</v>
      </c>
      <c r="B95" s="16" t="s">
        <v>102</v>
      </c>
      <c r="C95" s="16"/>
      <c r="D95" s="19"/>
      <c r="E95" s="17">
        <v>254598.21</v>
      </c>
      <c r="F95" s="17">
        <v>272688.86</v>
      </c>
      <c r="G95" s="17">
        <v>125717.64</v>
      </c>
      <c r="H95" s="17">
        <v>63855.85</v>
      </c>
      <c r="I95" s="17">
        <v>188710.82</v>
      </c>
      <c r="J95" s="17">
        <v>57705.86</v>
      </c>
    </row>
    <row r="96" spans="1:10" x14ac:dyDescent="0.25">
      <c r="A96" s="16" t="s">
        <v>1138</v>
      </c>
      <c r="B96" s="16" t="s">
        <v>103</v>
      </c>
      <c r="C96" s="16"/>
      <c r="D96" s="19"/>
      <c r="E96" s="17">
        <v>1138.01</v>
      </c>
      <c r="F96" s="19"/>
      <c r="G96" s="19"/>
      <c r="H96" s="19"/>
      <c r="I96" s="19"/>
      <c r="J96" s="19"/>
    </row>
    <row r="97" spans="1:10" x14ac:dyDescent="0.25">
      <c r="A97" s="16" t="s">
        <v>1138</v>
      </c>
      <c r="B97" s="16" t="s">
        <v>1144</v>
      </c>
      <c r="C97" s="16" t="s">
        <v>89</v>
      </c>
      <c r="D97" s="19"/>
      <c r="E97" s="17">
        <v>168108.01</v>
      </c>
      <c r="F97" s="19"/>
      <c r="G97" s="17">
        <v>66127.199999999997</v>
      </c>
      <c r="H97" s="19"/>
      <c r="I97" s="19"/>
      <c r="J97" s="19"/>
    </row>
    <row r="98" spans="1:10" x14ac:dyDescent="0.25">
      <c r="A98" s="16" t="s">
        <v>1138</v>
      </c>
      <c r="B98" s="16" t="s">
        <v>915</v>
      </c>
      <c r="C98" s="16"/>
      <c r="D98" s="17">
        <v>335656.33</v>
      </c>
      <c r="E98" s="17">
        <v>405157.99</v>
      </c>
      <c r="F98" s="17">
        <v>500313.81</v>
      </c>
      <c r="G98" s="17">
        <v>506069</v>
      </c>
      <c r="H98" s="17">
        <v>470033.82</v>
      </c>
      <c r="I98" s="17">
        <v>623045.37</v>
      </c>
      <c r="J98" s="17">
        <v>510966.58</v>
      </c>
    </row>
    <row r="99" spans="1:10" x14ac:dyDescent="0.25">
      <c r="A99" s="16" t="s">
        <v>1138</v>
      </c>
      <c r="B99" s="16" t="s">
        <v>1479</v>
      </c>
      <c r="C99" s="16"/>
      <c r="D99" s="19"/>
      <c r="E99" s="19"/>
      <c r="F99" s="19"/>
      <c r="G99" s="19"/>
      <c r="H99" s="19"/>
      <c r="I99" s="19"/>
      <c r="J99" s="17">
        <v>17259.87</v>
      </c>
    </row>
    <row r="100" spans="1:10" x14ac:dyDescent="0.25">
      <c r="A100" s="16" t="s">
        <v>1138</v>
      </c>
      <c r="B100" s="16" t="s">
        <v>104</v>
      </c>
      <c r="C100" s="16"/>
      <c r="D100" s="19"/>
      <c r="E100" s="17">
        <v>89161.59</v>
      </c>
      <c r="F100" s="17">
        <v>123305.29</v>
      </c>
      <c r="G100" s="17">
        <v>338598.22</v>
      </c>
      <c r="H100" s="17">
        <v>83274.850000000006</v>
      </c>
      <c r="I100" s="17">
        <v>356071.21</v>
      </c>
      <c r="J100" s="17">
        <v>319319</v>
      </c>
    </row>
    <row r="101" spans="1:10" x14ac:dyDescent="0.25">
      <c r="A101" s="16" t="s">
        <v>1138</v>
      </c>
      <c r="B101" s="16" t="s">
        <v>105</v>
      </c>
      <c r="C101" s="16"/>
      <c r="D101" s="19"/>
      <c r="E101" s="17">
        <v>56661.83</v>
      </c>
      <c r="F101" s="17">
        <v>34324.97</v>
      </c>
      <c r="G101" s="17">
        <v>57111.9</v>
      </c>
      <c r="H101" s="17">
        <v>55212.98</v>
      </c>
      <c r="I101" s="17">
        <v>105383.82</v>
      </c>
      <c r="J101" s="19"/>
    </row>
    <row r="102" spans="1:10" x14ac:dyDescent="0.25">
      <c r="A102" s="16" t="s">
        <v>1145</v>
      </c>
      <c r="B102" s="16" t="s">
        <v>764</v>
      </c>
      <c r="C102" s="16" t="s">
        <v>765</v>
      </c>
      <c r="D102" s="19"/>
      <c r="E102" s="19"/>
      <c r="F102" s="17">
        <v>135307.03</v>
      </c>
      <c r="G102" s="17">
        <v>11966.08</v>
      </c>
      <c r="H102" s="17">
        <v>27821.439999999999</v>
      </c>
      <c r="I102" s="19"/>
      <c r="J102" s="17">
        <v>49726.83</v>
      </c>
    </row>
    <row r="103" spans="1:10" x14ac:dyDescent="0.25">
      <c r="A103" s="16" t="s">
        <v>1145</v>
      </c>
      <c r="B103" s="16" t="s">
        <v>832</v>
      </c>
      <c r="C103" s="16" t="s">
        <v>169</v>
      </c>
      <c r="D103" s="19"/>
      <c r="E103" s="19"/>
      <c r="F103" s="19"/>
      <c r="G103" s="19"/>
      <c r="H103" s="19"/>
      <c r="I103" s="19"/>
      <c r="J103" s="17">
        <v>146426.43</v>
      </c>
    </row>
    <row r="104" spans="1:10" x14ac:dyDescent="0.25">
      <c r="A104" s="16" t="s">
        <v>1145</v>
      </c>
      <c r="B104" s="16" t="s">
        <v>833</v>
      </c>
      <c r="C104" s="16" t="s">
        <v>1394</v>
      </c>
      <c r="D104" s="19"/>
      <c r="E104" s="19"/>
      <c r="F104" s="19"/>
      <c r="G104" s="19"/>
      <c r="H104" s="19"/>
      <c r="I104" s="17">
        <v>51941.64</v>
      </c>
      <c r="J104" s="19"/>
    </row>
    <row r="105" spans="1:10" x14ac:dyDescent="0.25">
      <c r="A105" s="16" t="s">
        <v>1145</v>
      </c>
      <c r="B105" s="16" t="s">
        <v>834</v>
      </c>
      <c r="C105" s="16" t="s">
        <v>126</v>
      </c>
      <c r="D105" s="19"/>
      <c r="E105" s="17">
        <v>35011.46</v>
      </c>
      <c r="F105" s="17">
        <v>-3635.12</v>
      </c>
      <c r="G105" s="19"/>
      <c r="H105" s="19"/>
      <c r="I105" s="19"/>
      <c r="J105" s="19"/>
    </row>
    <row r="106" spans="1:10" x14ac:dyDescent="0.25">
      <c r="A106" s="16" t="s">
        <v>1145</v>
      </c>
      <c r="B106" s="16" t="s">
        <v>835</v>
      </c>
      <c r="C106" s="16" t="s">
        <v>108</v>
      </c>
      <c r="D106" s="19"/>
      <c r="E106" s="19"/>
      <c r="F106" s="17">
        <v>18410</v>
      </c>
      <c r="G106" s="17">
        <v>10415</v>
      </c>
      <c r="H106" s="17">
        <v>14707</v>
      </c>
      <c r="I106" s="19"/>
      <c r="J106" s="17">
        <v>18355</v>
      </c>
    </row>
    <row r="107" spans="1:10" x14ac:dyDescent="0.25">
      <c r="A107" s="16" t="s">
        <v>1145</v>
      </c>
      <c r="B107" s="16" t="s">
        <v>109</v>
      </c>
      <c r="C107" s="16"/>
      <c r="D107" s="17">
        <v>47085.58</v>
      </c>
      <c r="E107" s="17">
        <v>66830.149999999994</v>
      </c>
      <c r="F107" s="17">
        <v>36568.53</v>
      </c>
      <c r="G107" s="17">
        <v>52773.03</v>
      </c>
      <c r="H107" s="17">
        <v>67043.28</v>
      </c>
      <c r="I107" s="17">
        <v>39151.339999999997</v>
      </c>
      <c r="J107" s="17">
        <v>51269.75</v>
      </c>
    </row>
    <row r="108" spans="1:10" x14ac:dyDescent="0.25">
      <c r="A108" s="16" t="s">
        <v>1145</v>
      </c>
      <c r="B108" s="16" t="s">
        <v>110</v>
      </c>
      <c r="C108" s="16"/>
      <c r="D108" s="17">
        <v>25384.38</v>
      </c>
      <c r="E108" s="17">
        <v>31494.91</v>
      </c>
      <c r="F108" s="17">
        <v>34386.86</v>
      </c>
      <c r="G108" s="17">
        <v>41435.339999999997</v>
      </c>
      <c r="H108" s="17">
        <v>30370.89</v>
      </c>
      <c r="I108" s="17">
        <v>83847.3</v>
      </c>
      <c r="J108" s="17">
        <v>34754.26</v>
      </c>
    </row>
    <row r="109" spans="1:10" x14ac:dyDescent="0.25">
      <c r="A109" s="16" t="s">
        <v>1145</v>
      </c>
      <c r="B109" s="16" t="s">
        <v>1409</v>
      </c>
      <c r="C109" s="16" t="s">
        <v>143</v>
      </c>
      <c r="D109" s="19"/>
      <c r="E109" s="19"/>
      <c r="F109" s="19"/>
      <c r="G109" s="19"/>
      <c r="H109" s="19"/>
      <c r="I109" s="17">
        <v>170197.84</v>
      </c>
      <c r="J109" s="19"/>
    </row>
    <row r="110" spans="1:10" x14ac:dyDescent="0.25">
      <c r="A110" s="16" t="s">
        <v>1145</v>
      </c>
      <c r="B110" s="16" t="s">
        <v>1146</v>
      </c>
      <c r="C110" s="16" t="s">
        <v>137</v>
      </c>
      <c r="D110" s="19"/>
      <c r="E110" s="17">
        <v>108513.28</v>
      </c>
      <c r="F110" s="19"/>
      <c r="G110" s="17">
        <v>48783.58</v>
      </c>
      <c r="H110" s="17">
        <v>53527.040000000001</v>
      </c>
      <c r="I110" s="19"/>
      <c r="J110" s="19"/>
    </row>
    <row r="111" spans="1:10" x14ac:dyDescent="0.25">
      <c r="A111" s="16" t="s">
        <v>1145</v>
      </c>
      <c r="B111" s="16" t="s">
        <v>1147</v>
      </c>
      <c r="C111" s="16"/>
      <c r="D111" s="17">
        <v>56644.92</v>
      </c>
      <c r="E111" s="19"/>
      <c r="F111" s="19"/>
      <c r="G111" s="19"/>
      <c r="H111" s="19"/>
      <c r="I111" s="17">
        <v>194312.06</v>
      </c>
      <c r="J111" s="17">
        <v>159905.43</v>
      </c>
    </row>
    <row r="112" spans="1:10" x14ac:dyDescent="0.25">
      <c r="A112" s="16" t="s">
        <v>1145</v>
      </c>
      <c r="B112" s="16" t="s">
        <v>111</v>
      </c>
      <c r="C112" s="16"/>
      <c r="D112" s="19"/>
      <c r="E112" s="17">
        <v>10990.99</v>
      </c>
      <c r="F112" s="19"/>
      <c r="G112" s="17">
        <v>20126.189999999999</v>
      </c>
      <c r="H112" s="19"/>
      <c r="I112" s="17">
        <v>121558.79</v>
      </c>
      <c r="J112" s="19"/>
    </row>
    <row r="113" spans="1:10" x14ac:dyDescent="0.25">
      <c r="A113" s="16" t="s">
        <v>1145</v>
      </c>
      <c r="B113" s="16" t="s">
        <v>112</v>
      </c>
      <c r="C113" s="16"/>
      <c r="D113" s="19"/>
      <c r="E113" s="19"/>
      <c r="F113" s="17">
        <v>16273.15</v>
      </c>
      <c r="G113" s="19"/>
      <c r="H113" s="17">
        <v>89975.05</v>
      </c>
      <c r="I113" s="17">
        <v>20708.099999999999</v>
      </c>
      <c r="J113" s="17">
        <v>47612.9</v>
      </c>
    </row>
    <row r="114" spans="1:10" x14ac:dyDescent="0.25">
      <c r="A114" s="16" t="s">
        <v>1145</v>
      </c>
      <c r="B114" s="16" t="s">
        <v>1291</v>
      </c>
      <c r="C114" s="16"/>
      <c r="D114" s="19"/>
      <c r="E114" s="19"/>
      <c r="F114" s="19"/>
      <c r="G114" s="17">
        <v>124262.76</v>
      </c>
      <c r="H114" s="17">
        <v>57728.76</v>
      </c>
      <c r="I114" s="17">
        <v>78601.58</v>
      </c>
      <c r="J114" s="17">
        <v>49077.31</v>
      </c>
    </row>
    <row r="115" spans="1:10" x14ac:dyDescent="0.25">
      <c r="A115" s="16" t="s">
        <v>1145</v>
      </c>
      <c r="B115" s="16" t="s">
        <v>1148</v>
      </c>
      <c r="C115" s="16" t="s">
        <v>911</v>
      </c>
      <c r="D115" s="19"/>
      <c r="E115" s="17">
        <v>37076.33</v>
      </c>
      <c r="F115" s="17">
        <v>17195.419999999998</v>
      </c>
      <c r="G115" s="17">
        <v>31382.62</v>
      </c>
      <c r="H115" s="19"/>
      <c r="I115" s="19"/>
      <c r="J115" s="19"/>
    </row>
    <row r="116" spans="1:10" x14ac:dyDescent="0.25">
      <c r="A116" s="16" t="s">
        <v>1145</v>
      </c>
      <c r="B116" s="16" t="s">
        <v>113</v>
      </c>
      <c r="C116" s="16"/>
      <c r="D116" s="19"/>
      <c r="E116" s="19"/>
      <c r="F116" s="19"/>
      <c r="G116" s="17">
        <v>41239.42</v>
      </c>
      <c r="H116" s="19"/>
      <c r="I116" s="19"/>
      <c r="J116" s="19"/>
    </row>
    <row r="117" spans="1:10" x14ac:dyDescent="0.25">
      <c r="A117" s="16" t="s">
        <v>1145</v>
      </c>
      <c r="B117" s="16" t="s">
        <v>114</v>
      </c>
      <c r="C117" s="16"/>
      <c r="D117" s="17">
        <v>78360.210000000006</v>
      </c>
      <c r="E117" s="19"/>
      <c r="F117" s="17">
        <v>42722.13</v>
      </c>
      <c r="G117" s="19"/>
      <c r="H117" s="17">
        <v>27031.94</v>
      </c>
      <c r="I117" s="17">
        <v>66732.61</v>
      </c>
      <c r="J117" s="19"/>
    </row>
    <row r="118" spans="1:10" x14ac:dyDescent="0.25">
      <c r="A118" s="16" t="s">
        <v>1145</v>
      </c>
      <c r="B118" s="16" t="s">
        <v>115</v>
      </c>
      <c r="C118" s="16"/>
      <c r="D118" s="19"/>
      <c r="E118" s="19"/>
      <c r="F118" s="17">
        <v>115590.63</v>
      </c>
      <c r="G118" s="17">
        <v>58817.23</v>
      </c>
      <c r="H118" s="17">
        <v>90613.26</v>
      </c>
      <c r="I118" s="17">
        <v>164709.64000000001</v>
      </c>
      <c r="J118" s="19"/>
    </row>
    <row r="119" spans="1:10" x14ac:dyDescent="0.25">
      <c r="A119" s="16" t="s">
        <v>1145</v>
      </c>
      <c r="B119" s="16" t="s">
        <v>116</v>
      </c>
      <c r="C119" s="16"/>
      <c r="D119" s="19"/>
      <c r="E119" s="19"/>
      <c r="F119" s="17">
        <v>11059.82</v>
      </c>
      <c r="G119" s="17">
        <v>12955.66</v>
      </c>
      <c r="H119" s="19"/>
      <c r="I119" s="17">
        <v>20094.16</v>
      </c>
      <c r="J119" s="17">
        <v>9713.82</v>
      </c>
    </row>
    <row r="120" spans="1:10" x14ac:dyDescent="0.25">
      <c r="A120" s="16" t="s">
        <v>1145</v>
      </c>
      <c r="B120" s="16" t="s">
        <v>117</v>
      </c>
      <c r="C120" s="16"/>
      <c r="D120" s="17">
        <v>38843.33</v>
      </c>
      <c r="E120" s="19"/>
      <c r="F120" s="19"/>
      <c r="G120" s="17">
        <v>18141.2</v>
      </c>
      <c r="H120" s="19"/>
      <c r="I120" s="17">
        <v>38490.949999999997</v>
      </c>
      <c r="J120" s="19"/>
    </row>
    <row r="121" spans="1:10" x14ac:dyDescent="0.25">
      <c r="A121" s="16" t="s">
        <v>1145</v>
      </c>
      <c r="B121" s="16" t="s">
        <v>846</v>
      </c>
      <c r="C121" s="16" t="s">
        <v>153</v>
      </c>
      <c r="D121" s="19"/>
      <c r="E121" s="17">
        <v>167159.59</v>
      </c>
      <c r="F121" s="17">
        <v>234379.69</v>
      </c>
      <c r="G121" s="19"/>
      <c r="H121" s="17">
        <v>356173.55</v>
      </c>
      <c r="I121" s="17">
        <v>286132.86</v>
      </c>
      <c r="J121" s="17">
        <v>102676.46</v>
      </c>
    </row>
    <row r="122" spans="1:10" x14ac:dyDescent="0.25">
      <c r="A122" s="16" t="s">
        <v>1145</v>
      </c>
      <c r="B122" s="16" t="s">
        <v>1247</v>
      </c>
      <c r="C122" s="16"/>
      <c r="D122" s="19"/>
      <c r="E122" s="19"/>
      <c r="F122" s="17">
        <v>139866.98000000001</v>
      </c>
      <c r="G122" s="19"/>
      <c r="H122" s="19"/>
      <c r="I122" s="19"/>
      <c r="J122" s="19"/>
    </row>
    <row r="123" spans="1:10" x14ac:dyDescent="0.25">
      <c r="A123" s="16" t="s">
        <v>1145</v>
      </c>
      <c r="B123" s="16" t="s">
        <v>1292</v>
      </c>
      <c r="C123" s="16" t="s">
        <v>135</v>
      </c>
      <c r="D123" s="19"/>
      <c r="E123" s="19"/>
      <c r="F123" s="19"/>
      <c r="G123" s="17">
        <v>446695.06</v>
      </c>
      <c r="H123" s="17">
        <v>246533.61</v>
      </c>
      <c r="I123" s="17">
        <v>-7423.73</v>
      </c>
      <c r="J123" s="17">
        <v>630204.64</v>
      </c>
    </row>
    <row r="124" spans="1:10" x14ac:dyDescent="0.25">
      <c r="A124" s="16" t="s">
        <v>1145</v>
      </c>
      <c r="B124" s="16" t="s">
        <v>118</v>
      </c>
      <c r="C124" s="16"/>
      <c r="D124" s="17">
        <v>695336.95</v>
      </c>
      <c r="E124" s="17">
        <v>205147.42</v>
      </c>
      <c r="F124" s="17">
        <v>102884.48</v>
      </c>
      <c r="G124" s="17">
        <v>190860.51</v>
      </c>
      <c r="H124" s="17">
        <v>613346.98</v>
      </c>
      <c r="I124" s="17">
        <v>463443.14</v>
      </c>
      <c r="J124" s="17">
        <v>509852.64</v>
      </c>
    </row>
    <row r="125" spans="1:10" x14ac:dyDescent="0.25">
      <c r="A125" s="16" t="s">
        <v>1145</v>
      </c>
      <c r="B125" s="16" t="s">
        <v>119</v>
      </c>
      <c r="C125" s="16"/>
      <c r="D125" s="19"/>
      <c r="E125" s="19"/>
      <c r="F125" s="17">
        <v>24451.62</v>
      </c>
      <c r="G125" s="19"/>
      <c r="H125" s="19"/>
      <c r="I125" s="19"/>
      <c r="J125" s="19"/>
    </row>
    <row r="126" spans="1:10" x14ac:dyDescent="0.25">
      <c r="A126" s="16" t="s">
        <v>1145</v>
      </c>
      <c r="B126" s="16" t="s">
        <v>120</v>
      </c>
      <c r="C126" s="16"/>
      <c r="D126" s="17">
        <v>159056.35</v>
      </c>
      <c r="E126" s="17">
        <v>378998.69</v>
      </c>
      <c r="F126" s="17">
        <v>494108.27</v>
      </c>
      <c r="G126" s="17">
        <v>721033.75</v>
      </c>
      <c r="H126" s="17">
        <v>405145.81</v>
      </c>
      <c r="I126" s="17">
        <v>369007.75</v>
      </c>
      <c r="J126" s="17">
        <v>534952.92000000004</v>
      </c>
    </row>
    <row r="127" spans="1:10" x14ac:dyDescent="0.25">
      <c r="A127" s="16" t="s">
        <v>1145</v>
      </c>
      <c r="B127" s="16" t="s">
        <v>121</v>
      </c>
      <c r="C127" s="16"/>
      <c r="D127" s="17">
        <v>23177.1</v>
      </c>
      <c r="E127" s="19"/>
      <c r="F127" s="17">
        <v>45762.54</v>
      </c>
      <c r="G127" s="17">
        <v>26755.06</v>
      </c>
      <c r="H127" s="17">
        <v>16516.09</v>
      </c>
      <c r="I127" s="17">
        <v>40423.31</v>
      </c>
      <c r="J127" s="19"/>
    </row>
    <row r="128" spans="1:10" x14ac:dyDescent="0.25">
      <c r="A128" s="16" t="s">
        <v>1145</v>
      </c>
      <c r="B128" s="16" t="s">
        <v>1482</v>
      </c>
      <c r="C128" s="16"/>
      <c r="D128" s="19"/>
      <c r="E128" s="19"/>
      <c r="F128" s="19"/>
      <c r="G128" s="19"/>
      <c r="H128" s="19"/>
      <c r="I128" s="19"/>
      <c r="J128" s="17">
        <v>35395.43</v>
      </c>
    </row>
    <row r="129" spans="1:10" x14ac:dyDescent="0.25">
      <c r="A129" s="16" t="s">
        <v>1145</v>
      </c>
      <c r="B129" s="16" t="s">
        <v>848</v>
      </c>
      <c r="C129" s="16" t="s">
        <v>163</v>
      </c>
      <c r="D129" s="17">
        <v>64749.11</v>
      </c>
      <c r="E129" s="19"/>
      <c r="F129" s="19"/>
      <c r="G129" s="19"/>
      <c r="H129" s="19"/>
      <c r="I129" s="19"/>
      <c r="J129" s="19"/>
    </row>
    <row r="130" spans="1:10" x14ac:dyDescent="0.25">
      <c r="A130" s="16" t="s">
        <v>1145</v>
      </c>
      <c r="B130" s="16" t="s">
        <v>1510</v>
      </c>
      <c r="C130" s="16" t="s">
        <v>153</v>
      </c>
      <c r="D130" s="19"/>
      <c r="E130" s="19"/>
      <c r="F130" s="19"/>
      <c r="G130" s="19"/>
      <c r="H130" s="19"/>
      <c r="I130" s="19"/>
      <c r="J130" s="17">
        <v>74295.929999999993</v>
      </c>
    </row>
    <row r="131" spans="1:10" x14ac:dyDescent="0.25">
      <c r="A131" s="16" t="s">
        <v>1145</v>
      </c>
      <c r="B131" s="16" t="s">
        <v>851</v>
      </c>
      <c r="C131" s="16" t="s">
        <v>123</v>
      </c>
      <c r="D131" s="19"/>
      <c r="E131" s="19"/>
      <c r="F131" s="19"/>
      <c r="G131" s="18">
        <v>666.69</v>
      </c>
      <c r="H131" s="17">
        <v>29646.05</v>
      </c>
      <c r="I131" s="19"/>
      <c r="J131" s="18">
        <v>-897.38</v>
      </c>
    </row>
    <row r="132" spans="1:10" x14ac:dyDescent="0.25">
      <c r="A132" s="16" t="s">
        <v>1145</v>
      </c>
      <c r="B132" s="16" t="s">
        <v>853</v>
      </c>
      <c r="C132" s="16"/>
      <c r="D132" s="19"/>
      <c r="E132" s="19"/>
      <c r="F132" s="17">
        <v>76657.78</v>
      </c>
      <c r="G132" s="19"/>
      <c r="H132" s="17">
        <v>20131.23</v>
      </c>
      <c r="I132" s="19"/>
      <c r="J132" s="19"/>
    </row>
    <row r="133" spans="1:10" x14ac:dyDescent="0.25">
      <c r="A133" s="16" t="s">
        <v>1145</v>
      </c>
      <c r="B133" s="16" t="s">
        <v>122</v>
      </c>
      <c r="C133" s="16"/>
      <c r="D133" s="17">
        <v>129093.09</v>
      </c>
      <c r="E133" s="17">
        <v>49030.51</v>
      </c>
      <c r="F133" s="17">
        <v>91429.7</v>
      </c>
      <c r="G133" s="17">
        <v>21951.439999999999</v>
      </c>
      <c r="H133" s="17">
        <v>174988.08</v>
      </c>
      <c r="I133" s="17">
        <v>117163.17</v>
      </c>
      <c r="J133" s="17">
        <v>65954.240000000005</v>
      </c>
    </row>
    <row r="134" spans="1:10" x14ac:dyDescent="0.25">
      <c r="A134" s="16" t="s">
        <v>1145</v>
      </c>
      <c r="B134" s="16" t="s">
        <v>123</v>
      </c>
      <c r="C134" s="16"/>
      <c r="D134" s="19"/>
      <c r="E134" s="17">
        <v>24197.55</v>
      </c>
      <c r="F134" s="19"/>
      <c r="G134" s="17">
        <v>11364.44</v>
      </c>
      <c r="H134" s="17">
        <v>28738.83</v>
      </c>
      <c r="I134" s="17">
        <v>12749.17</v>
      </c>
      <c r="J134" s="19"/>
    </row>
    <row r="135" spans="1:10" x14ac:dyDescent="0.25">
      <c r="A135" s="16" t="s">
        <v>1145</v>
      </c>
      <c r="B135" s="16" t="s">
        <v>855</v>
      </c>
      <c r="C135" s="16" t="s">
        <v>124</v>
      </c>
      <c r="D135" s="17">
        <v>98799.99</v>
      </c>
      <c r="E135" s="17">
        <v>77588.83</v>
      </c>
      <c r="F135" s="17">
        <v>69157.52</v>
      </c>
      <c r="G135" s="17">
        <v>36932.17</v>
      </c>
      <c r="H135" s="17">
        <v>82429.48</v>
      </c>
      <c r="I135" s="17">
        <v>63687.58</v>
      </c>
      <c r="J135" s="17">
        <v>70896.789999999994</v>
      </c>
    </row>
    <row r="136" spans="1:10" x14ac:dyDescent="0.25">
      <c r="A136" s="16" t="s">
        <v>1145</v>
      </c>
      <c r="B136" s="16" t="s">
        <v>125</v>
      </c>
      <c r="C136" s="16"/>
      <c r="D136" s="17">
        <v>31885.69</v>
      </c>
      <c r="E136" s="17">
        <v>18504.830000000002</v>
      </c>
      <c r="F136" s="17">
        <v>36149.74</v>
      </c>
      <c r="G136" s="17">
        <v>53138.41</v>
      </c>
      <c r="H136" s="17">
        <v>38016.01</v>
      </c>
      <c r="I136" s="17">
        <v>33399.79</v>
      </c>
      <c r="J136" s="17">
        <v>41696.03</v>
      </c>
    </row>
    <row r="137" spans="1:10" x14ac:dyDescent="0.25">
      <c r="A137" s="16" t="s">
        <v>1145</v>
      </c>
      <c r="B137" s="16" t="s">
        <v>857</v>
      </c>
      <c r="C137" s="16" t="s">
        <v>107</v>
      </c>
      <c r="D137" s="19"/>
      <c r="E137" s="19"/>
      <c r="F137" s="17">
        <v>26796.98</v>
      </c>
      <c r="G137" s="19"/>
      <c r="H137" s="19"/>
      <c r="I137" s="19"/>
      <c r="J137" s="19"/>
    </row>
    <row r="138" spans="1:10" x14ac:dyDescent="0.25">
      <c r="A138" s="16" t="s">
        <v>1145</v>
      </c>
      <c r="B138" s="16" t="s">
        <v>127</v>
      </c>
      <c r="C138" s="16"/>
      <c r="D138" s="17">
        <v>47653.82</v>
      </c>
      <c r="E138" s="19"/>
      <c r="F138" s="17">
        <v>17888.03</v>
      </c>
      <c r="G138" s="17">
        <v>19683.63</v>
      </c>
      <c r="H138" s="19"/>
      <c r="I138" s="17">
        <v>12896.96</v>
      </c>
      <c r="J138" s="19"/>
    </row>
    <row r="139" spans="1:10" x14ac:dyDescent="0.25">
      <c r="A139" s="16" t="s">
        <v>1145</v>
      </c>
      <c r="B139" s="16" t="s">
        <v>1410</v>
      </c>
      <c r="C139" s="16"/>
      <c r="D139" s="19"/>
      <c r="E139" s="19"/>
      <c r="F139" s="19"/>
      <c r="G139" s="19"/>
      <c r="H139" s="19"/>
      <c r="I139" s="17">
        <v>35570.78</v>
      </c>
      <c r="J139" s="19"/>
    </row>
    <row r="140" spans="1:10" x14ac:dyDescent="0.25">
      <c r="A140" s="16" t="s">
        <v>1145</v>
      </c>
      <c r="B140" s="16" t="s">
        <v>128</v>
      </c>
      <c r="C140" s="16"/>
      <c r="D140" s="17">
        <v>171479.81</v>
      </c>
      <c r="E140" s="17">
        <v>120867.19</v>
      </c>
      <c r="F140" s="17">
        <v>351968.73</v>
      </c>
      <c r="G140" s="17">
        <v>720796.1</v>
      </c>
      <c r="H140" s="17">
        <v>364817.02</v>
      </c>
      <c r="I140" s="17">
        <v>336662.22</v>
      </c>
      <c r="J140" s="17">
        <v>138297.32999999999</v>
      </c>
    </row>
    <row r="141" spans="1:10" x14ac:dyDescent="0.25">
      <c r="A141" s="16" t="s">
        <v>1145</v>
      </c>
      <c r="B141" s="16" t="s">
        <v>129</v>
      </c>
      <c r="C141" s="16"/>
      <c r="D141" s="19"/>
      <c r="E141" s="19"/>
      <c r="F141" s="19"/>
      <c r="G141" s="19"/>
      <c r="H141" s="17">
        <v>57187</v>
      </c>
      <c r="I141" s="17">
        <v>45164</v>
      </c>
      <c r="J141" s="19"/>
    </row>
    <row r="142" spans="1:10" x14ac:dyDescent="0.25">
      <c r="A142" s="16" t="s">
        <v>1145</v>
      </c>
      <c r="B142" s="16" t="s">
        <v>1149</v>
      </c>
      <c r="C142" s="16" t="s">
        <v>129</v>
      </c>
      <c r="D142" s="19"/>
      <c r="E142" s="17">
        <v>84885.49</v>
      </c>
      <c r="F142" s="19"/>
      <c r="G142" s="19"/>
      <c r="H142" s="19"/>
      <c r="I142" s="17">
        <v>10200</v>
      </c>
      <c r="J142" s="17">
        <v>46903.06</v>
      </c>
    </row>
    <row r="143" spans="1:10" x14ac:dyDescent="0.25">
      <c r="A143" s="16" t="s">
        <v>1145</v>
      </c>
      <c r="B143" s="16" t="s">
        <v>130</v>
      </c>
      <c r="C143" s="16"/>
      <c r="D143" s="17">
        <v>169628.42</v>
      </c>
      <c r="E143" s="19"/>
      <c r="F143" s="19"/>
      <c r="G143" s="17">
        <v>62671.41</v>
      </c>
      <c r="H143" s="17">
        <v>35090.449999999997</v>
      </c>
      <c r="I143" s="17">
        <v>40280.54</v>
      </c>
      <c r="J143" s="19"/>
    </row>
    <row r="144" spans="1:10" x14ac:dyDescent="0.25">
      <c r="A144" s="16" t="s">
        <v>1145</v>
      </c>
      <c r="B144" s="16" t="s">
        <v>862</v>
      </c>
      <c r="C144" s="16" t="s">
        <v>131</v>
      </c>
      <c r="D144" s="17">
        <v>225016.51</v>
      </c>
      <c r="E144" s="17">
        <v>258496.67</v>
      </c>
      <c r="F144" s="17">
        <v>41421.93</v>
      </c>
      <c r="G144" s="17">
        <v>268692.34000000003</v>
      </c>
      <c r="H144" s="17">
        <v>226745.56</v>
      </c>
      <c r="I144" s="17">
        <v>408563.52</v>
      </c>
      <c r="J144" s="17">
        <v>29905.3</v>
      </c>
    </row>
    <row r="145" spans="1:10" x14ac:dyDescent="0.25">
      <c r="A145" s="16" t="s">
        <v>1145</v>
      </c>
      <c r="B145" s="16" t="s">
        <v>1411</v>
      </c>
      <c r="C145" s="16"/>
      <c r="D145" s="19"/>
      <c r="E145" s="19"/>
      <c r="F145" s="19"/>
      <c r="G145" s="19"/>
      <c r="H145" s="19"/>
      <c r="I145" s="17">
        <v>85156.76</v>
      </c>
      <c r="J145" s="17">
        <v>30350.58</v>
      </c>
    </row>
    <row r="146" spans="1:10" x14ac:dyDescent="0.25">
      <c r="A146" s="16" t="s">
        <v>1145</v>
      </c>
      <c r="B146" s="16" t="s">
        <v>132</v>
      </c>
      <c r="C146" s="16"/>
      <c r="D146" s="19"/>
      <c r="E146" s="19"/>
      <c r="F146" s="19"/>
      <c r="G146" s="17">
        <v>25365.1</v>
      </c>
      <c r="H146" s="17">
        <v>19269.91</v>
      </c>
      <c r="I146" s="17">
        <v>25341.88</v>
      </c>
      <c r="J146" s="19"/>
    </row>
    <row r="147" spans="1:10" x14ac:dyDescent="0.25">
      <c r="A147" s="16" t="s">
        <v>1145</v>
      </c>
      <c r="B147" s="16" t="s">
        <v>1293</v>
      </c>
      <c r="C147" s="16"/>
      <c r="D147" s="19"/>
      <c r="E147" s="19"/>
      <c r="F147" s="19"/>
      <c r="G147" s="17">
        <v>49280.800000000003</v>
      </c>
      <c r="H147" s="19"/>
      <c r="I147" s="19"/>
      <c r="J147" s="17">
        <v>131939.73000000001</v>
      </c>
    </row>
    <row r="148" spans="1:10" x14ac:dyDescent="0.25">
      <c r="A148" s="16" t="s">
        <v>1145</v>
      </c>
      <c r="B148" s="16" t="s">
        <v>1412</v>
      </c>
      <c r="C148" s="16" t="s">
        <v>1413</v>
      </c>
      <c r="D148" s="19"/>
      <c r="E148" s="19"/>
      <c r="F148" s="19"/>
      <c r="G148" s="19"/>
      <c r="H148" s="19"/>
      <c r="I148" s="17">
        <v>294952.96999999997</v>
      </c>
      <c r="J148" s="19"/>
    </row>
    <row r="149" spans="1:10" ht="22.5" x14ac:dyDescent="0.25">
      <c r="A149" s="16" t="s">
        <v>1145</v>
      </c>
      <c r="B149" s="16" t="s">
        <v>867</v>
      </c>
      <c r="C149" s="16"/>
      <c r="D149" s="19"/>
      <c r="E149" s="17">
        <v>32639.33</v>
      </c>
      <c r="F149" s="17">
        <v>12604.19</v>
      </c>
      <c r="G149" s="19"/>
      <c r="H149" s="17">
        <v>10145.4</v>
      </c>
      <c r="I149" s="19"/>
      <c r="J149" s="17">
        <v>16370.67</v>
      </c>
    </row>
    <row r="150" spans="1:10" x14ac:dyDescent="0.25">
      <c r="A150" s="16" t="s">
        <v>1145</v>
      </c>
      <c r="B150" s="16" t="s">
        <v>134</v>
      </c>
      <c r="C150" s="16"/>
      <c r="D150" s="17">
        <v>40120.120000000003</v>
      </c>
      <c r="E150" s="19"/>
      <c r="F150" s="17">
        <v>31270.02</v>
      </c>
      <c r="G150" s="19"/>
      <c r="H150" s="19"/>
      <c r="I150" s="19"/>
      <c r="J150" s="17">
        <v>33690.14</v>
      </c>
    </row>
    <row r="151" spans="1:10" x14ac:dyDescent="0.25">
      <c r="A151" s="16" t="s">
        <v>1145</v>
      </c>
      <c r="B151" s="16" t="s">
        <v>135</v>
      </c>
      <c r="C151" s="16"/>
      <c r="D151" s="19"/>
      <c r="E151" s="19"/>
      <c r="F151" s="17">
        <v>238737.74</v>
      </c>
      <c r="G151" s="19"/>
      <c r="H151" s="19"/>
      <c r="I151" s="19"/>
      <c r="J151" s="19"/>
    </row>
    <row r="152" spans="1:10" x14ac:dyDescent="0.25">
      <c r="A152" s="16" t="s">
        <v>1145</v>
      </c>
      <c r="B152" s="16" t="s">
        <v>136</v>
      </c>
      <c r="C152" s="16"/>
      <c r="D152" s="17">
        <v>399709.72</v>
      </c>
      <c r="E152" s="19"/>
      <c r="F152" s="19"/>
      <c r="G152" s="19"/>
      <c r="H152" s="17">
        <v>47233.05</v>
      </c>
      <c r="I152" s="17">
        <v>19275.55</v>
      </c>
      <c r="J152" s="19"/>
    </row>
    <row r="153" spans="1:10" x14ac:dyDescent="0.25">
      <c r="A153" s="16" t="s">
        <v>1145</v>
      </c>
      <c r="B153" s="16" t="s">
        <v>869</v>
      </c>
      <c r="C153" s="16" t="s">
        <v>106</v>
      </c>
      <c r="D153" s="19"/>
      <c r="E153" s="17">
        <v>29325.13</v>
      </c>
      <c r="F153" s="17">
        <v>47728.44</v>
      </c>
      <c r="G153" s="17">
        <v>35741.42</v>
      </c>
      <c r="H153" s="17">
        <v>74046.5</v>
      </c>
      <c r="I153" s="17">
        <v>74336.31</v>
      </c>
      <c r="J153" s="17">
        <v>114973.26</v>
      </c>
    </row>
    <row r="154" spans="1:10" x14ac:dyDescent="0.25">
      <c r="A154" s="16" t="s">
        <v>1145</v>
      </c>
      <c r="B154" s="16" t="s">
        <v>137</v>
      </c>
      <c r="C154" s="16"/>
      <c r="D154" s="19"/>
      <c r="E154" s="17">
        <v>59212.95</v>
      </c>
      <c r="F154" s="17">
        <v>88688.16</v>
      </c>
      <c r="G154" s="17">
        <v>72212.95</v>
      </c>
      <c r="H154" s="17">
        <v>174233.06</v>
      </c>
      <c r="I154" s="17">
        <v>45191.01</v>
      </c>
      <c r="J154" s="17">
        <v>62572.6</v>
      </c>
    </row>
    <row r="155" spans="1:10" x14ac:dyDescent="0.25">
      <c r="A155" s="16" t="s">
        <v>1145</v>
      </c>
      <c r="B155" s="16" t="s">
        <v>138</v>
      </c>
      <c r="C155" s="16"/>
      <c r="D155" s="19"/>
      <c r="E155" s="19"/>
      <c r="F155" s="17">
        <v>10732</v>
      </c>
      <c r="G155" s="19"/>
      <c r="H155" s="17">
        <v>14560</v>
      </c>
      <c r="I155" s="19"/>
      <c r="J155" s="17">
        <v>9623</v>
      </c>
    </row>
    <row r="156" spans="1:10" x14ac:dyDescent="0.25">
      <c r="A156" s="16" t="s">
        <v>1145</v>
      </c>
      <c r="B156" s="16" t="s">
        <v>1481</v>
      </c>
      <c r="C156" s="16"/>
      <c r="D156" s="19"/>
      <c r="E156" s="19"/>
      <c r="F156" s="19"/>
      <c r="G156" s="19"/>
      <c r="H156" s="19"/>
      <c r="I156" s="19"/>
      <c r="J156" s="17">
        <v>200236.82</v>
      </c>
    </row>
    <row r="157" spans="1:10" x14ac:dyDescent="0.25">
      <c r="A157" s="16" t="s">
        <v>1145</v>
      </c>
      <c r="B157" s="16" t="s">
        <v>1511</v>
      </c>
      <c r="C157" s="16" t="s">
        <v>1342</v>
      </c>
      <c r="D157" s="19"/>
      <c r="E157" s="19"/>
      <c r="F157" s="19"/>
      <c r="G157" s="19"/>
      <c r="H157" s="19"/>
      <c r="I157" s="19"/>
      <c r="J157" s="17">
        <v>48521.2</v>
      </c>
    </row>
    <row r="158" spans="1:10" x14ac:dyDescent="0.25">
      <c r="A158" s="16" t="s">
        <v>1145</v>
      </c>
      <c r="B158" s="16" t="s">
        <v>874</v>
      </c>
      <c r="C158" s="16" t="s">
        <v>141</v>
      </c>
      <c r="D158" s="19"/>
      <c r="E158" s="19"/>
      <c r="F158" s="19"/>
      <c r="G158" s="17">
        <v>21869.26</v>
      </c>
      <c r="H158" s="19"/>
      <c r="I158" s="19"/>
      <c r="J158" s="19"/>
    </row>
    <row r="159" spans="1:10" x14ac:dyDescent="0.25">
      <c r="A159" s="16" t="s">
        <v>1145</v>
      </c>
      <c r="B159" s="16" t="s">
        <v>1150</v>
      </c>
      <c r="C159" s="16" t="s">
        <v>162</v>
      </c>
      <c r="D159" s="17">
        <v>228532.22</v>
      </c>
      <c r="E159" s="17">
        <v>280818.45</v>
      </c>
      <c r="F159" s="17">
        <v>121358.17</v>
      </c>
      <c r="G159" s="17">
        <v>11582.86</v>
      </c>
      <c r="H159" s="17">
        <v>57490.91</v>
      </c>
      <c r="I159" s="17">
        <v>206083.74</v>
      </c>
      <c r="J159" s="17">
        <v>812167.83</v>
      </c>
    </row>
    <row r="160" spans="1:10" x14ac:dyDescent="0.25">
      <c r="A160" s="16" t="s">
        <v>1145</v>
      </c>
      <c r="B160" s="16" t="s">
        <v>139</v>
      </c>
      <c r="C160" s="16"/>
      <c r="D160" s="17">
        <v>27232.04</v>
      </c>
      <c r="E160" s="19"/>
      <c r="F160" s="19"/>
      <c r="G160" s="19"/>
      <c r="H160" s="19"/>
      <c r="I160" s="17">
        <v>25715.35</v>
      </c>
      <c r="J160" s="19"/>
    </row>
    <row r="161" spans="1:10" x14ac:dyDescent="0.25">
      <c r="A161" s="16" t="s">
        <v>1145</v>
      </c>
      <c r="B161" s="16" t="s">
        <v>140</v>
      </c>
      <c r="C161" s="16"/>
      <c r="D161" s="19"/>
      <c r="E161" s="19"/>
      <c r="F161" s="17">
        <v>28697.8</v>
      </c>
      <c r="G161" s="19"/>
      <c r="H161" s="19"/>
      <c r="I161" s="17">
        <v>30242.11</v>
      </c>
      <c r="J161" s="19"/>
    </row>
    <row r="162" spans="1:10" x14ac:dyDescent="0.25">
      <c r="A162" s="16" t="s">
        <v>1145</v>
      </c>
      <c r="B162" s="16" t="s">
        <v>879</v>
      </c>
      <c r="C162" s="16" t="s">
        <v>128</v>
      </c>
      <c r="D162" s="17">
        <v>89286.16</v>
      </c>
      <c r="E162" s="17">
        <v>92432.09</v>
      </c>
      <c r="F162" s="19"/>
      <c r="G162" s="19"/>
      <c r="H162" s="19"/>
      <c r="I162" s="17">
        <v>505894.47</v>
      </c>
      <c r="J162" s="17">
        <v>397348.49</v>
      </c>
    </row>
    <row r="163" spans="1:10" x14ac:dyDescent="0.25">
      <c r="A163" s="16" t="s">
        <v>1145</v>
      </c>
      <c r="B163" s="16" t="s">
        <v>142</v>
      </c>
      <c r="C163" s="16"/>
      <c r="D163" s="17">
        <v>615408.35</v>
      </c>
      <c r="E163" s="17">
        <v>432720.43</v>
      </c>
      <c r="F163" s="17">
        <v>1536268.36</v>
      </c>
      <c r="G163" s="17">
        <v>259959.28</v>
      </c>
      <c r="H163" s="17">
        <v>791419.4</v>
      </c>
      <c r="I163" s="17">
        <v>353314.31</v>
      </c>
      <c r="J163" s="17">
        <v>268561.76</v>
      </c>
    </row>
    <row r="164" spans="1:10" x14ac:dyDescent="0.25">
      <c r="A164" s="16" t="s">
        <v>1145</v>
      </c>
      <c r="B164" s="16" t="s">
        <v>143</v>
      </c>
      <c r="C164" s="16"/>
      <c r="D164" s="17">
        <v>84585.14</v>
      </c>
      <c r="E164" s="19"/>
      <c r="F164" s="17">
        <v>68316.850000000006</v>
      </c>
      <c r="G164" s="17">
        <v>77053.350000000006</v>
      </c>
      <c r="H164" s="19"/>
      <c r="I164" s="19"/>
      <c r="J164" s="19"/>
    </row>
    <row r="165" spans="1:10" x14ac:dyDescent="0.25">
      <c r="A165" s="16" t="s">
        <v>1145</v>
      </c>
      <c r="B165" s="16" t="s">
        <v>1342</v>
      </c>
      <c r="C165" s="16"/>
      <c r="D165" s="19"/>
      <c r="E165" s="19"/>
      <c r="F165" s="19"/>
      <c r="G165" s="19"/>
      <c r="H165" s="17">
        <v>176158.4</v>
      </c>
      <c r="I165" s="19"/>
      <c r="J165" s="19"/>
    </row>
    <row r="166" spans="1:10" x14ac:dyDescent="0.25">
      <c r="A166" s="16" t="s">
        <v>1145</v>
      </c>
      <c r="B166" s="16" t="s">
        <v>883</v>
      </c>
      <c r="C166" s="16" t="s">
        <v>133</v>
      </c>
      <c r="D166" s="19"/>
      <c r="E166" s="19"/>
      <c r="F166" s="17">
        <v>29867.79</v>
      </c>
      <c r="G166" s="17">
        <v>31742.01</v>
      </c>
      <c r="H166" s="17">
        <v>106289.68</v>
      </c>
      <c r="I166" s="17">
        <v>87002.25</v>
      </c>
      <c r="J166" s="17">
        <v>13148.34</v>
      </c>
    </row>
    <row r="167" spans="1:10" x14ac:dyDescent="0.25">
      <c r="A167" s="16" t="s">
        <v>1145</v>
      </c>
      <c r="B167" s="16" t="s">
        <v>144</v>
      </c>
      <c r="C167" s="16"/>
      <c r="D167" s="17">
        <v>-431271.35</v>
      </c>
      <c r="E167" s="17">
        <v>27712.83</v>
      </c>
      <c r="F167" s="17">
        <v>22379.68</v>
      </c>
      <c r="G167" s="19"/>
      <c r="H167" s="19"/>
      <c r="I167" s="19"/>
      <c r="J167" s="19"/>
    </row>
    <row r="168" spans="1:10" x14ac:dyDescent="0.25">
      <c r="A168" s="16" t="s">
        <v>1145</v>
      </c>
      <c r="B168" s="16" t="s">
        <v>145</v>
      </c>
      <c r="C168" s="16" t="s">
        <v>1394</v>
      </c>
      <c r="D168" s="19"/>
      <c r="E168" s="17">
        <v>103490.31</v>
      </c>
      <c r="F168" s="17">
        <v>48728.03</v>
      </c>
      <c r="G168" s="17">
        <v>126267.4</v>
      </c>
      <c r="H168" s="19"/>
      <c r="I168" s="19"/>
      <c r="J168" s="19"/>
    </row>
    <row r="169" spans="1:10" x14ac:dyDescent="0.25">
      <c r="A169" s="16" t="s">
        <v>1145</v>
      </c>
      <c r="B169" s="16" t="s">
        <v>1151</v>
      </c>
      <c r="C169" s="16"/>
      <c r="D169" s="19"/>
      <c r="E169" s="17">
        <v>211614.97</v>
      </c>
      <c r="F169" s="17">
        <v>1148193.1000000001</v>
      </c>
      <c r="G169" s="17">
        <v>165208.57</v>
      </c>
      <c r="H169" s="19"/>
      <c r="I169" s="17">
        <v>180861.54</v>
      </c>
      <c r="J169" s="17">
        <v>179879.03</v>
      </c>
    </row>
    <row r="170" spans="1:10" x14ac:dyDescent="0.25">
      <c r="A170" s="16" t="s">
        <v>1145</v>
      </c>
      <c r="B170" s="16" t="s">
        <v>146</v>
      </c>
      <c r="C170" s="16"/>
      <c r="D170" s="17">
        <v>42310.09</v>
      </c>
      <c r="E170" s="17">
        <v>39026.47</v>
      </c>
      <c r="F170" s="17">
        <v>24846.05</v>
      </c>
      <c r="G170" s="17">
        <v>90797.3</v>
      </c>
      <c r="H170" s="17">
        <v>20491.240000000002</v>
      </c>
      <c r="I170" s="17">
        <v>43361.31</v>
      </c>
      <c r="J170" s="17">
        <v>95311.91</v>
      </c>
    </row>
    <row r="171" spans="1:10" x14ac:dyDescent="0.25">
      <c r="A171" s="16" t="s">
        <v>1145</v>
      </c>
      <c r="B171" s="16" t="s">
        <v>891</v>
      </c>
      <c r="C171" s="16"/>
      <c r="D171" s="17">
        <v>70576.009999999995</v>
      </c>
      <c r="E171" s="17">
        <v>116105.73</v>
      </c>
      <c r="F171" s="17">
        <v>89811.41</v>
      </c>
      <c r="G171" s="17">
        <v>104560.01</v>
      </c>
      <c r="H171" s="17">
        <v>104160.83</v>
      </c>
      <c r="I171" s="17">
        <v>148218.68</v>
      </c>
      <c r="J171" s="17">
        <v>138106.29999999999</v>
      </c>
    </row>
    <row r="172" spans="1:10" x14ac:dyDescent="0.25">
      <c r="A172" s="16" t="s">
        <v>1145</v>
      </c>
      <c r="B172" s="16" t="s">
        <v>147</v>
      </c>
      <c r="C172" s="16"/>
      <c r="D172" s="17">
        <v>213396.3</v>
      </c>
      <c r="E172" s="17">
        <v>444336.1</v>
      </c>
      <c r="F172" s="17">
        <v>458665.1</v>
      </c>
      <c r="G172" s="17">
        <v>664624.46</v>
      </c>
      <c r="H172" s="17">
        <v>681631.2</v>
      </c>
      <c r="I172" s="17">
        <v>483119.06</v>
      </c>
      <c r="J172" s="17">
        <v>377017.92</v>
      </c>
    </row>
    <row r="173" spans="1:10" x14ac:dyDescent="0.25">
      <c r="A173" s="16" t="s">
        <v>1145</v>
      </c>
      <c r="B173" s="16" t="s">
        <v>148</v>
      </c>
      <c r="C173" s="16"/>
      <c r="D173" s="19"/>
      <c r="E173" s="17">
        <v>66644.710000000006</v>
      </c>
      <c r="F173" s="19"/>
      <c r="G173" s="19"/>
      <c r="H173" s="17">
        <v>144630.59</v>
      </c>
      <c r="I173" s="19"/>
      <c r="J173" s="19"/>
    </row>
    <row r="174" spans="1:10" x14ac:dyDescent="0.25">
      <c r="A174" s="16" t="s">
        <v>1145</v>
      </c>
      <c r="B174" s="16" t="s">
        <v>149</v>
      </c>
      <c r="C174" s="16"/>
      <c r="D174" s="17">
        <v>20983.21</v>
      </c>
      <c r="E174" s="17">
        <v>52384.24</v>
      </c>
      <c r="F174" s="17">
        <v>42937.1</v>
      </c>
      <c r="G174" s="17">
        <v>24834.65</v>
      </c>
      <c r="H174" s="17">
        <v>34694.67</v>
      </c>
      <c r="I174" s="17">
        <v>48747.44</v>
      </c>
      <c r="J174" s="17">
        <v>19248.82</v>
      </c>
    </row>
    <row r="175" spans="1:10" x14ac:dyDescent="0.25">
      <c r="A175" s="16" t="s">
        <v>1145</v>
      </c>
      <c r="B175" s="16" t="s">
        <v>150</v>
      </c>
      <c r="C175" s="16"/>
      <c r="D175" s="17">
        <v>41306.1</v>
      </c>
      <c r="E175" s="19"/>
      <c r="F175" s="17">
        <v>28665.4</v>
      </c>
      <c r="G175" s="17">
        <v>20715.919999999998</v>
      </c>
      <c r="H175" s="19"/>
      <c r="I175" s="17">
        <v>50902.64</v>
      </c>
      <c r="J175" s="19"/>
    </row>
    <row r="176" spans="1:10" x14ac:dyDescent="0.25">
      <c r="A176" s="16" t="s">
        <v>1145</v>
      </c>
      <c r="B176" s="16" t="s">
        <v>894</v>
      </c>
      <c r="C176" s="16" t="s">
        <v>154</v>
      </c>
      <c r="D176" s="19"/>
      <c r="E176" s="17">
        <v>36395.61</v>
      </c>
      <c r="F176" s="19"/>
      <c r="G176" s="19"/>
      <c r="H176" s="17">
        <v>621402.92000000004</v>
      </c>
      <c r="I176" s="17">
        <v>142419.12</v>
      </c>
      <c r="J176" s="17">
        <v>246200.51</v>
      </c>
    </row>
    <row r="177" spans="1:10" x14ac:dyDescent="0.25">
      <c r="A177" s="16" t="s">
        <v>1145</v>
      </c>
      <c r="B177" s="16" t="s">
        <v>151</v>
      </c>
      <c r="C177" s="16"/>
      <c r="D177" s="17">
        <v>19467.71</v>
      </c>
      <c r="E177" s="17">
        <v>51388.89</v>
      </c>
      <c r="F177" s="17">
        <v>128204.67</v>
      </c>
      <c r="G177" s="17">
        <v>100521.12</v>
      </c>
      <c r="H177" s="17">
        <v>244839.21</v>
      </c>
      <c r="I177" s="17">
        <v>120189.14</v>
      </c>
      <c r="J177" s="17">
        <v>89670.78</v>
      </c>
    </row>
    <row r="178" spans="1:10" x14ac:dyDescent="0.25">
      <c r="A178" s="16" t="s">
        <v>1145</v>
      </c>
      <c r="B178" s="16" t="s">
        <v>152</v>
      </c>
      <c r="C178" s="16"/>
      <c r="D178" s="17">
        <v>40920.01</v>
      </c>
      <c r="E178" s="19"/>
      <c r="F178" s="19"/>
      <c r="G178" s="19"/>
      <c r="H178" s="19"/>
      <c r="I178" s="17">
        <v>27580.63</v>
      </c>
      <c r="J178" s="17">
        <v>54533.43</v>
      </c>
    </row>
    <row r="179" spans="1:10" x14ac:dyDescent="0.25">
      <c r="A179" s="16" t="s">
        <v>1145</v>
      </c>
      <c r="B179" s="16" t="s">
        <v>153</v>
      </c>
      <c r="C179" s="16"/>
      <c r="D179" s="19"/>
      <c r="E179" s="19"/>
      <c r="F179" s="19"/>
      <c r="G179" s="19"/>
      <c r="H179" s="19"/>
      <c r="I179" s="17">
        <v>82455.02</v>
      </c>
      <c r="J179" s="17">
        <v>77724.350000000006</v>
      </c>
    </row>
    <row r="180" spans="1:10" x14ac:dyDescent="0.25">
      <c r="A180" s="16" t="s">
        <v>1145</v>
      </c>
      <c r="B180" s="16" t="s">
        <v>158</v>
      </c>
      <c r="C180" s="16"/>
      <c r="D180" s="19"/>
      <c r="E180" s="19"/>
      <c r="F180" s="17">
        <v>38647.589999999997</v>
      </c>
      <c r="G180" s="17">
        <v>42433.29</v>
      </c>
      <c r="H180" s="19"/>
      <c r="I180" s="19"/>
      <c r="J180" s="19"/>
    </row>
    <row r="181" spans="1:10" x14ac:dyDescent="0.25">
      <c r="A181" s="16" t="s">
        <v>1145</v>
      </c>
      <c r="B181" s="16" t="s">
        <v>155</v>
      </c>
      <c r="C181" s="16" t="s">
        <v>154</v>
      </c>
      <c r="D181" s="17">
        <v>98207.27</v>
      </c>
      <c r="E181" s="17">
        <v>109864.45</v>
      </c>
      <c r="F181" s="19"/>
      <c r="G181" s="19"/>
      <c r="H181" s="19"/>
      <c r="I181" s="19"/>
      <c r="J181" s="19"/>
    </row>
    <row r="182" spans="1:10" x14ac:dyDescent="0.25">
      <c r="A182" s="16" t="s">
        <v>1145</v>
      </c>
      <c r="B182" s="16" t="s">
        <v>156</v>
      </c>
      <c r="C182" s="16"/>
      <c r="D182" s="19"/>
      <c r="E182" s="17">
        <v>135157.95000000001</v>
      </c>
      <c r="F182" s="17">
        <v>173580.49</v>
      </c>
      <c r="G182" s="17">
        <v>304529.57</v>
      </c>
      <c r="H182" s="17">
        <v>427891.29</v>
      </c>
      <c r="I182" s="17">
        <v>585041.71</v>
      </c>
      <c r="J182" s="17">
        <v>243482.97</v>
      </c>
    </row>
    <row r="183" spans="1:10" x14ac:dyDescent="0.25">
      <c r="A183" s="16" t="s">
        <v>1145</v>
      </c>
      <c r="B183" s="16" t="s">
        <v>157</v>
      </c>
      <c r="C183" s="16"/>
      <c r="D183" s="17">
        <v>41051.800000000003</v>
      </c>
      <c r="E183" s="17">
        <v>100297.32</v>
      </c>
      <c r="F183" s="17">
        <v>40018.14</v>
      </c>
      <c r="G183" s="17">
        <v>104452.17</v>
      </c>
      <c r="H183" s="17">
        <v>117933.99</v>
      </c>
      <c r="I183" s="17">
        <v>95808.36</v>
      </c>
      <c r="J183" s="17">
        <v>43205.05</v>
      </c>
    </row>
    <row r="184" spans="1:10" x14ac:dyDescent="0.25">
      <c r="A184" s="16" t="s">
        <v>1145</v>
      </c>
      <c r="B184" s="16" t="s">
        <v>159</v>
      </c>
      <c r="C184" s="16"/>
      <c r="D184" s="19"/>
      <c r="E184" s="19"/>
      <c r="F184" s="17">
        <v>78441.25</v>
      </c>
      <c r="G184" s="19"/>
      <c r="H184" s="19"/>
      <c r="I184" s="19"/>
      <c r="J184" s="19"/>
    </row>
    <row r="185" spans="1:10" x14ac:dyDescent="0.25">
      <c r="A185" s="16" t="s">
        <v>1145</v>
      </c>
      <c r="B185" s="16" t="s">
        <v>160</v>
      </c>
      <c r="C185" s="16"/>
      <c r="D185" s="19"/>
      <c r="E185" s="19"/>
      <c r="F185" s="17">
        <v>40372.199999999997</v>
      </c>
      <c r="G185" s="17">
        <v>52919.79</v>
      </c>
      <c r="H185" s="19"/>
      <c r="I185" s="19"/>
      <c r="J185" s="19"/>
    </row>
    <row r="186" spans="1:10" x14ac:dyDescent="0.25">
      <c r="A186" s="16" t="s">
        <v>1145</v>
      </c>
      <c r="B186" s="16" t="s">
        <v>899</v>
      </c>
      <c r="C186" s="16" t="s">
        <v>139</v>
      </c>
      <c r="D186" s="19"/>
      <c r="E186" s="19"/>
      <c r="F186" s="19"/>
      <c r="G186" s="17">
        <v>52882.58</v>
      </c>
      <c r="H186" s="19"/>
      <c r="I186" s="19"/>
      <c r="J186" s="17">
        <v>36716.82</v>
      </c>
    </row>
    <row r="187" spans="1:10" x14ac:dyDescent="0.25">
      <c r="A187" s="16" t="s">
        <v>1145</v>
      </c>
      <c r="B187" s="16" t="s">
        <v>900</v>
      </c>
      <c r="C187" s="16" t="s">
        <v>167</v>
      </c>
      <c r="D187" s="19"/>
      <c r="E187" s="19"/>
      <c r="F187" s="19"/>
      <c r="G187" s="19"/>
      <c r="H187" s="17">
        <v>172452.19</v>
      </c>
      <c r="I187" s="19"/>
      <c r="J187" s="17">
        <v>63928.08</v>
      </c>
    </row>
    <row r="188" spans="1:10" x14ac:dyDescent="0.25">
      <c r="A188" s="16" t="s">
        <v>1145</v>
      </c>
      <c r="B188" s="16" t="s">
        <v>161</v>
      </c>
      <c r="C188" s="16"/>
      <c r="D188" s="19"/>
      <c r="E188" s="19"/>
      <c r="F188" s="17">
        <v>36280.17</v>
      </c>
      <c r="G188" s="19"/>
      <c r="H188" s="19"/>
      <c r="I188" s="17">
        <v>74761.34</v>
      </c>
      <c r="J188" s="19"/>
    </row>
    <row r="189" spans="1:10" x14ac:dyDescent="0.25">
      <c r="A189" s="16" t="s">
        <v>1145</v>
      </c>
      <c r="B189" s="16" t="s">
        <v>164</v>
      </c>
      <c r="C189" s="16"/>
      <c r="D189" s="17">
        <v>35642.93</v>
      </c>
      <c r="E189" s="19"/>
      <c r="F189" s="17">
        <v>46132.19</v>
      </c>
      <c r="G189" s="17">
        <v>327216.67</v>
      </c>
      <c r="H189" s="19"/>
      <c r="I189" s="19"/>
      <c r="J189" s="19"/>
    </row>
    <row r="190" spans="1:10" x14ac:dyDescent="0.25">
      <c r="A190" s="16" t="s">
        <v>1145</v>
      </c>
      <c r="B190" s="16" t="s">
        <v>906</v>
      </c>
      <c r="C190" s="16" t="s">
        <v>165</v>
      </c>
      <c r="D190" s="19"/>
      <c r="E190" s="19"/>
      <c r="F190" s="19"/>
      <c r="G190" s="19"/>
      <c r="H190" s="17">
        <v>714269.27</v>
      </c>
      <c r="I190" s="17">
        <v>120198.09</v>
      </c>
      <c r="J190" s="19"/>
    </row>
    <row r="191" spans="1:10" x14ac:dyDescent="0.25">
      <c r="A191" s="16" t="s">
        <v>1145</v>
      </c>
      <c r="B191" s="16" t="s">
        <v>165</v>
      </c>
      <c r="C191" s="16"/>
      <c r="D191" s="19"/>
      <c r="E191" s="18">
        <v>297.54000000000002</v>
      </c>
      <c r="F191" s="19"/>
      <c r="G191" s="19"/>
      <c r="H191" s="17">
        <v>409972.89</v>
      </c>
      <c r="I191" s="19"/>
      <c r="J191" s="19"/>
    </row>
    <row r="192" spans="1:10" x14ac:dyDescent="0.25">
      <c r="A192" s="16" t="s">
        <v>1145</v>
      </c>
      <c r="B192" s="16" t="s">
        <v>166</v>
      </c>
      <c r="C192" s="16"/>
      <c r="D192" s="19"/>
      <c r="E192" s="19"/>
      <c r="F192" s="17">
        <v>31372.52</v>
      </c>
      <c r="G192" s="19"/>
      <c r="H192" s="19"/>
      <c r="I192" s="19"/>
      <c r="J192" s="19"/>
    </row>
    <row r="193" spans="1:10" x14ac:dyDescent="0.25">
      <c r="A193" s="16" t="s">
        <v>1145</v>
      </c>
      <c r="B193" s="16" t="s">
        <v>907</v>
      </c>
      <c r="C193" s="16" t="s">
        <v>168</v>
      </c>
      <c r="D193" s="17">
        <v>12478.27</v>
      </c>
      <c r="E193" s="19"/>
      <c r="F193" s="19"/>
      <c r="G193" s="19"/>
      <c r="H193" s="17">
        <v>13059.68</v>
      </c>
      <c r="I193" s="19"/>
      <c r="J193" s="19"/>
    </row>
    <row r="194" spans="1:10" x14ac:dyDescent="0.25">
      <c r="A194" s="16" t="s">
        <v>1145</v>
      </c>
      <c r="B194" s="16" t="s">
        <v>911</v>
      </c>
      <c r="C194" s="16"/>
      <c r="D194" s="19"/>
      <c r="E194" s="17">
        <v>18055.060000000001</v>
      </c>
      <c r="F194" s="17">
        <v>14534.67</v>
      </c>
      <c r="G194" s="17">
        <v>11044.58</v>
      </c>
      <c r="H194" s="19"/>
      <c r="I194" s="19"/>
      <c r="J194" s="19"/>
    </row>
    <row r="195" spans="1:10" x14ac:dyDescent="0.25">
      <c r="A195" s="16" t="s">
        <v>1145</v>
      </c>
      <c r="B195" s="16" t="s">
        <v>169</v>
      </c>
      <c r="C195" s="16"/>
      <c r="D195" s="17">
        <v>90566.17</v>
      </c>
      <c r="E195" s="17">
        <v>39676.32</v>
      </c>
      <c r="F195" s="19"/>
      <c r="G195" s="19"/>
      <c r="H195" s="17">
        <v>59339.7</v>
      </c>
      <c r="I195" s="17">
        <v>109469.54</v>
      </c>
      <c r="J195" s="19"/>
    </row>
    <row r="196" spans="1:10" x14ac:dyDescent="0.25">
      <c r="A196" s="16" t="s">
        <v>1145</v>
      </c>
      <c r="B196" s="16" t="s">
        <v>170</v>
      </c>
      <c r="C196" s="16"/>
      <c r="D196" s="17">
        <v>37293.760000000002</v>
      </c>
      <c r="E196" s="19"/>
      <c r="F196" s="19"/>
      <c r="G196" s="19"/>
      <c r="H196" s="17">
        <v>31215.37</v>
      </c>
      <c r="I196" s="17">
        <v>30160.07</v>
      </c>
      <c r="J196" s="19"/>
    </row>
    <row r="197" spans="1:10" x14ac:dyDescent="0.25">
      <c r="A197" s="16" t="s">
        <v>1145</v>
      </c>
      <c r="B197" s="16" t="s">
        <v>171</v>
      </c>
      <c r="C197" s="16"/>
      <c r="D197" s="19"/>
      <c r="E197" s="19"/>
      <c r="F197" s="17">
        <v>10080.6</v>
      </c>
      <c r="G197" s="17">
        <v>29723.67</v>
      </c>
      <c r="H197" s="19"/>
      <c r="I197" s="19"/>
      <c r="J197" s="17">
        <v>1129357.3700000001</v>
      </c>
    </row>
    <row r="198" spans="1:10" x14ac:dyDescent="0.25">
      <c r="A198" s="16" t="s">
        <v>1145</v>
      </c>
      <c r="B198" s="16" t="s">
        <v>172</v>
      </c>
      <c r="C198" s="16"/>
      <c r="D198" s="19"/>
      <c r="E198" s="17">
        <v>50412.33</v>
      </c>
      <c r="F198" s="17">
        <v>11836.61</v>
      </c>
      <c r="G198" s="17">
        <v>106821.79</v>
      </c>
      <c r="H198" s="17">
        <v>17637.34</v>
      </c>
      <c r="I198" s="17">
        <v>75323.289999999994</v>
      </c>
      <c r="J198" s="17">
        <v>102112.12</v>
      </c>
    </row>
    <row r="199" spans="1:10" x14ac:dyDescent="0.25">
      <c r="A199" s="16" t="s">
        <v>1152</v>
      </c>
      <c r="B199" s="16" t="s">
        <v>876</v>
      </c>
      <c r="C199" s="16" t="s">
        <v>174</v>
      </c>
      <c r="D199" s="17">
        <v>470223.92</v>
      </c>
      <c r="E199" s="17">
        <v>153681.93</v>
      </c>
      <c r="F199" s="17">
        <v>131423.67999999999</v>
      </c>
      <c r="G199" s="17">
        <v>604562.05000000005</v>
      </c>
      <c r="H199" s="17">
        <v>632932.80000000005</v>
      </c>
      <c r="I199" s="17">
        <v>734282.75</v>
      </c>
      <c r="J199" s="17">
        <v>423890.19</v>
      </c>
    </row>
    <row r="200" spans="1:10" x14ac:dyDescent="0.25">
      <c r="A200" s="16" t="s">
        <v>1152</v>
      </c>
      <c r="B200" s="16" t="s">
        <v>881</v>
      </c>
      <c r="C200" s="16" t="s">
        <v>173</v>
      </c>
      <c r="D200" s="17">
        <v>614668.71</v>
      </c>
      <c r="E200" s="17">
        <v>275494.71999999997</v>
      </c>
      <c r="F200" s="17">
        <v>275773.52</v>
      </c>
      <c r="G200" s="17">
        <v>724806.18</v>
      </c>
      <c r="H200" s="17">
        <v>411760.35</v>
      </c>
      <c r="I200" s="17">
        <v>1359850.82</v>
      </c>
      <c r="J200" s="17">
        <v>228712.95999999999</v>
      </c>
    </row>
    <row r="201" spans="1:10" x14ac:dyDescent="0.25">
      <c r="A201" s="16" t="s">
        <v>1152</v>
      </c>
      <c r="B201" s="16" t="s">
        <v>175</v>
      </c>
      <c r="C201" s="16"/>
      <c r="D201" s="17">
        <v>311220</v>
      </c>
      <c r="E201" s="17">
        <v>443244</v>
      </c>
      <c r="F201" s="17">
        <v>175887</v>
      </c>
      <c r="G201" s="17">
        <v>429653.99</v>
      </c>
      <c r="H201" s="17">
        <v>479737.92</v>
      </c>
      <c r="I201" s="17">
        <v>711085.01</v>
      </c>
      <c r="J201" s="17">
        <v>477644</v>
      </c>
    </row>
    <row r="202" spans="1:10" x14ac:dyDescent="0.25">
      <c r="A202" s="16" t="s">
        <v>1152</v>
      </c>
      <c r="B202" s="16" t="s">
        <v>176</v>
      </c>
      <c r="C202" s="16"/>
      <c r="D202" s="17">
        <v>1034978.41</v>
      </c>
      <c r="E202" s="17">
        <v>952404.73</v>
      </c>
      <c r="F202" s="17">
        <v>1584420.03</v>
      </c>
      <c r="G202" s="17">
        <v>1348627.17</v>
      </c>
      <c r="H202" s="17">
        <v>1980553.49</v>
      </c>
      <c r="I202" s="17">
        <v>1573733.06</v>
      </c>
      <c r="J202" s="17">
        <v>2357455.27</v>
      </c>
    </row>
    <row r="203" spans="1:10" x14ac:dyDescent="0.25">
      <c r="A203" s="16" t="s">
        <v>1153</v>
      </c>
      <c r="B203" s="16" t="s">
        <v>178</v>
      </c>
      <c r="C203" s="16"/>
      <c r="D203" s="17">
        <v>4271.17</v>
      </c>
      <c r="E203" s="17">
        <v>23811</v>
      </c>
      <c r="F203" s="19"/>
      <c r="G203" s="19"/>
      <c r="H203" s="17">
        <v>21577</v>
      </c>
      <c r="I203" s="18">
        <v>600</v>
      </c>
      <c r="J203" s="17">
        <v>22963</v>
      </c>
    </row>
    <row r="204" spans="1:10" x14ac:dyDescent="0.25">
      <c r="A204" s="16" t="s">
        <v>1153</v>
      </c>
      <c r="B204" s="16" t="s">
        <v>177</v>
      </c>
      <c r="C204" s="16"/>
      <c r="D204" s="17">
        <v>298437.34000000003</v>
      </c>
      <c r="E204" s="17">
        <v>155998.35</v>
      </c>
      <c r="F204" s="19"/>
      <c r="G204" s="19"/>
      <c r="H204" s="19"/>
      <c r="I204" s="19"/>
      <c r="J204" s="19"/>
    </row>
    <row r="205" spans="1:10" x14ac:dyDescent="0.25">
      <c r="A205" s="16" t="s">
        <v>1153</v>
      </c>
      <c r="B205" s="16" t="s">
        <v>180</v>
      </c>
      <c r="C205" s="16"/>
      <c r="D205" s="17">
        <v>23020.42</v>
      </c>
      <c r="E205" s="19"/>
      <c r="F205" s="19"/>
      <c r="G205" s="17">
        <v>48618.36</v>
      </c>
      <c r="H205" s="17">
        <v>20048.46</v>
      </c>
      <c r="I205" s="19"/>
      <c r="J205" s="17">
        <v>20761.439999999999</v>
      </c>
    </row>
    <row r="206" spans="1:10" x14ac:dyDescent="0.25">
      <c r="A206" s="16" t="s">
        <v>1153</v>
      </c>
      <c r="B206" s="16" t="s">
        <v>836</v>
      </c>
      <c r="C206" s="16" t="s">
        <v>244</v>
      </c>
      <c r="D206" s="17">
        <v>127095.83</v>
      </c>
      <c r="E206" s="17">
        <v>26113.4</v>
      </c>
      <c r="F206" s="17">
        <v>21779.75</v>
      </c>
      <c r="G206" s="17">
        <v>127110.8</v>
      </c>
      <c r="H206" s="17">
        <v>317814.67</v>
      </c>
      <c r="I206" s="17">
        <v>228084.32</v>
      </c>
      <c r="J206" s="17">
        <v>127147.16</v>
      </c>
    </row>
    <row r="207" spans="1:10" x14ac:dyDescent="0.25">
      <c r="A207" s="16" t="s">
        <v>1153</v>
      </c>
      <c r="B207" s="16" t="s">
        <v>1485</v>
      </c>
      <c r="C207" s="16"/>
      <c r="D207" s="19"/>
      <c r="E207" s="19"/>
      <c r="F207" s="19"/>
      <c r="G207" s="19"/>
      <c r="H207" s="19"/>
      <c r="I207" s="19"/>
      <c r="J207" s="17">
        <v>77524.679999999993</v>
      </c>
    </row>
    <row r="208" spans="1:10" x14ac:dyDescent="0.25">
      <c r="A208" s="16" t="s">
        <v>1153</v>
      </c>
      <c r="B208" s="16" t="s">
        <v>181</v>
      </c>
      <c r="C208" s="16"/>
      <c r="D208" s="19"/>
      <c r="E208" s="19"/>
      <c r="F208" s="19"/>
      <c r="G208" s="19"/>
      <c r="H208" s="17">
        <v>24322</v>
      </c>
      <c r="I208" s="17">
        <v>49022</v>
      </c>
      <c r="J208" s="17">
        <v>23345</v>
      </c>
    </row>
    <row r="209" spans="1:10" x14ac:dyDescent="0.25">
      <c r="A209" s="16" t="s">
        <v>1153</v>
      </c>
      <c r="B209" s="16" t="s">
        <v>182</v>
      </c>
      <c r="C209" s="16"/>
      <c r="D209" s="17">
        <v>40286.199999999997</v>
      </c>
      <c r="E209" s="17">
        <v>60699.43</v>
      </c>
      <c r="F209" s="17">
        <v>109139.32</v>
      </c>
      <c r="G209" s="17">
        <v>140184.03</v>
      </c>
      <c r="H209" s="17">
        <v>95907.99</v>
      </c>
      <c r="I209" s="17">
        <v>36655.89</v>
      </c>
      <c r="J209" s="17">
        <v>55202.49</v>
      </c>
    </row>
    <row r="210" spans="1:10" x14ac:dyDescent="0.25">
      <c r="A210" s="16" t="s">
        <v>1153</v>
      </c>
      <c r="B210" s="16" t="s">
        <v>183</v>
      </c>
      <c r="C210" s="16"/>
      <c r="D210" s="17">
        <v>14889.05</v>
      </c>
      <c r="E210" s="19"/>
      <c r="F210" s="19"/>
      <c r="G210" s="19"/>
      <c r="H210" s="19"/>
      <c r="I210" s="19"/>
      <c r="J210" s="19"/>
    </row>
    <row r="211" spans="1:10" x14ac:dyDescent="0.25">
      <c r="A211" s="16" t="s">
        <v>1153</v>
      </c>
      <c r="B211" s="16" t="s">
        <v>184</v>
      </c>
      <c r="C211" s="16"/>
      <c r="D211" s="17">
        <v>30741.75</v>
      </c>
      <c r="E211" s="17">
        <v>81557.58</v>
      </c>
      <c r="F211" s="17">
        <v>36991.9</v>
      </c>
      <c r="G211" s="17">
        <v>84024.82</v>
      </c>
      <c r="H211" s="17">
        <v>173651.23</v>
      </c>
      <c r="I211" s="17">
        <v>57460.27</v>
      </c>
      <c r="J211" s="17">
        <v>161103.64000000001</v>
      </c>
    </row>
    <row r="212" spans="1:10" x14ac:dyDescent="0.25">
      <c r="A212" s="16" t="s">
        <v>1153</v>
      </c>
      <c r="B212" s="16" t="s">
        <v>839</v>
      </c>
      <c r="C212" s="16" t="s">
        <v>234</v>
      </c>
      <c r="D212" s="19"/>
      <c r="E212" s="19"/>
      <c r="F212" s="17">
        <v>100109.22</v>
      </c>
      <c r="G212" s="17">
        <v>46904.36</v>
      </c>
      <c r="H212" s="17">
        <v>48731.8</v>
      </c>
      <c r="I212" s="19"/>
      <c r="J212" s="19"/>
    </row>
    <row r="213" spans="1:10" x14ac:dyDescent="0.25">
      <c r="A213" s="16" t="s">
        <v>1153</v>
      </c>
      <c r="B213" s="16" t="s">
        <v>840</v>
      </c>
      <c r="C213" s="16" t="s">
        <v>204</v>
      </c>
      <c r="D213" s="19"/>
      <c r="E213" s="19"/>
      <c r="F213" s="17">
        <v>86677.25</v>
      </c>
      <c r="G213" s="17">
        <v>310608.71000000002</v>
      </c>
      <c r="H213" s="19"/>
      <c r="I213" s="17">
        <v>109738.36</v>
      </c>
      <c r="J213" s="17">
        <v>146591.25</v>
      </c>
    </row>
    <row r="214" spans="1:10" x14ac:dyDescent="0.25">
      <c r="A214" s="16" t="s">
        <v>1153</v>
      </c>
      <c r="B214" s="16" t="s">
        <v>1294</v>
      </c>
      <c r="C214" s="16"/>
      <c r="D214" s="19"/>
      <c r="E214" s="19"/>
      <c r="F214" s="19"/>
      <c r="G214" s="17">
        <v>43917.71</v>
      </c>
      <c r="H214" s="19"/>
      <c r="I214" s="19"/>
      <c r="J214" s="19"/>
    </row>
    <row r="215" spans="1:10" x14ac:dyDescent="0.25">
      <c r="A215" s="16" t="s">
        <v>1153</v>
      </c>
      <c r="B215" s="16" t="s">
        <v>842</v>
      </c>
      <c r="C215" s="16" t="s">
        <v>230</v>
      </c>
      <c r="D215" s="17">
        <v>55752.47</v>
      </c>
      <c r="E215" s="17">
        <v>63177.34</v>
      </c>
      <c r="F215" s="17">
        <v>102340.15</v>
      </c>
      <c r="G215" s="17">
        <v>229441.05</v>
      </c>
      <c r="H215" s="17">
        <v>120708.07</v>
      </c>
      <c r="I215" s="17">
        <v>138561.16</v>
      </c>
      <c r="J215" s="17">
        <v>49099.55</v>
      </c>
    </row>
    <row r="216" spans="1:10" x14ac:dyDescent="0.25">
      <c r="A216" s="16" t="s">
        <v>1153</v>
      </c>
      <c r="B216" s="16" t="s">
        <v>185</v>
      </c>
      <c r="C216" s="16"/>
      <c r="D216" s="19"/>
      <c r="E216" s="19"/>
      <c r="F216" s="19"/>
      <c r="G216" s="19"/>
      <c r="H216" s="19"/>
      <c r="I216" s="17">
        <v>130003.54</v>
      </c>
      <c r="J216" s="19"/>
    </row>
    <row r="217" spans="1:10" x14ac:dyDescent="0.25">
      <c r="A217" s="16" t="s">
        <v>1153</v>
      </c>
      <c r="B217" s="16" t="s">
        <v>1414</v>
      </c>
      <c r="C217" s="16"/>
      <c r="D217" s="19"/>
      <c r="E217" s="19"/>
      <c r="F217" s="19"/>
      <c r="G217" s="19"/>
      <c r="H217" s="19"/>
      <c r="I217" s="17">
        <v>34341.019999999997</v>
      </c>
      <c r="J217" s="19"/>
    </row>
    <row r="218" spans="1:10" x14ac:dyDescent="0.25">
      <c r="A218" s="16" t="s">
        <v>1153</v>
      </c>
      <c r="B218" s="16" t="s">
        <v>843</v>
      </c>
      <c r="C218" s="16"/>
      <c r="D218" s="19"/>
      <c r="E218" s="17">
        <v>523847.52</v>
      </c>
      <c r="F218" s="17">
        <v>137744.75</v>
      </c>
      <c r="G218" s="19"/>
      <c r="H218" s="17">
        <v>224180.55</v>
      </c>
      <c r="I218" s="17">
        <v>157601.60000000001</v>
      </c>
      <c r="J218" s="17">
        <v>217206.53</v>
      </c>
    </row>
    <row r="219" spans="1:10" x14ac:dyDescent="0.25">
      <c r="A219" s="16" t="s">
        <v>1153</v>
      </c>
      <c r="B219" s="16" t="s">
        <v>186</v>
      </c>
      <c r="C219" s="16"/>
      <c r="D219" s="19"/>
      <c r="E219" s="19"/>
      <c r="F219" s="19"/>
      <c r="G219" s="19"/>
      <c r="H219" s="17">
        <v>141438.93</v>
      </c>
      <c r="I219" s="19"/>
      <c r="J219" s="19"/>
    </row>
    <row r="220" spans="1:10" x14ac:dyDescent="0.25">
      <c r="A220" s="16" t="s">
        <v>1153</v>
      </c>
      <c r="B220" s="16" t="s">
        <v>187</v>
      </c>
      <c r="C220" s="16"/>
      <c r="D220" s="19"/>
      <c r="E220" s="17">
        <v>125426.91</v>
      </c>
      <c r="F220" s="17">
        <v>39895.39</v>
      </c>
      <c r="G220" s="17">
        <v>73828.89</v>
      </c>
      <c r="H220" s="19"/>
      <c r="I220" s="17">
        <v>34537.589999999997</v>
      </c>
      <c r="J220" s="17">
        <v>99466.8</v>
      </c>
    </row>
    <row r="221" spans="1:10" x14ac:dyDescent="0.25">
      <c r="A221" s="16" t="s">
        <v>1153</v>
      </c>
      <c r="B221" s="16" t="s">
        <v>188</v>
      </c>
      <c r="C221" s="16"/>
      <c r="D221" s="19"/>
      <c r="E221" s="19"/>
      <c r="F221" s="17">
        <v>71100.11</v>
      </c>
      <c r="G221" s="19"/>
      <c r="H221" s="19"/>
      <c r="I221" s="19"/>
      <c r="J221" s="19"/>
    </row>
    <row r="222" spans="1:10" x14ac:dyDescent="0.25">
      <c r="A222" s="16" t="s">
        <v>1153</v>
      </c>
      <c r="B222" s="16" t="s">
        <v>189</v>
      </c>
      <c r="C222" s="16"/>
      <c r="D222" s="19"/>
      <c r="E222" s="17">
        <v>181674.53</v>
      </c>
      <c r="F222" s="17">
        <v>103043.76</v>
      </c>
      <c r="G222" s="17">
        <v>203910.76</v>
      </c>
      <c r="H222" s="17">
        <v>178563.26</v>
      </c>
      <c r="I222" s="17">
        <v>338279.19</v>
      </c>
      <c r="J222" s="17">
        <v>161234.66</v>
      </c>
    </row>
    <row r="223" spans="1:10" x14ac:dyDescent="0.25">
      <c r="A223" s="16" t="s">
        <v>1153</v>
      </c>
      <c r="B223" s="16" t="s">
        <v>190</v>
      </c>
      <c r="C223" s="16"/>
      <c r="D223" s="19"/>
      <c r="E223" s="17">
        <v>35183.61</v>
      </c>
      <c r="F223" s="19"/>
      <c r="G223" s="19"/>
      <c r="H223" s="19"/>
      <c r="I223" s="17">
        <v>40939.67</v>
      </c>
      <c r="J223" s="19"/>
    </row>
    <row r="224" spans="1:10" x14ac:dyDescent="0.25">
      <c r="A224" s="16" t="s">
        <v>1153</v>
      </c>
      <c r="B224" s="16" t="s">
        <v>1343</v>
      </c>
      <c r="C224" s="16"/>
      <c r="D224" s="19"/>
      <c r="E224" s="19"/>
      <c r="F224" s="19"/>
      <c r="G224" s="19"/>
      <c r="H224" s="17">
        <v>32962.730000000003</v>
      </c>
      <c r="I224" s="19"/>
      <c r="J224" s="19"/>
    </row>
    <row r="225" spans="1:10" x14ac:dyDescent="0.25">
      <c r="A225" s="16" t="s">
        <v>1153</v>
      </c>
      <c r="B225" s="16" t="s">
        <v>191</v>
      </c>
      <c r="C225" s="16"/>
      <c r="D225" s="17">
        <v>31890.81</v>
      </c>
      <c r="E225" s="19"/>
      <c r="F225" s="19"/>
      <c r="G225" s="19"/>
      <c r="H225" s="17">
        <v>177336.42</v>
      </c>
      <c r="I225" s="19"/>
      <c r="J225" s="19"/>
    </row>
    <row r="226" spans="1:10" x14ac:dyDescent="0.25">
      <c r="A226" s="16" t="s">
        <v>1153</v>
      </c>
      <c r="B226" s="16" t="s">
        <v>1248</v>
      </c>
      <c r="C226" s="16"/>
      <c r="D226" s="17">
        <v>142643.03</v>
      </c>
      <c r="E226" s="17">
        <v>39690.83</v>
      </c>
      <c r="F226" s="19"/>
      <c r="G226" s="17">
        <v>238996.53</v>
      </c>
      <c r="H226" s="17">
        <v>258576.39</v>
      </c>
      <c r="I226" s="17">
        <v>79602.19</v>
      </c>
      <c r="J226" s="17">
        <v>59626.74</v>
      </c>
    </row>
    <row r="227" spans="1:10" x14ac:dyDescent="0.25">
      <c r="A227" s="16" t="s">
        <v>1153</v>
      </c>
      <c r="B227" s="16" t="s">
        <v>1415</v>
      </c>
      <c r="C227" s="16"/>
      <c r="D227" s="19"/>
      <c r="E227" s="19"/>
      <c r="F227" s="19"/>
      <c r="G227" s="19"/>
      <c r="H227" s="19"/>
      <c r="I227" s="17">
        <v>17200.37</v>
      </c>
      <c r="J227" s="19"/>
    </row>
    <row r="228" spans="1:10" x14ac:dyDescent="0.25">
      <c r="A228" s="16" t="s">
        <v>1153</v>
      </c>
      <c r="B228" s="16" t="s">
        <v>1154</v>
      </c>
      <c r="C228" s="16"/>
      <c r="D228" s="19"/>
      <c r="E228" s="17">
        <v>24896.21</v>
      </c>
      <c r="F228" s="17">
        <v>102685.57</v>
      </c>
      <c r="G228" s="17">
        <v>153093.74</v>
      </c>
      <c r="H228" s="17">
        <v>230627.21</v>
      </c>
      <c r="I228" s="17">
        <v>66636.36</v>
      </c>
      <c r="J228" s="17">
        <v>51213.23</v>
      </c>
    </row>
    <row r="229" spans="1:10" x14ac:dyDescent="0.25">
      <c r="A229" s="16" t="s">
        <v>1153</v>
      </c>
      <c r="B229" s="16" t="s">
        <v>1155</v>
      </c>
      <c r="C229" s="16"/>
      <c r="D229" s="19"/>
      <c r="E229" s="17">
        <v>60668.4</v>
      </c>
      <c r="F229" s="19"/>
      <c r="G229" s="19"/>
      <c r="H229" s="19"/>
      <c r="I229" s="19"/>
      <c r="J229" s="17">
        <v>45703.77</v>
      </c>
    </row>
    <row r="230" spans="1:10" x14ac:dyDescent="0.25">
      <c r="A230" s="16" t="s">
        <v>1153</v>
      </c>
      <c r="B230" s="16" t="s">
        <v>1156</v>
      </c>
      <c r="C230" s="16" t="s">
        <v>885</v>
      </c>
      <c r="D230" s="19"/>
      <c r="E230" s="17">
        <v>2478.4899999999998</v>
      </c>
      <c r="F230" s="19"/>
      <c r="G230" s="19"/>
      <c r="H230" s="19"/>
      <c r="I230" s="19"/>
      <c r="J230" s="19"/>
    </row>
    <row r="231" spans="1:10" x14ac:dyDescent="0.25">
      <c r="A231" s="16" t="s">
        <v>1153</v>
      </c>
      <c r="B231" s="16" t="s">
        <v>192</v>
      </c>
      <c r="C231" s="16"/>
      <c r="D231" s="19"/>
      <c r="E231" s="17">
        <v>14558.65</v>
      </c>
      <c r="F231" s="19"/>
      <c r="G231" s="19"/>
      <c r="H231" s="17">
        <v>13578</v>
      </c>
      <c r="I231" s="17">
        <v>1560.38</v>
      </c>
      <c r="J231" s="17">
        <v>21338.29</v>
      </c>
    </row>
    <row r="232" spans="1:10" x14ac:dyDescent="0.25">
      <c r="A232" s="16" t="s">
        <v>1153</v>
      </c>
      <c r="B232" s="16" t="s">
        <v>849</v>
      </c>
      <c r="C232" s="16" t="s">
        <v>221</v>
      </c>
      <c r="D232" s="17">
        <v>40054.85</v>
      </c>
      <c r="E232" s="19"/>
      <c r="F232" s="17">
        <v>41873.99</v>
      </c>
      <c r="G232" s="19"/>
      <c r="H232" s="19"/>
      <c r="I232" s="19"/>
      <c r="J232" s="19"/>
    </row>
    <row r="233" spans="1:10" x14ac:dyDescent="0.25">
      <c r="A233" s="16" t="s">
        <v>1153</v>
      </c>
      <c r="B233" s="16" t="s">
        <v>850</v>
      </c>
      <c r="C233" s="16" t="s">
        <v>204</v>
      </c>
      <c r="D233" s="19"/>
      <c r="E233" s="19"/>
      <c r="F233" s="19"/>
      <c r="G233" s="19"/>
      <c r="H233" s="17">
        <v>172840.54</v>
      </c>
      <c r="I233" s="17">
        <v>75103.66</v>
      </c>
      <c r="J233" s="19"/>
    </row>
    <row r="234" spans="1:10" x14ac:dyDescent="0.25">
      <c r="A234" s="16" t="s">
        <v>1153</v>
      </c>
      <c r="B234" s="16" t="s">
        <v>1157</v>
      </c>
      <c r="C234" s="16" t="s">
        <v>235</v>
      </c>
      <c r="D234" s="17">
        <v>215311.34</v>
      </c>
      <c r="E234" s="19"/>
      <c r="F234" s="19"/>
      <c r="G234" s="19"/>
      <c r="H234" s="19"/>
      <c r="I234" s="19"/>
      <c r="J234" s="19"/>
    </row>
    <row r="235" spans="1:10" x14ac:dyDescent="0.25">
      <c r="A235" s="16" t="s">
        <v>1153</v>
      </c>
      <c r="B235" s="16" t="s">
        <v>194</v>
      </c>
      <c r="C235" s="16"/>
      <c r="D235" s="19"/>
      <c r="E235" s="19"/>
      <c r="F235" s="19"/>
      <c r="G235" s="19"/>
      <c r="H235" s="17">
        <v>72146</v>
      </c>
      <c r="I235" s="17">
        <v>70526</v>
      </c>
      <c r="J235" s="19"/>
    </row>
    <row r="236" spans="1:10" x14ac:dyDescent="0.25">
      <c r="A236" s="16" t="s">
        <v>1153</v>
      </c>
      <c r="B236" s="16" t="s">
        <v>195</v>
      </c>
      <c r="C236" s="16"/>
      <c r="D236" s="19"/>
      <c r="E236" s="19"/>
      <c r="F236" s="19"/>
      <c r="G236" s="17">
        <v>100560</v>
      </c>
      <c r="H236" s="19"/>
      <c r="I236" s="17">
        <v>69859.91</v>
      </c>
      <c r="J236" s="19"/>
    </row>
    <row r="237" spans="1:10" x14ac:dyDescent="0.25">
      <c r="A237" s="16" t="s">
        <v>1153</v>
      </c>
      <c r="B237" s="16" t="s">
        <v>196</v>
      </c>
      <c r="C237" s="16"/>
      <c r="D237" s="19"/>
      <c r="E237" s="19"/>
      <c r="F237" s="17">
        <v>25849.919999999998</v>
      </c>
      <c r="G237" s="17">
        <v>17555.080000000002</v>
      </c>
      <c r="H237" s="19"/>
      <c r="I237" s="17">
        <v>31345.64</v>
      </c>
      <c r="J237" s="19"/>
    </row>
    <row r="238" spans="1:10" x14ac:dyDescent="0.25">
      <c r="A238" s="16" t="s">
        <v>1153</v>
      </c>
      <c r="B238" s="16" t="s">
        <v>197</v>
      </c>
      <c r="C238" s="16"/>
      <c r="D238" s="19"/>
      <c r="E238" s="19"/>
      <c r="F238" s="17">
        <v>47675.360000000001</v>
      </c>
      <c r="G238" s="17">
        <v>27662.95</v>
      </c>
      <c r="H238" s="19"/>
      <c r="I238" s="19"/>
      <c r="J238" s="19"/>
    </row>
    <row r="239" spans="1:10" x14ac:dyDescent="0.25">
      <c r="A239" s="16" t="s">
        <v>1153</v>
      </c>
      <c r="B239" s="16" t="s">
        <v>1416</v>
      </c>
      <c r="C239" s="16"/>
      <c r="D239" s="19"/>
      <c r="E239" s="19"/>
      <c r="F239" s="19"/>
      <c r="G239" s="19"/>
      <c r="H239" s="19"/>
      <c r="I239" s="17">
        <v>86127.07</v>
      </c>
      <c r="J239" s="17">
        <v>104525.45</v>
      </c>
    </row>
    <row r="240" spans="1:10" x14ac:dyDescent="0.25">
      <c r="A240" s="16" t="s">
        <v>1153</v>
      </c>
      <c r="B240" s="16" t="s">
        <v>198</v>
      </c>
      <c r="C240" s="16"/>
      <c r="D240" s="19"/>
      <c r="E240" s="17">
        <v>70913.16</v>
      </c>
      <c r="F240" s="17">
        <v>25261.77</v>
      </c>
      <c r="G240" s="19"/>
      <c r="H240" s="19"/>
      <c r="I240" s="19"/>
      <c r="J240" s="19"/>
    </row>
    <row r="241" spans="1:10" x14ac:dyDescent="0.25">
      <c r="A241" s="16" t="s">
        <v>1153</v>
      </c>
      <c r="B241" s="16" t="s">
        <v>859</v>
      </c>
      <c r="C241" s="16" t="s">
        <v>229</v>
      </c>
      <c r="D241" s="19"/>
      <c r="E241" s="19"/>
      <c r="F241" s="19"/>
      <c r="G241" s="19"/>
      <c r="H241" s="17">
        <v>33899.96</v>
      </c>
      <c r="I241" s="19"/>
      <c r="J241" s="19"/>
    </row>
    <row r="242" spans="1:10" x14ac:dyDescent="0.25">
      <c r="A242" s="16" t="s">
        <v>1153</v>
      </c>
      <c r="B242" s="16" t="s">
        <v>199</v>
      </c>
      <c r="C242" s="16"/>
      <c r="D242" s="19"/>
      <c r="E242" s="17">
        <v>199126.85</v>
      </c>
      <c r="F242" s="17">
        <v>289825.19</v>
      </c>
      <c r="G242" s="17">
        <v>113616.31</v>
      </c>
      <c r="H242" s="19"/>
      <c r="I242" s="17">
        <v>212352.56</v>
      </c>
      <c r="J242" s="17">
        <v>216959.64</v>
      </c>
    </row>
    <row r="243" spans="1:10" x14ac:dyDescent="0.25">
      <c r="A243" s="16" t="s">
        <v>1153</v>
      </c>
      <c r="B243" s="16" t="s">
        <v>200</v>
      </c>
      <c r="C243" s="16"/>
      <c r="D243" s="19"/>
      <c r="E243" s="17">
        <v>25165.71</v>
      </c>
      <c r="F243" s="19"/>
      <c r="G243" s="19"/>
      <c r="H243" s="19"/>
      <c r="I243" s="19"/>
      <c r="J243" s="19"/>
    </row>
    <row r="244" spans="1:10" x14ac:dyDescent="0.25">
      <c r="A244" s="16" t="s">
        <v>1153</v>
      </c>
      <c r="B244" s="16" t="s">
        <v>202</v>
      </c>
      <c r="C244" s="16"/>
      <c r="D244" s="19"/>
      <c r="E244" s="17">
        <v>7771.94</v>
      </c>
      <c r="F244" s="19"/>
      <c r="G244" s="19"/>
      <c r="H244" s="19"/>
      <c r="I244" s="19"/>
      <c r="J244" s="19"/>
    </row>
    <row r="245" spans="1:10" ht="22.5" x14ac:dyDescent="0.25">
      <c r="A245" s="16" t="s">
        <v>1153</v>
      </c>
      <c r="B245" s="16" t="s">
        <v>1344</v>
      </c>
      <c r="C245" s="16" t="s">
        <v>216</v>
      </c>
      <c r="D245" s="19"/>
      <c r="E245" s="19"/>
      <c r="F245" s="19"/>
      <c r="G245" s="19"/>
      <c r="H245" s="17">
        <v>6787.37</v>
      </c>
      <c r="I245" s="19"/>
      <c r="J245" s="19"/>
    </row>
    <row r="246" spans="1:10" x14ac:dyDescent="0.25">
      <c r="A246" s="16" t="s">
        <v>1153</v>
      </c>
      <c r="B246" s="16" t="s">
        <v>203</v>
      </c>
      <c r="C246" s="16"/>
      <c r="D246" s="17">
        <v>195372.56</v>
      </c>
      <c r="E246" s="19"/>
      <c r="F246" s="19"/>
      <c r="G246" s="17">
        <v>15215.82</v>
      </c>
      <c r="H246" s="17">
        <v>199710.42</v>
      </c>
      <c r="I246" s="17">
        <v>103434.61</v>
      </c>
      <c r="J246" s="17">
        <v>25466.959999999999</v>
      </c>
    </row>
    <row r="247" spans="1:10" x14ac:dyDescent="0.25">
      <c r="A247" s="16" t="s">
        <v>1153</v>
      </c>
      <c r="B247" s="16" t="s">
        <v>863</v>
      </c>
      <c r="C247" s="16" t="s">
        <v>243</v>
      </c>
      <c r="D247" s="19"/>
      <c r="E247" s="19"/>
      <c r="F247" s="17">
        <v>30272.69</v>
      </c>
      <c r="G247" s="19"/>
      <c r="H247" s="17">
        <v>79930.100000000006</v>
      </c>
      <c r="I247" s="19"/>
      <c r="J247" s="17">
        <v>110041.63</v>
      </c>
    </row>
    <row r="248" spans="1:10" x14ac:dyDescent="0.25">
      <c r="A248" s="16" t="s">
        <v>1153</v>
      </c>
      <c r="B248" s="16" t="s">
        <v>204</v>
      </c>
      <c r="C248" s="16"/>
      <c r="D248" s="19"/>
      <c r="E248" s="17">
        <v>73556.77</v>
      </c>
      <c r="F248" s="19"/>
      <c r="G248" s="19"/>
      <c r="H248" s="19"/>
      <c r="I248" s="19"/>
      <c r="J248" s="19"/>
    </row>
    <row r="249" spans="1:10" x14ac:dyDescent="0.25">
      <c r="A249" s="16" t="s">
        <v>1153</v>
      </c>
      <c r="B249" s="16" t="s">
        <v>205</v>
      </c>
      <c r="C249" s="16"/>
      <c r="D249" s="17">
        <v>29716</v>
      </c>
      <c r="E249" s="17">
        <v>30991</v>
      </c>
      <c r="F249" s="17">
        <v>16408</v>
      </c>
      <c r="G249" s="17">
        <v>43572.42</v>
      </c>
      <c r="H249" s="17">
        <v>81172</v>
      </c>
      <c r="I249" s="17">
        <v>51858</v>
      </c>
      <c r="J249" s="17">
        <v>52716</v>
      </c>
    </row>
    <row r="250" spans="1:10" x14ac:dyDescent="0.25">
      <c r="A250" s="16" t="s">
        <v>1153</v>
      </c>
      <c r="B250" s="16" t="s">
        <v>206</v>
      </c>
      <c r="C250" s="16"/>
      <c r="D250" s="19"/>
      <c r="E250" s="17">
        <v>51569.19</v>
      </c>
      <c r="F250" s="19"/>
      <c r="G250" s="19"/>
      <c r="H250" s="19"/>
      <c r="I250" s="19"/>
      <c r="J250" s="19"/>
    </row>
    <row r="251" spans="1:10" x14ac:dyDescent="0.25">
      <c r="A251" s="16" t="s">
        <v>1153</v>
      </c>
      <c r="B251" s="16" t="s">
        <v>207</v>
      </c>
      <c r="C251" s="16"/>
      <c r="D251" s="19"/>
      <c r="E251" s="17">
        <v>28307.87</v>
      </c>
      <c r="F251" s="17">
        <v>44747.88</v>
      </c>
      <c r="G251" s="17">
        <v>82450.2</v>
      </c>
      <c r="H251" s="17">
        <v>35653.79</v>
      </c>
      <c r="I251" s="17">
        <v>33140.46</v>
      </c>
      <c r="J251" s="17">
        <v>41283.56</v>
      </c>
    </row>
    <row r="252" spans="1:10" x14ac:dyDescent="0.25">
      <c r="A252" s="16" t="s">
        <v>1153</v>
      </c>
      <c r="B252" s="16" t="s">
        <v>208</v>
      </c>
      <c r="C252" s="16"/>
      <c r="D252" s="19"/>
      <c r="E252" s="19"/>
      <c r="F252" s="19"/>
      <c r="G252" s="19"/>
      <c r="H252" s="17">
        <v>76640.45</v>
      </c>
      <c r="I252" s="19"/>
      <c r="J252" s="19"/>
    </row>
    <row r="253" spans="1:10" x14ac:dyDescent="0.25">
      <c r="A253" s="16" t="s">
        <v>1153</v>
      </c>
      <c r="B253" s="16" t="s">
        <v>1345</v>
      </c>
      <c r="C253" s="16"/>
      <c r="D253" s="19"/>
      <c r="E253" s="19"/>
      <c r="F253" s="19"/>
      <c r="G253" s="19"/>
      <c r="H253" s="17">
        <v>19047.2</v>
      </c>
      <c r="I253" s="19"/>
      <c r="J253" s="19"/>
    </row>
    <row r="254" spans="1:10" x14ac:dyDescent="0.25">
      <c r="A254" s="16" t="s">
        <v>1153</v>
      </c>
      <c r="B254" s="16" t="s">
        <v>1234</v>
      </c>
      <c r="C254" s="16"/>
      <c r="D254" s="19"/>
      <c r="E254" s="17">
        <v>30846.68</v>
      </c>
      <c r="F254" s="17">
        <v>27371.42</v>
      </c>
      <c r="G254" s="19"/>
      <c r="H254" s="17">
        <v>33635.15</v>
      </c>
      <c r="I254" s="19"/>
      <c r="J254" s="19"/>
    </row>
    <row r="255" spans="1:10" x14ac:dyDescent="0.25">
      <c r="A255" s="16" t="s">
        <v>1153</v>
      </c>
      <c r="B255" s="16" t="s">
        <v>211</v>
      </c>
      <c r="C255" s="16"/>
      <c r="D255" s="19"/>
      <c r="E255" s="17">
        <v>15961.99</v>
      </c>
      <c r="F255" s="19"/>
      <c r="G255" s="19"/>
      <c r="H255" s="19"/>
      <c r="I255" s="19"/>
      <c r="J255" s="19"/>
    </row>
    <row r="256" spans="1:10" x14ac:dyDescent="0.25">
      <c r="A256" s="16" t="s">
        <v>1153</v>
      </c>
      <c r="B256" s="16" t="s">
        <v>212</v>
      </c>
      <c r="C256" s="16"/>
      <c r="D256" s="19"/>
      <c r="E256" s="19"/>
      <c r="F256" s="19"/>
      <c r="G256" s="19"/>
      <c r="H256" s="17">
        <v>4279.24</v>
      </c>
      <c r="I256" s="17">
        <v>2736.84</v>
      </c>
      <c r="J256" s="19"/>
    </row>
    <row r="257" spans="1:10" x14ac:dyDescent="0.25">
      <c r="A257" s="16" t="s">
        <v>1153</v>
      </c>
      <c r="B257" s="16" t="s">
        <v>872</v>
      </c>
      <c r="C257" s="16" t="s">
        <v>204</v>
      </c>
      <c r="D257" s="19"/>
      <c r="E257" s="17">
        <v>34190.230000000003</v>
      </c>
      <c r="F257" s="17">
        <v>156918.32999999999</v>
      </c>
      <c r="G257" s="17">
        <v>90423.2</v>
      </c>
      <c r="H257" s="17">
        <v>185273.05</v>
      </c>
      <c r="I257" s="19"/>
      <c r="J257" s="19"/>
    </row>
    <row r="258" spans="1:10" x14ac:dyDescent="0.25">
      <c r="A258" s="16" t="s">
        <v>1153</v>
      </c>
      <c r="B258" s="16" t="s">
        <v>213</v>
      </c>
      <c r="C258" s="16"/>
      <c r="D258" s="19"/>
      <c r="E258" s="19"/>
      <c r="F258" s="19"/>
      <c r="G258" s="19"/>
      <c r="H258" s="17">
        <v>56626.22</v>
      </c>
      <c r="I258" s="17">
        <v>62157.93</v>
      </c>
      <c r="J258" s="17">
        <v>53253.79</v>
      </c>
    </row>
    <row r="259" spans="1:10" x14ac:dyDescent="0.25">
      <c r="A259" s="16" t="s">
        <v>1153</v>
      </c>
      <c r="B259" s="16" t="s">
        <v>214</v>
      </c>
      <c r="C259" s="16"/>
      <c r="D259" s="19"/>
      <c r="E259" s="19"/>
      <c r="F259" s="17">
        <v>28856.45</v>
      </c>
      <c r="G259" s="19"/>
      <c r="H259" s="17">
        <v>115068.22</v>
      </c>
      <c r="I259" s="19"/>
      <c r="J259" s="17">
        <v>90657.07</v>
      </c>
    </row>
    <row r="260" spans="1:10" x14ac:dyDescent="0.25">
      <c r="A260" s="16" t="s">
        <v>1153</v>
      </c>
      <c r="B260" s="16" t="s">
        <v>215</v>
      </c>
      <c r="C260" s="16"/>
      <c r="D260" s="17">
        <v>23107.25</v>
      </c>
      <c r="E260" s="17">
        <v>30014.28</v>
      </c>
      <c r="F260" s="17">
        <v>15313.87</v>
      </c>
      <c r="G260" s="17">
        <v>30489.8</v>
      </c>
      <c r="H260" s="19"/>
      <c r="I260" s="17">
        <v>24183.59</v>
      </c>
      <c r="J260" s="17">
        <v>24060.17</v>
      </c>
    </row>
    <row r="261" spans="1:10" x14ac:dyDescent="0.25">
      <c r="A261" s="16" t="s">
        <v>1153</v>
      </c>
      <c r="B261" s="16" t="s">
        <v>217</v>
      </c>
      <c r="C261" s="16"/>
      <c r="D261" s="17">
        <v>63492.59</v>
      </c>
      <c r="E261" s="17">
        <v>56667.69</v>
      </c>
      <c r="F261" s="19"/>
      <c r="G261" s="17">
        <v>240275.48</v>
      </c>
      <c r="H261" s="17">
        <v>54518.63</v>
      </c>
      <c r="I261" s="19"/>
      <c r="J261" s="17">
        <v>10669.7</v>
      </c>
    </row>
    <row r="262" spans="1:10" x14ac:dyDescent="0.25">
      <c r="A262" s="16" t="s">
        <v>1153</v>
      </c>
      <c r="B262" s="16" t="s">
        <v>875</v>
      </c>
      <c r="C262" s="16" t="s">
        <v>222</v>
      </c>
      <c r="D262" s="19"/>
      <c r="E262" s="17">
        <v>102791.12</v>
      </c>
      <c r="F262" s="17">
        <v>20199.12</v>
      </c>
      <c r="G262" s="17">
        <v>91094.31</v>
      </c>
      <c r="H262" s="17">
        <v>73718.63</v>
      </c>
      <c r="I262" s="17">
        <v>45142.16</v>
      </c>
      <c r="J262" s="17">
        <v>121713.72</v>
      </c>
    </row>
    <row r="263" spans="1:10" x14ac:dyDescent="0.25">
      <c r="A263" s="16" t="s">
        <v>1153</v>
      </c>
      <c r="B263" s="16" t="s">
        <v>218</v>
      </c>
      <c r="C263" s="16"/>
      <c r="D263" s="17">
        <v>8673.6</v>
      </c>
      <c r="E263" s="19"/>
      <c r="F263" s="17">
        <v>66831.09</v>
      </c>
      <c r="G263" s="17">
        <v>20991.53</v>
      </c>
      <c r="H263" s="17">
        <v>84576.73</v>
      </c>
      <c r="I263" s="17">
        <v>149153.35999999999</v>
      </c>
      <c r="J263" s="19"/>
    </row>
    <row r="264" spans="1:10" x14ac:dyDescent="0.25">
      <c r="A264" s="16" t="s">
        <v>1153</v>
      </c>
      <c r="B264" s="16" t="s">
        <v>219</v>
      </c>
      <c r="C264" s="16"/>
      <c r="D264" s="17">
        <v>38714.720000000001</v>
      </c>
      <c r="E264" s="19"/>
      <c r="F264" s="19"/>
      <c r="G264" s="19"/>
      <c r="H264" s="17">
        <v>185815.54</v>
      </c>
      <c r="I264" s="17">
        <v>124147.58</v>
      </c>
      <c r="J264" s="17">
        <v>74826.02</v>
      </c>
    </row>
    <row r="265" spans="1:10" x14ac:dyDescent="0.25">
      <c r="A265" s="16" t="s">
        <v>1153</v>
      </c>
      <c r="B265" s="16" t="s">
        <v>220</v>
      </c>
      <c r="C265" s="16"/>
      <c r="D265" s="19"/>
      <c r="E265" s="17">
        <v>216408.21</v>
      </c>
      <c r="F265" s="17">
        <v>119814.67</v>
      </c>
      <c r="G265" s="17">
        <v>155927.48000000001</v>
      </c>
      <c r="H265" s="17">
        <v>118569.29</v>
      </c>
      <c r="I265" s="17">
        <v>214810.53</v>
      </c>
      <c r="J265" s="19"/>
    </row>
    <row r="266" spans="1:10" x14ac:dyDescent="0.25">
      <c r="A266" s="16" t="s">
        <v>1153</v>
      </c>
      <c r="B266" s="16" t="s">
        <v>877</v>
      </c>
      <c r="C266" s="16" t="s">
        <v>246</v>
      </c>
      <c r="D266" s="19"/>
      <c r="E266" s="19"/>
      <c r="F266" s="19"/>
      <c r="G266" s="17">
        <v>46940.67</v>
      </c>
      <c r="H266" s="19"/>
      <c r="I266" s="17">
        <v>21576</v>
      </c>
      <c r="J266" s="19"/>
    </row>
    <row r="267" spans="1:10" x14ac:dyDescent="0.25">
      <c r="A267" s="16" t="s">
        <v>1153</v>
      </c>
      <c r="B267" s="16" t="s">
        <v>880</v>
      </c>
      <c r="C267" s="16" t="s">
        <v>210</v>
      </c>
      <c r="D267" s="17">
        <v>54108.02</v>
      </c>
      <c r="E267" s="19"/>
      <c r="F267" s="17">
        <v>19165</v>
      </c>
      <c r="G267" s="17">
        <v>14735</v>
      </c>
      <c r="H267" s="17">
        <v>26617.279999999999</v>
      </c>
      <c r="I267" s="17">
        <v>77179.63</v>
      </c>
      <c r="J267" s="17">
        <v>33521</v>
      </c>
    </row>
    <row r="268" spans="1:10" x14ac:dyDescent="0.25">
      <c r="A268" s="16" t="s">
        <v>1153</v>
      </c>
      <c r="B268" s="16" t="s">
        <v>1235</v>
      </c>
      <c r="C268" s="16"/>
      <c r="D268" s="17">
        <v>56096.39</v>
      </c>
      <c r="E268" s="19"/>
      <c r="F268" s="17">
        <v>52167.24</v>
      </c>
      <c r="G268" s="19"/>
      <c r="H268" s="17">
        <v>18203.580000000002</v>
      </c>
      <c r="I268" s="19"/>
      <c r="J268" s="19"/>
    </row>
    <row r="269" spans="1:10" x14ac:dyDescent="0.25">
      <c r="A269" s="16" t="s">
        <v>1153</v>
      </c>
      <c r="B269" s="16" t="s">
        <v>882</v>
      </c>
      <c r="C269" s="16" t="s">
        <v>204</v>
      </c>
      <c r="D269" s="17">
        <v>41365.75</v>
      </c>
      <c r="E269" s="19"/>
      <c r="F269" s="19"/>
      <c r="G269" s="19"/>
      <c r="H269" s="19"/>
      <c r="I269" s="19"/>
      <c r="J269" s="17">
        <v>150743.39000000001</v>
      </c>
    </row>
    <row r="270" spans="1:10" x14ac:dyDescent="0.25">
      <c r="A270" s="16" t="s">
        <v>1153</v>
      </c>
      <c r="B270" s="16" t="s">
        <v>223</v>
      </c>
      <c r="C270" s="16"/>
      <c r="D270" s="17">
        <v>404931.07</v>
      </c>
      <c r="E270" s="17">
        <v>254540</v>
      </c>
      <c r="F270" s="17">
        <v>466021</v>
      </c>
      <c r="G270" s="17">
        <v>372834</v>
      </c>
      <c r="H270" s="17">
        <v>471150.22</v>
      </c>
      <c r="I270" s="17">
        <v>643279.62</v>
      </c>
      <c r="J270" s="17">
        <v>393867</v>
      </c>
    </row>
    <row r="271" spans="1:10" x14ac:dyDescent="0.25">
      <c r="A271" s="16" t="s">
        <v>1153</v>
      </c>
      <c r="B271" s="16" t="s">
        <v>885</v>
      </c>
      <c r="C271" s="16"/>
      <c r="D271" s="17">
        <v>17451.82</v>
      </c>
      <c r="E271" s="19"/>
      <c r="F271" s="19"/>
      <c r="G271" s="19"/>
      <c r="H271" s="19"/>
      <c r="I271" s="19"/>
      <c r="J271" s="19"/>
    </row>
    <row r="272" spans="1:10" x14ac:dyDescent="0.25">
      <c r="A272" s="16" t="s">
        <v>1153</v>
      </c>
      <c r="B272" s="16" t="s">
        <v>224</v>
      </c>
      <c r="C272" s="16"/>
      <c r="D272" s="17">
        <v>50210.17</v>
      </c>
      <c r="E272" s="17">
        <v>171243.59</v>
      </c>
      <c r="F272" s="17">
        <v>119420</v>
      </c>
      <c r="G272" s="17">
        <v>57647.94</v>
      </c>
      <c r="H272" s="19"/>
      <c r="I272" s="17">
        <v>109594.14</v>
      </c>
      <c r="J272" s="17">
        <v>726531.73</v>
      </c>
    </row>
    <row r="273" spans="1:10" x14ac:dyDescent="0.25">
      <c r="A273" s="16" t="s">
        <v>1153</v>
      </c>
      <c r="B273" s="16" t="s">
        <v>225</v>
      </c>
      <c r="C273" s="16"/>
      <c r="D273" s="19"/>
      <c r="E273" s="17">
        <v>30688.11</v>
      </c>
      <c r="F273" s="19"/>
      <c r="G273" s="17">
        <v>12727.77</v>
      </c>
      <c r="H273" s="19"/>
      <c r="I273" s="17">
        <v>27454.15</v>
      </c>
      <c r="J273" s="19"/>
    </row>
    <row r="274" spans="1:10" x14ac:dyDescent="0.25">
      <c r="A274" s="16" t="s">
        <v>1153</v>
      </c>
      <c r="B274" s="16" t="s">
        <v>226</v>
      </c>
      <c r="C274" s="16"/>
      <c r="D274" s="17">
        <v>32926.86</v>
      </c>
      <c r="E274" s="19"/>
      <c r="F274" s="17">
        <v>19982.080000000002</v>
      </c>
      <c r="G274" s="17">
        <v>102997.56</v>
      </c>
      <c r="H274" s="17">
        <v>120056.48</v>
      </c>
      <c r="I274" s="19"/>
      <c r="J274" s="17">
        <v>25658.639999999999</v>
      </c>
    </row>
    <row r="275" spans="1:10" x14ac:dyDescent="0.25">
      <c r="A275" s="16" t="s">
        <v>1153</v>
      </c>
      <c r="B275" s="16" t="s">
        <v>1295</v>
      </c>
      <c r="C275" s="16" t="s">
        <v>1249</v>
      </c>
      <c r="D275" s="19"/>
      <c r="E275" s="19"/>
      <c r="F275" s="19"/>
      <c r="G275" s="17">
        <v>82692.399999999994</v>
      </c>
      <c r="H275" s="19"/>
      <c r="I275" s="17">
        <v>22055.22</v>
      </c>
      <c r="J275" s="19"/>
    </row>
    <row r="276" spans="1:10" x14ac:dyDescent="0.25">
      <c r="A276" s="16" t="s">
        <v>1153</v>
      </c>
      <c r="B276" s="16" t="s">
        <v>227</v>
      </c>
      <c r="C276" s="16"/>
      <c r="D276" s="19"/>
      <c r="E276" s="17">
        <v>149648.6</v>
      </c>
      <c r="F276" s="17">
        <v>93688.8</v>
      </c>
      <c r="G276" s="17">
        <v>61938.17</v>
      </c>
      <c r="H276" s="17">
        <v>35167.300000000003</v>
      </c>
      <c r="I276" s="17">
        <v>245462.86</v>
      </c>
      <c r="J276" s="19"/>
    </row>
    <row r="277" spans="1:10" x14ac:dyDescent="0.25">
      <c r="A277" s="16" t="s">
        <v>1153</v>
      </c>
      <c r="B277" s="16" t="s">
        <v>886</v>
      </c>
      <c r="C277" s="16" t="s">
        <v>214</v>
      </c>
      <c r="D277" s="19"/>
      <c r="E277" s="19"/>
      <c r="F277" s="17">
        <v>30516.98</v>
      </c>
      <c r="G277" s="19"/>
      <c r="H277" s="17">
        <v>38142.839999999997</v>
      </c>
      <c r="I277" s="19"/>
      <c r="J277" s="17">
        <v>6170.3</v>
      </c>
    </row>
    <row r="278" spans="1:10" x14ac:dyDescent="0.25">
      <c r="A278" s="16" t="s">
        <v>1153</v>
      </c>
      <c r="B278" s="16" t="s">
        <v>228</v>
      </c>
      <c r="C278" s="16"/>
      <c r="D278" s="19"/>
      <c r="E278" s="19"/>
      <c r="F278" s="19"/>
      <c r="G278" s="17">
        <v>8606.2199999999993</v>
      </c>
      <c r="H278" s="19"/>
      <c r="I278" s="19"/>
      <c r="J278" s="19"/>
    </row>
    <row r="279" spans="1:10" x14ac:dyDescent="0.25">
      <c r="A279" s="16" t="s">
        <v>1153</v>
      </c>
      <c r="B279" s="16" t="s">
        <v>887</v>
      </c>
      <c r="C279" s="16" t="s">
        <v>177</v>
      </c>
      <c r="D279" s="19"/>
      <c r="E279" s="19"/>
      <c r="F279" s="17">
        <v>154224.59</v>
      </c>
      <c r="G279" s="17">
        <v>152522.4</v>
      </c>
      <c r="H279" s="17">
        <v>181519.05</v>
      </c>
      <c r="I279" s="17">
        <v>230285.91</v>
      </c>
      <c r="J279" s="17">
        <v>133450.34</v>
      </c>
    </row>
    <row r="280" spans="1:10" x14ac:dyDescent="0.25">
      <c r="A280" s="16" t="s">
        <v>1153</v>
      </c>
      <c r="B280" s="16" t="s">
        <v>229</v>
      </c>
      <c r="C280" s="16"/>
      <c r="D280" s="19"/>
      <c r="E280" s="19"/>
      <c r="F280" s="19"/>
      <c r="G280" s="17">
        <v>65441.79</v>
      </c>
      <c r="H280" s="19"/>
      <c r="I280" s="17">
        <v>66908.56</v>
      </c>
      <c r="J280" s="19"/>
    </row>
    <row r="281" spans="1:10" x14ac:dyDescent="0.25">
      <c r="A281" s="16" t="s">
        <v>1153</v>
      </c>
      <c r="B281" s="16" t="s">
        <v>230</v>
      </c>
      <c r="C281" s="16"/>
      <c r="D281" s="19"/>
      <c r="E281" s="17">
        <v>32623.18</v>
      </c>
      <c r="F281" s="17">
        <v>48139.08</v>
      </c>
      <c r="G281" s="17">
        <v>12267.88</v>
      </c>
      <c r="H281" s="17">
        <v>91770.15</v>
      </c>
      <c r="I281" s="17">
        <v>49047.96</v>
      </c>
      <c r="J281" s="17">
        <v>7843.6</v>
      </c>
    </row>
    <row r="282" spans="1:10" x14ac:dyDescent="0.25">
      <c r="A282" s="16" t="s">
        <v>1153</v>
      </c>
      <c r="B282" s="16" t="s">
        <v>1296</v>
      </c>
      <c r="C282" s="16" t="s">
        <v>1297</v>
      </c>
      <c r="D282" s="19"/>
      <c r="E282" s="19"/>
      <c r="F282" s="19"/>
      <c r="G282" s="17">
        <v>20846.88</v>
      </c>
      <c r="H282" s="17">
        <v>23671.35</v>
      </c>
      <c r="I282" s="17">
        <v>95981.75</v>
      </c>
      <c r="J282" s="17">
        <v>9149.0300000000007</v>
      </c>
    </row>
    <row r="283" spans="1:10" x14ac:dyDescent="0.25">
      <c r="A283" s="16" t="s">
        <v>1153</v>
      </c>
      <c r="B283" s="16" t="s">
        <v>231</v>
      </c>
      <c r="C283" s="16"/>
      <c r="D283" s="19"/>
      <c r="E283" s="19"/>
      <c r="F283" s="19"/>
      <c r="G283" s="17">
        <v>30344.84</v>
      </c>
      <c r="H283" s="17">
        <v>19543.169999999998</v>
      </c>
      <c r="I283" s="17">
        <v>6960.37</v>
      </c>
      <c r="J283" s="19"/>
    </row>
    <row r="284" spans="1:10" x14ac:dyDescent="0.25">
      <c r="A284" s="16" t="s">
        <v>1153</v>
      </c>
      <c r="B284" s="16" t="s">
        <v>1298</v>
      </c>
      <c r="C284" s="16"/>
      <c r="D284" s="19"/>
      <c r="E284" s="19"/>
      <c r="F284" s="19"/>
      <c r="G284" s="17">
        <v>41693.99</v>
      </c>
      <c r="H284" s="17">
        <v>55740.7</v>
      </c>
      <c r="I284" s="17">
        <v>29027.57</v>
      </c>
      <c r="J284" s="17">
        <v>132978.68</v>
      </c>
    </row>
    <row r="285" spans="1:10" x14ac:dyDescent="0.25">
      <c r="A285" s="16" t="s">
        <v>1153</v>
      </c>
      <c r="B285" s="16" t="s">
        <v>232</v>
      </c>
      <c r="C285" s="16"/>
      <c r="D285" s="19"/>
      <c r="E285" s="19"/>
      <c r="F285" s="19"/>
      <c r="G285" s="17">
        <v>52493.64</v>
      </c>
      <c r="H285" s="17">
        <v>46371.26</v>
      </c>
      <c r="I285" s="19"/>
      <c r="J285" s="17">
        <v>101685.82</v>
      </c>
    </row>
    <row r="286" spans="1:10" x14ac:dyDescent="0.25">
      <c r="A286" s="16" t="s">
        <v>1153</v>
      </c>
      <c r="B286" s="16" t="s">
        <v>893</v>
      </c>
      <c r="C286" s="16" t="s">
        <v>201</v>
      </c>
      <c r="D286" s="19"/>
      <c r="E286" s="19"/>
      <c r="F286" s="19"/>
      <c r="G286" s="19"/>
      <c r="H286" s="17">
        <v>13274.39</v>
      </c>
      <c r="I286" s="19"/>
      <c r="J286" s="19"/>
    </row>
    <row r="287" spans="1:10" x14ac:dyDescent="0.25">
      <c r="A287" s="16" t="s">
        <v>1153</v>
      </c>
      <c r="B287" s="16" t="s">
        <v>233</v>
      </c>
      <c r="C287" s="16"/>
      <c r="D287" s="19"/>
      <c r="E287" s="19"/>
      <c r="F287" s="17">
        <v>89276.82</v>
      </c>
      <c r="G287" s="19"/>
      <c r="H287" s="17">
        <v>52558.02</v>
      </c>
      <c r="I287" s="19"/>
      <c r="J287" s="17">
        <v>176382.01</v>
      </c>
    </row>
    <row r="288" spans="1:10" x14ac:dyDescent="0.25">
      <c r="A288" s="16" t="s">
        <v>1153</v>
      </c>
      <c r="B288" s="16" t="s">
        <v>234</v>
      </c>
      <c r="C288" s="16"/>
      <c r="D288" s="17">
        <v>78907.56</v>
      </c>
      <c r="E288" s="17">
        <v>263927.88</v>
      </c>
      <c r="F288" s="17">
        <v>250973.19</v>
      </c>
      <c r="G288" s="17">
        <v>340904.02</v>
      </c>
      <c r="H288" s="17">
        <v>214745.51</v>
      </c>
      <c r="I288" s="17">
        <v>270840.75</v>
      </c>
      <c r="J288" s="17">
        <v>268548.63</v>
      </c>
    </row>
    <row r="289" spans="1:10" x14ac:dyDescent="0.25">
      <c r="A289" s="16" t="s">
        <v>1153</v>
      </c>
      <c r="B289" s="16" t="s">
        <v>895</v>
      </c>
      <c r="C289" s="16" t="s">
        <v>179</v>
      </c>
      <c r="D289" s="19"/>
      <c r="E289" s="19"/>
      <c r="F289" s="17">
        <v>29090.71</v>
      </c>
      <c r="G289" s="17">
        <v>95065.86</v>
      </c>
      <c r="H289" s="17">
        <v>10518.54</v>
      </c>
      <c r="I289" s="17">
        <v>57117.35</v>
      </c>
      <c r="J289" s="19"/>
    </row>
    <row r="290" spans="1:10" x14ac:dyDescent="0.25">
      <c r="A290" s="16" t="s">
        <v>1153</v>
      </c>
      <c r="B290" s="16" t="s">
        <v>235</v>
      </c>
      <c r="C290" s="16"/>
      <c r="D290" s="17">
        <v>156635.51999999999</v>
      </c>
      <c r="E290" s="19"/>
      <c r="F290" s="17">
        <v>39317.480000000003</v>
      </c>
      <c r="G290" s="18">
        <v>-50.19</v>
      </c>
      <c r="H290" s="17">
        <v>97950.34</v>
      </c>
      <c r="I290" s="19"/>
      <c r="J290" s="19"/>
    </row>
    <row r="291" spans="1:10" x14ac:dyDescent="0.25">
      <c r="A291" s="16" t="s">
        <v>1153</v>
      </c>
      <c r="B291" s="16" t="s">
        <v>236</v>
      </c>
      <c r="C291" s="16"/>
      <c r="D291" s="19"/>
      <c r="E291" s="17">
        <v>91971.75</v>
      </c>
      <c r="F291" s="19"/>
      <c r="G291" s="19"/>
      <c r="H291" s="19"/>
      <c r="I291" s="19"/>
      <c r="J291" s="19"/>
    </row>
    <row r="292" spans="1:10" x14ac:dyDescent="0.25">
      <c r="A292" s="16" t="s">
        <v>1153</v>
      </c>
      <c r="B292" s="16" t="s">
        <v>237</v>
      </c>
      <c r="C292" s="16"/>
      <c r="D292" s="19"/>
      <c r="E292" s="19"/>
      <c r="F292" s="17">
        <v>28518</v>
      </c>
      <c r="G292" s="17">
        <v>15317.35</v>
      </c>
      <c r="H292" s="19"/>
      <c r="I292" s="19"/>
      <c r="J292" s="17">
        <v>51165.98</v>
      </c>
    </row>
    <row r="293" spans="1:10" x14ac:dyDescent="0.25">
      <c r="A293" s="16" t="s">
        <v>1153</v>
      </c>
      <c r="B293" s="16" t="s">
        <v>896</v>
      </c>
      <c r="C293" s="16" t="s">
        <v>203</v>
      </c>
      <c r="D293" s="17">
        <v>49499.199999999997</v>
      </c>
      <c r="E293" s="17">
        <v>37109.480000000003</v>
      </c>
      <c r="F293" s="19"/>
      <c r="G293" s="19"/>
      <c r="H293" s="17">
        <v>13078.35</v>
      </c>
      <c r="I293" s="19"/>
      <c r="J293" s="19"/>
    </row>
    <row r="294" spans="1:10" x14ac:dyDescent="0.25">
      <c r="A294" s="16" t="s">
        <v>1153</v>
      </c>
      <c r="B294" s="16" t="s">
        <v>238</v>
      </c>
      <c r="C294" s="16"/>
      <c r="D294" s="19"/>
      <c r="E294" s="19"/>
      <c r="F294" s="19"/>
      <c r="G294" s="17">
        <v>6740</v>
      </c>
      <c r="H294" s="19"/>
      <c r="I294" s="19"/>
      <c r="J294" s="17">
        <v>13239</v>
      </c>
    </row>
    <row r="295" spans="1:10" x14ac:dyDescent="0.25">
      <c r="A295" s="16" t="s">
        <v>1153</v>
      </c>
      <c r="B295" s="16" t="s">
        <v>897</v>
      </c>
      <c r="C295" s="16" t="s">
        <v>211</v>
      </c>
      <c r="D295" s="19"/>
      <c r="E295" s="17">
        <v>7948.9</v>
      </c>
      <c r="F295" s="19"/>
      <c r="G295" s="19"/>
      <c r="H295" s="17">
        <v>20846.259999999998</v>
      </c>
      <c r="I295" s="17">
        <v>39693.18</v>
      </c>
      <c r="J295" s="19"/>
    </row>
    <row r="296" spans="1:10" x14ac:dyDescent="0.25">
      <c r="A296" s="16" t="s">
        <v>1153</v>
      </c>
      <c r="B296" s="16" t="s">
        <v>240</v>
      </c>
      <c r="C296" s="16"/>
      <c r="D296" s="17">
        <v>136794.29999999999</v>
      </c>
      <c r="E296" s="17">
        <v>85865.3</v>
      </c>
      <c r="F296" s="17">
        <v>131708.44</v>
      </c>
      <c r="G296" s="17">
        <v>163447.85999999999</v>
      </c>
      <c r="H296" s="17">
        <v>83061.95</v>
      </c>
      <c r="I296" s="17">
        <v>477428.38</v>
      </c>
      <c r="J296" s="17">
        <v>496169.84</v>
      </c>
    </row>
    <row r="297" spans="1:10" x14ac:dyDescent="0.25">
      <c r="A297" s="16" t="s">
        <v>1153</v>
      </c>
      <c r="B297" s="16" t="s">
        <v>898</v>
      </c>
      <c r="C297" s="16" t="s">
        <v>209</v>
      </c>
      <c r="D297" s="19"/>
      <c r="E297" s="19"/>
      <c r="F297" s="17">
        <v>5708.34</v>
      </c>
      <c r="G297" s="19"/>
      <c r="H297" s="19"/>
      <c r="I297" s="19"/>
      <c r="J297" s="19"/>
    </row>
    <row r="298" spans="1:10" x14ac:dyDescent="0.25">
      <c r="A298" s="16" t="s">
        <v>1153</v>
      </c>
      <c r="B298" s="16" t="s">
        <v>241</v>
      </c>
      <c r="C298" s="16"/>
      <c r="D298" s="19"/>
      <c r="E298" s="17">
        <v>26023.13</v>
      </c>
      <c r="F298" s="19"/>
      <c r="G298" s="17">
        <v>57345.96</v>
      </c>
      <c r="H298" s="17">
        <v>14497.66</v>
      </c>
      <c r="I298" s="19"/>
      <c r="J298" s="19"/>
    </row>
    <row r="299" spans="1:10" x14ac:dyDescent="0.25">
      <c r="A299" s="16" t="s">
        <v>1153</v>
      </c>
      <c r="B299" s="16" t="s">
        <v>242</v>
      </c>
      <c r="C299" s="16"/>
      <c r="D299" s="19"/>
      <c r="E299" s="19"/>
      <c r="F299" s="17">
        <v>23735.03</v>
      </c>
      <c r="G299" s="19"/>
      <c r="H299" s="17">
        <v>33887.07</v>
      </c>
      <c r="I299" s="19"/>
      <c r="J299" s="19"/>
    </row>
    <row r="300" spans="1:10" x14ac:dyDescent="0.25">
      <c r="A300" s="16" t="s">
        <v>1153</v>
      </c>
      <c r="B300" s="16" t="s">
        <v>243</v>
      </c>
      <c r="C300" s="16"/>
      <c r="D300" s="17">
        <v>35013.39</v>
      </c>
      <c r="E300" s="17">
        <v>24779.439999999999</v>
      </c>
      <c r="F300" s="17">
        <v>35734.160000000003</v>
      </c>
      <c r="G300" s="17">
        <v>16481.689999999999</v>
      </c>
      <c r="H300" s="17">
        <v>24221.46</v>
      </c>
      <c r="I300" s="17">
        <v>132781.6</v>
      </c>
      <c r="J300" s="19"/>
    </row>
    <row r="301" spans="1:10" x14ac:dyDescent="0.25">
      <c r="A301" s="16" t="s">
        <v>1153</v>
      </c>
      <c r="B301" s="16" t="s">
        <v>1236</v>
      </c>
      <c r="C301" s="16" t="s">
        <v>188</v>
      </c>
      <c r="D301" s="17">
        <v>89539.520000000004</v>
      </c>
      <c r="E301" s="19"/>
      <c r="F301" s="19"/>
      <c r="G301" s="17">
        <v>259436.83</v>
      </c>
      <c r="H301" s="17">
        <v>220432.25</v>
      </c>
      <c r="I301" s="17">
        <v>144588.53</v>
      </c>
      <c r="J301" s="17">
        <v>259786.88</v>
      </c>
    </row>
    <row r="302" spans="1:10" x14ac:dyDescent="0.25">
      <c r="A302" s="16" t="s">
        <v>1153</v>
      </c>
      <c r="B302" s="16" t="s">
        <v>1484</v>
      </c>
      <c r="C302" s="16"/>
      <c r="D302" s="19"/>
      <c r="E302" s="19"/>
      <c r="F302" s="19"/>
      <c r="G302" s="19"/>
      <c r="H302" s="19"/>
      <c r="I302" s="19"/>
      <c r="J302" s="17">
        <v>232312.27</v>
      </c>
    </row>
    <row r="303" spans="1:10" x14ac:dyDescent="0.25">
      <c r="A303" s="16" t="s">
        <v>1153</v>
      </c>
      <c r="B303" s="16" t="s">
        <v>902</v>
      </c>
      <c r="C303" s="16" t="s">
        <v>193</v>
      </c>
      <c r="D303" s="19"/>
      <c r="E303" s="19"/>
      <c r="F303" s="17">
        <v>173606</v>
      </c>
      <c r="G303" s="19"/>
      <c r="H303" s="19"/>
      <c r="I303" s="19"/>
      <c r="J303" s="19"/>
    </row>
    <row r="304" spans="1:10" x14ac:dyDescent="0.25">
      <c r="A304" s="16" t="s">
        <v>1153</v>
      </c>
      <c r="B304" s="16" t="s">
        <v>903</v>
      </c>
      <c r="C304" s="16"/>
      <c r="D304" s="19"/>
      <c r="E304" s="17">
        <v>11024.69</v>
      </c>
      <c r="F304" s="19"/>
      <c r="G304" s="19"/>
      <c r="H304" s="19"/>
      <c r="I304" s="17">
        <v>12098.27</v>
      </c>
      <c r="J304" s="19"/>
    </row>
    <row r="305" spans="1:10" x14ac:dyDescent="0.25">
      <c r="A305" s="16" t="s">
        <v>1153</v>
      </c>
      <c r="B305" s="16" t="s">
        <v>245</v>
      </c>
      <c r="C305" s="16"/>
      <c r="D305" s="19"/>
      <c r="E305" s="19"/>
      <c r="F305" s="19"/>
      <c r="G305" s="19"/>
      <c r="H305" s="17">
        <v>76519.509999999995</v>
      </c>
      <c r="I305" s="17">
        <v>37053.68</v>
      </c>
      <c r="J305" s="17">
        <v>35090.15</v>
      </c>
    </row>
    <row r="306" spans="1:10" x14ac:dyDescent="0.25">
      <c r="A306" s="16" t="s">
        <v>1153</v>
      </c>
      <c r="B306" s="16" t="s">
        <v>905</v>
      </c>
      <c r="C306" s="16" t="s">
        <v>1483</v>
      </c>
      <c r="D306" s="19"/>
      <c r="E306" s="19"/>
      <c r="F306" s="17">
        <v>123578.24000000001</v>
      </c>
      <c r="G306" s="19"/>
      <c r="H306" s="19"/>
      <c r="I306" s="19"/>
      <c r="J306" s="19"/>
    </row>
    <row r="307" spans="1:10" x14ac:dyDescent="0.25">
      <c r="A307" s="16" t="s">
        <v>1153</v>
      </c>
      <c r="B307" s="16" t="s">
        <v>766</v>
      </c>
      <c r="C307" s="16" t="s">
        <v>1483</v>
      </c>
      <c r="D307" s="19"/>
      <c r="E307" s="19"/>
      <c r="F307" s="19"/>
      <c r="G307" s="19"/>
      <c r="H307" s="17">
        <v>88027.76</v>
      </c>
      <c r="I307" s="17">
        <v>101053.51</v>
      </c>
      <c r="J307" s="17">
        <v>65950.759999999995</v>
      </c>
    </row>
    <row r="308" spans="1:10" x14ac:dyDescent="0.25">
      <c r="A308" s="16" t="s">
        <v>1153</v>
      </c>
      <c r="B308" s="16" t="s">
        <v>908</v>
      </c>
      <c r="C308" s="16" t="s">
        <v>212</v>
      </c>
      <c r="D308" s="19"/>
      <c r="E308" s="19"/>
      <c r="F308" s="17">
        <v>10300.65</v>
      </c>
      <c r="G308" s="17">
        <v>54830.7</v>
      </c>
      <c r="H308" s="17">
        <v>61206.98</v>
      </c>
      <c r="I308" s="17">
        <v>113069.28</v>
      </c>
      <c r="J308" s="17">
        <v>203313.84</v>
      </c>
    </row>
    <row r="309" spans="1:10" x14ac:dyDescent="0.25">
      <c r="A309" s="16" t="s">
        <v>1153</v>
      </c>
      <c r="B309" s="16" t="s">
        <v>910</v>
      </c>
      <c r="C309" s="16"/>
      <c r="D309" s="17">
        <v>30370.03</v>
      </c>
      <c r="E309" s="19"/>
      <c r="F309" s="19"/>
      <c r="G309" s="19"/>
      <c r="H309" s="19"/>
      <c r="I309" s="19"/>
      <c r="J309" s="19"/>
    </row>
    <row r="310" spans="1:10" x14ac:dyDescent="0.25">
      <c r="A310" s="16" t="s">
        <v>1153</v>
      </c>
      <c r="B310" s="16" t="s">
        <v>247</v>
      </c>
      <c r="C310" s="16"/>
      <c r="D310" s="19"/>
      <c r="E310" s="17">
        <v>26393.31</v>
      </c>
      <c r="F310" s="17">
        <v>27241.15</v>
      </c>
      <c r="G310" s="17">
        <v>42924.09</v>
      </c>
      <c r="H310" s="17">
        <v>136497.81</v>
      </c>
      <c r="I310" s="17">
        <v>34534.25</v>
      </c>
      <c r="J310" s="17">
        <v>53093.94</v>
      </c>
    </row>
    <row r="311" spans="1:10" x14ac:dyDescent="0.25">
      <c r="A311" s="16" t="s">
        <v>1153</v>
      </c>
      <c r="B311" s="16" t="s">
        <v>248</v>
      </c>
      <c r="C311" s="16"/>
      <c r="D311" s="17">
        <v>230589.83</v>
      </c>
      <c r="E311" s="17">
        <v>236213.18</v>
      </c>
      <c r="F311" s="17">
        <v>250938.09</v>
      </c>
      <c r="G311" s="17">
        <v>163692.96</v>
      </c>
      <c r="H311" s="17">
        <v>417347.36</v>
      </c>
      <c r="I311" s="17">
        <v>282059.17</v>
      </c>
      <c r="J311" s="17">
        <v>311796.24</v>
      </c>
    </row>
    <row r="312" spans="1:10" x14ac:dyDescent="0.25">
      <c r="A312" s="16" t="s">
        <v>1153</v>
      </c>
      <c r="B312" s="16" t="s">
        <v>912</v>
      </c>
      <c r="C312" s="16" t="s">
        <v>221</v>
      </c>
      <c r="D312" s="17">
        <v>30067.9</v>
      </c>
      <c r="E312" s="19"/>
      <c r="F312" s="19"/>
      <c r="G312" s="17">
        <v>33228.92</v>
      </c>
      <c r="H312" s="19"/>
      <c r="I312" s="19"/>
      <c r="J312" s="19"/>
    </row>
    <row r="313" spans="1:10" x14ac:dyDescent="0.25">
      <c r="A313" s="16" t="s">
        <v>1153</v>
      </c>
      <c r="B313" s="16" t="s">
        <v>249</v>
      </c>
      <c r="C313" s="16"/>
      <c r="D313" s="17">
        <v>19746.32</v>
      </c>
      <c r="E313" s="17">
        <v>11327.98</v>
      </c>
      <c r="F313" s="17">
        <v>27026.05</v>
      </c>
      <c r="G313" s="17">
        <v>40016.370000000003</v>
      </c>
      <c r="H313" s="17">
        <v>16288.5</v>
      </c>
      <c r="I313" s="17">
        <v>30510.77</v>
      </c>
      <c r="J313" s="17">
        <v>10562.73</v>
      </c>
    </row>
    <row r="314" spans="1:10" x14ac:dyDescent="0.25">
      <c r="A314" s="16" t="s">
        <v>1153</v>
      </c>
      <c r="B314" s="16" t="s">
        <v>250</v>
      </c>
      <c r="C314" s="16"/>
      <c r="D314" s="19"/>
      <c r="E314" s="19"/>
      <c r="F314" s="19"/>
      <c r="G314" s="17">
        <v>50772.23</v>
      </c>
      <c r="H314" s="19"/>
      <c r="I314" s="17">
        <v>70892.350000000006</v>
      </c>
      <c r="J314" s="17">
        <v>82066.77</v>
      </c>
    </row>
    <row r="315" spans="1:10" x14ac:dyDescent="0.25">
      <c r="A315" s="16" t="s">
        <v>1153</v>
      </c>
      <c r="B315" s="16" t="s">
        <v>1299</v>
      </c>
      <c r="C315" s="16" t="s">
        <v>239</v>
      </c>
      <c r="D315" s="19"/>
      <c r="E315" s="19"/>
      <c r="F315" s="19"/>
      <c r="G315" s="17">
        <v>79325.399999999994</v>
      </c>
      <c r="H315" s="17">
        <v>8748.2000000000007</v>
      </c>
      <c r="I315" s="19"/>
      <c r="J315" s="19"/>
    </row>
    <row r="316" spans="1:10" x14ac:dyDescent="0.25">
      <c r="A316" s="16" t="s">
        <v>1153</v>
      </c>
      <c r="B316" s="16" t="s">
        <v>914</v>
      </c>
      <c r="C316" s="16" t="s">
        <v>239</v>
      </c>
      <c r="D316" s="17">
        <v>24436.73</v>
      </c>
      <c r="E316" s="19"/>
      <c r="F316" s="19"/>
      <c r="G316" s="19"/>
      <c r="H316" s="19"/>
      <c r="I316" s="19"/>
      <c r="J316" s="19"/>
    </row>
    <row r="317" spans="1:10" x14ac:dyDescent="0.25">
      <c r="A317" s="16" t="s">
        <v>1153</v>
      </c>
      <c r="B317" s="16" t="s">
        <v>1249</v>
      </c>
      <c r="C317" s="16"/>
      <c r="D317" s="19"/>
      <c r="E317" s="19"/>
      <c r="F317" s="17">
        <v>42975.18</v>
      </c>
      <c r="G317" s="19"/>
      <c r="H317" s="19"/>
      <c r="I317" s="19"/>
      <c r="J317" s="19"/>
    </row>
    <row r="318" spans="1:10" x14ac:dyDescent="0.25">
      <c r="A318" s="16" t="s">
        <v>1153</v>
      </c>
      <c r="B318" s="16" t="s">
        <v>916</v>
      </c>
      <c r="C318" s="16" t="s">
        <v>225</v>
      </c>
      <c r="D318" s="17">
        <v>31861.88</v>
      </c>
      <c r="E318" s="17">
        <v>24618.58</v>
      </c>
      <c r="F318" s="19"/>
      <c r="G318" s="17">
        <v>38731.230000000003</v>
      </c>
      <c r="H318" s="19"/>
      <c r="I318" s="19"/>
      <c r="J318" s="19"/>
    </row>
    <row r="319" spans="1:10" ht="22.5" x14ac:dyDescent="0.25">
      <c r="A319" s="16" t="s">
        <v>1153</v>
      </c>
      <c r="B319" s="16" t="s">
        <v>1158</v>
      </c>
      <c r="C319" s="16" t="s">
        <v>216</v>
      </c>
      <c r="D319" s="17">
        <v>64718.5</v>
      </c>
      <c r="E319" s="17">
        <v>33661.9</v>
      </c>
      <c r="F319" s="17">
        <v>146755.9</v>
      </c>
      <c r="G319" s="17">
        <v>47009.03</v>
      </c>
      <c r="H319" s="17">
        <v>128567.83</v>
      </c>
      <c r="I319" s="17">
        <v>489729.09</v>
      </c>
      <c r="J319" s="17">
        <v>240022.75</v>
      </c>
    </row>
    <row r="320" spans="1:10" x14ac:dyDescent="0.25">
      <c r="A320" s="16" t="s">
        <v>1153</v>
      </c>
      <c r="B320" s="16" t="s">
        <v>251</v>
      </c>
      <c r="C320" s="16"/>
      <c r="D320" s="17">
        <v>37977.49</v>
      </c>
      <c r="E320" s="17">
        <v>11134.55</v>
      </c>
      <c r="F320" s="17">
        <v>26095.87</v>
      </c>
      <c r="G320" s="19"/>
      <c r="H320" s="17">
        <v>34717.64</v>
      </c>
      <c r="I320" s="17">
        <v>38897.64</v>
      </c>
      <c r="J320" s="19"/>
    </row>
    <row r="321" spans="1:10" x14ac:dyDescent="0.25">
      <c r="A321" s="16" t="s">
        <v>1395</v>
      </c>
      <c r="B321" s="16" t="s">
        <v>280</v>
      </c>
      <c r="C321" s="16"/>
      <c r="D321" s="19"/>
      <c r="E321" s="19"/>
      <c r="F321" s="19"/>
      <c r="G321" s="17">
        <v>32604.69</v>
      </c>
      <c r="H321" s="19"/>
      <c r="I321" s="19"/>
      <c r="J321" s="17">
        <v>20140.22</v>
      </c>
    </row>
    <row r="322" spans="1:10" x14ac:dyDescent="0.25">
      <c r="A322" s="16" t="s">
        <v>1395</v>
      </c>
      <c r="B322" s="16" t="s">
        <v>918</v>
      </c>
      <c r="C322" s="16" t="s">
        <v>257</v>
      </c>
      <c r="D322" s="17">
        <v>109278.12</v>
      </c>
      <c r="E322" s="17">
        <v>134070.21</v>
      </c>
      <c r="F322" s="19"/>
      <c r="G322" s="17">
        <v>15522.31</v>
      </c>
      <c r="H322" s="17">
        <v>111644.26</v>
      </c>
      <c r="I322" s="17">
        <v>109852.79</v>
      </c>
      <c r="J322" s="17">
        <v>147396.12</v>
      </c>
    </row>
    <row r="323" spans="1:10" x14ac:dyDescent="0.25">
      <c r="A323" s="16" t="s">
        <v>1395</v>
      </c>
      <c r="B323" s="16" t="s">
        <v>920</v>
      </c>
      <c r="C323" s="16"/>
      <c r="D323" s="17">
        <v>104633.96</v>
      </c>
      <c r="E323" s="17">
        <v>103728.66</v>
      </c>
      <c r="F323" s="17">
        <v>62079.99</v>
      </c>
      <c r="G323" s="17">
        <v>364560.3</v>
      </c>
      <c r="H323" s="17">
        <v>384513.11</v>
      </c>
      <c r="I323" s="17">
        <v>60917.36</v>
      </c>
      <c r="J323" s="17">
        <v>256824.82</v>
      </c>
    </row>
    <row r="324" spans="1:10" x14ac:dyDescent="0.25">
      <c r="A324" s="16" t="s">
        <v>1395</v>
      </c>
      <c r="B324" s="16" t="s">
        <v>257</v>
      </c>
      <c r="C324" s="16"/>
      <c r="D324" s="17">
        <v>270752.48</v>
      </c>
      <c r="E324" s="17">
        <v>12063.92</v>
      </c>
      <c r="F324" s="17">
        <v>118886.06</v>
      </c>
      <c r="G324" s="17">
        <v>68523.7</v>
      </c>
      <c r="H324" s="17">
        <v>105947.88</v>
      </c>
      <c r="I324" s="17">
        <v>61479.88</v>
      </c>
      <c r="J324" s="17">
        <v>130938.09</v>
      </c>
    </row>
    <row r="325" spans="1:10" x14ac:dyDescent="0.25">
      <c r="A325" s="16" t="s">
        <v>1395</v>
      </c>
      <c r="B325" s="16" t="s">
        <v>921</v>
      </c>
      <c r="C325" s="16" t="s">
        <v>258</v>
      </c>
      <c r="D325" s="17">
        <v>139578.68</v>
      </c>
      <c r="E325" s="17">
        <v>65133.440000000002</v>
      </c>
      <c r="F325" s="17">
        <v>163600.71</v>
      </c>
      <c r="G325" s="17">
        <v>147455.17000000001</v>
      </c>
      <c r="H325" s="17">
        <v>353074.94</v>
      </c>
      <c r="I325" s="17">
        <v>187406.18</v>
      </c>
      <c r="J325" s="17">
        <v>281207.32</v>
      </c>
    </row>
    <row r="326" spans="1:10" x14ac:dyDescent="0.25">
      <c r="A326" s="16" t="s">
        <v>1395</v>
      </c>
      <c r="B326" s="16" t="s">
        <v>767</v>
      </c>
      <c r="C326" s="16"/>
      <c r="D326" s="17">
        <v>56381.32</v>
      </c>
      <c r="E326" s="19"/>
      <c r="F326" s="19"/>
      <c r="G326" s="19"/>
      <c r="H326" s="19"/>
      <c r="I326" s="19"/>
      <c r="J326" s="17">
        <v>43952.94</v>
      </c>
    </row>
    <row r="327" spans="1:10" x14ac:dyDescent="0.25">
      <c r="A327" s="16" t="s">
        <v>1395</v>
      </c>
      <c r="B327" s="16" t="s">
        <v>1512</v>
      </c>
      <c r="C327" s="16" t="s">
        <v>354</v>
      </c>
      <c r="D327" s="19"/>
      <c r="E327" s="19"/>
      <c r="F327" s="19"/>
      <c r="G327" s="19"/>
      <c r="H327" s="19"/>
      <c r="I327" s="19"/>
      <c r="J327" s="17">
        <v>89426.86</v>
      </c>
    </row>
    <row r="328" spans="1:10" x14ac:dyDescent="0.25">
      <c r="A328" s="16" t="s">
        <v>1395</v>
      </c>
      <c r="B328" s="16" t="s">
        <v>1302</v>
      </c>
      <c r="C328" s="16"/>
      <c r="D328" s="19"/>
      <c r="E328" s="19"/>
      <c r="F328" s="19"/>
      <c r="G328" s="17">
        <v>7655.79</v>
      </c>
      <c r="H328" s="19"/>
      <c r="I328" s="17">
        <v>3566.31</v>
      </c>
      <c r="J328" s="19"/>
    </row>
    <row r="329" spans="1:10" x14ac:dyDescent="0.25">
      <c r="A329" s="16" t="s">
        <v>1395</v>
      </c>
      <c r="B329" s="16" t="s">
        <v>351</v>
      </c>
      <c r="C329" s="16"/>
      <c r="D329" s="17">
        <v>410378.99</v>
      </c>
      <c r="E329" s="17">
        <v>273922.17</v>
      </c>
      <c r="F329" s="17">
        <v>288686.44</v>
      </c>
      <c r="G329" s="17">
        <v>201663.75</v>
      </c>
      <c r="H329" s="19"/>
      <c r="I329" s="17">
        <v>103460.17</v>
      </c>
      <c r="J329" s="17">
        <v>287658.49</v>
      </c>
    </row>
    <row r="330" spans="1:10" x14ac:dyDescent="0.25">
      <c r="A330" s="16" t="s">
        <v>1395</v>
      </c>
      <c r="B330" s="16" t="s">
        <v>1348</v>
      </c>
      <c r="C330" s="16"/>
      <c r="D330" s="19"/>
      <c r="E330" s="19"/>
      <c r="F330" s="19"/>
      <c r="G330" s="19"/>
      <c r="H330" s="17">
        <v>31542.080000000002</v>
      </c>
      <c r="I330" s="17">
        <v>108030.43</v>
      </c>
      <c r="J330" s="17">
        <v>63635.28</v>
      </c>
    </row>
    <row r="331" spans="1:10" x14ac:dyDescent="0.25">
      <c r="A331" s="16" t="s">
        <v>1395</v>
      </c>
      <c r="B331" s="16" t="s">
        <v>925</v>
      </c>
      <c r="C331" s="16" t="s">
        <v>304</v>
      </c>
      <c r="D331" s="17">
        <v>64008.73</v>
      </c>
      <c r="E331" s="19"/>
      <c r="F331" s="17">
        <v>116378.34</v>
      </c>
      <c r="G331" s="19"/>
      <c r="H331" s="17">
        <v>418887.71</v>
      </c>
      <c r="I331" s="19"/>
      <c r="J331" s="17">
        <v>96753.04</v>
      </c>
    </row>
    <row r="332" spans="1:10" x14ac:dyDescent="0.25">
      <c r="A332" s="16" t="s">
        <v>1395</v>
      </c>
      <c r="B332" s="16" t="s">
        <v>926</v>
      </c>
      <c r="C332" s="16" t="s">
        <v>369</v>
      </c>
      <c r="D332" s="17">
        <v>193839.55</v>
      </c>
      <c r="E332" s="17">
        <v>252371.20000000001</v>
      </c>
      <c r="F332" s="19"/>
      <c r="G332" s="19"/>
      <c r="H332" s="19"/>
      <c r="I332" s="19"/>
      <c r="J332" s="19"/>
    </row>
    <row r="333" spans="1:10" x14ac:dyDescent="0.25">
      <c r="A333" s="16" t="s">
        <v>1395</v>
      </c>
      <c r="B333" s="16" t="s">
        <v>1349</v>
      </c>
      <c r="C333" s="16"/>
      <c r="D333" s="19"/>
      <c r="E333" s="19"/>
      <c r="F333" s="19"/>
      <c r="G333" s="19"/>
      <c r="H333" s="17">
        <v>16369.51</v>
      </c>
      <c r="I333" s="19"/>
      <c r="J333" s="19"/>
    </row>
    <row r="334" spans="1:10" x14ac:dyDescent="0.25">
      <c r="A334" s="16" t="s">
        <v>1395</v>
      </c>
      <c r="B334" s="16" t="s">
        <v>354</v>
      </c>
      <c r="C334" s="16"/>
      <c r="D334" s="17">
        <v>13592.57</v>
      </c>
      <c r="E334" s="17">
        <v>80347.83</v>
      </c>
      <c r="F334" s="17">
        <v>78367.070000000007</v>
      </c>
      <c r="G334" s="17">
        <v>85626.72</v>
      </c>
      <c r="H334" s="17">
        <v>178951.67999999999</v>
      </c>
      <c r="I334" s="17">
        <v>84937.8</v>
      </c>
      <c r="J334" s="17">
        <v>69769.73</v>
      </c>
    </row>
    <row r="335" spans="1:10" x14ac:dyDescent="0.25">
      <c r="A335" s="16" t="s">
        <v>1395</v>
      </c>
      <c r="B335" s="16" t="s">
        <v>356</v>
      </c>
      <c r="C335" s="16" t="s">
        <v>354</v>
      </c>
      <c r="D335" s="19"/>
      <c r="E335" s="19"/>
      <c r="F335" s="17">
        <v>5036.79</v>
      </c>
      <c r="G335" s="19"/>
      <c r="H335" s="19"/>
      <c r="I335" s="19"/>
      <c r="J335" s="19"/>
    </row>
    <row r="336" spans="1:10" x14ac:dyDescent="0.25">
      <c r="A336" s="16" t="s">
        <v>1395</v>
      </c>
      <c r="B336" s="16" t="s">
        <v>1165</v>
      </c>
      <c r="C336" s="16"/>
      <c r="D336" s="17">
        <v>23423.98</v>
      </c>
      <c r="E336" s="19"/>
      <c r="F336" s="19"/>
      <c r="G336" s="19"/>
      <c r="H336" s="19"/>
      <c r="I336" s="19"/>
      <c r="J336" s="19"/>
    </row>
    <row r="337" spans="1:10" x14ac:dyDescent="0.25">
      <c r="A337" s="16" t="s">
        <v>1395</v>
      </c>
      <c r="B337" s="16" t="s">
        <v>1250</v>
      </c>
      <c r="C337" s="16"/>
      <c r="D337" s="19"/>
      <c r="E337" s="19"/>
      <c r="F337" s="17">
        <v>16609.8</v>
      </c>
      <c r="G337" s="19"/>
      <c r="H337" s="19"/>
      <c r="I337" s="19"/>
      <c r="J337" s="19"/>
    </row>
    <row r="338" spans="1:10" x14ac:dyDescent="0.25">
      <c r="A338" s="16" t="s">
        <v>1395</v>
      </c>
      <c r="B338" s="16" t="s">
        <v>1513</v>
      </c>
      <c r="C338" s="16"/>
      <c r="D338" s="19"/>
      <c r="E338" s="19"/>
      <c r="F338" s="19"/>
      <c r="G338" s="19"/>
      <c r="H338" s="19"/>
      <c r="I338" s="19"/>
      <c r="J338" s="17">
        <v>10805.6</v>
      </c>
    </row>
    <row r="339" spans="1:10" x14ac:dyDescent="0.25">
      <c r="A339" s="16" t="s">
        <v>1395</v>
      </c>
      <c r="B339" s="16" t="s">
        <v>288</v>
      </c>
      <c r="C339" s="16"/>
      <c r="D339" s="19"/>
      <c r="E339" s="17">
        <v>30803.35</v>
      </c>
      <c r="F339" s="19"/>
      <c r="G339" s="17">
        <v>191433.7</v>
      </c>
      <c r="H339" s="19"/>
      <c r="I339" s="19"/>
      <c r="J339" s="17">
        <v>160413.01</v>
      </c>
    </row>
    <row r="340" spans="1:10" x14ac:dyDescent="0.25">
      <c r="A340" s="16" t="s">
        <v>1395</v>
      </c>
      <c r="B340" s="16" t="s">
        <v>931</v>
      </c>
      <c r="C340" s="16" t="s">
        <v>369</v>
      </c>
      <c r="D340" s="19"/>
      <c r="E340" s="19"/>
      <c r="F340" s="19"/>
      <c r="G340" s="19"/>
      <c r="H340" s="19"/>
      <c r="I340" s="17">
        <v>253510.52</v>
      </c>
      <c r="J340" s="17">
        <v>450777.39</v>
      </c>
    </row>
    <row r="341" spans="1:10" x14ac:dyDescent="0.25">
      <c r="A341" s="16" t="s">
        <v>1395</v>
      </c>
      <c r="B341" s="16" t="s">
        <v>263</v>
      </c>
      <c r="C341" s="16"/>
      <c r="D341" s="19"/>
      <c r="E341" s="17">
        <v>6964.03</v>
      </c>
      <c r="F341" s="19"/>
      <c r="G341" s="17">
        <v>2588.67</v>
      </c>
      <c r="H341" s="19"/>
      <c r="I341" s="19"/>
      <c r="J341" s="19"/>
    </row>
    <row r="342" spans="1:10" x14ac:dyDescent="0.25">
      <c r="A342" s="16" t="s">
        <v>1395</v>
      </c>
      <c r="B342" s="16" t="s">
        <v>933</v>
      </c>
      <c r="C342" s="16" t="s">
        <v>348</v>
      </c>
      <c r="D342" s="17">
        <v>508813.49</v>
      </c>
      <c r="E342" s="17">
        <v>302877.09000000003</v>
      </c>
      <c r="F342" s="17">
        <v>390587.9</v>
      </c>
      <c r="G342" s="17">
        <v>601944.02</v>
      </c>
      <c r="H342" s="17">
        <v>1015548.54</v>
      </c>
      <c r="I342" s="17">
        <v>1622143.74</v>
      </c>
      <c r="J342" s="17">
        <v>475423.77</v>
      </c>
    </row>
    <row r="343" spans="1:10" x14ac:dyDescent="0.25">
      <c r="A343" s="16" t="s">
        <v>1395</v>
      </c>
      <c r="B343" s="16" t="s">
        <v>266</v>
      </c>
      <c r="C343" s="16"/>
      <c r="D343" s="17">
        <v>30309.54</v>
      </c>
      <c r="E343" s="17">
        <v>38333.919999999998</v>
      </c>
      <c r="F343" s="17">
        <v>69161.48</v>
      </c>
      <c r="G343" s="17">
        <v>-1444.48</v>
      </c>
      <c r="H343" s="17">
        <v>24769.97</v>
      </c>
      <c r="I343" s="17">
        <v>128676.94</v>
      </c>
      <c r="J343" s="17">
        <v>287863.43</v>
      </c>
    </row>
    <row r="344" spans="1:10" x14ac:dyDescent="0.25">
      <c r="A344" s="16" t="s">
        <v>1395</v>
      </c>
      <c r="B344" s="16" t="s">
        <v>937</v>
      </c>
      <c r="C344" s="16"/>
      <c r="D344" s="17">
        <v>100670.18</v>
      </c>
      <c r="E344" s="17">
        <v>280190.07</v>
      </c>
      <c r="F344" s="17">
        <v>381868.91</v>
      </c>
      <c r="G344" s="17">
        <v>1188826.06</v>
      </c>
      <c r="H344" s="17">
        <v>648225.19999999995</v>
      </c>
      <c r="I344" s="17">
        <v>712136.35</v>
      </c>
      <c r="J344" s="17">
        <v>531451.69999999995</v>
      </c>
    </row>
    <row r="345" spans="1:10" x14ac:dyDescent="0.25">
      <c r="A345" s="16" t="s">
        <v>1395</v>
      </c>
      <c r="B345" s="16" t="s">
        <v>938</v>
      </c>
      <c r="C345" s="16" t="s">
        <v>269</v>
      </c>
      <c r="D345" s="17">
        <v>38568.089999999997</v>
      </c>
      <c r="E345" s="18">
        <v>-271.62</v>
      </c>
      <c r="F345" s="19"/>
      <c r="G345" s="19"/>
      <c r="H345" s="17">
        <v>40612.53</v>
      </c>
      <c r="I345" s="17">
        <v>122494.79</v>
      </c>
      <c r="J345" s="19"/>
    </row>
    <row r="346" spans="1:10" x14ac:dyDescent="0.25">
      <c r="A346" s="16" t="s">
        <v>1395</v>
      </c>
      <c r="B346" s="16" t="s">
        <v>1161</v>
      </c>
      <c r="C346" s="16"/>
      <c r="D346" s="19"/>
      <c r="E346" s="17">
        <v>4048.44</v>
      </c>
      <c r="F346" s="19"/>
      <c r="G346" s="19"/>
      <c r="H346" s="19"/>
      <c r="I346" s="19"/>
      <c r="J346" s="19"/>
    </row>
    <row r="347" spans="1:10" x14ac:dyDescent="0.25">
      <c r="A347" s="16" t="s">
        <v>1395</v>
      </c>
      <c r="B347" s="16" t="s">
        <v>1304</v>
      </c>
      <c r="C347" s="16"/>
      <c r="D347" s="19"/>
      <c r="E347" s="19"/>
      <c r="F347" s="19"/>
      <c r="G347" s="17">
        <v>5058.5200000000004</v>
      </c>
      <c r="H347" s="19"/>
      <c r="I347" s="19"/>
      <c r="J347" s="19"/>
    </row>
    <row r="348" spans="1:10" x14ac:dyDescent="0.25">
      <c r="A348" s="16" t="s">
        <v>1395</v>
      </c>
      <c r="B348" s="16" t="s">
        <v>361</v>
      </c>
      <c r="C348" s="16"/>
      <c r="D348" s="19"/>
      <c r="E348" s="17">
        <v>166516.26</v>
      </c>
      <c r="F348" s="17">
        <v>132410.67000000001</v>
      </c>
      <c r="G348" s="19"/>
      <c r="H348" s="17">
        <v>240422.75</v>
      </c>
      <c r="I348" s="19"/>
      <c r="J348" s="19"/>
    </row>
    <row r="349" spans="1:10" x14ac:dyDescent="0.25">
      <c r="A349" s="16" t="s">
        <v>1395</v>
      </c>
      <c r="B349" s="16" t="s">
        <v>940</v>
      </c>
      <c r="C349" s="16" t="s">
        <v>263</v>
      </c>
      <c r="D349" s="17">
        <v>105770.72</v>
      </c>
      <c r="E349" s="17">
        <v>14659.24</v>
      </c>
      <c r="F349" s="17">
        <v>28489.68</v>
      </c>
      <c r="G349" s="17">
        <v>33476.769999999997</v>
      </c>
      <c r="H349" s="17">
        <v>46507.48</v>
      </c>
      <c r="I349" s="17">
        <v>62509.73</v>
      </c>
      <c r="J349" s="19"/>
    </row>
    <row r="350" spans="1:10" x14ac:dyDescent="0.25">
      <c r="A350" s="16" t="s">
        <v>1395</v>
      </c>
      <c r="B350" s="16" t="s">
        <v>1254</v>
      </c>
      <c r="C350" s="16"/>
      <c r="D350" s="19"/>
      <c r="E350" s="19"/>
      <c r="F350" s="17">
        <v>117725.6</v>
      </c>
      <c r="G350" s="19"/>
      <c r="H350" s="19"/>
      <c r="I350" s="17">
        <v>31069.65</v>
      </c>
      <c r="J350" s="19"/>
    </row>
    <row r="351" spans="1:10" x14ac:dyDescent="0.25">
      <c r="A351" s="16" t="s">
        <v>1395</v>
      </c>
      <c r="B351" s="16" t="s">
        <v>1514</v>
      </c>
      <c r="C351" s="16"/>
      <c r="D351" s="19"/>
      <c r="E351" s="19"/>
      <c r="F351" s="19"/>
      <c r="G351" s="19"/>
      <c r="H351" s="19"/>
      <c r="I351" s="19"/>
      <c r="J351" s="17">
        <v>13633.45</v>
      </c>
    </row>
    <row r="352" spans="1:10" x14ac:dyDescent="0.25">
      <c r="A352" s="16" t="s">
        <v>1395</v>
      </c>
      <c r="B352" s="16" t="s">
        <v>944</v>
      </c>
      <c r="C352" s="16" t="s">
        <v>252</v>
      </c>
      <c r="D352" s="17">
        <v>308518.67</v>
      </c>
      <c r="E352" s="17">
        <v>573213.12</v>
      </c>
      <c r="F352" s="17">
        <v>829016.5</v>
      </c>
      <c r="G352" s="17">
        <v>1197606.08</v>
      </c>
      <c r="H352" s="17">
        <v>1848928.51</v>
      </c>
      <c r="I352" s="17">
        <v>1674788.34</v>
      </c>
      <c r="J352" s="17">
        <v>1658466.32</v>
      </c>
    </row>
    <row r="353" spans="1:10" x14ac:dyDescent="0.25">
      <c r="A353" s="16" t="s">
        <v>1395</v>
      </c>
      <c r="B353" s="16" t="s">
        <v>945</v>
      </c>
      <c r="C353" s="16" t="s">
        <v>354</v>
      </c>
      <c r="D353" s="19"/>
      <c r="E353" s="17">
        <v>77470</v>
      </c>
      <c r="F353" s="19"/>
      <c r="G353" s="17">
        <v>49193.760000000002</v>
      </c>
      <c r="H353" s="19"/>
      <c r="I353" s="17">
        <v>175223.65</v>
      </c>
      <c r="J353" s="19"/>
    </row>
    <row r="354" spans="1:10" x14ac:dyDescent="0.25">
      <c r="A354" s="16" t="s">
        <v>1395</v>
      </c>
      <c r="B354" s="16" t="s">
        <v>269</v>
      </c>
      <c r="C354" s="16"/>
      <c r="D354" s="17">
        <v>45835.68</v>
      </c>
      <c r="E354" s="17">
        <v>-7635.23</v>
      </c>
      <c r="F354" s="19"/>
      <c r="G354" s="19"/>
      <c r="H354" s="19"/>
      <c r="I354" s="17">
        <v>8212.7999999999993</v>
      </c>
      <c r="J354" s="17">
        <v>76483.460000000006</v>
      </c>
    </row>
    <row r="355" spans="1:10" x14ac:dyDescent="0.25">
      <c r="A355" s="16" t="s">
        <v>1395</v>
      </c>
      <c r="B355" s="16" t="s">
        <v>1515</v>
      </c>
      <c r="C355" s="16"/>
      <c r="D355" s="19"/>
      <c r="E355" s="19"/>
      <c r="F355" s="19"/>
      <c r="G355" s="19"/>
      <c r="H355" s="19"/>
      <c r="I355" s="19"/>
      <c r="J355" s="17">
        <v>15817.52</v>
      </c>
    </row>
    <row r="356" spans="1:10" x14ac:dyDescent="0.25">
      <c r="A356" s="16" t="s">
        <v>1395</v>
      </c>
      <c r="B356" s="16" t="s">
        <v>948</v>
      </c>
      <c r="C356" s="16" t="s">
        <v>1396</v>
      </c>
      <c r="D356" s="19"/>
      <c r="E356" s="17">
        <v>16314.77</v>
      </c>
      <c r="F356" s="19"/>
      <c r="G356" s="19"/>
      <c r="H356" s="19"/>
      <c r="I356" s="19"/>
      <c r="J356" s="19"/>
    </row>
    <row r="357" spans="1:10" x14ac:dyDescent="0.25">
      <c r="A357" s="16" t="s">
        <v>1395</v>
      </c>
      <c r="B357" s="16" t="s">
        <v>950</v>
      </c>
      <c r="C357" s="16" t="s">
        <v>277</v>
      </c>
      <c r="D357" s="17">
        <v>1074044.3500000001</v>
      </c>
      <c r="E357" s="17">
        <v>441697.83</v>
      </c>
      <c r="F357" s="17">
        <v>1411206.08</v>
      </c>
      <c r="G357" s="17">
        <v>667993.41</v>
      </c>
      <c r="H357" s="17">
        <v>1068156.3</v>
      </c>
      <c r="I357" s="17">
        <v>313673.90000000002</v>
      </c>
      <c r="J357" s="17">
        <v>475813.04</v>
      </c>
    </row>
    <row r="358" spans="1:10" x14ac:dyDescent="0.25">
      <c r="A358" s="16" t="s">
        <v>1395</v>
      </c>
      <c r="B358" s="16" t="s">
        <v>363</v>
      </c>
      <c r="C358" s="16"/>
      <c r="D358" s="17">
        <v>69569.41</v>
      </c>
      <c r="E358" s="19"/>
      <c r="F358" s="19"/>
      <c r="G358" s="19"/>
      <c r="H358" s="19"/>
      <c r="I358" s="19"/>
      <c r="J358" s="19"/>
    </row>
    <row r="359" spans="1:10" ht="22.5" x14ac:dyDescent="0.25">
      <c r="A359" s="16" t="s">
        <v>1395</v>
      </c>
      <c r="B359" s="16" t="s">
        <v>1516</v>
      </c>
      <c r="C359" s="16"/>
      <c r="D359" s="19"/>
      <c r="E359" s="19"/>
      <c r="F359" s="19"/>
      <c r="G359" s="19"/>
      <c r="H359" s="19"/>
      <c r="I359" s="19"/>
      <c r="J359" s="17">
        <v>10390.25</v>
      </c>
    </row>
    <row r="360" spans="1:10" x14ac:dyDescent="0.25">
      <c r="A360" s="16" t="s">
        <v>1395</v>
      </c>
      <c r="B360" s="16" t="s">
        <v>273</v>
      </c>
      <c r="C360" s="16"/>
      <c r="D360" s="17">
        <v>238671.48</v>
      </c>
      <c r="E360" s="19"/>
      <c r="F360" s="17">
        <v>164079</v>
      </c>
      <c r="G360" s="17">
        <v>2116191.52</v>
      </c>
      <c r="H360" s="17">
        <v>503853.18</v>
      </c>
      <c r="I360" s="17">
        <v>21344.11</v>
      </c>
      <c r="J360" s="19"/>
    </row>
    <row r="361" spans="1:10" x14ac:dyDescent="0.25">
      <c r="A361" s="16" t="s">
        <v>1395</v>
      </c>
      <c r="B361" s="16" t="s">
        <v>274</v>
      </c>
      <c r="C361" s="16"/>
      <c r="D361" s="19"/>
      <c r="E361" s="17">
        <v>1906.12</v>
      </c>
      <c r="F361" s="19"/>
      <c r="G361" s="19"/>
      <c r="H361" s="17">
        <v>16029.39</v>
      </c>
      <c r="I361" s="17">
        <v>3914.04</v>
      </c>
      <c r="J361" s="19"/>
    </row>
    <row r="362" spans="1:10" x14ac:dyDescent="0.25">
      <c r="A362" s="16" t="s">
        <v>1395</v>
      </c>
      <c r="B362" s="16" t="s">
        <v>959</v>
      </c>
      <c r="C362" s="16"/>
      <c r="D362" s="17">
        <v>182392.51</v>
      </c>
      <c r="E362" s="17">
        <v>176670.99</v>
      </c>
      <c r="F362" s="17">
        <v>224555.66</v>
      </c>
      <c r="G362" s="17">
        <v>168097.22</v>
      </c>
      <c r="H362" s="17">
        <v>404675.6</v>
      </c>
      <c r="I362" s="17">
        <v>279534.78000000003</v>
      </c>
      <c r="J362" s="17">
        <v>210787.05</v>
      </c>
    </row>
    <row r="363" spans="1:10" x14ac:dyDescent="0.25">
      <c r="A363" s="16" t="s">
        <v>1395</v>
      </c>
      <c r="B363" s="16" t="s">
        <v>1255</v>
      </c>
      <c r="C363" s="16"/>
      <c r="D363" s="19"/>
      <c r="E363" s="19"/>
      <c r="F363" s="17">
        <v>20941.990000000002</v>
      </c>
      <c r="G363" s="19"/>
      <c r="H363" s="19"/>
      <c r="I363" s="19"/>
      <c r="J363" s="19"/>
    </row>
    <row r="364" spans="1:10" x14ac:dyDescent="0.25">
      <c r="A364" s="16" t="s">
        <v>1395</v>
      </c>
      <c r="B364" s="16" t="s">
        <v>960</v>
      </c>
      <c r="C364" s="16" t="s">
        <v>255</v>
      </c>
      <c r="D364" s="17">
        <v>627864.25</v>
      </c>
      <c r="E364" s="17">
        <v>538417.06000000006</v>
      </c>
      <c r="F364" s="17">
        <v>713119.71</v>
      </c>
      <c r="G364" s="17">
        <v>583528.54</v>
      </c>
      <c r="H364" s="17">
        <v>904699.23</v>
      </c>
      <c r="I364" s="17">
        <v>914626.45</v>
      </c>
      <c r="J364" s="17">
        <v>736068.55</v>
      </c>
    </row>
    <row r="365" spans="1:10" x14ac:dyDescent="0.25">
      <c r="A365" s="16" t="s">
        <v>1395</v>
      </c>
      <c r="B365" s="16" t="s">
        <v>275</v>
      </c>
      <c r="C365" s="16"/>
      <c r="D365" s="19"/>
      <c r="E365" s="19"/>
      <c r="F365" s="17">
        <v>83830.5</v>
      </c>
      <c r="G365" s="19"/>
      <c r="H365" s="19"/>
      <c r="I365" s="19"/>
      <c r="J365" s="17">
        <v>67912.649999999994</v>
      </c>
    </row>
    <row r="366" spans="1:10" x14ac:dyDescent="0.25">
      <c r="A366" s="16" t="s">
        <v>1395</v>
      </c>
      <c r="B366" s="16" t="s">
        <v>963</v>
      </c>
      <c r="C366" s="16" t="s">
        <v>276</v>
      </c>
      <c r="D366" s="17">
        <v>21936.43</v>
      </c>
      <c r="E366" s="17">
        <v>7636.32</v>
      </c>
      <c r="F366" s="17">
        <v>12443.63</v>
      </c>
      <c r="G366" s="17">
        <v>52059.59</v>
      </c>
      <c r="H366" s="17">
        <v>153096.73000000001</v>
      </c>
      <c r="I366" s="17">
        <v>31214.12</v>
      </c>
      <c r="J366" s="17">
        <v>139224.28</v>
      </c>
    </row>
    <row r="367" spans="1:10" x14ac:dyDescent="0.25">
      <c r="A367" s="16" t="s">
        <v>1395</v>
      </c>
      <c r="B367" s="16" t="s">
        <v>964</v>
      </c>
      <c r="C367" s="16" t="s">
        <v>276</v>
      </c>
      <c r="D367" s="19"/>
      <c r="E367" s="19"/>
      <c r="F367" s="19"/>
      <c r="G367" s="19"/>
      <c r="H367" s="17">
        <v>4558.45</v>
      </c>
      <c r="I367" s="19"/>
      <c r="J367" s="19"/>
    </row>
    <row r="368" spans="1:10" x14ac:dyDescent="0.25">
      <c r="A368" s="16" t="s">
        <v>1395</v>
      </c>
      <c r="B368" s="16" t="s">
        <v>1346</v>
      </c>
      <c r="C368" s="16"/>
      <c r="D368" s="19"/>
      <c r="E368" s="19"/>
      <c r="F368" s="19"/>
      <c r="G368" s="19"/>
      <c r="H368" s="17">
        <v>4754.57</v>
      </c>
      <c r="I368" s="19"/>
      <c r="J368" s="19"/>
    </row>
    <row r="369" spans="1:10" x14ac:dyDescent="0.25">
      <c r="A369" s="16" t="s">
        <v>1395</v>
      </c>
      <c r="B369" s="16" t="s">
        <v>278</v>
      </c>
      <c r="C369" s="16"/>
      <c r="D369" s="17">
        <v>172382.31</v>
      </c>
      <c r="E369" s="17">
        <v>192956.48</v>
      </c>
      <c r="F369" s="17">
        <v>366806.3</v>
      </c>
      <c r="G369" s="17">
        <v>207887.57</v>
      </c>
      <c r="H369" s="17">
        <v>307908</v>
      </c>
      <c r="I369" s="17">
        <v>433757.53</v>
      </c>
      <c r="J369" s="17">
        <v>521886.54</v>
      </c>
    </row>
    <row r="370" spans="1:10" x14ac:dyDescent="0.25">
      <c r="A370" s="16" t="s">
        <v>1395</v>
      </c>
      <c r="B370" s="16" t="s">
        <v>969</v>
      </c>
      <c r="C370" s="16"/>
      <c r="D370" s="19"/>
      <c r="E370" s="17">
        <v>13345.73</v>
      </c>
      <c r="F370" s="17">
        <v>321990.13</v>
      </c>
      <c r="G370" s="19"/>
      <c r="H370" s="17">
        <v>85102.73</v>
      </c>
      <c r="I370" s="19"/>
      <c r="J370" s="19"/>
    </row>
    <row r="371" spans="1:10" x14ac:dyDescent="0.25">
      <c r="A371" s="16" t="s">
        <v>1395</v>
      </c>
      <c r="B371" s="16" t="s">
        <v>970</v>
      </c>
      <c r="C371" s="16" t="s">
        <v>264</v>
      </c>
      <c r="D371" s="19"/>
      <c r="E371" s="19"/>
      <c r="F371" s="19"/>
      <c r="G371" s="19"/>
      <c r="H371" s="19"/>
      <c r="I371" s="19"/>
      <c r="J371" s="17">
        <v>17382.150000000001</v>
      </c>
    </row>
    <row r="372" spans="1:10" x14ac:dyDescent="0.25">
      <c r="A372" s="16" t="s">
        <v>1395</v>
      </c>
      <c r="B372" s="16" t="s">
        <v>971</v>
      </c>
      <c r="C372" s="16" t="s">
        <v>369</v>
      </c>
      <c r="D372" s="19"/>
      <c r="E372" s="19"/>
      <c r="F372" s="17">
        <v>690628.47</v>
      </c>
      <c r="G372" s="17">
        <v>259990.21</v>
      </c>
      <c r="H372" s="17">
        <v>325362.42</v>
      </c>
      <c r="I372" s="19"/>
      <c r="J372" s="19"/>
    </row>
    <row r="373" spans="1:10" x14ac:dyDescent="0.25">
      <c r="A373" s="16" t="s">
        <v>1395</v>
      </c>
      <c r="B373" s="16" t="s">
        <v>1169</v>
      </c>
      <c r="C373" s="16"/>
      <c r="D373" s="17">
        <v>82911.649999999994</v>
      </c>
      <c r="E373" s="17">
        <v>168518.6</v>
      </c>
      <c r="F373" s="17">
        <v>101442.24000000001</v>
      </c>
      <c r="G373" s="17">
        <v>98664.91</v>
      </c>
      <c r="H373" s="17">
        <v>314083.99</v>
      </c>
      <c r="I373" s="17">
        <v>512530.1</v>
      </c>
      <c r="J373" s="17">
        <v>266422.49</v>
      </c>
    </row>
    <row r="374" spans="1:10" x14ac:dyDescent="0.25">
      <c r="A374" s="16" t="s">
        <v>1395</v>
      </c>
      <c r="B374" s="16" t="s">
        <v>972</v>
      </c>
      <c r="C374" s="16" t="s">
        <v>256</v>
      </c>
      <c r="D374" s="17">
        <v>1188439.83</v>
      </c>
      <c r="E374" s="17">
        <v>491485.46</v>
      </c>
      <c r="F374" s="17">
        <v>1000636.93</v>
      </c>
      <c r="G374" s="17">
        <v>1698932.7</v>
      </c>
      <c r="H374" s="17">
        <v>3026212.82</v>
      </c>
      <c r="I374" s="17">
        <v>2893417.43</v>
      </c>
      <c r="J374" s="17">
        <v>2930700.41</v>
      </c>
    </row>
    <row r="375" spans="1:10" x14ac:dyDescent="0.25">
      <c r="A375" s="16" t="s">
        <v>1395</v>
      </c>
      <c r="B375" s="16" t="s">
        <v>1163</v>
      </c>
      <c r="C375" s="16"/>
      <c r="D375" s="17">
        <v>56496.959999999999</v>
      </c>
      <c r="E375" s="19"/>
      <c r="F375" s="19"/>
      <c r="G375" s="19"/>
      <c r="H375" s="19"/>
      <c r="I375" s="19"/>
      <c r="J375" s="19"/>
    </row>
    <row r="376" spans="1:10" x14ac:dyDescent="0.25">
      <c r="A376" s="16" t="s">
        <v>1159</v>
      </c>
      <c r="B376" s="16" t="s">
        <v>1417</v>
      </c>
      <c r="C376" s="16"/>
      <c r="D376" s="19"/>
      <c r="E376" s="19"/>
      <c r="F376" s="19"/>
      <c r="G376" s="19"/>
      <c r="H376" s="19"/>
      <c r="I376" s="17">
        <v>135116.07</v>
      </c>
      <c r="J376" s="19"/>
    </row>
    <row r="377" spans="1:10" x14ac:dyDescent="0.25">
      <c r="A377" s="16" t="s">
        <v>1159</v>
      </c>
      <c r="B377" s="16" t="s">
        <v>932</v>
      </c>
      <c r="C377" s="16" t="s">
        <v>254</v>
      </c>
      <c r="D377" s="17">
        <v>492985.99</v>
      </c>
      <c r="E377" s="17">
        <v>821738.72</v>
      </c>
      <c r="F377" s="17">
        <v>928475.51</v>
      </c>
      <c r="G377" s="17">
        <v>319913.12</v>
      </c>
      <c r="H377" s="17">
        <v>1790476.2</v>
      </c>
      <c r="I377" s="17">
        <v>1113714.8500000001</v>
      </c>
      <c r="J377" s="17">
        <v>824644.96</v>
      </c>
    </row>
    <row r="378" spans="1:10" x14ac:dyDescent="0.25">
      <c r="A378" s="16" t="s">
        <v>1159</v>
      </c>
      <c r="B378" s="16" t="s">
        <v>254</v>
      </c>
      <c r="C378" s="16"/>
      <c r="D378" s="19"/>
      <c r="E378" s="19"/>
      <c r="F378" s="19"/>
      <c r="G378" s="19"/>
      <c r="H378" s="19"/>
      <c r="I378" s="19"/>
      <c r="J378" s="19"/>
    </row>
    <row r="379" spans="1:10" x14ac:dyDescent="0.25">
      <c r="A379" s="16" t="s">
        <v>1159</v>
      </c>
      <c r="B379" s="16" t="s">
        <v>934</v>
      </c>
      <c r="C379" s="16" t="s">
        <v>253</v>
      </c>
      <c r="D379" s="17">
        <v>287344.84000000003</v>
      </c>
      <c r="E379" s="17">
        <v>995843.28</v>
      </c>
      <c r="F379" s="17">
        <v>826391.51</v>
      </c>
      <c r="G379" s="17">
        <v>510249.56</v>
      </c>
      <c r="H379" s="17">
        <v>1147421.3</v>
      </c>
      <c r="I379" s="17">
        <v>668216.07999999996</v>
      </c>
      <c r="J379" s="17">
        <v>430726.11</v>
      </c>
    </row>
    <row r="380" spans="1:10" x14ac:dyDescent="0.25">
      <c r="A380" s="16" t="s">
        <v>1159</v>
      </c>
      <c r="B380" s="16" t="s">
        <v>1160</v>
      </c>
      <c r="C380" s="16" t="s">
        <v>253</v>
      </c>
      <c r="D380" s="19"/>
      <c r="E380" s="17">
        <v>255759.8</v>
      </c>
      <c r="F380" s="17">
        <v>539965.44999999995</v>
      </c>
      <c r="G380" s="17">
        <v>301304.33</v>
      </c>
      <c r="H380" s="17">
        <v>721983.34</v>
      </c>
      <c r="I380" s="17">
        <v>694760.65</v>
      </c>
      <c r="J380" s="17">
        <v>212139.46</v>
      </c>
    </row>
    <row r="381" spans="1:10" x14ac:dyDescent="0.25">
      <c r="A381" s="16" t="s">
        <v>1159</v>
      </c>
      <c r="B381" s="16" t="s">
        <v>958</v>
      </c>
      <c r="C381" s="16" t="s">
        <v>253</v>
      </c>
      <c r="D381" s="17">
        <v>409444.54</v>
      </c>
      <c r="E381" s="17">
        <v>218798.77</v>
      </c>
      <c r="F381" s="19"/>
      <c r="G381" s="19"/>
      <c r="H381" s="19"/>
      <c r="I381" s="19"/>
      <c r="J381" s="19"/>
    </row>
    <row r="382" spans="1:10" x14ac:dyDescent="0.25">
      <c r="A382" s="16" t="s">
        <v>1164</v>
      </c>
      <c r="B382" s="16" t="s">
        <v>306</v>
      </c>
      <c r="C382" s="16"/>
      <c r="D382" s="19"/>
      <c r="E382" s="19"/>
      <c r="F382" s="19"/>
      <c r="G382" s="17">
        <v>76430.710000000006</v>
      </c>
      <c r="H382" s="19"/>
      <c r="I382" s="19"/>
      <c r="J382" s="19"/>
    </row>
    <row r="383" spans="1:10" x14ac:dyDescent="0.25">
      <c r="A383" s="16" t="s">
        <v>1164</v>
      </c>
      <c r="B383" s="16" t="s">
        <v>1300</v>
      </c>
      <c r="C383" s="16" t="s">
        <v>917</v>
      </c>
      <c r="D383" s="19"/>
      <c r="E383" s="19"/>
      <c r="F383" s="19"/>
      <c r="G383" s="17">
        <v>28806.92</v>
      </c>
      <c r="H383" s="19"/>
      <c r="I383" s="19"/>
      <c r="J383" s="17">
        <v>8370.3700000000008</v>
      </c>
    </row>
    <row r="384" spans="1:10" x14ac:dyDescent="0.25">
      <c r="A384" s="16" t="s">
        <v>1164</v>
      </c>
      <c r="B384" s="16" t="s">
        <v>917</v>
      </c>
      <c r="C384" s="16"/>
      <c r="D384" s="17">
        <v>84207.88</v>
      </c>
      <c r="E384" s="17">
        <v>227194.44</v>
      </c>
      <c r="F384" s="17">
        <v>181268.44</v>
      </c>
      <c r="G384" s="17">
        <v>222584.01</v>
      </c>
      <c r="H384" s="17">
        <v>488229.49</v>
      </c>
      <c r="I384" s="17">
        <v>411507.54</v>
      </c>
      <c r="J384" s="17">
        <v>319769.15000000002</v>
      </c>
    </row>
    <row r="385" spans="1:10" x14ac:dyDescent="0.25">
      <c r="A385" s="16" t="s">
        <v>1164</v>
      </c>
      <c r="B385" s="16" t="s">
        <v>1301</v>
      </c>
      <c r="C385" s="16"/>
      <c r="D385" s="19"/>
      <c r="E385" s="19"/>
      <c r="F385" s="19"/>
      <c r="G385" s="17">
        <v>160369.56</v>
      </c>
      <c r="H385" s="17">
        <v>355694.35</v>
      </c>
      <c r="I385" s="19"/>
      <c r="J385" s="19"/>
    </row>
    <row r="386" spans="1:10" x14ac:dyDescent="0.25">
      <c r="A386" s="16" t="s">
        <v>1164</v>
      </c>
      <c r="B386" s="16" t="s">
        <v>919</v>
      </c>
      <c r="C386" s="16"/>
      <c r="D386" s="19"/>
      <c r="E386" s="17">
        <v>54930.99</v>
      </c>
      <c r="F386" s="19"/>
      <c r="G386" s="19"/>
      <c r="H386" s="19"/>
      <c r="I386" s="19"/>
      <c r="J386" s="19"/>
    </row>
    <row r="387" spans="1:10" x14ac:dyDescent="0.25">
      <c r="A387" s="16" t="s">
        <v>1164</v>
      </c>
      <c r="B387" s="16" t="s">
        <v>308</v>
      </c>
      <c r="C387" s="16"/>
      <c r="D387" s="19"/>
      <c r="E387" s="17">
        <v>3552.08</v>
      </c>
      <c r="F387" s="17">
        <v>95295.39</v>
      </c>
      <c r="G387" s="17">
        <v>13550.85</v>
      </c>
      <c r="H387" s="18">
        <v>444.36</v>
      </c>
      <c r="I387" s="17">
        <v>6162.8</v>
      </c>
      <c r="J387" s="17">
        <v>40726.720000000001</v>
      </c>
    </row>
    <row r="388" spans="1:10" x14ac:dyDescent="0.25">
      <c r="A388" s="16" t="s">
        <v>1164</v>
      </c>
      <c r="B388" s="16" t="s">
        <v>309</v>
      </c>
      <c r="C388" s="16"/>
      <c r="D388" s="17">
        <v>534890.79</v>
      </c>
      <c r="E388" s="17">
        <v>645279</v>
      </c>
      <c r="F388" s="17">
        <v>652656.31999999995</v>
      </c>
      <c r="G388" s="17">
        <v>1054547.05</v>
      </c>
      <c r="H388" s="17">
        <v>2858573.56</v>
      </c>
      <c r="I388" s="17">
        <v>2499941.29</v>
      </c>
      <c r="J388" s="17">
        <v>3719845.85</v>
      </c>
    </row>
    <row r="389" spans="1:10" x14ac:dyDescent="0.25">
      <c r="A389" s="16" t="s">
        <v>1164</v>
      </c>
      <c r="B389" s="16" t="s">
        <v>1351</v>
      </c>
      <c r="C389" s="16"/>
      <c r="D389" s="19"/>
      <c r="E389" s="17">
        <v>7977</v>
      </c>
      <c r="F389" s="17">
        <v>1002.85</v>
      </c>
      <c r="G389" s="17">
        <v>25060.04</v>
      </c>
      <c r="H389" s="17">
        <v>4770.84</v>
      </c>
      <c r="I389" s="19"/>
      <c r="J389" s="19"/>
    </row>
    <row r="390" spans="1:10" x14ac:dyDescent="0.25">
      <c r="A390" s="16" t="s">
        <v>1164</v>
      </c>
      <c r="B390" s="16" t="s">
        <v>349</v>
      </c>
      <c r="C390" s="16"/>
      <c r="D390" s="17">
        <v>245797.13</v>
      </c>
      <c r="E390" s="17">
        <v>244829.74</v>
      </c>
      <c r="F390" s="17">
        <v>334099.28999999998</v>
      </c>
      <c r="G390" s="17">
        <v>365677.97</v>
      </c>
      <c r="H390" s="17">
        <v>323440.08</v>
      </c>
      <c r="I390" s="17">
        <v>523271.1</v>
      </c>
      <c r="J390" s="17">
        <v>434862.76</v>
      </c>
    </row>
    <row r="391" spans="1:10" x14ac:dyDescent="0.25">
      <c r="A391" s="16" t="s">
        <v>1164</v>
      </c>
      <c r="B391" s="16" t="s">
        <v>281</v>
      </c>
      <c r="C391" s="16"/>
      <c r="D391" s="17">
        <v>41066.01</v>
      </c>
      <c r="E391" s="17">
        <v>147509.35999999999</v>
      </c>
      <c r="F391" s="17">
        <v>343178.62</v>
      </c>
      <c r="G391" s="17">
        <v>327955.90999999997</v>
      </c>
      <c r="H391" s="17">
        <v>799540.02</v>
      </c>
      <c r="I391" s="17">
        <v>824424.69</v>
      </c>
      <c r="J391" s="17">
        <v>300446.27</v>
      </c>
    </row>
    <row r="392" spans="1:10" x14ac:dyDescent="0.25">
      <c r="A392" s="16" t="s">
        <v>1164</v>
      </c>
      <c r="B392" s="16" t="s">
        <v>310</v>
      </c>
      <c r="C392" s="16"/>
      <c r="D392" s="17">
        <v>81085.41</v>
      </c>
      <c r="E392" s="17">
        <v>115998.91</v>
      </c>
      <c r="F392" s="17">
        <v>215685.77</v>
      </c>
      <c r="G392" s="17">
        <v>143575.35</v>
      </c>
      <c r="H392" s="17">
        <v>195461.46</v>
      </c>
      <c r="I392" s="17">
        <v>103101.55</v>
      </c>
      <c r="J392" s="17">
        <v>129727.45</v>
      </c>
    </row>
    <row r="393" spans="1:10" x14ac:dyDescent="0.25">
      <c r="A393" s="16" t="s">
        <v>1164</v>
      </c>
      <c r="B393" s="16" t="s">
        <v>311</v>
      </c>
      <c r="C393" s="16"/>
      <c r="D393" s="19"/>
      <c r="E393" s="17">
        <v>117987.77</v>
      </c>
      <c r="F393" s="19"/>
      <c r="G393" s="19"/>
      <c r="H393" s="19"/>
      <c r="I393" s="19"/>
      <c r="J393" s="19"/>
    </row>
    <row r="394" spans="1:10" x14ac:dyDescent="0.25">
      <c r="A394" s="16" t="s">
        <v>1164</v>
      </c>
      <c r="B394" s="16" t="s">
        <v>1347</v>
      </c>
      <c r="C394" s="16"/>
      <c r="D394" s="19"/>
      <c r="E394" s="19"/>
      <c r="F394" s="19"/>
      <c r="G394" s="19"/>
      <c r="H394" s="17">
        <v>12945.6</v>
      </c>
      <c r="I394" s="17">
        <v>46712.91</v>
      </c>
      <c r="J394" s="19"/>
    </row>
    <row r="395" spans="1:10" x14ac:dyDescent="0.25">
      <c r="A395" s="16" t="s">
        <v>1164</v>
      </c>
      <c r="B395" s="16" t="s">
        <v>284</v>
      </c>
      <c r="C395" s="16"/>
      <c r="D395" s="17">
        <v>87146.54</v>
      </c>
      <c r="E395" s="17">
        <v>156961.82999999999</v>
      </c>
      <c r="F395" s="17">
        <v>88408.36</v>
      </c>
      <c r="G395" s="17">
        <v>66052.639999999999</v>
      </c>
      <c r="H395" s="17">
        <v>68913.09</v>
      </c>
      <c r="I395" s="17">
        <v>190871.54</v>
      </c>
      <c r="J395" s="17">
        <v>112084.67</v>
      </c>
    </row>
    <row r="396" spans="1:10" x14ac:dyDescent="0.25">
      <c r="A396" s="16" t="s">
        <v>1164</v>
      </c>
      <c r="B396" s="16" t="s">
        <v>353</v>
      </c>
      <c r="C396" s="16"/>
      <c r="D396" s="19"/>
      <c r="E396" s="17">
        <v>92082.29</v>
      </c>
      <c r="F396" s="17">
        <v>314529</v>
      </c>
      <c r="G396" s="19"/>
      <c r="H396" s="19"/>
      <c r="I396" s="19"/>
      <c r="J396" s="19"/>
    </row>
    <row r="397" spans="1:10" x14ac:dyDescent="0.25">
      <c r="A397" s="16" t="s">
        <v>1164</v>
      </c>
      <c r="B397" s="16" t="s">
        <v>1350</v>
      </c>
      <c r="C397" s="16"/>
      <c r="D397" s="19"/>
      <c r="E397" s="19"/>
      <c r="F397" s="19"/>
      <c r="G397" s="19"/>
      <c r="H397" s="17">
        <v>773192</v>
      </c>
      <c r="I397" s="18">
        <v>140.47999999999999</v>
      </c>
      <c r="J397" s="19"/>
    </row>
    <row r="398" spans="1:10" x14ac:dyDescent="0.25">
      <c r="A398" s="16" t="s">
        <v>1164</v>
      </c>
      <c r="B398" s="16" t="s">
        <v>313</v>
      </c>
      <c r="C398" s="16"/>
      <c r="D398" s="19"/>
      <c r="E398" s="19"/>
      <c r="F398" s="19"/>
      <c r="G398" s="19"/>
      <c r="H398" s="17">
        <v>28626.95</v>
      </c>
      <c r="I398" s="17">
        <v>22268.52</v>
      </c>
      <c r="J398" s="17">
        <v>47259.5</v>
      </c>
    </row>
    <row r="399" spans="1:10" x14ac:dyDescent="0.25">
      <c r="A399" s="16" t="s">
        <v>1164</v>
      </c>
      <c r="B399" s="16" t="s">
        <v>314</v>
      </c>
      <c r="C399" s="16" t="s">
        <v>335</v>
      </c>
      <c r="D399" s="19"/>
      <c r="E399" s="17">
        <v>359409.12</v>
      </c>
      <c r="F399" s="19"/>
      <c r="G399" s="19"/>
      <c r="H399" s="19"/>
      <c r="I399" s="19"/>
      <c r="J399" s="19"/>
    </row>
    <row r="400" spans="1:10" x14ac:dyDescent="0.25">
      <c r="A400" s="16" t="s">
        <v>1164</v>
      </c>
      <c r="B400" s="16" t="s">
        <v>286</v>
      </c>
      <c r="C400" s="16"/>
      <c r="D400" s="17">
        <v>21946.85</v>
      </c>
      <c r="E400" s="19"/>
      <c r="F400" s="19"/>
      <c r="G400" s="19"/>
      <c r="H400" s="17">
        <v>31460.39</v>
      </c>
      <c r="I400" s="19"/>
      <c r="J400" s="19"/>
    </row>
    <row r="401" spans="1:10" x14ac:dyDescent="0.25">
      <c r="A401" s="16" t="s">
        <v>1164</v>
      </c>
      <c r="B401" s="16" t="s">
        <v>929</v>
      </c>
      <c r="C401" s="16" t="s">
        <v>353</v>
      </c>
      <c r="D401" s="17">
        <v>92719.92</v>
      </c>
      <c r="E401" s="17">
        <v>322040.17</v>
      </c>
      <c r="F401" s="17">
        <v>359158.57</v>
      </c>
      <c r="G401" s="19"/>
      <c r="H401" s="17">
        <v>406013.73</v>
      </c>
      <c r="I401" s="19"/>
      <c r="J401" s="19"/>
    </row>
    <row r="402" spans="1:10" x14ac:dyDescent="0.25">
      <c r="A402" s="16" t="s">
        <v>1164</v>
      </c>
      <c r="B402" s="16" t="s">
        <v>1418</v>
      </c>
      <c r="C402" s="16"/>
      <c r="D402" s="19"/>
      <c r="E402" s="19"/>
      <c r="F402" s="19"/>
      <c r="G402" s="19"/>
      <c r="H402" s="19"/>
      <c r="I402" s="17">
        <v>741730.86</v>
      </c>
      <c r="J402" s="19"/>
    </row>
    <row r="403" spans="1:10" x14ac:dyDescent="0.25">
      <c r="A403" s="16" t="s">
        <v>1164</v>
      </c>
      <c r="B403" s="16" t="s">
        <v>1517</v>
      </c>
      <c r="C403" s="16" t="s">
        <v>1301</v>
      </c>
      <c r="D403" s="19"/>
      <c r="E403" s="19"/>
      <c r="F403" s="19"/>
      <c r="G403" s="19"/>
      <c r="H403" s="19"/>
      <c r="I403" s="19"/>
      <c r="J403" s="17">
        <v>364085.97</v>
      </c>
    </row>
    <row r="404" spans="1:10" x14ac:dyDescent="0.25">
      <c r="A404" s="16" t="s">
        <v>1164</v>
      </c>
      <c r="B404" s="16" t="s">
        <v>930</v>
      </c>
      <c r="C404" s="16" t="s">
        <v>329</v>
      </c>
      <c r="D404" s="17">
        <v>7434.42</v>
      </c>
      <c r="E404" s="19"/>
      <c r="F404" s="17">
        <v>10696.03</v>
      </c>
      <c r="G404" s="17">
        <v>3018.66</v>
      </c>
      <c r="H404" s="19"/>
      <c r="I404" s="17">
        <v>16777.47</v>
      </c>
      <c r="J404" s="19"/>
    </row>
    <row r="405" spans="1:10" x14ac:dyDescent="0.25">
      <c r="A405" s="16" t="s">
        <v>1164</v>
      </c>
      <c r="B405" s="16" t="s">
        <v>1251</v>
      </c>
      <c r="C405" s="16"/>
      <c r="D405" s="19"/>
      <c r="E405" s="19"/>
      <c r="F405" s="17">
        <v>38166.339999999997</v>
      </c>
      <c r="G405" s="19"/>
      <c r="H405" s="19"/>
      <c r="I405" s="19"/>
      <c r="J405" s="19"/>
    </row>
    <row r="406" spans="1:10" x14ac:dyDescent="0.25">
      <c r="A406" s="16" t="s">
        <v>1164</v>
      </c>
      <c r="B406" s="16" t="s">
        <v>316</v>
      </c>
      <c r="C406" s="16"/>
      <c r="D406" s="17">
        <v>138149.54</v>
      </c>
      <c r="E406" s="17">
        <v>189510.99</v>
      </c>
      <c r="F406" s="19"/>
      <c r="G406" s="17">
        <v>150067.48000000001</v>
      </c>
      <c r="H406" s="17">
        <v>129399.4</v>
      </c>
      <c r="I406" s="17">
        <v>139682.73000000001</v>
      </c>
      <c r="J406" s="19"/>
    </row>
    <row r="407" spans="1:10" x14ac:dyDescent="0.25">
      <c r="A407" s="16" t="s">
        <v>1164</v>
      </c>
      <c r="B407" s="16" t="s">
        <v>1252</v>
      </c>
      <c r="C407" s="16" t="s">
        <v>319</v>
      </c>
      <c r="D407" s="19"/>
      <c r="E407" s="19"/>
      <c r="F407" s="17">
        <v>23651.27</v>
      </c>
      <c r="G407" s="17">
        <v>156090.07999999999</v>
      </c>
      <c r="H407" s="17">
        <v>23582.05</v>
      </c>
      <c r="I407" s="17">
        <v>20144.38</v>
      </c>
      <c r="J407" s="17">
        <v>59035.4</v>
      </c>
    </row>
    <row r="408" spans="1:10" x14ac:dyDescent="0.25">
      <c r="A408" s="16" t="s">
        <v>1164</v>
      </c>
      <c r="B408" s="16" t="s">
        <v>319</v>
      </c>
      <c r="C408" s="16"/>
      <c r="D408" s="17">
        <v>3538.4</v>
      </c>
      <c r="E408" s="17">
        <v>49691.3</v>
      </c>
      <c r="F408" s="17">
        <v>276876.42</v>
      </c>
      <c r="G408" s="17">
        <v>318893.02</v>
      </c>
      <c r="H408" s="17">
        <v>161028.20000000001</v>
      </c>
      <c r="I408" s="17">
        <v>245933.4</v>
      </c>
      <c r="J408" s="17">
        <v>615472.94999999995</v>
      </c>
    </row>
    <row r="409" spans="1:10" x14ac:dyDescent="0.25">
      <c r="A409" s="16" t="s">
        <v>1164</v>
      </c>
      <c r="B409" s="16" t="s">
        <v>1253</v>
      </c>
      <c r="C409" s="16"/>
      <c r="D409" s="19"/>
      <c r="E409" s="19"/>
      <c r="F409" s="17">
        <v>23696.23</v>
      </c>
      <c r="G409" s="17">
        <v>35174.620000000003</v>
      </c>
      <c r="H409" s="17">
        <v>16162.94</v>
      </c>
      <c r="I409" s="19"/>
      <c r="J409" s="17">
        <v>50721.599999999999</v>
      </c>
    </row>
    <row r="410" spans="1:10" x14ac:dyDescent="0.25">
      <c r="A410" s="16" t="s">
        <v>1164</v>
      </c>
      <c r="B410" s="16" t="s">
        <v>320</v>
      </c>
      <c r="C410" s="16"/>
      <c r="D410" s="17">
        <v>43292.7</v>
      </c>
      <c r="E410" s="17">
        <v>94968.43</v>
      </c>
      <c r="F410" s="17">
        <v>115596.88</v>
      </c>
      <c r="G410" s="17">
        <v>115728.59</v>
      </c>
      <c r="H410" s="17">
        <v>167335.65</v>
      </c>
      <c r="I410" s="17">
        <v>132329.64000000001</v>
      </c>
      <c r="J410" s="17">
        <v>37998.559999999998</v>
      </c>
    </row>
    <row r="411" spans="1:10" x14ac:dyDescent="0.25">
      <c r="A411" s="16" t="s">
        <v>1164</v>
      </c>
      <c r="B411" s="16" t="s">
        <v>935</v>
      </c>
      <c r="C411" s="16" t="s">
        <v>342</v>
      </c>
      <c r="D411" s="17">
        <v>1792.05</v>
      </c>
      <c r="E411" s="19"/>
      <c r="F411" s="19"/>
      <c r="G411" s="17">
        <v>10263.4</v>
      </c>
      <c r="H411" s="17">
        <v>15458.69</v>
      </c>
      <c r="I411" s="17">
        <v>18070.64</v>
      </c>
      <c r="J411" s="19"/>
    </row>
    <row r="412" spans="1:10" x14ac:dyDescent="0.25">
      <c r="A412" s="16" t="s">
        <v>1164</v>
      </c>
      <c r="B412" s="16" t="s">
        <v>936</v>
      </c>
      <c r="C412" s="16" t="s">
        <v>324</v>
      </c>
      <c r="D412" s="17">
        <v>462396.49</v>
      </c>
      <c r="E412" s="17">
        <v>149420.06</v>
      </c>
      <c r="F412" s="17">
        <v>470746.32</v>
      </c>
      <c r="G412" s="17">
        <v>710417.64</v>
      </c>
      <c r="H412" s="17">
        <v>340806.53</v>
      </c>
      <c r="I412" s="17">
        <v>330298.06</v>
      </c>
      <c r="J412" s="17">
        <v>570066.52</v>
      </c>
    </row>
    <row r="413" spans="1:10" x14ac:dyDescent="0.25">
      <c r="A413" s="16" t="s">
        <v>1164</v>
      </c>
      <c r="B413" s="16" t="s">
        <v>321</v>
      </c>
      <c r="C413" s="16"/>
      <c r="D413" s="17">
        <v>42440</v>
      </c>
      <c r="E413" s="17">
        <v>81617.78</v>
      </c>
      <c r="F413" s="17">
        <v>27590.77</v>
      </c>
      <c r="G413" s="17">
        <v>79820</v>
      </c>
      <c r="H413" s="17">
        <v>15330</v>
      </c>
      <c r="I413" s="17">
        <v>37220</v>
      </c>
      <c r="J413" s="17">
        <v>38870</v>
      </c>
    </row>
    <row r="414" spans="1:10" x14ac:dyDescent="0.25">
      <c r="A414" s="16" t="s">
        <v>1164</v>
      </c>
      <c r="B414" s="16" t="s">
        <v>1303</v>
      </c>
      <c r="C414" s="16" t="s">
        <v>327</v>
      </c>
      <c r="D414" s="19"/>
      <c r="E414" s="19"/>
      <c r="F414" s="19"/>
      <c r="G414" s="17">
        <v>20303.7</v>
      </c>
      <c r="H414" s="19"/>
      <c r="I414" s="19"/>
      <c r="J414" s="19"/>
    </row>
    <row r="415" spans="1:10" x14ac:dyDescent="0.25">
      <c r="A415" s="16" t="s">
        <v>1164</v>
      </c>
      <c r="B415" s="16" t="s">
        <v>326</v>
      </c>
      <c r="C415" s="16"/>
      <c r="D415" s="17">
        <v>40296.36</v>
      </c>
      <c r="E415" s="17">
        <v>66055.41</v>
      </c>
      <c r="F415" s="17">
        <v>151718.15</v>
      </c>
      <c r="G415" s="17">
        <v>64314.51</v>
      </c>
      <c r="H415" s="17">
        <v>133843.54</v>
      </c>
      <c r="I415" s="17">
        <v>123513.49</v>
      </c>
      <c r="J415" s="17">
        <v>108943.33</v>
      </c>
    </row>
    <row r="416" spans="1:10" x14ac:dyDescent="0.25">
      <c r="A416" s="16" t="s">
        <v>1164</v>
      </c>
      <c r="B416" s="16" t="s">
        <v>1166</v>
      </c>
      <c r="C416" s="16" t="s">
        <v>341</v>
      </c>
      <c r="D416" s="17">
        <v>35622.47</v>
      </c>
      <c r="E416" s="19"/>
      <c r="F416" s="19"/>
      <c r="G416" s="19"/>
      <c r="H416" s="19"/>
      <c r="I416" s="19"/>
      <c r="J416" s="19"/>
    </row>
    <row r="417" spans="1:10" x14ac:dyDescent="0.25">
      <c r="A417" s="16" t="s">
        <v>1164</v>
      </c>
      <c r="B417" s="16" t="s">
        <v>1486</v>
      </c>
      <c r="C417" s="16"/>
      <c r="D417" s="19"/>
      <c r="E417" s="19"/>
      <c r="F417" s="19"/>
      <c r="G417" s="19"/>
      <c r="H417" s="19"/>
      <c r="I417" s="19"/>
      <c r="J417" s="17">
        <v>258135.63</v>
      </c>
    </row>
    <row r="418" spans="1:10" x14ac:dyDescent="0.25">
      <c r="A418" s="16" t="s">
        <v>1164</v>
      </c>
      <c r="B418" s="16" t="s">
        <v>942</v>
      </c>
      <c r="C418" s="16" t="s">
        <v>279</v>
      </c>
      <c r="D418" s="19"/>
      <c r="E418" s="17">
        <v>1653.65</v>
      </c>
      <c r="F418" s="18">
        <v>722.16</v>
      </c>
      <c r="G418" s="19"/>
      <c r="H418" s="19"/>
      <c r="I418" s="19"/>
      <c r="J418" s="17">
        <v>11830</v>
      </c>
    </row>
    <row r="419" spans="1:10" x14ac:dyDescent="0.25">
      <c r="A419" s="16" t="s">
        <v>1164</v>
      </c>
      <c r="B419" s="16" t="s">
        <v>293</v>
      </c>
      <c r="C419" s="16"/>
      <c r="D419" s="17">
        <v>30133.41</v>
      </c>
      <c r="E419" s="19"/>
      <c r="F419" s="19"/>
      <c r="G419" s="19"/>
      <c r="H419" s="19"/>
      <c r="I419" s="19"/>
      <c r="J419" s="19"/>
    </row>
    <row r="420" spans="1:10" x14ac:dyDescent="0.25">
      <c r="A420" s="16" t="s">
        <v>1164</v>
      </c>
      <c r="B420" s="16" t="s">
        <v>943</v>
      </c>
      <c r="C420" s="16" t="s">
        <v>316</v>
      </c>
      <c r="D420" s="17">
        <v>83139.240000000005</v>
      </c>
      <c r="E420" s="17">
        <v>102094.08</v>
      </c>
      <c r="F420" s="17">
        <v>313728.73</v>
      </c>
      <c r="G420" s="17">
        <v>74994.37</v>
      </c>
      <c r="H420" s="17">
        <v>54573.09</v>
      </c>
      <c r="I420" s="17">
        <v>39406.129999999997</v>
      </c>
      <c r="J420" s="19"/>
    </row>
    <row r="421" spans="1:10" x14ac:dyDescent="0.25">
      <c r="A421" s="16" t="s">
        <v>1164</v>
      </c>
      <c r="B421" s="16" t="s">
        <v>294</v>
      </c>
      <c r="C421" s="16"/>
      <c r="D421" s="19"/>
      <c r="E421" s="19"/>
      <c r="F421" s="17">
        <v>8055.66</v>
      </c>
      <c r="G421" s="19"/>
      <c r="H421" s="17">
        <v>11184.22</v>
      </c>
      <c r="I421" s="19"/>
      <c r="J421" s="19"/>
    </row>
    <row r="422" spans="1:10" x14ac:dyDescent="0.25">
      <c r="A422" s="16" t="s">
        <v>1164</v>
      </c>
      <c r="B422" s="16" t="s">
        <v>333</v>
      </c>
      <c r="C422" s="16"/>
      <c r="D422" s="17">
        <v>48191.97</v>
      </c>
      <c r="E422" s="19"/>
      <c r="F422" s="19"/>
      <c r="G422" s="19"/>
      <c r="H422" s="19"/>
      <c r="I422" s="17">
        <v>335727.6</v>
      </c>
      <c r="J422" s="19"/>
    </row>
    <row r="423" spans="1:10" x14ac:dyDescent="0.25">
      <c r="A423" s="16" t="s">
        <v>1164</v>
      </c>
      <c r="B423" s="16" t="s">
        <v>946</v>
      </c>
      <c r="C423" s="16" t="s">
        <v>334</v>
      </c>
      <c r="D423" s="17">
        <v>10313.67</v>
      </c>
      <c r="E423" s="17">
        <v>20072.990000000002</v>
      </c>
      <c r="F423" s="17">
        <v>6421.02</v>
      </c>
      <c r="G423" s="17">
        <v>481429.4</v>
      </c>
      <c r="H423" s="17">
        <v>452459.44</v>
      </c>
      <c r="I423" s="17">
        <v>196001.4</v>
      </c>
      <c r="J423" s="17">
        <v>485094.7</v>
      </c>
    </row>
    <row r="424" spans="1:10" x14ac:dyDescent="0.25">
      <c r="A424" s="16" t="s">
        <v>1164</v>
      </c>
      <c r="B424" s="16" t="s">
        <v>1419</v>
      </c>
      <c r="C424" s="16"/>
      <c r="D424" s="19"/>
      <c r="E424" s="19"/>
      <c r="F424" s="19"/>
      <c r="G424" s="19"/>
      <c r="H424" s="19"/>
      <c r="I424" s="17">
        <v>7244.62</v>
      </c>
      <c r="J424" s="19"/>
    </row>
    <row r="425" spans="1:10" x14ac:dyDescent="0.25">
      <c r="A425" s="16" t="s">
        <v>1164</v>
      </c>
      <c r="B425" s="16" t="s">
        <v>768</v>
      </c>
      <c r="C425" s="16"/>
      <c r="D425" s="17">
        <v>39660.35</v>
      </c>
      <c r="E425" s="17">
        <v>8169.74</v>
      </c>
      <c r="F425" s="19"/>
      <c r="G425" s="17">
        <v>5335.37</v>
      </c>
      <c r="H425" s="19"/>
      <c r="I425" s="19"/>
      <c r="J425" s="19"/>
    </row>
    <row r="426" spans="1:10" x14ac:dyDescent="0.25">
      <c r="A426" s="16" t="s">
        <v>1164</v>
      </c>
      <c r="B426" s="16" t="s">
        <v>335</v>
      </c>
      <c r="C426" s="16"/>
      <c r="D426" s="19"/>
      <c r="E426" s="19"/>
      <c r="F426" s="19"/>
      <c r="G426" s="17">
        <v>381469.76</v>
      </c>
      <c r="H426" s="19"/>
      <c r="I426" s="17">
        <v>319322.06</v>
      </c>
      <c r="J426" s="17">
        <v>305252.56</v>
      </c>
    </row>
    <row r="427" spans="1:10" x14ac:dyDescent="0.25">
      <c r="A427" s="16" t="s">
        <v>1164</v>
      </c>
      <c r="B427" s="16" t="s">
        <v>947</v>
      </c>
      <c r="C427" s="16" t="s">
        <v>307</v>
      </c>
      <c r="D427" s="17">
        <v>263703.74</v>
      </c>
      <c r="E427" s="17">
        <v>56638.58</v>
      </c>
      <c r="F427" s="17">
        <v>249115.5</v>
      </c>
      <c r="G427" s="17">
        <v>391603.38</v>
      </c>
      <c r="H427" s="17">
        <v>100362.24000000001</v>
      </c>
      <c r="I427" s="17">
        <v>285521.55</v>
      </c>
      <c r="J427" s="19"/>
    </row>
    <row r="428" spans="1:10" x14ac:dyDescent="0.25">
      <c r="A428" s="16" t="s">
        <v>1164</v>
      </c>
      <c r="B428" s="16" t="s">
        <v>949</v>
      </c>
      <c r="C428" s="16" t="s">
        <v>303</v>
      </c>
      <c r="D428" s="19"/>
      <c r="E428" s="17">
        <v>102045.95</v>
      </c>
      <c r="F428" s="17">
        <v>38628.370000000003</v>
      </c>
      <c r="G428" s="17">
        <v>38116.22</v>
      </c>
      <c r="H428" s="17">
        <v>67149.960000000006</v>
      </c>
      <c r="I428" s="17">
        <v>98950.87</v>
      </c>
      <c r="J428" s="17">
        <v>74611.88</v>
      </c>
    </row>
    <row r="429" spans="1:10" x14ac:dyDescent="0.25">
      <c r="A429" s="16" t="s">
        <v>1164</v>
      </c>
      <c r="B429" s="16" t="s">
        <v>337</v>
      </c>
      <c r="C429" s="16"/>
      <c r="D429" s="19"/>
      <c r="E429" s="17">
        <v>5200</v>
      </c>
      <c r="F429" s="19"/>
      <c r="G429" s="19"/>
      <c r="H429" s="19"/>
      <c r="I429" s="19"/>
      <c r="J429" s="19"/>
    </row>
    <row r="430" spans="1:10" x14ac:dyDescent="0.25">
      <c r="A430" s="16" t="s">
        <v>1164</v>
      </c>
      <c r="B430" s="16" t="s">
        <v>951</v>
      </c>
      <c r="C430" s="16" t="s">
        <v>338</v>
      </c>
      <c r="D430" s="19"/>
      <c r="E430" s="17">
        <v>38541.910000000003</v>
      </c>
      <c r="F430" s="17">
        <v>166421.04999999999</v>
      </c>
      <c r="G430" s="19"/>
      <c r="H430" s="17">
        <v>37964.28</v>
      </c>
      <c r="I430" s="17">
        <v>51330.1</v>
      </c>
      <c r="J430" s="17">
        <v>55292.97</v>
      </c>
    </row>
    <row r="431" spans="1:10" ht="22.5" x14ac:dyDescent="0.25">
      <c r="A431" s="16" t="s">
        <v>1164</v>
      </c>
      <c r="B431" s="16" t="s">
        <v>339</v>
      </c>
      <c r="C431" s="16"/>
      <c r="D431" s="17">
        <v>174561.62</v>
      </c>
      <c r="E431" s="17">
        <v>4002.37</v>
      </c>
      <c r="F431" s="17">
        <v>11723.85</v>
      </c>
      <c r="G431" s="19"/>
      <c r="H431" s="19"/>
      <c r="I431" s="19"/>
      <c r="J431" s="19"/>
    </row>
    <row r="432" spans="1:10" x14ac:dyDescent="0.25">
      <c r="A432" s="16" t="s">
        <v>1164</v>
      </c>
      <c r="B432" s="16" t="s">
        <v>340</v>
      </c>
      <c r="C432" s="16"/>
      <c r="D432" s="19"/>
      <c r="E432" s="19"/>
      <c r="F432" s="19"/>
      <c r="G432" s="19"/>
      <c r="H432" s="19"/>
      <c r="I432" s="17">
        <v>15653.6</v>
      </c>
      <c r="J432" s="17">
        <v>29437.19</v>
      </c>
    </row>
    <row r="433" spans="1:10" x14ac:dyDescent="0.25">
      <c r="A433" s="16" t="s">
        <v>1164</v>
      </c>
      <c r="B433" s="16" t="s">
        <v>953</v>
      </c>
      <c r="C433" s="16" t="s">
        <v>365</v>
      </c>
      <c r="D433" s="17">
        <v>851395.36</v>
      </c>
      <c r="E433" s="17">
        <v>931631.82</v>
      </c>
      <c r="F433" s="17">
        <v>1297935.08</v>
      </c>
      <c r="G433" s="17">
        <v>1068673.24</v>
      </c>
      <c r="H433" s="17">
        <v>1989120.07</v>
      </c>
      <c r="I433" s="17">
        <v>1836894.2</v>
      </c>
      <c r="J433" s="17">
        <v>538698.44999999995</v>
      </c>
    </row>
    <row r="434" spans="1:10" ht="22.5" x14ac:dyDescent="0.25">
      <c r="A434" s="16" t="s">
        <v>1164</v>
      </c>
      <c r="B434" s="16" t="s">
        <v>955</v>
      </c>
      <c r="C434" s="16" t="s">
        <v>292</v>
      </c>
      <c r="D434" s="17">
        <v>347444.97</v>
      </c>
      <c r="E434" s="17">
        <v>499088.75</v>
      </c>
      <c r="F434" s="17">
        <v>326161.32</v>
      </c>
      <c r="G434" s="17">
        <v>385898.29</v>
      </c>
      <c r="H434" s="17">
        <v>295103.53000000003</v>
      </c>
      <c r="I434" s="17">
        <v>1044384.8</v>
      </c>
      <c r="J434" s="17">
        <v>1018165.61</v>
      </c>
    </row>
    <row r="435" spans="1:10" x14ac:dyDescent="0.25">
      <c r="A435" s="16" t="s">
        <v>1164</v>
      </c>
      <c r="B435" s="16" t="s">
        <v>957</v>
      </c>
      <c r="C435" s="16" t="s">
        <v>365</v>
      </c>
      <c r="D435" s="17">
        <v>761910.98</v>
      </c>
      <c r="E435" s="19"/>
      <c r="F435" s="17">
        <v>763959.54</v>
      </c>
      <c r="G435" s="17">
        <v>601730.87</v>
      </c>
      <c r="H435" s="17">
        <v>2022554.22</v>
      </c>
      <c r="I435" s="17">
        <v>1357983.09</v>
      </c>
      <c r="J435" s="17">
        <v>513345.82</v>
      </c>
    </row>
    <row r="436" spans="1:10" x14ac:dyDescent="0.25">
      <c r="A436" s="16" t="s">
        <v>1164</v>
      </c>
      <c r="B436" s="16" t="s">
        <v>298</v>
      </c>
      <c r="C436" s="16"/>
      <c r="D436" s="17">
        <v>1850617.1</v>
      </c>
      <c r="E436" s="17">
        <v>647781.82999999996</v>
      </c>
      <c r="F436" s="17">
        <v>1697483.41</v>
      </c>
      <c r="G436" s="17">
        <v>1795289.97</v>
      </c>
      <c r="H436" s="17">
        <v>1345030.64</v>
      </c>
      <c r="I436" s="17">
        <v>2272133.02</v>
      </c>
      <c r="J436" s="17">
        <v>2256678.66</v>
      </c>
    </row>
    <row r="437" spans="1:10" x14ac:dyDescent="0.25">
      <c r="A437" s="16" t="s">
        <v>1164</v>
      </c>
      <c r="B437" s="16" t="s">
        <v>962</v>
      </c>
      <c r="C437" s="16" t="s">
        <v>332</v>
      </c>
      <c r="D437" s="17">
        <v>210608.08</v>
      </c>
      <c r="E437" s="17">
        <v>276621.44</v>
      </c>
      <c r="F437" s="17">
        <v>466754.27</v>
      </c>
      <c r="G437" s="17">
        <v>342475.61</v>
      </c>
      <c r="H437" s="17">
        <v>447666.23</v>
      </c>
      <c r="I437" s="17">
        <v>742809.65</v>
      </c>
      <c r="J437" s="17">
        <v>192972.11</v>
      </c>
    </row>
    <row r="438" spans="1:10" x14ac:dyDescent="0.25">
      <c r="A438" s="16" t="s">
        <v>1164</v>
      </c>
      <c r="B438" s="16" t="s">
        <v>1352</v>
      </c>
      <c r="C438" s="16"/>
      <c r="D438" s="19"/>
      <c r="E438" s="19"/>
      <c r="F438" s="19"/>
      <c r="G438" s="19"/>
      <c r="H438" s="17">
        <v>56254.99</v>
      </c>
      <c r="I438" s="19"/>
      <c r="J438" s="17">
        <v>3932.2</v>
      </c>
    </row>
    <row r="439" spans="1:10" x14ac:dyDescent="0.25">
      <c r="A439" s="16" t="s">
        <v>1164</v>
      </c>
      <c r="B439" s="16" t="s">
        <v>299</v>
      </c>
      <c r="C439" s="16"/>
      <c r="D439" s="19"/>
      <c r="E439" s="17">
        <v>2985.07</v>
      </c>
      <c r="F439" s="17">
        <v>14955.1</v>
      </c>
      <c r="G439" s="17">
        <v>18977.580000000002</v>
      </c>
      <c r="H439" s="19"/>
      <c r="I439" s="17">
        <v>8676.92</v>
      </c>
      <c r="J439" s="19"/>
    </row>
    <row r="440" spans="1:10" x14ac:dyDescent="0.25">
      <c r="A440" s="16" t="s">
        <v>1164</v>
      </c>
      <c r="B440" s="16" t="s">
        <v>342</v>
      </c>
      <c r="C440" s="16"/>
      <c r="D440" s="19"/>
      <c r="E440" s="19"/>
      <c r="F440" s="19"/>
      <c r="G440" s="19"/>
      <c r="H440" s="17">
        <v>12965.07</v>
      </c>
      <c r="I440" s="17">
        <v>11659.13</v>
      </c>
      <c r="J440" s="17">
        <v>20144.96</v>
      </c>
    </row>
    <row r="441" spans="1:10" x14ac:dyDescent="0.25">
      <c r="A441" s="16" t="s">
        <v>1164</v>
      </c>
      <c r="B441" s="16" t="s">
        <v>1518</v>
      </c>
      <c r="C441" s="16" t="s">
        <v>353</v>
      </c>
      <c r="D441" s="19"/>
      <c r="E441" s="19"/>
      <c r="F441" s="19"/>
      <c r="G441" s="19"/>
      <c r="H441" s="19"/>
      <c r="I441" s="19"/>
      <c r="J441" s="17">
        <v>399983.56</v>
      </c>
    </row>
    <row r="442" spans="1:10" x14ac:dyDescent="0.25">
      <c r="A442" s="16" t="s">
        <v>1164</v>
      </c>
      <c r="B442" s="16" t="s">
        <v>1420</v>
      </c>
      <c r="C442" s="16"/>
      <c r="D442" s="19"/>
      <c r="E442" s="19"/>
      <c r="F442" s="19"/>
      <c r="G442" s="19"/>
      <c r="H442" s="19"/>
      <c r="I442" s="17">
        <v>33973.82</v>
      </c>
      <c r="J442" s="19"/>
    </row>
    <row r="443" spans="1:10" x14ac:dyDescent="0.25">
      <c r="A443" s="16" t="s">
        <v>1164</v>
      </c>
      <c r="B443" s="16" t="s">
        <v>1168</v>
      </c>
      <c r="C443" s="16" t="s">
        <v>310</v>
      </c>
      <c r="D443" s="17">
        <v>10502.92</v>
      </c>
      <c r="E443" s="19"/>
      <c r="F443" s="19"/>
      <c r="G443" s="19"/>
      <c r="H443" s="17">
        <v>7897.09</v>
      </c>
      <c r="I443" s="19"/>
      <c r="J443" s="19"/>
    </row>
    <row r="444" spans="1:10" x14ac:dyDescent="0.25">
      <c r="A444" s="16" t="s">
        <v>1164</v>
      </c>
      <c r="B444" s="16" t="s">
        <v>347</v>
      </c>
      <c r="C444" s="16"/>
      <c r="D444" s="19"/>
      <c r="E444" s="19"/>
      <c r="F444" s="19"/>
      <c r="G444" s="19"/>
      <c r="H444" s="17">
        <v>66853.66</v>
      </c>
      <c r="I444" s="19"/>
      <c r="J444" s="17">
        <v>41518.49</v>
      </c>
    </row>
    <row r="445" spans="1:10" x14ac:dyDescent="0.25">
      <c r="A445" s="16" t="s">
        <v>1397</v>
      </c>
      <c r="B445" s="16" t="s">
        <v>259</v>
      </c>
      <c r="C445" s="16"/>
      <c r="D445" s="17">
        <v>26419.55</v>
      </c>
      <c r="E445" s="17">
        <v>52327.3</v>
      </c>
      <c r="F445" s="17">
        <v>21653.4</v>
      </c>
      <c r="G445" s="19"/>
      <c r="H445" s="17">
        <v>38644.78</v>
      </c>
      <c r="I445" s="17">
        <v>38356.97</v>
      </c>
      <c r="J445" s="17">
        <v>33124.949999999997</v>
      </c>
    </row>
    <row r="446" spans="1:10" x14ac:dyDescent="0.25">
      <c r="A446" s="16" t="s">
        <v>1397</v>
      </c>
      <c r="B446" s="16" t="s">
        <v>922</v>
      </c>
      <c r="C446" s="16" t="s">
        <v>282</v>
      </c>
      <c r="D446" s="19"/>
      <c r="E446" s="19"/>
      <c r="F446" s="19"/>
      <c r="G446" s="17">
        <v>96471.66</v>
      </c>
      <c r="H446" s="17">
        <v>51482.7</v>
      </c>
      <c r="I446" s="17">
        <v>130053.69</v>
      </c>
      <c r="J446" s="17">
        <v>41802.089999999997</v>
      </c>
    </row>
    <row r="447" spans="1:10" x14ac:dyDescent="0.25">
      <c r="A447" s="16" t="s">
        <v>1397</v>
      </c>
      <c r="B447" s="16" t="s">
        <v>350</v>
      </c>
      <c r="C447" s="16" t="s">
        <v>317</v>
      </c>
      <c r="D447" s="19"/>
      <c r="E447" s="17">
        <v>19130.54</v>
      </c>
      <c r="F447" s="17">
        <v>18616.919999999998</v>
      </c>
      <c r="G447" s="19"/>
      <c r="H447" s="19"/>
      <c r="I447" s="19"/>
      <c r="J447" s="17">
        <v>27949.439999999999</v>
      </c>
    </row>
    <row r="448" spans="1:10" x14ac:dyDescent="0.25">
      <c r="A448" s="16" t="s">
        <v>1397</v>
      </c>
      <c r="B448" s="16" t="s">
        <v>260</v>
      </c>
      <c r="C448" s="16"/>
      <c r="D448" s="17">
        <v>139982.47</v>
      </c>
      <c r="E448" s="17">
        <v>122432.52</v>
      </c>
      <c r="F448" s="17">
        <v>69905.149999999994</v>
      </c>
      <c r="G448" s="17">
        <v>127434.71</v>
      </c>
      <c r="H448" s="17">
        <v>126923.9</v>
      </c>
      <c r="I448" s="17">
        <v>219169.97</v>
      </c>
      <c r="J448" s="17">
        <v>129152.11</v>
      </c>
    </row>
    <row r="449" spans="1:10" x14ac:dyDescent="0.25">
      <c r="A449" s="16" t="s">
        <v>1397</v>
      </c>
      <c r="B449" s="16" t="s">
        <v>923</v>
      </c>
      <c r="C449" s="16"/>
      <c r="D449" s="19"/>
      <c r="E449" s="19"/>
      <c r="F449" s="19"/>
      <c r="G449" s="19"/>
      <c r="H449" s="19"/>
      <c r="I449" s="17">
        <v>28735.72</v>
      </c>
      <c r="J449" s="19"/>
    </row>
    <row r="450" spans="1:10" x14ac:dyDescent="0.25">
      <c r="A450" s="16" t="s">
        <v>1397</v>
      </c>
      <c r="B450" s="16" t="s">
        <v>924</v>
      </c>
      <c r="C450" s="16" t="s">
        <v>268</v>
      </c>
      <c r="D450" s="19"/>
      <c r="E450" s="17">
        <v>5824.28</v>
      </c>
      <c r="F450" s="17">
        <v>2817.36</v>
      </c>
      <c r="G450" s="17">
        <v>4804.41</v>
      </c>
      <c r="H450" s="19"/>
      <c r="I450" s="17">
        <v>28332.54</v>
      </c>
      <c r="J450" s="17">
        <v>44942.38</v>
      </c>
    </row>
    <row r="451" spans="1:10" x14ac:dyDescent="0.25">
      <c r="A451" s="16" t="s">
        <v>1397</v>
      </c>
      <c r="B451" s="16" t="s">
        <v>283</v>
      </c>
      <c r="C451" s="16"/>
      <c r="D451" s="19"/>
      <c r="E451" s="19"/>
      <c r="F451" s="17">
        <v>14453.43</v>
      </c>
      <c r="G451" s="19"/>
      <c r="H451" s="19"/>
      <c r="I451" s="17">
        <v>9547.85</v>
      </c>
      <c r="J451" s="19"/>
    </row>
    <row r="452" spans="1:10" x14ac:dyDescent="0.25">
      <c r="A452" s="16" t="s">
        <v>1397</v>
      </c>
      <c r="B452" s="16" t="s">
        <v>312</v>
      </c>
      <c r="C452" s="16"/>
      <c r="D452" s="19"/>
      <c r="E452" s="19"/>
      <c r="F452" s="17">
        <v>28348.69</v>
      </c>
      <c r="G452" s="19"/>
      <c r="H452" s="17">
        <v>10360.530000000001</v>
      </c>
      <c r="I452" s="19"/>
      <c r="J452" s="19"/>
    </row>
    <row r="453" spans="1:10" x14ac:dyDescent="0.25">
      <c r="A453" s="16" t="s">
        <v>1397</v>
      </c>
      <c r="B453" s="16" t="s">
        <v>261</v>
      </c>
      <c r="C453" s="16"/>
      <c r="D453" s="17">
        <v>143912.48000000001</v>
      </c>
      <c r="E453" s="17">
        <v>5887.91</v>
      </c>
      <c r="F453" s="17">
        <v>119677.85</v>
      </c>
      <c r="G453" s="17">
        <v>41733.99</v>
      </c>
      <c r="H453" s="17">
        <v>4626.76</v>
      </c>
      <c r="I453" s="19"/>
      <c r="J453" s="19"/>
    </row>
    <row r="454" spans="1:10" x14ac:dyDescent="0.25">
      <c r="A454" s="16" t="s">
        <v>1397</v>
      </c>
      <c r="B454" s="16" t="s">
        <v>927</v>
      </c>
      <c r="C454" s="16" t="s">
        <v>352</v>
      </c>
      <c r="D454" s="17">
        <v>709861.73</v>
      </c>
      <c r="E454" s="17">
        <v>845061.61</v>
      </c>
      <c r="F454" s="17">
        <v>407168.61</v>
      </c>
      <c r="G454" s="17">
        <v>688253.27</v>
      </c>
      <c r="H454" s="17">
        <v>828618.2</v>
      </c>
      <c r="I454" s="17">
        <v>774963.06</v>
      </c>
      <c r="J454" s="17">
        <v>758678.74</v>
      </c>
    </row>
    <row r="455" spans="1:10" x14ac:dyDescent="0.25">
      <c r="A455" s="16" t="s">
        <v>1397</v>
      </c>
      <c r="B455" s="16" t="s">
        <v>285</v>
      </c>
      <c r="C455" s="16"/>
      <c r="D455" s="17">
        <v>7623.82</v>
      </c>
      <c r="E455" s="19"/>
      <c r="F455" s="17">
        <v>25925.58</v>
      </c>
      <c r="G455" s="19"/>
      <c r="H455" s="19"/>
      <c r="I455" s="19"/>
      <c r="J455" s="19"/>
    </row>
    <row r="456" spans="1:10" x14ac:dyDescent="0.25">
      <c r="A456" s="16" t="s">
        <v>1397</v>
      </c>
      <c r="B456" s="16" t="s">
        <v>928</v>
      </c>
      <c r="C456" s="16" t="s">
        <v>262</v>
      </c>
      <c r="D456" s="19"/>
      <c r="E456" s="17">
        <v>10118.74</v>
      </c>
      <c r="F456" s="18">
        <v>756.33</v>
      </c>
      <c r="G456" s="19"/>
      <c r="H456" s="19"/>
      <c r="I456" s="19"/>
      <c r="J456" s="19"/>
    </row>
    <row r="457" spans="1:10" x14ac:dyDescent="0.25">
      <c r="A457" s="16" t="s">
        <v>1397</v>
      </c>
      <c r="B457" s="16" t="s">
        <v>355</v>
      </c>
      <c r="C457" s="16"/>
      <c r="D457" s="19"/>
      <c r="E457" s="17">
        <v>283427.65000000002</v>
      </c>
      <c r="F457" s="17">
        <v>494517.2</v>
      </c>
      <c r="G457" s="17">
        <v>249204</v>
      </c>
      <c r="H457" s="19"/>
      <c r="I457" s="19"/>
      <c r="J457" s="19"/>
    </row>
    <row r="458" spans="1:10" x14ac:dyDescent="0.25">
      <c r="A458" s="16" t="s">
        <v>1397</v>
      </c>
      <c r="B458" s="16" t="s">
        <v>769</v>
      </c>
      <c r="C458" s="16" t="s">
        <v>357</v>
      </c>
      <c r="D458" s="17">
        <v>8071.29</v>
      </c>
      <c r="E458" s="17">
        <v>5026.3999999999996</v>
      </c>
      <c r="F458" s="17">
        <v>2934.66</v>
      </c>
      <c r="G458" s="17">
        <v>2685.88</v>
      </c>
      <c r="H458" s="17">
        <v>4972.0600000000004</v>
      </c>
      <c r="I458" s="17">
        <v>5709.44</v>
      </c>
      <c r="J458" s="17">
        <v>7764.71</v>
      </c>
    </row>
    <row r="459" spans="1:10" x14ac:dyDescent="0.25">
      <c r="A459" s="16" t="s">
        <v>1397</v>
      </c>
      <c r="B459" s="16" t="s">
        <v>315</v>
      </c>
      <c r="C459" s="16"/>
      <c r="D459" s="19"/>
      <c r="E459" s="17">
        <v>13529.63</v>
      </c>
      <c r="F459" s="19"/>
      <c r="G459" s="17">
        <v>11596.26</v>
      </c>
      <c r="H459" s="19"/>
      <c r="I459" s="17">
        <v>11841.09</v>
      </c>
      <c r="J459" s="19"/>
    </row>
    <row r="460" spans="1:10" x14ac:dyDescent="0.25">
      <c r="A460" s="16" t="s">
        <v>1397</v>
      </c>
      <c r="B460" s="16" t="s">
        <v>287</v>
      </c>
      <c r="C460" s="16"/>
      <c r="D460" s="17">
        <v>1350</v>
      </c>
      <c r="E460" s="19"/>
      <c r="F460" s="17">
        <v>10890</v>
      </c>
      <c r="G460" s="19"/>
      <c r="H460" s="19"/>
      <c r="I460" s="19"/>
      <c r="J460" s="19"/>
    </row>
    <row r="461" spans="1:10" x14ac:dyDescent="0.25">
      <c r="A461" s="16" t="s">
        <v>1397</v>
      </c>
      <c r="B461" s="16" t="s">
        <v>317</v>
      </c>
      <c r="C461" s="16"/>
      <c r="D461" s="19"/>
      <c r="E461" s="19"/>
      <c r="F461" s="17">
        <v>63916.24</v>
      </c>
      <c r="G461" s="19"/>
      <c r="H461" s="17">
        <v>86236.65</v>
      </c>
      <c r="I461" s="17">
        <v>34129.440000000002</v>
      </c>
      <c r="J461" s="17">
        <v>24914.240000000002</v>
      </c>
    </row>
    <row r="462" spans="1:10" x14ac:dyDescent="0.25">
      <c r="A462" s="16" t="s">
        <v>1397</v>
      </c>
      <c r="B462" s="16" t="s">
        <v>289</v>
      </c>
      <c r="C462" s="16"/>
      <c r="D462" s="17">
        <v>24883.99</v>
      </c>
      <c r="E462" s="17">
        <v>54862.44</v>
      </c>
      <c r="F462" s="17">
        <v>70114.41</v>
      </c>
      <c r="G462" s="17">
        <v>5430.59</v>
      </c>
      <c r="H462" s="17">
        <v>3105.17</v>
      </c>
      <c r="I462" s="17">
        <v>43132.12</v>
      </c>
      <c r="J462" s="17">
        <v>14366.77</v>
      </c>
    </row>
    <row r="463" spans="1:10" x14ac:dyDescent="0.25">
      <c r="A463" s="16" t="s">
        <v>1397</v>
      </c>
      <c r="B463" s="16" t="s">
        <v>290</v>
      </c>
      <c r="C463" s="16"/>
      <c r="D463" s="19"/>
      <c r="E463" s="19"/>
      <c r="F463" s="17">
        <v>24937.64</v>
      </c>
      <c r="G463" s="19"/>
      <c r="H463" s="19"/>
      <c r="I463" s="17">
        <v>16673.73</v>
      </c>
      <c r="J463" s="17">
        <v>2016.35</v>
      </c>
    </row>
    <row r="464" spans="1:10" x14ac:dyDescent="0.25">
      <c r="A464" s="16" t="s">
        <v>1397</v>
      </c>
      <c r="B464" s="16" t="s">
        <v>358</v>
      </c>
      <c r="C464" s="16"/>
      <c r="D464" s="19"/>
      <c r="E464" s="19"/>
      <c r="F464" s="17">
        <v>44982.6</v>
      </c>
      <c r="G464" s="19"/>
      <c r="H464" s="19"/>
      <c r="I464" s="17">
        <v>47579.78</v>
      </c>
      <c r="J464" s="17">
        <v>31137.119999999999</v>
      </c>
    </row>
    <row r="465" spans="1:10" x14ac:dyDescent="0.25">
      <c r="A465" s="16" t="s">
        <v>1397</v>
      </c>
      <c r="B465" s="16" t="s">
        <v>265</v>
      </c>
      <c r="C465" s="16"/>
      <c r="D465" s="19"/>
      <c r="E465" s="19"/>
      <c r="F465" s="17">
        <v>50402.38</v>
      </c>
      <c r="G465" s="17">
        <v>98901.31</v>
      </c>
      <c r="H465" s="17">
        <v>60890.82</v>
      </c>
      <c r="I465" s="17">
        <v>284901.34999999998</v>
      </c>
      <c r="J465" s="17">
        <v>145688.54999999999</v>
      </c>
    </row>
    <row r="466" spans="1:10" x14ac:dyDescent="0.25">
      <c r="A466" s="16" t="s">
        <v>1397</v>
      </c>
      <c r="B466" s="16" t="s">
        <v>291</v>
      </c>
      <c r="C466" s="16"/>
      <c r="D466" s="19"/>
      <c r="E466" s="17">
        <v>53576.36</v>
      </c>
      <c r="F466" s="19"/>
      <c r="G466" s="19"/>
      <c r="H466" s="19"/>
      <c r="I466" s="19"/>
      <c r="J466" s="19"/>
    </row>
    <row r="467" spans="1:10" x14ac:dyDescent="0.25">
      <c r="A467" s="16" t="s">
        <v>1397</v>
      </c>
      <c r="B467" s="16" t="s">
        <v>322</v>
      </c>
      <c r="C467" s="16"/>
      <c r="D467" s="19"/>
      <c r="E467" s="19"/>
      <c r="F467" s="19"/>
      <c r="G467" s="17">
        <v>32509.01</v>
      </c>
      <c r="H467" s="17">
        <v>31270.54</v>
      </c>
      <c r="I467" s="17">
        <v>30549.360000000001</v>
      </c>
      <c r="J467" s="19"/>
    </row>
    <row r="468" spans="1:10" x14ac:dyDescent="0.25">
      <c r="A468" s="16" t="s">
        <v>1397</v>
      </c>
      <c r="B468" s="16" t="s">
        <v>323</v>
      </c>
      <c r="C468" s="16"/>
      <c r="D468" s="19"/>
      <c r="E468" s="19"/>
      <c r="F468" s="19"/>
      <c r="G468" s="19"/>
      <c r="H468" s="19"/>
      <c r="I468" s="19"/>
      <c r="J468" s="17">
        <v>25779.599999999999</v>
      </c>
    </row>
    <row r="469" spans="1:10" x14ac:dyDescent="0.25">
      <c r="A469" s="16" t="s">
        <v>1397</v>
      </c>
      <c r="B469" s="16" t="s">
        <v>939</v>
      </c>
      <c r="C469" s="16" t="s">
        <v>359</v>
      </c>
      <c r="D469" s="19"/>
      <c r="E469" s="19"/>
      <c r="F469" s="19"/>
      <c r="G469" s="17">
        <v>42608.63</v>
      </c>
      <c r="H469" s="17">
        <v>54647.99</v>
      </c>
      <c r="I469" s="17">
        <v>96705.07</v>
      </c>
      <c r="J469" s="17">
        <v>84330.1</v>
      </c>
    </row>
    <row r="470" spans="1:10" x14ac:dyDescent="0.25">
      <c r="A470" s="16" t="s">
        <v>1397</v>
      </c>
      <c r="B470" s="16" t="s">
        <v>325</v>
      </c>
      <c r="C470" s="16"/>
      <c r="D470" s="17">
        <v>35985.17</v>
      </c>
      <c r="E470" s="19"/>
      <c r="F470" s="17">
        <v>31047.06</v>
      </c>
      <c r="G470" s="19"/>
      <c r="H470" s="17">
        <v>88692.04</v>
      </c>
      <c r="I470" s="17">
        <v>4159.96</v>
      </c>
      <c r="J470" s="19"/>
    </row>
    <row r="471" spans="1:10" x14ac:dyDescent="0.25">
      <c r="A471" s="16" t="s">
        <v>1397</v>
      </c>
      <c r="B471" s="16" t="s">
        <v>267</v>
      </c>
      <c r="C471" s="16"/>
      <c r="D471" s="19"/>
      <c r="E471" s="19"/>
      <c r="F471" s="17">
        <v>16474.61</v>
      </c>
      <c r="G471" s="19"/>
      <c r="H471" s="19"/>
      <c r="I471" s="19"/>
      <c r="J471" s="17">
        <v>36325.71</v>
      </c>
    </row>
    <row r="472" spans="1:10" x14ac:dyDescent="0.25">
      <c r="A472" s="16" t="s">
        <v>1397</v>
      </c>
      <c r="B472" s="16" t="s">
        <v>360</v>
      </c>
      <c r="C472" s="16"/>
      <c r="D472" s="19"/>
      <c r="E472" s="19"/>
      <c r="F472" s="19"/>
      <c r="G472" s="17">
        <v>8025.74</v>
      </c>
      <c r="H472" s="19"/>
      <c r="I472" s="19"/>
      <c r="J472" s="19"/>
    </row>
    <row r="473" spans="1:10" x14ac:dyDescent="0.25">
      <c r="A473" s="16" t="s">
        <v>1397</v>
      </c>
      <c r="B473" s="16" t="s">
        <v>941</v>
      </c>
      <c r="C473" s="16"/>
      <c r="D473" s="19"/>
      <c r="E473" s="17">
        <v>67977.97</v>
      </c>
      <c r="F473" s="19"/>
      <c r="G473" s="19"/>
      <c r="H473" s="19"/>
      <c r="I473" s="19"/>
      <c r="J473" s="19"/>
    </row>
    <row r="474" spans="1:10" x14ac:dyDescent="0.25">
      <c r="A474" s="16" t="s">
        <v>1397</v>
      </c>
      <c r="B474" s="16" t="s">
        <v>328</v>
      </c>
      <c r="C474" s="16"/>
      <c r="D474" s="19"/>
      <c r="E474" s="17">
        <v>24885.02</v>
      </c>
      <c r="F474" s="17">
        <v>48607.15</v>
      </c>
      <c r="G474" s="17">
        <v>51741.82</v>
      </c>
      <c r="H474" s="19"/>
      <c r="I474" s="17">
        <v>20161.48</v>
      </c>
      <c r="J474" s="17">
        <v>66868.53</v>
      </c>
    </row>
    <row r="475" spans="1:10" x14ac:dyDescent="0.25">
      <c r="A475" s="16" t="s">
        <v>1397</v>
      </c>
      <c r="B475" s="16" t="s">
        <v>1167</v>
      </c>
      <c r="C475" s="16" t="s">
        <v>315</v>
      </c>
      <c r="D475" s="19"/>
      <c r="E475" s="17">
        <v>8994.19</v>
      </c>
      <c r="F475" s="19"/>
      <c r="G475" s="19"/>
      <c r="H475" s="19"/>
      <c r="I475" s="19"/>
      <c r="J475" s="19"/>
    </row>
    <row r="476" spans="1:10" x14ac:dyDescent="0.25">
      <c r="A476" s="16" t="s">
        <v>1397</v>
      </c>
      <c r="B476" s="16" t="s">
        <v>330</v>
      </c>
      <c r="C476" s="16"/>
      <c r="D476" s="19"/>
      <c r="E476" s="19"/>
      <c r="F476" s="19"/>
      <c r="G476" s="18">
        <v>318.57</v>
      </c>
      <c r="H476" s="19"/>
      <c r="I476" s="19"/>
      <c r="J476" s="19"/>
    </row>
    <row r="477" spans="1:10" x14ac:dyDescent="0.25">
      <c r="A477" s="16" t="s">
        <v>1397</v>
      </c>
      <c r="B477" s="16" t="s">
        <v>362</v>
      </c>
      <c r="C477" s="16"/>
      <c r="D477" s="19"/>
      <c r="E477" s="19"/>
      <c r="F477" s="17">
        <v>1225.3599999999999</v>
      </c>
      <c r="G477" s="19"/>
      <c r="H477" s="19"/>
      <c r="I477" s="17">
        <v>17751.84</v>
      </c>
      <c r="J477" s="17">
        <v>1115.9100000000001</v>
      </c>
    </row>
    <row r="478" spans="1:10" x14ac:dyDescent="0.25">
      <c r="A478" s="16" t="s">
        <v>1397</v>
      </c>
      <c r="B478" s="16" t="s">
        <v>1162</v>
      </c>
      <c r="C478" s="16"/>
      <c r="D478" s="19"/>
      <c r="E478" s="19"/>
      <c r="F478" s="17">
        <v>1323.61</v>
      </c>
      <c r="G478" s="17">
        <v>33575.72</v>
      </c>
      <c r="H478" s="19"/>
      <c r="I478" s="17">
        <v>21972.17</v>
      </c>
      <c r="J478" s="19"/>
    </row>
    <row r="479" spans="1:10" x14ac:dyDescent="0.25">
      <c r="A479" s="16" t="s">
        <v>1397</v>
      </c>
      <c r="B479" s="16" t="s">
        <v>295</v>
      </c>
      <c r="C479" s="16"/>
      <c r="D479" s="19"/>
      <c r="E479" s="19"/>
      <c r="F479" s="19"/>
      <c r="G479" s="19"/>
      <c r="H479" s="17">
        <v>28221.47</v>
      </c>
      <c r="I479" s="17">
        <v>8398.85</v>
      </c>
      <c r="J479" s="19"/>
    </row>
    <row r="480" spans="1:10" x14ac:dyDescent="0.25">
      <c r="A480" s="16" t="s">
        <v>1397</v>
      </c>
      <c r="B480" s="16" t="s">
        <v>296</v>
      </c>
      <c r="C480" s="16"/>
      <c r="D480" s="19"/>
      <c r="E480" s="17">
        <v>48880.06</v>
      </c>
      <c r="F480" s="17">
        <v>50635.21</v>
      </c>
      <c r="G480" s="19"/>
      <c r="H480" s="17">
        <v>112708.72</v>
      </c>
      <c r="I480" s="17">
        <v>53925.77</v>
      </c>
      <c r="J480" s="17">
        <v>43802.74</v>
      </c>
    </row>
    <row r="481" spans="1:10" x14ac:dyDescent="0.25">
      <c r="A481" s="16" t="s">
        <v>1397</v>
      </c>
      <c r="B481" s="16" t="s">
        <v>270</v>
      </c>
      <c r="C481" s="16"/>
      <c r="D481" s="19"/>
      <c r="E481" s="19"/>
      <c r="F481" s="19"/>
      <c r="G481" s="19"/>
      <c r="H481" s="19"/>
      <c r="I481" s="17">
        <v>71622.09</v>
      </c>
      <c r="J481" s="19"/>
    </row>
    <row r="482" spans="1:10" x14ac:dyDescent="0.25">
      <c r="A482" s="16" t="s">
        <v>1397</v>
      </c>
      <c r="B482" s="16" t="s">
        <v>1519</v>
      </c>
      <c r="C482" s="16"/>
      <c r="D482" s="19"/>
      <c r="E482" s="19"/>
      <c r="F482" s="19"/>
      <c r="G482" s="19"/>
      <c r="H482" s="19"/>
      <c r="I482" s="19"/>
      <c r="J482" s="17">
        <v>16658.740000000002</v>
      </c>
    </row>
    <row r="483" spans="1:10" x14ac:dyDescent="0.25">
      <c r="A483" s="16" t="s">
        <v>1397</v>
      </c>
      <c r="B483" s="16" t="s">
        <v>336</v>
      </c>
      <c r="C483" s="16"/>
      <c r="D483" s="19"/>
      <c r="E483" s="17">
        <v>15372.23</v>
      </c>
      <c r="F483" s="17">
        <v>75491.88</v>
      </c>
      <c r="G483" s="19"/>
      <c r="H483" s="17">
        <v>68977.66</v>
      </c>
      <c r="I483" s="19"/>
      <c r="J483" s="19"/>
    </row>
    <row r="484" spans="1:10" x14ac:dyDescent="0.25">
      <c r="A484" s="16" t="s">
        <v>1397</v>
      </c>
      <c r="B484" s="16" t="s">
        <v>952</v>
      </c>
      <c r="C484" s="16" t="s">
        <v>318</v>
      </c>
      <c r="D484" s="17">
        <v>114095.86</v>
      </c>
      <c r="E484" s="17">
        <v>92918.24</v>
      </c>
      <c r="F484" s="17">
        <v>133504.49</v>
      </c>
      <c r="G484" s="17">
        <v>902793.9</v>
      </c>
      <c r="H484" s="17">
        <v>486603.78</v>
      </c>
      <c r="I484" s="17">
        <v>338473.3</v>
      </c>
      <c r="J484" s="17">
        <v>196284.97</v>
      </c>
    </row>
    <row r="485" spans="1:10" x14ac:dyDescent="0.25">
      <c r="A485" s="16" t="s">
        <v>1397</v>
      </c>
      <c r="B485" s="16" t="s">
        <v>297</v>
      </c>
      <c r="C485" s="16"/>
      <c r="D485" s="19"/>
      <c r="E485" s="17">
        <v>16368.49</v>
      </c>
      <c r="F485" s="17">
        <v>12423.28</v>
      </c>
      <c r="G485" s="19"/>
      <c r="H485" s="17">
        <v>1307.7</v>
      </c>
      <c r="I485" s="17">
        <v>6355.72</v>
      </c>
      <c r="J485" s="17">
        <v>18190.53</v>
      </c>
    </row>
    <row r="486" spans="1:10" x14ac:dyDescent="0.25">
      <c r="A486" s="16" t="s">
        <v>1397</v>
      </c>
      <c r="B486" s="16" t="s">
        <v>272</v>
      </c>
      <c r="C486" s="16"/>
      <c r="D486" s="19"/>
      <c r="E486" s="19"/>
      <c r="F486" s="19"/>
      <c r="G486" s="19"/>
      <c r="H486" s="17">
        <v>15634.53</v>
      </c>
      <c r="I486" s="19"/>
      <c r="J486" s="19"/>
    </row>
    <row r="487" spans="1:10" x14ac:dyDescent="0.25">
      <c r="A487" s="16" t="s">
        <v>1397</v>
      </c>
      <c r="B487" s="16" t="s">
        <v>364</v>
      </c>
      <c r="C487" s="16"/>
      <c r="D487" s="19"/>
      <c r="E487" s="19"/>
      <c r="F487" s="19"/>
      <c r="G487" s="17">
        <v>7668.51</v>
      </c>
      <c r="H487" s="17">
        <v>19949.62</v>
      </c>
      <c r="I487" s="17">
        <v>2517.0100000000002</v>
      </c>
      <c r="J487" s="19"/>
    </row>
    <row r="488" spans="1:10" x14ac:dyDescent="0.25">
      <c r="A488" s="16" t="s">
        <v>1397</v>
      </c>
      <c r="B488" s="16" t="s">
        <v>954</v>
      </c>
      <c r="C488" s="16" t="s">
        <v>271</v>
      </c>
      <c r="D488" s="19"/>
      <c r="E488" s="19"/>
      <c r="F488" s="19"/>
      <c r="G488" s="19"/>
      <c r="H488" s="19"/>
      <c r="I488" s="17">
        <v>85932.17</v>
      </c>
      <c r="J488" s="19"/>
    </row>
    <row r="489" spans="1:10" x14ac:dyDescent="0.25">
      <c r="A489" s="16" t="s">
        <v>1397</v>
      </c>
      <c r="B489" s="16" t="s">
        <v>956</v>
      </c>
      <c r="C489" s="16" t="s">
        <v>1162</v>
      </c>
      <c r="D489" s="19"/>
      <c r="E489" s="19"/>
      <c r="F489" s="19"/>
      <c r="G489" s="19"/>
      <c r="H489" s="19"/>
      <c r="I489" s="19"/>
      <c r="J489" s="17">
        <v>24487.46</v>
      </c>
    </row>
    <row r="490" spans="1:10" x14ac:dyDescent="0.25">
      <c r="A490" s="16" t="s">
        <v>1397</v>
      </c>
      <c r="B490" s="16" t="s">
        <v>366</v>
      </c>
      <c r="C490" s="16"/>
      <c r="D490" s="19"/>
      <c r="E490" s="19"/>
      <c r="F490" s="17">
        <v>51751.33</v>
      </c>
      <c r="G490" s="19"/>
      <c r="H490" s="19"/>
      <c r="I490" s="17">
        <v>90242.87</v>
      </c>
      <c r="J490" s="19"/>
    </row>
    <row r="491" spans="1:10" x14ac:dyDescent="0.25">
      <c r="A491" s="16" t="s">
        <v>1397</v>
      </c>
      <c r="B491" s="16" t="s">
        <v>961</v>
      </c>
      <c r="C491" s="16" t="s">
        <v>345</v>
      </c>
      <c r="D491" s="19"/>
      <c r="E491" s="19"/>
      <c r="F491" s="17">
        <v>6616.99</v>
      </c>
      <c r="G491" s="19"/>
      <c r="H491" s="17">
        <v>11781.8</v>
      </c>
      <c r="I491" s="17">
        <v>464686.43</v>
      </c>
      <c r="J491" s="17">
        <v>313465.57</v>
      </c>
    </row>
    <row r="492" spans="1:10" x14ac:dyDescent="0.25">
      <c r="A492" s="16" t="s">
        <v>1397</v>
      </c>
      <c r="B492" s="16" t="s">
        <v>965</v>
      </c>
      <c r="C492" s="16" t="s">
        <v>367</v>
      </c>
      <c r="D492" s="17">
        <v>300299.43</v>
      </c>
      <c r="E492" s="17">
        <v>164696.16</v>
      </c>
      <c r="F492" s="17">
        <v>294981.17</v>
      </c>
      <c r="G492" s="17">
        <v>548982.82999999996</v>
      </c>
      <c r="H492" s="17">
        <v>223033.49</v>
      </c>
      <c r="I492" s="17">
        <v>288255.55</v>
      </c>
      <c r="J492" s="17">
        <v>619489.80000000005</v>
      </c>
    </row>
    <row r="493" spans="1:10" x14ac:dyDescent="0.25">
      <c r="A493" s="16" t="s">
        <v>1397</v>
      </c>
      <c r="B493" s="16" t="s">
        <v>966</v>
      </c>
      <c r="C493" s="16"/>
      <c r="D493" s="19"/>
      <c r="E493" s="17">
        <v>82346.89</v>
      </c>
      <c r="F493" s="19"/>
      <c r="G493" s="17">
        <v>26416.959999999999</v>
      </c>
      <c r="H493" s="17">
        <v>3194.86</v>
      </c>
      <c r="I493" s="19"/>
      <c r="J493" s="17">
        <v>26263.200000000001</v>
      </c>
    </row>
    <row r="494" spans="1:10" x14ac:dyDescent="0.25">
      <c r="A494" s="16" t="s">
        <v>1397</v>
      </c>
      <c r="B494" s="16" t="s">
        <v>300</v>
      </c>
      <c r="C494" s="16"/>
      <c r="D494" s="17">
        <v>19083.75</v>
      </c>
      <c r="E494" s="19"/>
      <c r="F494" s="19"/>
      <c r="G494" s="19"/>
      <c r="H494" s="18">
        <v>260.08</v>
      </c>
      <c r="I494" s="19"/>
      <c r="J494" s="19"/>
    </row>
    <row r="495" spans="1:10" x14ac:dyDescent="0.25">
      <c r="A495" s="16" t="s">
        <v>1397</v>
      </c>
      <c r="B495" s="16" t="s">
        <v>301</v>
      </c>
      <c r="C495" s="16"/>
      <c r="D495" s="19"/>
      <c r="E495" s="19"/>
      <c r="F495" s="17">
        <v>53320.87</v>
      </c>
      <c r="G495" s="19"/>
      <c r="H495" s="17">
        <v>23656.68</v>
      </c>
      <c r="I495" s="17">
        <v>188576.46</v>
      </c>
      <c r="J495" s="19"/>
    </row>
    <row r="496" spans="1:10" x14ac:dyDescent="0.25">
      <c r="A496" s="16" t="s">
        <v>1397</v>
      </c>
      <c r="B496" s="16" t="s">
        <v>343</v>
      </c>
      <c r="C496" s="16"/>
      <c r="D496" s="17">
        <v>45334.239999999998</v>
      </c>
      <c r="E496" s="19"/>
      <c r="F496" s="19"/>
      <c r="G496" s="19"/>
      <c r="H496" s="19"/>
      <c r="I496" s="19"/>
      <c r="J496" s="19"/>
    </row>
    <row r="497" spans="1:10" x14ac:dyDescent="0.25">
      <c r="A497" s="16" t="s">
        <v>1397</v>
      </c>
      <c r="B497" s="16" t="s">
        <v>967</v>
      </c>
      <c r="C497" s="16" t="s">
        <v>302</v>
      </c>
      <c r="D497" s="17">
        <v>339611.14</v>
      </c>
      <c r="E497" s="17">
        <v>14005.67</v>
      </c>
      <c r="F497" s="17">
        <v>159210.22</v>
      </c>
      <c r="G497" s="17">
        <v>199960.09</v>
      </c>
      <c r="H497" s="17">
        <v>117746.87</v>
      </c>
      <c r="I497" s="17">
        <v>129380.35</v>
      </c>
      <c r="J497" s="17">
        <v>161515.9</v>
      </c>
    </row>
    <row r="498" spans="1:10" x14ac:dyDescent="0.25">
      <c r="A498" s="16" t="s">
        <v>1397</v>
      </c>
      <c r="B498" s="16" t="s">
        <v>968</v>
      </c>
      <c r="C498" s="16" t="s">
        <v>331</v>
      </c>
      <c r="D498" s="17">
        <v>45124.800000000003</v>
      </c>
      <c r="E498" s="17">
        <v>49539.76</v>
      </c>
      <c r="F498" s="17">
        <v>28278.14</v>
      </c>
      <c r="G498" s="19"/>
      <c r="H498" s="17">
        <v>9293.25</v>
      </c>
      <c r="I498" s="19"/>
      <c r="J498" s="19"/>
    </row>
    <row r="499" spans="1:10" x14ac:dyDescent="0.25">
      <c r="A499" s="16" t="s">
        <v>1397</v>
      </c>
      <c r="B499" s="16" t="s">
        <v>344</v>
      </c>
      <c r="C499" s="16"/>
      <c r="D499" s="19"/>
      <c r="E499" s="19"/>
      <c r="F499" s="17">
        <v>45530</v>
      </c>
      <c r="G499" s="19"/>
      <c r="H499" s="19"/>
      <c r="I499" s="19"/>
      <c r="J499" s="19"/>
    </row>
    <row r="500" spans="1:10" x14ac:dyDescent="0.25">
      <c r="A500" s="16" t="s">
        <v>1397</v>
      </c>
      <c r="B500" s="16" t="s">
        <v>346</v>
      </c>
      <c r="C500" s="16"/>
      <c r="D500" s="19"/>
      <c r="E500" s="19"/>
      <c r="F500" s="19"/>
      <c r="G500" s="19"/>
      <c r="H500" s="19"/>
      <c r="I500" s="17">
        <v>28567.599999999999</v>
      </c>
      <c r="J500" s="19"/>
    </row>
    <row r="501" spans="1:10" x14ac:dyDescent="0.25">
      <c r="A501" s="16" t="s">
        <v>1397</v>
      </c>
      <c r="B501" s="16" t="s">
        <v>368</v>
      </c>
      <c r="C501" s="16"/>
      <c r="D501" s="19"/>
      <c r="E501" s="19"/>
      <c r="F501" s="17">
        <v>7895.64</v>
      </c>
      <c r="G501" s="19"/>
      <c r="H501" s="17">
        <v>18221.43</v>
      </c>
      <c r="I501" s="17">
        <v>55573.95</v>
      </c>
      <c r="J501" s="17">
        <v>9721.35</v>
      </c>
    </row>
    <row r="502" spans="1:10" x14ac:dyDescent="0.25">
      <c r="A502" s="16" t="s">
        <v>1397</v>
      </c>
      <c r="B502" s="16" t="s">
        <v>305</v>
      </c>
      <c r="C502" s="16"/>
      <c r="D502" s="19"/>
      <c r="E502" s="19"/>
      <c r="F502" s="17">
        <v>32190.21</v>
      </c>
      <c r="G502" s="19"/>
      <c r="H502" s="19"/>
      <c r="I502" s="19"/>
      <c r="J502" s="19"/>
    </row>
    <row r="503" spans="1:10" x14ac:dyDescent="0.25">
      <c r="A503" s="16" t="s">
        <v>1170</v>
      </c>
      <c r="B503" s="16" t="s">
        <v>1256</v>
      </c>
      <c r="C503" s="16"/>
      <c r="D503" s="19"/>
      <c r="E503" s="19"/>
      <c r="F503" s="17">
        <v>503165.54</v>
      </c>
      <c r="G503" s="19"/>
      <c r="H503" s="17">
        <v>232478.53</v>
      </c>
      <c r="I503" s="19"/>
      <c r="J503" s="17">
        <v>204083.82</v>
      </c>
    </row>
    <row r="504" spans="1:10" x14ac:dyDescent="0.25">
      <c r="A504" s="16" t="s">
        <v>1170</v>
      </c>
      <c r="B504" s="16" t="s">
        <v>1</v>
      </c>
      <c r="C504" s="16"/>
      <c r="D504" s="19"/>
      <c r="E504" s="19"/>
      <c r="F504" s="17">
        <v>520970.47</v>
      </c>
      <c r="G504" s="17">
        <v>471604.87</v>
      </c>
      <c r="H504" s="17">
        <v>183565.52</v>
      </c>
      <c r="I504" s="17">
        <v>1764961.87</v>
      </c>
      <c r="J504" s="17">
        <v>1078666.8899999999</v>
      </c>
    </row>
    <row r="505" spans="1:10" x14ac:dyDescent="0.25">
      <c r="A505" s="16" t="s">
        <v>1170</v>
      </c>
      <c r="B505" s="16" t="s">
        <v>21</v>
      </c>
      <c r="C505" s="16"/>
      <c r="D505" s="19"/>
      <c r="E505" s="19"/>
      <c r="F505" s="19"/>
      <c r="G505" s="17">
        <v>316974.53000000003</v>
      </c>
      <c r="H505" s="19"/>
      <c r="I505" s="19"/>
      <c r="J505" s="19"/>
    </row>
    <row r="506" spans="1:10" x14ac:dyDescent="0.25">
      <c r="A506" s="16" t="s">
        <v>1170</v>
      </c>
      <c r="B506" s="16" t="s">
        <v>22</v>
      </c>
      <c r="C506" s="16"/>
      <c r="D506" s="19"/>
      <c r="E506" s="19"/>
      <c r="F506" s="19"/>
      <c r="G506" s="19"/>
      <c r="H506" s="17">
        <v>106394.64</v>
      </c>
      <c r="I506" s="19"/>
      <c r="J506" s="19"/>
    </row>
    <row r="507" spans="1:10" x14ac:dyDescent="0.25">
      <c r="A507" s="16" t="s">
        <v>1170</v>
      </c>
      <c r="B507" s="16" t="s">
        <v>1421</v>
      </c>
      <c r="C507" s="16" t="s">
        <v>12</v>
      </c>
      <c r="D507" s="19"/>
      <c r="E507" s="19"/>
      <c r="F507" s="19"/>
      <c r="G507" s="19"/>
      <c r="H507" s="19"/>
      <c r="I507" s="17">
        <v>173635.72</v>
      </c>
      <c r="J507" s="17">
        <v>132867.32999999999</v>
      </c>
    </row>
    <row r="508" spans="1:10" x14ac:dyDescent="0.25">
      <c r="A508" s="16" t="s">
        <v>1170</v>
      </c>
      <c r="B508" s="16" t="s">
        <v>1257</v>
      </c>
      <c r="C508" s="16" t="s">
        <v>12</v>
      </c>
      <c r="D508" s="19"/>
      <c r="E508" s="17">
        <v>699893.95</v>
      </c>
      <c r="F508" s="17">
        <v>76593.740000000005</v>
      </c>
      <c r="G508" s="19"/>
      <c r="H508" s="17">
        <v>783699.81</v>
      </c>
      <c r="I508" s="17">
        <v>385508.08</v>
      </c>
      <c r="J508" s="17">
        <v>659715.27</v>
      </c>
    </row>
    <row r="509" spans="1:10" x14ac:dyDescent="0.25">
      <c r="A509" s="16" t="s">
        <v>1170</v>
      </c>
      <c r="B509" s="16" t="s">
        <v>818</v>
      </c>
      <c r="C509" s="16" t="s">
        <v>12</v>
      </c>
      <c r="D509" s="17">
        <v>110562.91</v>
      </c>
      <c r="E509" s="17">
        <v>32225.55</v>
      </c>
      <c r="F509" s="17">
        <v>317801.11</v>
      </c>
      <c r="G509" s="17">
        <v>716793.12</v>
      </c>
      <c r="H509" s="19"/>
      <c r="I509" s="17">
        <v>240741.97</v>
      </c>
      <c r="J509" s="17">
        <v>157568.76999999999</v>
      </c>
    </row>
    <row r="510" spans="1:10" x14ac:dyDescent="0.25">
      <c r="A510" s="16" t="s">
        <v>1170</v>
      </c>
      <c r="B510" s="16" t="s">
        <v>1258</v>
      </c>
      <c r="C510" s="16" t="s">
        <v>12</v>
      </c>
      <c r="D510" s="17">
        <v>480618.17</v>
      </c>
      <c r="E510" s="19"/>
      <c r="F510" s="19"/>
      <c r="G510" s="17">
        <v>236624.93</v>
      </c>
      <c r="H510" s="17">
        <v>1042353.01</v>
      </c>
      <c r="I510" s="17">
        <v>1038879.7</v>
      </c>
      <c r="J510" s="17">
        <v>362169.39</v>
      </c>
    </row>
    <row r="511" spans="1:10" x14ac:dyDescent="0.25">
      <c r="A511" s="16" t="s">
        <v>1170</v>
      </c>
      <c r="B511" s="16" t="s">
        <v>819</v>
      </c>
      <c r="C511" s="16" t="s">
        <v>12</v>
      </c>
      <c r="D511" s="17">
        <v>87285.2</v>
      </c>
      <c r="E511" s="19"/>
      <c r="F511" s="17">
        <v>243735.91</v>
      </c>
      <c r="G511" s="17">
        <v>252509.67</v>
      </c>
      <c r="H511" s="17">
        <v>77017.490000000005</v>
      </c>
      <c r="I511" s="17">
        <v>189046.16</v>
      </c>
      <c r="J511" s="17">
        <v>625368.36</v>
      </c>
    </row>
    <row r="512" spans="1:10" x14ac:dyDescent="0.25">
      <c r="A512" s="16" t="s">
        <v>1170</v>
      </c>
      <c r="B512" s="16" t="s">
        <v>1237</v>
      </c>
      <c r="C512" s="16" t="s">
        <v>12</v>
      </c>
      <c r="D512" s="17">
        <v>400268.57</v>
      </c>
      <c r="E512" s="17">
        <v>580130.27</v>
      </c>
      <c r="F512" s="17">
        <v>456579.67</v>
      </c>
      <c r="G512" s="17">
        <v>646308.34</v>
      </c>
      <c r="H512" s="17">
        <v>376227.47</v>
      </c>
      <c r="I512" s="17">
        <v>1203057.96</v>
      </c>
      <c r="J512" s="17">
        <v>1204902.9099999999</v>
      </c>
    </row>
    <row r="513" spans="1:10" x14ac:dyDescent="0.25">
      <c r="A513" s="16" t="s">
        <v>1170</v>
      </c>
      <c r="B513" s="16" t="s">
        <v>1238</v>
      </c>
      <c r="C513" s="16" t="s">
        <v>12</v>
      </c>
      <c r="D513" s="17">
        <v>756285.06</v>
      </c>
      <c r="E513" s="17">
        <v>831304.93</v>
      </c>
      <c r="F513" s="17">
        <v>1320439.44</v>
      </c>
      <c r="G513" s="17">
        <v>1419486.82</v>
      </c>
      <c r="H513" s="17">
        <v>2743053.07</v>
      </c>
      <c r="I513" s="17">
        <v>711254.91</v>
      </c>
      <c r="J513" s="17">
        <v>2099475.88</v>
      </c>
    </row>
    <row r="514" spans="1:10" x14ac:dyDescent="0.25">
      <c r="A514" s="16" t="s">
        <v>1170</v>
      </c>
      <c r="B514" s="16" t="s">
        <v>820</v>
      </c>
      <c r="C514" s="16" t="s">
        <v>12</v>
      </c>
      <c r="D514" s="17">
        <v>52294.48</v>
      </c>
      <c r="E514" s="17">
        <v>42594.16</v>
      </c>
      <c r="F514" s="17">
        <v>31925.34</v>
      </c>
      <c r="G514" s="17">
        <v>83861.399999999994</v>
      </c>
      <c r="H514" s="17">
        <v>39056.410000000003</v>
      </c>
      <c r="I514" s="17">
        <v>85965.87</v>
      </c>
      <c r="J514" s="17">
        <v>223806.89</v>
      </c>
    </row>
    <row r="515" spans="1:10" x14ac:dyDescent="0.25">
      <c r="A515" s="16" t="s">
        <v>1170</v>
      </c>
      <c r="B515" s="16" t="s">
        <v>821</v>
      </c>
      <c r="C515" s="16" t="s">
        <v>12</v>
      </c>
      <c r="D515" s="17">
        <v>819608.88</v>
      </c>
      <c r="E515" s="17">
        <v>954332.76</v>
      </c>
      <c r="F515" s="17">
        <v>379555.3</v>
      </c>
      <c r="G515" s="17">
        <v>578949.19999999995</v>
      </c>
      <c r="H515" s="17">
        <v>752459.31</v>
      </c>
      <c r="I515" s="17">
        <v>856080.63</v>
      </c>
      <c r="J515" s="17">
        <v>515043.05</v>
      </c>
    </row>
    <row r="516" spans="1:10" x14ac:dyDescent="0.25">
      <c r="A516" s="16" t="s">
        <v>1170</v>
      </c>
      <c r="B516" s="16" t="s">
        <v>1422</v>
      </c>
      <c r="C516" s="16"/>
      <c r="D516" s="19"/>
      <c r="E516" s="19"/>
      <c r="F516" s="19"/>
      <c r="G516" s="19"/>
      <c r="H516" s="19"/>
      <c r="I516" s="17">
        <v>53853.01</v>
      </c>
      <c r="J516" s="17">
        <v>110669.05</v>
      </c>
    </row>
    <row r="517" spans="1:10" x14ac:dyDescent="0.25">
      <c r="A517" s="16" t="s">
        <v>1170</v>
      </c>
      <c r="B517" s="16" t="s">
        <v>14</v>
      </c>
      <c r="C517" s="16"/>
      <c r="D517" s="19"/>
      <c r="E517" s="17">
        <v>119593.39</v>
      </c>
      <c r="F517" s="17">
        <v>534567.57999999996</v>
      </c>
      <c r="G517" s="17">
        <v>981129.6</v>
      </c>
      <c r="H517" s="17">
        <v>366986.68</v>
      </c>
      <c r="I517" s="17">
        <v>993436.25</v>
      </c>
      <c r="J517" s="17">
        <v>1042961.84</v>
      </c>
    </row>
    <row r="518" spans="1:10" x14ac:dyDescent="0.25">
      <c r="A518" s="16" t="s">
        <v>1170</v>
      </c>
      <c r="B518" s="16" t="s">
        <v>15</v>
      </c>
      <c r="C518" s="16"/>
      <c r="D518" s="17">
        <v>266686.03999999998</v>
      </c>
      <c r="E518" s="17">
        <v>230791.56</v>
      </c>
      <c r="F518" s="17">
        <v>316640.13</v>
      </c>
      <c r="G518" s="17">
        <v>298623.2</v>
      </c>
      <c r="H518" s="17">
        <v>335651.8</v>
      </c>
      <c r="I518" s="17">
        <v>306153.86</v>
      </c>
      <c r="J518" s="17">
        <v>318329.51</v>
      </c>
    </row>
    <row r="519" spans="1:10" x14ac:dyDescent="0.25">
      <c r="A519" s="16" t="s">
        <v>1170</v>
      </c>
      <c r="B519" s="16" t="s">
        <v>825</v>
      </c>
      <c r="C519" s="16" t="s">
        <v>16</v>
      </c>
      <c r="D519" s="17">
        <v>1677895.63</v>
      </c>
      <c r="E519" s="17">
        <v>937608.08</v>
      </c>
      <c r="F519" s="17">
        <v>722725.47</v>
      </c>
      <c r="G519" s="17">
        <v>530095.47</v>
      </c>
      <c r="H519" s="17">
        <v>588281.42000000004</v>
      </c>
      <c r="I519" s="17">
        <v>1504573.01</v>
      </c>
      <c r="J519" s="17">
        <v>2001037.24</v>
      </c>
    </row>
    <row r="520" spans="1:10" x14ac:dyDescent="0.25">
      <c r="A520" s="16" t="s">
        <v>1170</v>
      </c>
      <c r="B520" s="16" t="s">
        <v>17</v>
      </c>
      <c r="C520" s="16"/>
      <c r="D520" s="17">
        <v>220087.31</v>
      </c>
      <c r="E520" s="17">
        <v>1503277.46</v>
      </c>
      <c r="F520" s="17">
        <v>596069.52</v>
      </c>
      <c r="G520" s="17">
        <v>773124.51</v>
      </c>
      <c r="H520" s="17">
        <v>2087126.72</v>
      </c>
      <c r="I520" s="17">
        <v>1184350.1399999999</v>
      </c>
      <c r="J520" s="17">
        <v>3344445.02</v>
      </c>
    </row>
    <row r="521" spans="1:10" x14ac:dyDescent="0.25">
      <c r="A521" s="16" t="s">
        <v>1170</v>
      </c>
      <c r="B521" s="16" t="s">
        <v>40</v>
      </c>
      <c r="C521" s="16"/>
      <c r="D521" s="17">
        <v>59192.37</v>
      </c>
      <c r="E521" s="17">
        <v>266546.82</v>
      </c>
      <c r="F521" s="17">
        <v>79893.27</v>
      </c>
      <c r="G521" s="19"/>
      <c r="H521" s="17">
        <v>59456.89</v>
      </c>
      <c r="I521" s="17">
        <v>101354.35</v>
      </c>
      <c r="J521" s="17">
        <v>44641.65</v>
      </c>
    </row>
    <row r="522" spans="1:10" x14ac:dyDescent="0.25">
      <c r="A522" s="16" t="s">
        <v>1170</v>
      </c>
      <c r="B522" s="16" t="s">
        <v>828</v>
      </c>
      <c r="C522" s="16" t="s">
        <v>18</v>
      </c>
      <c r="D522" s="17">
        <v>591979.43000000005</v>
      </c>
      <c r="E522" s="17">
        <v>303612.25</v>
      </c>
      <c r="F522" s="17">
        <v>809150.04</v>
      </c>
      <c r="G522" s="17">
        <v>920622.24</v>
      </c>
      <c r="H522" s="17">
        <v>445022.26</v>
      </c>
      <c r="I522" s="17">
        <v>244603.08</v>
      </c>
      <c r="J522" s="17">
        <v>300889.59000000003</v>
      </c>
    </row>
    <row r="523" spans="1:10" x14ac:dyDescent="0.25">
      <c r="A523" s="16" t="s">
        <v>1170</v>
      </c>
      <c r="B523" s="16" t="s">
        <v>1520</v>
      </c>
      <c r="C523" s="16"/>
      <c r="D523" s="19"/>
      <c r="E523" s="19"/>
      <c r="F523" s="19"/>
      <c r="G523" s="19"/>
      <c r="H523" s="19"/>
      <c r="I523" s="19"/>
      <c r="J523" s="17">
        <v>124192.25</v>
      </c>
    </row>
    <row r="524" spans="1:10" x14ac:dyDescent="0.25">
      <c r="A524" s="16" t="s">
        <v>1170</v>
      </c>
      <c r="B524" s="16" t="s">
        <v>50</v>
      </c>
      <c r="C524" s="16"/>
      <c r="D524" s="17">
        <v>189193.60000000001</v>
      </c>
      <c r="E524" s="17">
        <v>213027.97</v>
      </c>
      <c r="F524" s="17">
        <v>282026.77</v>
      </c>
      <c r="G524" s="17">
        <v>240447.9</v>
      </c>
      <c r="H524" s="17">
        <v>273749.58</v>
      </c>
      <c r="I524" s="17">
        <v>294847.40999999997</v>
      </c>
      <c r="J524" s="17">
        <v>152678.76</v>
      </c>
    </row>
    <row r="525" spans="1:10" x14ac:dyDescent="0.25">
      <c r="A525" s="16" t="s">
        <v>1171</v>
      </c>
      <c r="B525" s="16" t="s">
        <v>1478</v>
      </c>
      <c r="C525" s="16"/>
      <c r="D525" s="19"/>
      <c r="E525" s="19"/>
      <c r="F525" s="19"/>
      <c r="G525" s="19"/>
      <c r="H525" s="19"/>
      <c r="I525" s="19"/>
      <c r="J525" s="17">
        <v>187028.82</v>
      </c>
    </row>
    <row r="526" spans="1:10" x14ac:dyDescent="0.25">
      <c r="A526" s="16" t="s">
        <v>1171</v>
      </c>
      <c r="B526" s="16" t="s">
        <v>20</v>
      </c>
      <c r="C526" s="16"/>
      <c r="D526" s="17">
        <v>151002.76</v>
      </c>
      <c r="E526" s="17">
        <v>484085.42</v>
      </c>
      <c r="F526" s="19"/>
      <c r="G526" s="17">
        <v>991401.25</v>
      </c>
      <c r="H526" s="19"/>
      <c r="I526" s="17">
        <v>699377.73</v>
      </c>
      <c r="J526" s="19"/>
    </row>
    <row r="527" spans="1:10" x14ac:dyDescent="0.25">
      <c r="A527" s="16" t="s">
        <v>1171</v>
      </c>
      <c r="B527" s="16" t="s">
        <v>1242</v>
      </c>
      <c r="C527" s="16"/>
      <c r="D527" s="19"/>
      <c r="E527" s="19"/>
      <c r="F527" s="19"/>
      <c r="G527" s="17">
        <v>516570.98</v>
      </c>
      <c r="H527" s="17">
        <v>114055.11</v>
      </c>
      <c r="I527" s="17">
        <v>358088.58</v>
      </c>
      <c r="J527" s="19"/>
    </row>
    <row r="528" spans="1:10" x14ac:dyDescent="0.25">
      <c r="A528" s="16" t="s">
        <v>1171</v>
      </c>
      <c r="B528" s="16" t="s">
        <v>763</v>
      </c>
      <c r="C528" s="16"/>
      <c r="D528" s="17">
        <v>208063.17</v>
      </c>
      <c r="E528" s="17">
        <v>137107.81</v>
      </c>
      <c r="F528" s="17">
        <v>393568.67</v>
      </c>
      <c r="G528" s="17">
        <v>147837.76000000001</v>
      </c>
      <c r="H528" s="17">
        <v>438085.52</v>
      </c>
      <c r="I528" s="17">
        <v>175579.42</v>
      </c>
      <c r="J528" s="17">
        <v>153305.76</v>
      </c>
    </row>
    <row r="529" spans="1:10" x14ac:dyDescent="0.25">
      <c r="A529" s="16" t="s">
        <v>1171</v>
      </c>
      <c r="B529" s="16" t="s">
        <v>23</v>
      </c>
      <c r="C529" s="16"/>
      <c r="D529" s="17">
        <v>153479.38</v>
      </c>
      <c r="E529" s="17">
        <v>50083.78</v>
      </c>
      <c r="F529" s="19"/>
      <c r="G529" s="19"/>
      <c r="H529" s="19"/>
      <c r="I529" s="19"/>
      <c r="J529" s="17">
        <v>394214.95</v>
      </c>
    </row>
    <row r="530" spans="1:10" x14ac:dyDescent="0.25">
      <c r="A530" s="16" t="s">
        <v>1171</v>
      </c>
      <c r="B530" s="16" t="s">
        <v>24</v>
      </c>
      <c r="C530" s="16"/>
      <c r="D530" s="17">
        <v>34130.74</v>
      </c>
      <c r="E530" s="19"/>
      <c r="F530" s="19"/>
      <c r="G530" s="19"/>
      <c r="H530" s="19"/>
      <c r="I530" s="19"/>
      <c r="J530" s="19"/>
    </row>
    <row r="531" spans="1:10" x14ac:dyDescent="0.25">
      <c r="A531" s="16" t="s">
        <v>1171</v>
      </c>
      <c r="B531" s="16" t="s">
        <v>1463</v>
      </c>
      <c r="C531" s="16"/>
      <c r="D531" s="19"/>
      <c r="E531" s="19"/>
      <c r="F531" s="19"/>
      <c r="G531" s="19"/>
      <c r="H531" s="19"/>
      <c r="I531" s="19"/>
      <c r="J531" s="17">
        <v>354442.3</v>
      </c>
    </row>
    <row r="532" spans="1:10" x14ac:dyDescent="0.25">
      <c r="A532" s="16" t="s">
        <v>1171</v>
      </c>
      <c r="B532" s="16" t="s">
        <v>26</v>
      </c>
      <c r="C532" s="16"/>
      <c r="D532" s="17">
        <v>985840.05</v>
      </c>
      <c r="E532" s="19"/>
      <c r="F532" s="19"/>
      <c r="G532" s="19"/>
      <c r="H532" s="19"/>
      <c r="I532" s="19"/>
      <c r="J532" s="19"/>
    </row>
    <row r="533" spans="1:10" x14ac:dyDescent="0.25">
      <c r="A533" s="16" t="s">
        <v>1171</v>
      </c>
      <c r="B533" s="16" t="s">
        <v>27</v>
      </c>
      <c r="C533" s="16"/>
      <c r="D533" s="17">
        <v>121016.46</v>
      </c>
      <c r="E533" s="17">
        <v>77505.27</v>
      </c>
      <c r="F533" s="17">
        <v>93694.89</v>
      </c>
      <c r="G533" s="17">
        <v>122329.64</v>
      </c>
      <c r="H533" s="17">
        <v>359151.18</v>
      </c>
      <c r="I533" s="17">
        <v>230506.93</v>
      </c>
      <c r="J533" s="17">
        <v>160766.70000000001</v>
      </c>
    </row>
    <row r="534" spans="1:10" x14ac:dyDescent="0.25">
      <c r="A534" s="16" t="s">
        <v>1171</v>
      </c>
      <c r="B534" s="16" t="s">
        <v>1172</v>
      </c>
      <c r="C534" s="16"/>
      <c r="D534" s="19"/>
      <c r="E534" s="17">
        <v>636630.68999999994</v>
      </c>
      <c r="F534" s="19"/>
      <c r="G534" s="19"/>
      <c r="H534" s="19"/>
      <c r="I534" s="19"/>
      <c r="J534" s="17">
        <v>714073.17</v>
      </c>
    </row>
    <row r="535" spans="1:10" x14ac:dyDescent="0.25">
      <c r="A535" s="16" t="s">
        <v>1171</v>
      </c>
      <c r="B535" s="16" t="s">
        <v>822</v>
      </c>
      <c r="C535" s="16" t="s">
        <v>34</v>
      </c>
      <c r="D535" s="17">
        <v>222400.07</v>
      </c>
      <c r="E535" s="19"/>
      <c r="F535" s="19"/>
      <c r="G535" s="19"/>
      <c r="H535" s="17">
        <v>279052.15999999997</v>
      </c>
      <c r="I535" s="17">
        <v>33615.64</v>
      </c>
      <c r="J535" s="19"/>
    </row>
    <row r="536" spans="1:10" x14ac:dyDescent="0.25">
      <c r="A536" s="16" t="s">
        <v>1171</v>
      </c>
      <c r="B536" s="16" t="s">
        <v>823</v>
      </c>
      <c r="C536" s="16"/>
      <c r="D536" s="17">
        <v>65824.88</v>
      </c>
      <c r="E536" s="17">
        <v>76744.66</v>
      </c>
      <c r="F536" s="19"/>
      <c r="G536" s="17">
        <v>81523.89</v>
      </c>
      <c r="H536" s="17">
        <v>82596.53</v>
      </c>
      <c r="I536" s="19"/>
      <c r="J536" s="17">
        <v>66401</v>
      </c>
    </row>
    <row r="537" spans="1:10" x14ac:dyDescent="0.25">
      <c r="A537" s="16" t="s">
        <v>1171</v>
      </c>
      <c r="B537" s="16" t="s">
        <v>28</v>
      </c>
      <c r="C537" s="16"/>
      <c r="D537" s="17">
        <v>66847.88</v>
      </c>
      <c r="E537" s="17">
        <v>243844.13</v>
      </c>
      <c r="F537" s="17">
        <v>140349.43</v>
      </c>
      <c r="G537" s="17">
        <v>146662.44</v>
      </c>
      <c r="H537" s="17">
        <v>410616.31</v>
      </c>
      <c r="I537" s="17">
        <v>315779.8</v>
      </c>
      <c r="J537" s="17">
        <v>273811.12</v>
      </c>
    </row>
    <row r="538" spans="1:10" x14ac:dyDescent="0.25">
      <c r="A538" s="16" t="s">
        <v>1171</v>
      </c>
      <c r="B538" s="16" t="s">
        <v>29</v>
      </c>
      <c r="C538" s="16"/>
      <c r="D538" s="17">
        <v>457362.99</v>
      </c>
      <c r="E538" s="19"/>
      <c r="F538" s="17">
        <v>192910.2</v>
      </c>
      <c r="G538" s="17">
        <v>222509.8</v>
      </c>
      <c r="H538" s="17">
        <v>564677.32999999996</v>
      </c>
      <c r="I538" s="17">
        <v>298125.42</v>
      </c>
      <c r="J538" s="19"/>
    </row>
    <row r="539" spans="1:10" x14ac:dyDescent="0.25">
      <c r="A539" s="16" t="s">
        <v>1171</v>
      </c>
      <c r="B539" s="16" t="s">
        <v>30</v>
      </c>
      <c r="C539" s="16"/>
      <c r="D539" s="17">
        <v>139350.35999999999</v>
      </c>
      <c r="E539" s="19"/>
      <c r="F539" s="17">
        <v>191117.85</v>
      </c>
      <c r="G539" s="19"/>
      <c r="H539" s="17">
        <v>156374.44</v>
      </c>
      <c r="I539" s="17">
        <v>163144.25</v>
      </c>
      <c r="J539" s="17">
        <v>203324.64</v>
      </c>
    </row>
    <row r="540" spans="1:10" x14ac:dyDescent="0.25">
      <c r="A540" s="16" t="s">
        <v>1171</v>
      </c>
      <c r="B540" s="16" t="s">
        <v>1173</v>
      </c>
      <c r="C540" s="16" t="s">
        <v>38</v>
      </c>
      <c r="D540" s="19"/>
      <c r="E540" s="17">
        <v>1437040.79</v>
      </c>
      <c r="F540" s="19"/>
      <c r="G540" s="19"/>
      <c r="H540" s="19"/>
      <c r="I540" s="17">
        <v>2765628.4</v>
      </c>
      <c r="J540" s="19"/>
    </row>
    <row r="541" spans="1:10" x14ac:dyDescent="0.25">
      <c r="A541" s="16" t="s">
        <v>1171</v>
      </c>
      <c r="B541" s="16" t="s">
        <v>32</v>
      </c>
      <c r="C541" s="16"/>
      <c r="D541" s="19"/>
      <c r="E541" s="19"/>
      <c r="F541" s="19"/>
      <c r="G541" s="19"/>
      <c r="H541" s="19"/>
      <c r="I541" s="17">
        <v>106045.91</v>
      </c>
      <c r="J541" s="19"/>
    </row>
    <row r="542" spans="1:10" x14ac:dyDescent="0.25">
      <c r="A542" s="16" t="s">
        <v>1171</v>
      </c>
      <c r="B542" s="16" t="s">
        <v>1174</v>
      </c>
      <c r="C542" s="16" t="s">
        <v>31</v>
      </c>
      <c r="D542" s="19"/>
      <c r="E542" s="17">
        <v>16597</v>
      </c>
      <c r="F542" s="19"/>
      <c r="G542" s="19"/>
      <c r="H542" s="19"/>
      <c r="I542" s="19"/>
      <c r="J542" s="19"/>
    </row>
    <row r="543" spans="1:10" x14ac:dyDescent="0.25">
      <c r="A543" s="16" t="s">
        <v>1171</v>
      </c>
      <c r="B543" s="16" t="s">
        <v>1239</v>
      </c>
      <c r="C543" s="16"/>
      <c r="D543" s="19"/>
      <c r="E543" s="19"/>
      <c r="F543" s="17">
        <v>719741.27</v>
      </c>
      <c r="G543" s="19"/>
      <c r="H543" s="19"/>
      <c r="I543" s="17">
        <v>366936.46</v>
      </c>
      <c r="J543" s="19"/>
    </row>
    <row r="544" spans="1:10" x14ac:dyDescent="0.25">
      <c r="A544" s="16" t="s">
        <v>1171</v>
      </c>
      <c r="B544" s="16" t="s">
        <v>33</v>
      </c>
      <c r="C544" s="16"/>
      <c r="D544" s="19"/>
      <c r="E544" s="19"/>
      <c r="F544" s="17">
        <v>68895.7</v>
      </c>
      <c r="G544" s="19"/>
      <c r="H544" s="19"/>
      <c r="I544" s="19"/>
      <c r="J544" s="19"/>
    </row>
    <row r="545" spans="1:10" x14ac:dyDescent="0.25">
      <c r="A545" s="16" t="s">
        <v>1171</v>
      </c>
      <c r="B545" s="16" t="s">
        <v>35</v>
      </c>
      <c r="C545" s="16"/>
      <c r="D545" s="19"/>
      <c r="E545" s="19"/>
      <c r="F545" s="19"/>
      <c r="G545" s="19"/>
      <c r="H545" s="17">
        <v>529805.9</v>
      </c>
      <c r="I545" s="19"/>
      <c r="J545" s="19"/>
    </row>
    <row r="546" spans="1:10" x14ac:dyDescent="0.25">
      <c r="A546" s="16" t="s">
        <v>1171</v>
      </c>
      <c r="B546" s="16" t="s">
        <v>36</v>
      </c>
      <c r="C546" s="16"/>
      <c r="D546" s="19"/>
      <c r="E546" s="19"/>
      <c r="F546" s="19"/>
      <c r="G546" s="17">
        <v>236702.09</v>
      </c>
      <c r="H546" s="17">
        <v>169651.31</v>
      </c>
      <c r="I546" s="17">
        <v>301155.7</v>
      </c>
      <c r="J546" s="17">
        <v>322795.15999999997</v>
      </c>
    </row>
    <row r="547" spans="1:10" x14ac:dyDescent="0.25">
      <c r="A547" s="16" t="s">
        <v>1171</v>
      </c>
      <c r="B547" s="16" t="s">
        <v>37</v>
      </c>
      <c r="C547" s="16"/>
      <c r="D547" s="17">
        <v>35858.129999999997</v>
      </c>
      <c r="E547" s="19"/>
      <c r="F547" s="19"/>
      <c r="G547" s="19"/>
      <c r="H547" s="19"/>
      <c r="I547" s="19"/>
      <c r="J547" s="19"/>
    </row>
    <row r="548" spans="1:10" x14ac:dyDescent="0.25">
      <c r="A548" s="16" t="s">
        <v>1171</v>
      </c>
      <c r="B548" s="16" t="s">
        <v>824</v>
      </c>
      <c r="C548" s="16"/>
      <c r="D548" s="19"/>
      <c r="E548" s="19"/>
      <c r="F548" s="17">
        <v>344989.76</v>
      </c>
      <c r="G548" s="19"/>
      <c r="H548" s="19"/>
      <c r="I548" s="17">
        <v>419311.37</v>
      </c>
      <c r="J548" s="19"/>
    </row>
    <row r="549" spans="1:10" x14ac:dyDescent="0.25">
      <c r="A549" s="16" t="s">
        <v>1171</v>
      </c>
      <c r="B549" s="16" t="s">
        <v>1305</v>
      </c>
      <c r="C549" s="16"/>
      <c r="D549" s="19"/>
      <c r="E549" s="19"/>
      <c r="F549" s="19"/>
      <c r="G549" s="17">
        <v>100859.86</v>
      </c>
      <c r="H549" s="17">
        <v>55279.839999999997</v>
      </c>
      <c r="I549" s="19"/>
      <c r="J549" s="17">
        <v>45054.15</v>
      </c>
    </row>
    <row r="550" spans="1:10" x14ac:dyDescent="0.25">
      <c r="A550" s="16" t="s">
        <v>1171</v>
      </c>
      <c r="B550" s="16" t="s">
        <v>1240</v>
      </c>
      <c r="C550" s="16"/>
      <c r="D550" s="19"/>
      <c r="E550" s="19"/>
      <c r="F550" s="17">
        <v>64291.25</v>
      </c>
      <c r="G550" s="17">
        <v>90303.41</v>
      </c>
      <c r="H550" s="17">
        <v>126304.74</v>
      </c>
      <c r="I550" s="19"/>
      <c r="J550" s="17">
        <v>189621.22</v>
      </c>
    </row>
    <row r="551" spans="1:10" x14ac:dyDescent="0.25">
      <c r="A551" s="16" t="s">
        <v>1171</v>
      </c>
      <c r="B551" s="16" t="s">
        <v>1259</v>
      </c>
      <c r="C551" s="16"/>
      <c r="D551" s="19"/>
      <c r="E551" s="19"/>
      <c r="F551" s="17">
        <v>150805.23000000001</v>
      </c>
      <c r="G551" s="19"/>
      <c r="H551" s="17">
        <v>56397.17</v>
      </c>
      <c r="I551" s="19"/>
      <c r="J551" s="17">
        <v>23758.400000000001</v>
      </c>
    </row>
    <row r="552" spans="1:10" x14ac:dyDescent="0.25">
      <c r="A552" s="16" t="s">
        <v>1171</v>
      </c>
      <c r="B552" s="16" t="s">
        <v>1175</v>
      </c>
      <c r="C552" s="16"/>
      <c r="D552" s="19"/>
      <c r="E552" s="17">
        <v>63569.74</v>
      </c>
      <c r="F552" s="17">
        <v>21112.76</v>
      </c>
      <c r="G552" s="17">
        <v>328837.64</v>
      </c>
      <c r="H552" s="17">
        <v>470275.57</v>
      </c>
      <c r="I552" s="17">
        <v>328515.99</v>
      </c>
      <c r="J552" s="17">
        <v>274233.48</v>
      </c>
    </row>
    <row r="553" spans="1:10" x14ac:dyDescent="0.25">
      <c r="A553" s="16" t="s">
        <v>1171</v>
      </c>
      <c r="B553" s="16" t="s">
        <v>39</v>
      </c>
      <c r="C553" s="16"/>
      <c r="D553" s="17">
        <v>248272.73</v>
      </c>
      <c r="E553" s="19"/>
      <c r="F553" s="19"/>
      <c r="G553" s="19"/>
      <c r="H553" s="19"/>
      <c r="I553" s="19"/>
      <c r="J553" s="19"/>
    </row>
    <row r="554" spans="1:10" x14ac:dyDescent="0.25">
      <c r="A554" s="16" t="s">
        <v>1171</v>
      </c>
      <c r="B554" s="16" t="s">
        <v>826</v>
      </c>
      <c r="C554" s="16" t="s">
        <v>827</v>
      </c>
      <c r="D554" s="19"/>
      <c r="E554" s="19"/>
      <c r="F554" s="17">
        <v>808634.53</v>
      </c>
      <c r="G554" s="19"/>
      <c r="H554" s="19"/>
      <c r="I554" s="19"/>
      <c r="J554" s="17">
        <v>622945.01</v>
      </c>
    </row>
    <row r="555" spans="1:10" x14ac:dyDescent="0.25">
      <c r="A555" s="16" t="s">
        <v>1171</v>
      </c>
      <c r="B555" s="16" t="s">
        <v>41</v>
      </c>
      <c r="C555" s="16"/>
      <c r="D555" s="17">
        <v>58894.44</v>
      </c>
      <c r="E555" s="19"/>
      <c r="F555" s="19"/>
      <c r="G555" s="19"/>
      <c r="H555" s="17">
        <v>87187.61</v>
      </c>
      <c r="I555" s="19"/>
      <c r="J555" s="17">
        <v>121788.47</v>
      </c>
    </row>
    <row r="556" spans="1:10" x14ac:dyDescent="0.25">
      <c r="A556" s="16" t="s">
        <v>1171</v>
      </c>
      <c r="B556" s="16" t="s">
        <v>42</v>
      </c>
      <c r="C556" s="16"/>
      <c r="D556" s="17">
        <v>274530.59999999998</v>
      </c>
      <c r="E556" s="17">
        <v>396365.27</v>
      </c>
      <c r="F556" s="17">
        <v>168201.88</v>
      </c>
      <c r="G556" s="17">
        <v>141907.95000000001</v>
      </c>
      <c r="H556" s="17">
        <v>282384.06</v>
      </c>
      <c r="I556" s="17">
        <v>352105.24</v>
      </c>
      <c r="J556" s="17">
        <v>176364.81</v>
      </c>
    </row>
    <row r="557" spans="1:10" x14ac:dyDescent="0.25">
      <c r="A557" s="16" t="s">
        <v>1171</v>
      </c>
      <c r="B557" s="16" t="s">
        <v>43</v>
      </c>
      <c r="C557" s="16"/>
      <c r="D557" s="17">
        <v>40596.769999999997</v>
      </c>
      <c r="E557" s="17">
        <v>96644.66</v>
      </c>
      <c r="F557" s="17">
        <v>225704.37</v>
      </c>
      <c r="G557" s="17">
        <v>151885.10999999999</v>
      </c>
      <c r="H557" s="17">
        <v>256573.66</v>
      </c>
      <c r="I557" s="17">
        <v>182983.84</v>
      </c>
      <c r="J557" s="17">
        <v>141488.67000000001</v>
      </c>
    </row>
    <row r="558" spans="1:10" x14ac:dyDescent="0.25">
      <c r="A558" s="16" t="s">
        <v>1171</v>
      </c>
      <c r="B558" s="16" t="s">
        <v>44</v>
      </c>
      <c r="C558" s="16"/>
      <c r="D558" s="19"/>
      <c r="E558" s="19"/>
      <c r="F558" s="19"/>
      <c r="G558" s="19"/>
      <c r="H558" s="19"/>
      <c r="I558" s="19"/>
      <c r="J558" s="17">
        <v>231757.52</v>
      </c>
    </row>
    <row r="559" spans="1:10" x14ac:dyDescent="0.25">
      <c r="A559" s="16" t="s">
        <v>1171</v>
      </c>
      <c r="B559" s="16" t="s">
        <v>829</v>
      </c>
      <c r="C559" s="16"/>
      <c r="D559" s="19"/>
      <c r="E559" s="19"/>
      <c r="F559" s="17">
        <v>218398.46</v>
      </c>
      <c r="G559" s="17">
        <v>264243.61</v>
      </c>
      <c r="H559" s="17">
        <v>157420.43</v>
      </c>
      <c r="I559" s="17">
        <v>77577.679999999993</v>
      </c>
      <c r="J559" s="19"/>
    </row>
    <row r="560" spans="1:10" x14ac:dyDescent="0.25">
      <c r="A560" s="16" t="s">
        <v>1171</v>
      </c>
      <c r="B560" s="16" t="s">
        <v>45</v>
      </c>
      <c r="C560" s="16"/>
      <c r="D560" s="19"/>
      <c r="E560" s="17">
        <v>264399.8</v>
      </c>
      <c r="F560" s="19"/>
      <c r="G560" s="19"/>
      <c r="H560" s="17">
        <v>851383.91</v>
      </c>
      <c r="I560" s="19"/>
      <c r="J560" s="19"/>
    </row>
    <row r="561" spans="1:10" x14ac:dyDescent="0.25">
      <c r="A561" s="16" t="s">
        <v>1171</v>
      </c>
      <c r="B561" s="16" t="s">
        <v>1260</v>
      </c>
      <c r="C561" s="16"/>
      <c r="D561" s="19"/>
      <c r="E561" s="19"/>
      <c r="F561" s="17">
        <v>250453.3</v>
      </c>
      <c r="G561" s="19"/>
      <c r="H561" s="17">
        <v>94630.78</v>
      </c>
      <c r="I561" s="17">
        <v>136120.54</v>
      </c>
      <c r="J561" s="17">
        <v>95723.49</v>
      </c>
    </row>
    <row r="562" spans="1:10" x14ac:dyDescent="0.25">
      <c r="A562" s="16" t="s">
        <v>1171</v>
      </c>
      <c r="B562" s="16" t="s">
        <v>46</v>
      </c>
      <c r="C562" s="16"/>
      <c r="D562" s="19"/>
      <c r="E562" s="19"/>
      <c r="F562" s="19"/>
      <c r="G562" s="19"/>
      <c r="H562" s="17">
        <v>116626.68</v>
      </c>
      <c r="I562" s="17">
        <v>19282.29</v>
      </c>
      <c r="J562" s="17">
        <v>249706.14</v>
      </c>
    </row>
    <row r="563" spans="1:10" x14ac:dyDescent="0.25">
      <c r="A563" s="16" t="s">
        <v>1171</v>
      </c>
      <c r="B563" s="16" t="s">
        <v>47</v>
      </c>
      <c r="C563" s="16"/>
      <c r="D563" s="19"/>
      <c r="E563" s="17">
        <v>422180.38</v>
      </c>
      <c r="F563" s="19"/>
      <c r="G563" s="17">
        <v>413623.81</v>
      </c>
      <c r="H563" s="19"/>
      <c r="I563" s="17">
        <v>534743.89</v>
      </c>
      <c r="J563" s="17">
        <v>614845.81999999995</v>
      </c>
    </row>
    <row r="564" spans="1:10" x14ac:dyDescent="0.25">
      <c r="A564" s="16" t="s">
        <v>1171</v>
      </c>
      <c r="B564" s="16" t="s">
        <v>48</v>
      </c>
      <c r="C564" s="16"/>
      <c r="D564" s="19"/>
      <c r="E564" s="17">
        <v>76746.880000000005</v>
      </c>
      <c r="F564" s="17">
        <v>91680.89</v>
      </c>
      <c r="G564" s="19"/>
      <c r="H564" s="17">
        <v>58135.66</v>
      </c>
      <c r="I564" s="17">
        <v>204078.75</v>
      </c>
      <c r="J564" s="19"/>
    </row>
    <row r="565" spans="1:10" x14ac:dyDescent="0.25">
      <c r="A565" s="16" t="s">
        <v>1171</v>
      </c>
      <c r="B565" s="16" t="s">
        <v>49</v>
      </c>
      <c r="C565" s="16"/>
      <c r="D565" s="17">
        <v>177889.54</v>
      </c>
      <c r="E565" s="17">
        <v>248433.35</v>
      </c>
      <c r="F565" s="17">
        <v>410844.38</v>
      </c>
      <c r="G565" s="17">
        <v>352526.67</v>
      </c>
      <c r="H565" s="17">
        <v>467354.4</v>
      </c>
      <c r="I565" s="17">
        <v>163118.41</v>
      </c>
      <c r="J565" s="17">
        <v>580760.14</v>
      </c>
    </row>
    <row r="566" spans="1:10" x14ac:dyDescent="0.25">
      <c r="A566" s="16" t="s">
        <v>1171</v>
      </c>
      <c r="B566" s="16" t="s">
        <v>1306</v>
      </c>
      <c r="C566" s="16"/>
      <c r="D566" s="19"/>
      <c r="E566" s="19"/>
      <c r="F566" s="19"/>
      <c r="G566" s="17">
        <v>137182.85</v>
      </c>
      <c r="H566" s="17">
        <v>341991.81</v>
      </c>
      <c r="I566" s="17">
        <v>381109.33</v>
      </c>
      <c r="J566" s="17">
        <v>666043.22</v>
      </c>
    </row>
    <row r="567" spans="1:10" x14ac:dyDescent="0.25">
      <c r="A567" s="16" t="s">
        <v>1171</v>
      </c>
      <c r="B567" s="16" t="s">
        <v>830</v>
      </c>
      <c r="C567" s="16" t="s">
        <v>25</v>
      </c>
      <c r="D567" s="17">
        <v>107871.09</v>
      </c>
      <c r="E567" s="19"/>
      <c r="F567" s="17">
        <v>169490.75</v>
      </c>
      <c r="G567" s="19"/>
      <c r="H567" s="17">
        <v>175874.57</v>
      </c>
      <c r="I567" s="19"/>
      <c r="J567" s="19"/>
    </row>
    <row r="568" spans="1:10" x14ac:dyDescent="0.25">
      <c r="A568" s="16" t="s">
        <v>1176</v>
      </c>
      <c r="B568" s="16" t="s">
        <v>975</v>
      </c>
      <c r="C568" s="16" t="s">
        <v>371</v>
      </c>
      <c r="D568" s="17">
        <v>477380.57</v>
      </c>
      <c r="E568" s="17">
        <v>152789.51</v>
      </c>
      <c r="F568" s="17">
        <v>145806.85999999999</v>
      </c>
      <c r="G568" s="17">
        <v>271919.03000000003</v>
      </c>
      <c r="H568" s="17">
        <v>720992.07</v>
      </c>
      <c r="I568" s="17">
        <v>415666.43</v>
      </c>
      <c r="J568" s="17">
        <v>633495.49</v>
      </c>
    </row>
    <row r="569" spans="1:10" x14ac:dyDescent="0.25">
      <c r="A569" s="16" t="s">
        <v>1176</v>
      </c>
      <c r="B569" s="16" t="s">
        <v>372</v>
      </c>
      <c r="C569" s="16"/>
      <c r="D569" s="19"/>
      <c r="E569" s="17">
        <v>68515.77</v>
      </c>
      <c r="F569" s="19"/>
      <c r="G569" s="17">
        <v>24282.63</v>
      </c>
      <c r="H569" s="17">
        <v>43449.05</v>
      </c>
      <c r="I569" s="19"/>
      <c r="J569" s="17">
        <v>96109.09</v>
      </c>
    </row>
    <row r="570" spans="1:10" x14ac:dyDescent="0.25">
      <c r="A570" s="16" t="s">
        <v>1176</v>
      </c>
      <c r="B570" s="16" t="s">
        <v>983</v>
      </c>
      <c r="C570" s="16" t="s">
        <v>984</v>
      </c>
      <c r="D570" s="19"/>
      <c r="E570" s="17">
        <v>202329.71</v>
      </c>
      <c r="F570" s="17">
        <v>36379.019999999997</v>
      </c>
      <c r="G570" s="17">
        <v>639950.97</v>
      </c>
      <c r="H570" s="19"/>
      <c r="I570" s="17">
        <v>1502261.53</v>
      </c>
      <c r="J570" s="19"/>
    </row>
    <row r="571" spans="1:10" x14ac:dyDescent="0.25">
      <c r="A571" s="16" t="s">
        <v>1176</v>
      </c>
      <c r="B571" s="16" t="s">
        <v>509</v>
      </c>
      <c r="C571" s="16"/>
      <c r="D571" s="17">
        <v>228340.05</v>
      </c>
      <c r="E571" s="17">
        <v>19044.77</v>
      </c>
      <c r="F571" s="17">
        <v>66987.100000000006</v>
      </c>
      <c r="G571" s="19"/>
      <c r="H571" s="17">
        <v>143755.76</v>
      </c>
      <c r="I571" s="19"/>
      <c r="J571" s="17">
        <v>166857.34</v>
      </c>
    </row>
    <row r="572" spans="1:10" x14ac:dyDescent="0.25">
      <c r="A572" s="16" t="s">
        <v>1176</v>
      </c>
      <c r="B572" s="16" t="s">
        <v>988</v>
      </c>
      <c r="C572" s="16" t="s">
        <v>989</v>
      </c>
      <c r="D572" s="19"/>
      <c r="E572" s="17">
        <v>527668.51</v>
      </c>
      <c r="F572" s="19"/>
      <c r="G572" s="19"/>
      <c r="H572" s="17">
        <v>407237.84</v>
      </c>
      <c r="I572" s="17">
        <v>243026.88</v>
      </c>
      <c r="J572" s="19"/>
    </row>
    <row r="573" spans="1:10" x14ac:dyDescent="0.25">
      <c r="A573" s="16" t="s">
        <v>1176</v>
      </c>
      <c r="B573" s="16" t="s">
        <v>990</v>
      </c>
      <c r="C573" s="16" t="s">
        <v>386</v>
      </c>
      <c r="D573" s="19"/>
      <c r="E573" s="19"/>
      <c r="F573" s="19"/>
      <c r="G573" s="19"/>
      <c r="H573" s="18">
        <v>187.14</v>
      </c>
      <c r="I573" s="19"/>
      <c r="J573" s="19"/>
    </row>
    <row r="574" spans="1:10" x14ac:dyDescent="0.25">
      <c r="A574" s="16" t="s">
        <v>1176</v>
      </c>
      <c r="B574" s="16" t="s">
        <v>992</v>
      </c>
      <c r="C574" s="16" t="s">
        <v>389</v>
      </c>
      <c r="D574" s="19"/>
      <c r="E574" s="19"/>
      <c r="F574" s="17">
        <v>44343</v>
      </c>
      <c r="G574" s="17">
        <v>3020.29</v>
      </c>
      <c r="H574" s="19"/>
      <c r="I574" s="19"/>
      <c r="J574" s="19"/>
    </row>
    <row r="575" spans="1:10" x14ac:dyDescent="0.25">
      <c r="A575" s="16" t="s">
        <v>1176</v>
      </c>
      <c r="B575" s="16" t="s">
        <v>1423</v>
      </c>
      <c r="C575" s="16" t="s">
        <v>1030</v>
      </c>
      <c r="D575" s="19"/>
      <c r="E575" s="19"/>
      <c r="F575" s="19"/>
      <c r="G575" s="19"/>
      <c r="H575" s="19"/>
      <c r="I575" s="17">
        <v>68519.44</v>
      </c>
      <c r="J575" s="17">
        <v>49333.78</v>
      </c>
    </row>
    <row r="576" spans="1:10" x14ac:dyDescent="0.25">
      <c r="A576" s="16" t="s">
        <v>1176</v>
      </c>
      <c r="B576" s="16" t="s">
        <v>375</v>
      </c>
      <c r="C576" s="16"/>
      <c r="D576" s="17">
        <v>98275.07</v>
      </c>
      <c r="E576" s="17">
        <v>43680.89</v>
      </c>
      <c r="F576" s="17">
        <v>206182.04</v>
      </c>
      <c r="G576" s="17">
        <v>179976.01</v>
      </c>
      <c r="H576" s="17">
        <v>687911.26</v>
      </c>
      <c r="I576" s="17">
        <v>1023266.99</v>
      </c>
      <c r="J576" s="17">
        <v>553544.68999999994</v>
      </c>
    </row>
    <row r="577" spans="1:10" x14ac:dyDescent="0.25">
      <c r="A577" s="16" t="s">
        <v>1176</v>
      </c>
      <c r="B577" s="16" t="s">
        <v>786</v>
      </c>
      <c r="C577" s="16"/>
      <c r="D577" s="19"/>
      <c r="E577" s="17">
        <v>6216.9</v>
      </c>
      <c r="F577" s="17">
        <v>235189.9</v>
      </c>
      <c r="G577" s="19"/>
      <c r="H577" s="19"/>
      <c r="I577" s="19"/>
      <c r="J577" s="17">
        <v>231917.23</v>
      </c>
    </row>
    <row r="578" spans="1:10" x14ac:dyDescent="0.25">
      <c r="A578" s="16" t="s">
        <v>1176</v>
      </c>
      <c r="B578" s="16" t="s">
        <v>376</v>
      </c>
      <c r="C578" s="16"/>
      <c r="D578" s="17">
        <v>58879.46</v>
      </c>
      <c r="E578" s="17">
        <v>40681.699999999997</v>
      </c>
      <c r="F578" s="17">
        <v>82833.990000000005</v>
      </c>
      <c r="G578" s="19"/>
      <c r="H578" s="17">
        <v>37300.54</v>
      </c>
      <c r="I578" s="19"/>
      <c r="J578" s="19"/>
    </row>
    <row r="579" spans="1:10" x14ac:dyDescent="0.25">
      <c r="A579" s="16" t="s">
        <v>1176</v>
      </c>
      <c r="B579" s="16" t="s">
        <v>787</v>
      </c>
      <c r="C579" s="16" t="s">
        <v>373</v>
      </c>
      <c r="D579" s="19"/>
      <c r="E579" s="19"/>
      <c r="F579" s="17">
        <v>131883.38</v>
      </c>
      <c r="G579" s="17">
        <v>-12629.26</v>
      </c>
      <c r="H579" s="19"/>
      <c r="I579" s="17">
        <v>179574.58</v>
      </c>
      <c r="J579" s="19"/>
    </row>
    <row r="580" spans="1:10" x14ac:dyDescent="0.25">
      <c r="A580" s="16" t="s">
        <v>1176</v>
      </c>
      <c r="B580" s="16" t="s">
        <v>377</v>
      </c>
      <c r="C580" s="16"/>
      <c r="D580" s="19"/>
      <c r="E580" s="19"/>
      <c r="F580" s="19"/>
      <c r="G580" s="17">
        <v>57747.040000000001</v>
      </c>
      <c r="H580" s="17">
        <v>84528.2</v>
      </c>
      <c r="I580" s="17">
        <v>101775.74</v>
      </c>
      <c r="J580" s="17">
        <v>55242.080000000002</v>
      </c>
    </row>
    <row r="581" spans="1:10" x14ac:dyDescent="0.25">
      <c r="A581" s="16" t="s">
        <v>1176</v>
      </c>
      <c r="B581" s="16" t="s">
        <v>378</v>
      </c>
      <c r="C581" s="16"/>
      <c r="D581" s="17">
        <v>167581.62</v>
      </c>
      <c r="E581" s="17">
        <v>15320.11</v>
      </c>
      <c r="F581" s="19"/>
      <c r="G581" s="19"/>
      <c r="H581" s="19"/>
      <c r="I581" s="19"/>
      <c r="J581" s="19"/>
    </row>
    <row r="582" spans="1:10" x14ac:dyDescent="0.25">
      <c r="A582" s="16" t="s">
        <v>1176</v>
      </c>
      <c r="B582" s="16" t="s">
        <v>379</v>
      </c>
      <c r="C582" s="16"/>
      <c r="D582" s="19"/>
      <c r="E582" s="17">
        <v>2883.27</v>
      </c>
      <c r="F582" s="19"/>
      <c r="G582" s="19"/>
      <c r="H582" s="19"/>
      <c r="I582" s="19"/>
      <c r="J582" s="19"/>
    </row>
    <row r="583" spans="1:10" x14ac:dyDescent="0.25">
      <c r="A583" s="16" t="s">
        <v>1176</v>
      </c>
      <c r="B583" s="16" t="s">
        <v>380</v>
      </c>
      <c r="C583" s="16"/>
      <c r="D583" s="17">
        <v>61167.09</v>
      </c>
      <c r="E583" s="19"/>
      <c r="F583" s="19"/>
      <c r="G583" s="19"/>
      <c r="H583" s="17">
        <v>50260.3</v>
      </c>
      <c r="I583" s="17">
        <v>61163.51</v>
      </c>
      <c r="J583" s="17">
        <v>34608.949999999997</v>
      </c>
    </row>
    <row r="584" spans="1:10" x14ac:dyDescent="0.25">
      <c r="A584" s="16" t="s">
        <v>1176</v>
      </c>
      <c r="B584" s="16" t="s">
        <v>381</v>
      </c>
      <c r="C584" s="16"/>
      <c r="D584" s="19"/>
      <c r="E584" s="17">
        <v>429020.79</v>
      </c>
      <c r="F584" s="17">
        <v>475893.77</v>
      </c>
      <c r="G584" s="17">
        <v>996918.92</v>
      </c>
      <c r="H584" s="17">
        <v>543139.18000000005</v>
      </c>
      <c r="I584" s="17">
        <v>616311</v>
      </c>
      <c r="J584" s="17">
        <v>393130.79</v>
      </c>
    </row>
    <row r="585" spans="1:10" x14ac:dyDescent="0.25">
      <c r="A585" s="16" t="s">
        <v>1176</v>
      </c>
      <c r="B585" s="16" t="s">
        <v>792</v>
      </c>
      <c r="C585" s="16" t="s">
        <v>782</v>
      </c>
      <c r="D585" s="17">
        <v>170907.85</v>
      </c>
      <c r="E585" s="17">
        <v>62639.1</v>
      </c>
      <c r="F585" s="17">
        <v>100012.31</v>
      </c>
      <c r="G585" s="19"/>
      <c r="H585" s="17">
        <v>253918.54</v>
      </c>
      <c r="I585" s="17">
        <v>417272.92</v>
      </c>
      <c r="J585" s="17">
        <v>357016.22</v>
      </c>
    </row>
    <row r="586" spans="1:10" x14ac:dyDescent="0.25">
      <c r="A586" s="16" t="s">
        <v>1176</v>
      </c>
      <c r="B586" s="16" t="s">
        <v>1008</v>
      </c>
      <c r="C586" s="16" t="s">
        <v>374</v>
      </c>
      <c r="D586" s="17">
        <v>29788.58</v>
      </c>
      <c r="E586" s="19"/>
      <c r="F586" s="19"/>
      <c r="G586" s="17">
        <v>20309.54</v>
      </c>
      <c r="H586" s="17">
        <v>19896.68</v>
      </c>
      <c r="I586" s="19"/>
      <c r="J586" s="19"/>
    </row>
    <row r="587" spans="1:10" x14ac:dyDescent="0.25">
      <c r="A587" s="16" t="s">
        <v>1176</v>
      </c>
      <c r="B587" s="16" t="s">
        <v>1009</v>
      </c>
      <c r="C587" s="16" t="s">
        <v>370</v>
      </c>
      <c r="D587" s="17">
        <v>102316.9</v>
      </c>
      <c r="E587" s="17">
        <v>40137.71</v>
      </c>
      <c r="F587" s="17">
        <v>148672.99</v>
      </c>
      <c r="G587" s="19"/>
      <c r="H587" s="17">
        <v>496684.29</v>
      </c>
      <c r="I587" s="17">
        <v>509078.01</v>
      </c>
      <c r="J587" s="17">
        <v>305043.67</v>
      </c>
    </row>
    <row r="588" spans="1:10" x14ac:dyDescent="0.25">
      <c r="A588" s="16" t="s">
        <v>1176</v>
      </c>
      <c r="B588" s="16" t="s">
        <v>1012</v>
      </c>
      <c r="C588" s="16"/>
      <c r="D588" s="17">
        <v>195768.63</v>
      </c>
      <c r="E588" s="17">
        <v>108548.79</v>
      </c>
      <c r="F588" s="17">
        <v>128190.7</v>
      </c>
      <c r="G588" s="17">
        <v>161898.23999999999</v>
      </c>
      <c r="H588" s="17">
        <v>178163.52</v>
      </c>
      <c r="I588" s="17">
        <v>222162.25</v>
      </c>
      <c r="J588" s="17">
        <v>120951.48</v>
      </c>
    </row>
    <row r="589" spans="1:10" x14ac:dyDescent="0.25">
      <c r="A589" s="16" t="s">
        <v>1176</v>
      </c>
      <c r="B589" s="16" t="s">
        <v>1013</v>
      </c>
      <c r="C589" s="16"/>
      <c r="D589" s="17">
        <v>50519.45</v>
      </c>
      <c r="E589" s="17">
        <v>106704</v>
      </c>
      <c r="F589" s="19"/>
      <c r="G589" s="19"/>
      <c r="H589" s="17">
        <v>375114.41</v>
      </c>
      <c r="I589" s="17">
        <v>198223.2</v>
      </c>
      <c r="J589" s="19"/>
    </row>
    <row r="590" spans="1:10" x14ac:dyDescent="0.25">
      <c r="A590" s="16" t="s">
        <v>1176</v>
      </c>
      <c r="B590" s="16" t="s">
        <v>382</v>
      </c>
      <c r="C590" s="16"/>
      <c r="D590" s="19"/>
      <c r="E590" s="19"/>
      <c r="F590" s="19"/>
      <c r="G590" s="19"/>
      <c r="H590" s="17">
        <v>20031.66</v>
      </c>
      <c r="I590" s="19"/>
      <c r="J590" s="17">
        <v>38162.58</v>
      </c>
    </row>
    <row r="591" spans="1:10" x14ac:dyDescent="0.25">
      <c r="A591" s="16" t="s">
        <v>1176</v>
      </c>
      <c r="B591" s="16" t="s">
        <v>800</v>
      </c>
      <c r="C591" s="16" t="s">
        <v>801</v>
      </c>
      <c r="D591" s="19"/>
      <c r="E591" s="19"/>
      <c r="F591" s="17">
        <v>1014149.34</v>
      </c>
      <c r="G591" s="19"/>
      <c r="H591" s="19"/>
      <c r="I591" s="19"/>
      <c r="J591" s="19"/>
    </row>
    <row r="592" spans="1:10" x14ac:dyDescent="0.25">
      <c r="A592" s="16" t="s">
        <v>1176</v>
      </c>
      <c r="B592" s="16" t="s">
        <v>384</v>
      </c>
      <c r="C592" s="16"/>
      <c r="D592" s="17">
        <v>111331.87</v>
      </c>
      <c r="E592" s="17">
        <v>432500.27</v>
      </c>
      <c r="F592" s="17">
        <v>82703.78</v>
      </c>
      <c r="G592" s="17">
        <v>558662.65</v>
      </c>
      <c r="H592" s="17">
        <v>1598577.21</v>
      </c>
      <c r="I592" s="17">
        <v>1485364.38</v>
      </c>
      <c r="J592" s="17">
        <v>720618.71</v>
      </c>
    </row>
    <row r="593" spans="1:10" x14ac:dyDescent="0.25">
      <c r="A593" s="16" t="s">
        <v>1176</v>
      </c>
      <c r="B593" s="16" t="s">
        <v>805</v>
      </c>
      <c r="C593" s="16" t="s">
        <v>806</v>
      </c>
      <c r="D593" s="19"/>
      <c r="E593" s="17">
        <v>121898.61</v>
      </c>
      <c r="F593" s="19"/>
      <c r="G593" s="19"/>
      <c r="H593" s="19"/>
      <c r="I593" s="19"/>
      <c r="J593" s="19"/>
    </row>
    <row r="594" spans="1:10" x14ac:dyDescent="0.25">
      <c r="A594" s="16" t="s">
        <v>1176</v>
      </c>
      <c r="B594" s="16" t="s">
        <v>385</v>
      </c>
      <c r="C594" s="16"/>
      <c r="D594" s="17">
        <v>403749.22</v>
      </c>
      <c r="E594" s="17">
        <v>74454.63</v>
      </c>
      <c r="F594" s="19"/>
      <c r="G594" s="19"/>
      <c r="H594" s="19"/>
      <c r="I594" s="17">
        <v>129151.67</v>
      </c>
      <c r="J594" s="17">
        <v>239989.41</v>
      </c>
    </row>
    <row r="595" spans="1:10" x14ac:dyDescent="0.25">
      <c r="A595" s="16" t="s">
        <v>1176</v>
      </c>
      <c r="B595" s="16" t="s">
        <v>1022</v>
      </c>
      <c r="C595" s="16" t="s">
        <v>386</v>
      </c>
      <c r="D595" s="17">
        <v>123794.54</v>
      </c>
      <c r="E595" s="17">
        <v>72571.210000000006</v>
      </c>
      <c r="F595" s="17">
        <v>46191.21</v>
      </c>
      <c r="G595" s="19"/>
      <c r="H595" s="17">
        <v>255281.82</v>
      </c>
      <c r="I595" s="17">
        <v>518382.61</v>
      </c>
      <c r="J595" s="17">
        <v>371127.94</v>
      </c>
    </row>
    <row r="596" spans="1:10" x14ac:dyDescent="0.25">
      <c r="A596" s="16" t="s">
        <v>1176</v>
      </c>
      <c r="B596" s="16" t="s">
        <v>387</v>
      </c>
      <c r="C596" s="16"/>
      <c r="D596" s="19"/>
      <c r="E596" s="17">
        <v>393176.37</v>
      </c>
      <c r="F596" s="17">
        <v>328629.13</v>
      </c>
      <c r="G596" s="17">
        <v>284605.67</v>
      </c>
      <c r="H596" s="19"/>
      <c r="I596" s="17">
        <v>558072.4</v>
      </c>
      <c r="J596" s="19"/>
    </row>
    <row r="597" spans="1:10" x14ac:dyDescent="0.25">
      <c r="A597" s="16" t="s">
        <v>1176</v>
      </c>
      <c r="B597" s="16" t="s">
        <v>388</v>
      </c>
      <c r="C597" s="16" t="s">
        <v>1023</v>
      </c>
      <c r="D597" s="19"/>
      <c r="E597" s="17">
        <v>127513.19</v>
      </c>
      <c r="F597" s="17">
        <v>131934.72</v>
      </c>
      <c r="G597" s="17">
        <v>205709.21</v>
      </c>
      <c r="H597" s="17">
        <v>204622.85</v>
      </c>
      <c r="I597" s="17">
        <v>497474.86</v>
      </c>
      <c r="J597" s="17">
        <v>465384.08</v>
      </c>
    </row>
    <row r="598" spans="1:10" x14ac:dyDescent="0.25">
      <c r="A598" s="16" t="s">
        <v>1176</v>
      </c>
      <c r="B598" s="16" t="s">
        <v>809</v>
      </c>
      <c r="C598" s="16"/>
      <c r="D598" s="17">
        <v>97382.49</v>
      </c>
      <c r="E598" s="19"/>
      <c r="F598" s="17">
        <v>730390.55</v>
      </c>
      <c r="G598" s="17">
        <v>366584.51</v>
      </c>
      <c r="H598" s="17">
        <v>1046161.87</v>
      </c>
      <c r="I598" s="17">
        <v>779600.55</v>
      </c>
      <c r="J598" s="17">
        <v>332217.56</v>
      </c>
    </row>
    <row r="599" spans="1:10" x14ac:dyDescent="0.25">
      <c r="A599" s="16" t="s">
        <v>1176</v>
      </c>
      <c r="B599" s="16" t="s">
        <v>389</v>
      </c>
      <c r="C599" s="16"/>
      <c r="D599" s="17">
        <v>146050.35</v>
      </c>
      <c r="E599" s="17">
        <v>71638.06</v>
      </c>
      <c r="F599" s="17">
        <v>81006.740000000005</v>
      </c>
      <c r="G599" s="17">
        <v>52884.73</v>
      </c>
      <c r="H599" s="17">
        <v>172902.2</v>
      </c>
      <c r="I599" s="17">
        <v>87293.66</v>
      </c>
      <c r="J599" s="17">
        <v>69961.41</v>
      </c>
    </row>
    <row r="600" spans="1:10" x14ac:dyDescent="0.25">
      <c r="A600" s="16" t="s">
        <v>1176</v>
      </c>
      <c r="B600" s="16" t="s">
        <v>1024</v>
      </c>
      <c r="C600" s="16" t="s">
        <v>1025</v>
      </c>
      <c r="D600" s="17">
        <v>85861.22</v>
      </c>
      <c r="E600" s="17">
        <v>166780.51999999999</v>
      </c>
      <c r="F600" s="17">
        <v>153887.01</v>
      </c>
      <c r="G600" s="19"/>
      <c r="H600" s="19"/>
      <c r="I600" s="17">
        <v>249854.27</v>
      </c>
      <c r="J600" s="19"/>
    </row>
    <row r="601" spans="1:10" x14ac:dyDescent="0.25">
      <c r="A601" s="16" t="s">
        <v>1176</v>
      </c>
      <c r="B601" s="16" t="s">
        <v>1029</v>
      </c>
      <c r="C601" s="16" t="s">
        <v>1030</v>
      </c>
      <c r="D601" s="17">
        <v>101066.64</v>
      </c>
      <c r="E601" s="19"/>
      <c r="F601" s="19"/>
      <c r="G601" s="19"/>
      <c r="H601" s="19"/>
      <c r="I601" s="19"/>
      <c r="J601" s="19"/>
    </row>
    <row r="602" spans="1:10" x14ac:dyDescent="0.25">
      <c r="A602" s="16" t="s">
        <v>1176</v>
      </c>
      <c r="B602" s="16" t="s">
        <v>391</v>
      </c>
      <c r="C602" s="16"/>
      <c r="D602" s="19"/>
      <c r="E602" s="17">
        <v>81658.91</v>
      </c>
      <c r="F602" s="17">
        <v>81370.990000000005</v>
      </c>
      <c r="G602" s="19"/>
      <c r="H602" s="19"/>
      <c r="I602" s="19"/>
      <c r="J602" s="17">
        <v>197216.92</v>
      </c>
    </row>
    <row r="603" spans="1:10" x14ac:dyDescent="0.25">
      <c r="A603" s="16" t="s">
        <v>1176</v>
      </c>
      <c r="B603" s="16" t="s">
        <v>1353</v>
      </c>
      <c r="C603" s="16" t="s">
        <v>390</v>
      </c>
      <c r="D603" s="19"/>
      <c r="E603" s="19"/>
      <c r="F603" s="19"/>
      <c r="G603" s="19"/>
      <c r="H603" s="17">
        <v>327809.95</v>
      </c>
      <c r="I603" s="19"/>
      <c r="J603" s="19"/>
    </row>
    <row r="604" spans="1:10" x14ac:dyDescent="0.25">
      <c r="A604" s="16" t="s">
        <v>1176</v>
      </c>
      <c r="B604" s="16" t="s">
        <v>814</v>
      </c>
      <c r="C604" s="16"/>
      <c r="D604" s="17">
        <v>230888.37</v>
      </c>
      <c r="E604" s="19"/>
      <c r="F604" s="19"/>
      <c r="G604" s="17">
        <v>233063.81</v>
      </c>
      <c r="H604" s="17">
        <v>189058.8</v>
      </c>
      <c r="I604" s="17">
        <v>181823.6</v>
      </c>
      <c r="J604" s="19"/>
    </row>
    <row r="605" spans="1:10" x14ac:dyDescent="0.25">
      <c r="A605" s="16" t="s">
        <v>1176</v>
      </c>
      <c r="B605" s="16" t="s">
        <v>1045</v>
      </c>
      <c r="C605" s="16" t="s">
        <v>392</v>
      </c>
      <c r="D605" s="17">
        <v>41541.360000000001</v>
      </c>
      <c r="E605" s="17">
        <v>41593.019999999997</v>
      </c>
      <c r="F605" s="17">
        <v>38977.050000000003</v>
      </c>
      <c r="G605" s="19"/>
      <c r="H605" s="17">
        <v>59798.239999999998</v>
      </c>
      <c r="I605" s="17">
        <v>115158.41</v>
      </c>
      <c r="J605" s="17">
        <v>84014.17</v>
      </c>
    </row>
    <row r="606" spans="1:10" x14ac:dyDescent="0.25">
      <c r="A606" s="16" t="s">
        <v>1176</v>
      </c>
      <c r="B606" s="16" t="s">
        <v>393</v>
      </c>
      <c r="C606" s="16"/>
      <c r="D606" s="17">
        <v>170259.86</v>
      </c>
      <c r="E606" s="17">
        <v>69388.55</v>
      </c>
      <c r="F606" s="17">
        <v>208799.18</v>
      </c>
      <c r="G606" s="17">
        <v>149197.47</v>
      </c>
      <c r="H606" s="17">
        <v>340749.08</v>
      </c>
      <c r="I606" s="17">
        <v>315718.19</v>
      </c>
      <c r="J606" s="17">
        <v>277190.53999999998</v>
      </c>
    </row>
    <row r="607" spans="1:10" x14ac:dyDescent="0.25">
      <c r="A607" s="16" t="s">
        <v>1176</v>
      </c>
      <c r="B607" s="16" t="s">
        <v>1177</v>
      </c>
      <c r="C607" s="16" t="s">
        <v>374</v>
      </c>
      <c r="D607" s="19"/>
      <c r="E607" s="17">
        <v>91423.94</v>
      </c>
      <c r="F607" s="19"/>
      <c r="G607" s="19"/>
      <c r="H607" s="19"/>
      <c r="I607" s="17">
        <v>224594.75</v>
      </c>
      <c r="J607" s="17">
        <v>93441.16</v>
      </c>
    </row>
    <row r="608" spans="1:10" x14ac:dyDescent="0.25">
      <c r="A608" s="16" t="s">
        <v>1178</v>
      </c>
      <c r="B608" s="16" t="s">
        <v>394</v>
      </c>
      <c r="C608" s="16"/>
      <c r="D608" s="19"/>
      <c r="E608" s="19"/>
      <c r="F608" s="19"/>
      <c r="G608" s="19"/>
      <c r="H608" s="17">
        <v>50726.79</v>
      </c>
      <c r="I608" s="19"/>
      <c r="J608" s="19"/>
    </row>
    <row r="609" spans="1:10" x14ac:dyDescent="0.25">
      <c r="A609" s="16" t="s">
        <v>1178</v>
      </c>
      <c r="B609" s="16" t="s">
        <v>396</v>
      </c>
      <c r="C609" s="16"/>
      <c r="D609" s="17">
        <v>93250.21</v>
      </c>
      <c r="E609" s="19"/>
      <c r="F609" s="17">
        <v>63614.57</v>
      </c>
      <c r="G609" s="19"/>
      <c r="H609" s="17">
        <v>210643.26</v>
      </c>
      <c r="I609" s="17">
        <v>150616.79</v>
      </c>
      <c r="J609" s="17">
        <v>127462.06</v>
      </c>
    </row>
    <row r="610" spans="1:10" x14ac:dyDescent="0.25">
      <c r="A610" s="16" t="s">
        <v>1178</v>
      </c>
      <c r="B610" s="16" t="s">
        <v>397</v>
      </c>
      <c r="C610" s="16"/>
      <c r="D610" s="19"/>
      <c r="E610" s="19"/>
      <c r="F610" s="19"/>
      <c r="G610" s="19"/>
      <c r="H610" s="19"/>
      <c r="I610" s="17">
        <v>87518.58</v>
      </c>
      <c r="J610" s="19"/>
    </row>
    <row r="611" spans="1:10" x14ac:dyDescent="0.25">
      <c r="A611" s="16" t="s">
        <v>1178</v>
      </c>
      <c r="B611" s="16" t="s">
        <v>398</v>
      </c>
      <c r="C611" s="16"/>
      <c r="D611" s="17">
        <v>51935.55</v>
      </c>
      <c r="E611" s="19"/>
      <c r="F611" s="17">
        <v>42514.16</v>
      </c>
      <c r="G611" s="19"/>
      <c r="H611" s="19"/>
      <c r="I611" s="17">
        <v>34400.22</v>
      </c>
      <c r="J611" s="17">
        <v>66602.17</v>
      </c>
    </row>
    <row r="612" spans="1:10" x14ac:dyDescent="0.25">
      <c r="A612" s="16" t="s">
        <v>1178</v>
      </c>
      <c r="B612" s="16" t="s">
        <v>400</v>
      </c>
      <c r="C612" s="16"/>
      <c r="D612" s="19"/>
      <c r="E612" s="19"/>
      <c r="F612" s="17">
        <v>112256.03</v>
      </c>
      <c r="G612" s="19"/>
      <c r="H612" s="19"/>
      <c r="I612" s="19"/>
      <c r="J612" s="17">
        <v>34061.51</v>
      </c>
    </row>
    <row r="613" spans="1:10" x14ac:dyDescent="0.25">
      <c r="A613" s="16" t="s">
        <v>1178</v>
      </c>
      <c r="B613" s="16" t="s">
        <v>985</v>
      </c>
      <c r="C613" s="16" t="s">
        <v>401</v>
      </c>
      <c r="D613" s="17">
        <v>24479.29</v>
      </c>
      <c r="E613" s="19"/>
      <c r="F613" s="19"/>
      <c r="G613" s="19"/>
      <c r="H613" s="19"/>
      <c r="I613" s="19"/>
      <c r="J613" s="19"/>
    </row>
    <row r="614" spans="1:10" x14ac:dyDescent="0.25">
      <c r="A614" s="16" t="s">
        <v>1178</v>
      </c>
      <c r="B614" s="16" t="s">
        <v>994</v>
      </c>
      <c r="C614" s="16"/>
      <c r="D614" s="17">
        <v>67078.59</v>
      </c>
      <c r="E614" s="17">
        <v>6513.19</v>
      </c>
      <c r="F614" s="19"/>
      <c r="G614" s="19"/>
      <c r="H614" s="19"/>
      <c r="I614" s="17">
        <v>54202.42</v>
      </c>
      <c r="J614" s="19"/>
    </row>
    <row r="615" spans="1:10" x14ac:dyDescent="0.25">
      <c r="A615" s="16" t="s">
        <v>1178</v>
      </c>
      <c r="B615" s="16" t="s">
        <v>1261</v>
      </c>
      <c r="C615" s="16" t="s">
        <v>417</v>
      </c>
      <c r="D615" s="19"/>
      <c r="E615" s="19"/>
      <c r="F615" s="17">
        <v>37116.080000000002</v>
      </c>
      <c r="G615" s="19"/>
      <c r="H615" s="19"/>
      <c r="I615" s="19"/>
      <c r="J615" s="19"/>
    </row>
    <row r="616" spans="1:10" x14ac:dyDescent="0.25">
      <c r="A616" s="16" t="s">
        <v>1178</v>
      </c>
      <c r="B616" s="16" t="s">
        <v>403</v>
      </c>
      <c r="C616" s="16"/>
      <c r="D616" s="17">
        <v>31395.279999999999</v>
      </c>
      <c r="E616" s="19"/>
      <c r="F616" s="17">
        <v>130710.98</v>
      </c>
      <c r="G616" s="17">
        <v>64145.73</v>
      </c>
      <c r="H616" s="17">
        <v>182470.99</v>
      </c>
      <c r="I616" s="17">
        <v>90541.84</v>
      </c>
      <c r="J616" s="17">
        <v>174828.66</v>
      </c>
    </row>
    <row r="617" spans="1:10" x14ac:dyDescent="0.25">
      <c r="A617" s="16" t="s">
        <v>1178</v>
      </c>
      <c r="B617" s="16" t="s">
        <v>404</v>
      </c>
      <c r="C617" s="16"/>
      <c r="D617" s="19"/>
      <c r="E617" s="19"/>
      <c r="F617" s="19"/>
      <c r="G617" s="19"/>
      <c r="H617" s="17">
        <v>846638.14</v>
      </c>
      <c r="I617" s="17">
        <v>822409.2</v>
      </c>
      <c r="J617" s="19"/>
    </row>
    <row r="618" spans="1:10" x14ac:dyDescent="0.25">
      <c r="A618" s="16" t="s">
        <v>1178</v>
      </c>
      <c r="B618" s="16" t="s">
        <v>405</v>
      </c>
      <c r="C618" s="16"/>
      <c r="D618" s="19"/>
      <c r="E618" s="19"/>
      <c r="F618" s="19"/>
      <c r="G618" s="19"/>
      <c r="H618" s="17">
        <v>784935.81</v>
      </c>
      <c r="I618" s="19"/>
      <c r="J618" s="19"/>
    </row>
    <row r="619" spans="1:10" x14ac:dyDescent="0.25">
      <c r="A619" s="16" t="s">
        <v>1178</v>
      </c>
      <c r="B619" s="16" t="s">
        <v>1000</v>
      </c>
      <c r="C619" s="16" t="s">
        <v>418</v>
      </c>
      <c r="D619" s="19"/>
      <c r="E619" s="17">
        <v>5250.59</v>
      </c>
      <c r="F619" s="19"/>
      <c r="G619" s="19"/>
      <c r="H619" s="19"/>
      <c r="I619" s="17">
        <v>568399.54</v>
      </c>
      <c r="J619" s="17">
        <v>4245.17</v>
      </c>
    </row>
    <row r="620" spans="1:10" x14ac:dyDescent="0.25">
      <c r="A620" s="16" t="s">
        <v>1178</v>
      </c>
      <c r="B620" s="16" t="s">
        <v>1001</v>
      </c>
      <c r="C620" s="16" t="s">
        <v>395</v>
      </c>
      <c r="D620" s="19"/>
      <c r="E620" s="19"/>
      <c r="F620" s="19"/>
      <c r="G620" s="19"/>
      <c r="H620" s="19"/>
      <c r="I620" s="17">
        <v>128498.68</v>
      </c>
      <c r="J620" s="19"/>
    </row>
    <row r="621" spans="1:10" ht="22.5" x14ac:dyDescent="0.25">
      <c r="A621" s="16" t="s">
        <v>1178</v>
      </c>
      <c r="B621" s="16" t="s">
        <v>1002</v>
      </c>
      <c r="C621" s="16" t="s">
        <v>420</v>
      </c>
      <c r="D621" s="17">
        <v>1578470.63</v>
      </c>
      <c r="E621" s="17">
        <v>1710405.58</v>
      </c>
      <c r="F621" s="17">
        <v>2599159.04</v>
      </c>
      <c r="G621" s="17">
        <v>2836527.41</v>
      </c>
      <c r="H621" s="17">
        <v>3727269.91</v>
      </c>
      <c r="I621" s="17">
        <v>4170931.91</v>
      </c>
      <c r="J621" s="17">
        <v>3384424.21</v>
      </c>
    </row>
    <row r="622" spans="1:10" x14ac:dyDescent="0.25">
      <c r="A622" s="16" t="s">
        <v>1178</v>
      </c>
      <c r="B622" s="16" t="s">
        <v>1307</v>
      </c>
      <c r="C622" s="16" t="s">
        <v>417</v>
      </c>
      <c r="D622" s="19"/>
      <c r="E622" s="19"/>
      <c r="F622" s="19"/>
      <c r="G622" s="17">
        <v>24689.040000000001</v>
      </c>
      <c r="H622" s="19"/>
      <c r="I622" s="19"/>
      <c r="J622" s="19"/>
    </row>
    <row r="623" spans="1:10" x14ac:dyDescent="0.25">
      <c r="A623" s="16" t="s">
        <v>1178</v>
      </c>
      <c r="B623" s="16" t="s">
        <v>406</v>
      </c>
      <c r="C623" s="16"/>
      <c r="D623" s="17">
        <v>111817.04</v>
      </c>
      <c r="E623" s="17">
        <v>67455.14</v>
      </c>
      <c r="F623" s="17">
        <v>71058.87</v>
      </c>
      <c r="G623" s="19"/>
      <c r="H623" s="17">
        <v>350861.26</v>
      </c>
      <c r="I623" s="17">
        <v>70311.31</v>
      </c>
      <c r="J623" s="17">
        <v>205502.41</v>
      </c>
    </row>
    <row r="624" spans="1:10" x14ac:dyDescent="0.25">
      <c r="A624" s="16" t="s">
        <v>1178</v>
      </c>
      <c r="B624" s="16" t="s">
        <v>408</v>
      </c>
      <c r="C624" s="16"/>
      <c r="D624" s="17">
        <v>247294.94</v>
      </c>
      <c r="E624" s="17">
        <v>146805.04999999999</v>
      </c>
      <c r="F624" s="17">
        <v>908407.25</v>
      </c>
      <c r="G624" s="17">
        <v>279837.37</v>
      </c>
      <c r="H624" s="17">
        <v>431757.97</v>
      </c>
      <c r="I624" s="17">
        <v>827838.28</v>
      </c>
      <c r="J624" s="17">
        <v>169679.57</v>
      </c>
    </row>
    <row r="625" spans="1:10" x14ac:dyDescent="0.25">
      <c r="A625" s="16" t="s">
        <v>1178</v>
      </c>
      <c r="B625" s="16" t="s">
        <v>1010</v>
      </c>
      <c r="C625" s="16"/>
      <c r="D625" s="19"/>
      <c r="E625" s="19"/>
      <c r="F625" s="19"/>
      <c r="G625" s="19"/>
      <c r="H625" s="17">
        <v>15055.57</v>
      </c>
      <c r="I625" s="19"/>
      <c r="J625" s="19"/>
    </row>
    <row r="626" spans="1:10" x14ac:dyDescent="0.25">
      <c r="A626" s="16" t="s">
        <v>1178</v>
      </c>
      <c r="B626" s="16" t="s">
        <v>409</v>
      </c>
      <c r="C626" s="16"/>
      <c r="D626" s="19"/>
      <c r="E626" s="19"/>
      <c r="F626" s="19"/>
      <c r="G626" s="17">
        <v>147673.07999999999</v>
      </c>
      <c r="H626" s="17">
        <v>41386.239999999998</v>
      </c>
      <c r="I626" s="19"/>
      <c r="J626" s="19"/>
    </row>
    <row r="627" spans="1:10" x14ac:dyDescent="0.25">
      <c r="A627" s="16" t="s">
        <v>1178</v>
      </c>
      <c r="B627" s="16" t="s">
        <v>410</v>
      </c>
      <c r="C627" s="16"/>
      <c r="D627" s="17">
        <v>946907.73</v>
      </c>
      <c r="E627" s="17">
        <v>2294785.9700000002</v>
      </c>
      <c r="F627" s="19"/>
      <c r="G627" s="17">
        <v>458802.51</v>
      </c>
      <c r="H627" s="17">
        <v>1316959.6200000001</v>
      </c>
      <c r="I627" s="19"/>
      <c r="J627" s="17">
        <v>84185.09</v>
      </c>
    </row>
    <row r="628" spans="1:10" x14ac:dyDescent="0.25">
      <c r="A628" s="16" t="s">
        <v>1178</v>
      </c>
      <c r="B628" s="16" t="s">
        <v>411</v>
      </c>
      <c r="C628" s="16"/>
      <c r="D628" s="17">
        <v>62776.68</v>
      </c>
      <c r="E628" s="19"/>
      <c r="F628" s="17">
        <v>33074.43</v>
      </c>
      <c r="G628" s="17">
        <v>84095.16</v>
      </c>
      <c r="H628" s="17">
        <v>76733.59</v>
      </c>
      <c r="I628" s="17">
        <v>70872.52</v>
      </c>
      <c r="J628" s="17">
        <v>38150.83</v>
      </c>
    </row>
    <row r="629" spans="1:10" x14ac:dyDescent="0.25">
      <c r="A629" s="16" t="s">
        <v>1178</v>
      </c>
      <c r="B629" s="16" t="s">
        <v>1018</v>
      </c>
      <c r="C629" s="16" t="s">
        <v>399</v>
      </c>
      <c r="D629" s="19"/>
      <c r="E629" s="19"/>
      <c r="F629" s="17">
        <v>73974.84</v>
      </c>
      <c r="G629" s="19"/>
      <c r="H629" s="19"/>
      <c r="I629" s="19"/>
      <c r="J629" s="19"/>
    </row>
    <row r="630" spans="1:10" x14ac:dyDescent="0.25">
      <c r="A630" s="16" t="s">
        <v>1178</v>
      </c>
      <c r="B630" s="16" t="s">
        <v>1354</v>
      </c>
      <c r="C630" s="16" t="s">
        <v>1355</v>
      </c>
      <c r="D630" s="19"/>
      <c r="E630" s="19"/>
      <c r="F630" s="19"/>
      <c r="G630" s="19"/>
      <c r="H630" s="17">
        <v>13993.46</v>
      </c>
      <c r="I630" s="17">
        <v>3700.18</v>
      </c>
      <c r="J630" s="17">
        <v>27423.72</v>
      </c>
    </row>
    <row r="631" spans="1:10" x14ac:dyDescent="0.25">
      <c r="A631" s="16" t="s">
        <v>1178</v>
      </c>
      <c r="B631" s="16" t="s">
        <v>413</v>
      </c>
      <c r="C631" s="16"/>
      <c r="D631" s="19"/>
      <c r="E631" s="17">
        <v>7909.89</v>
      </c>
      <c r="F631" s="17">
        <v>4580.5600000000004</v>
      </c>
      <c r="G631" s="19"/>
      <c r="H631" s="17">
        <v>32543.74</v>
      </c>
      <c r="I631" s="19"/>
      <c r="J631" s="17">
        <v>19316.72</v>
      </c>
    </row>
    <row r="632" spans="1:10" x14ac:dyDescent="0.25">
      <c r="A632" s="16" t="s">
        <v>1178</v>
      </c>
      <c r="B632" s="16" t="s">
        <v>414</v>
      </c>
      <c r="C632" s="16"/>
      <c r="D632" s="19"/>
      <c r="E632" s="17">
        <v>35105.01</v>
      </c>
      <c r="F632" s="19"/>
      <c r="G632" s="19"/>
      <c r="H632" s="19"/>
      <c r="I632" s="19"/>
      <c r="J632" s="19"/>
    </row>
    <row r="633" spans="1:10" x14ac:dyDescent="0.25">
      <c r="A633" s="16" t="s">
        <v>1178</v>
      </c>
      <c r="B633" s="16" t="s">
        <v>415</v>
      </c>
      <c r="C633" s="16"/>
      <c r="D633" s="19"/>
      <c r="E633" s="19"/>
      <c r="F633" s="17">
        <v>43294.87</v>
      </c>
      <c r="G633" s="19"/>
      <c r="H633" s="19"/>
      <c r="I633" s="19"/>
      <c r="J633" s="19"/>
    </row>
    <row r="634" spans="1:10" x14ac:dyDescent="0.25">
      <c r="A634" s="16" t="s">
        <v>1178</v>
      </c>
      <c r="B634" s="16" t="s">
        <v>1356</v>
      </c>
      <c r="C634" s="16" t="s">
        <v>418</v>
      </c>
      <c r="D634" s="19"/>
      <c r="E634" s="19"/>
      <c r="F634" s="19"/>
      <c r="G634" s="19"/>
      <c r="H634" s="17">
        <v>8718.75</v>
      </c>
      <c r="I634" s="19"/>
      <c r="J634" s="19"/>
    </row>
    <row r="635" spans="1:10" x14ac:dyDescent="0.25">
      <c r="A635" s="16" t="s">
        <v>1178</v>
      </c>
      <c r="B635" s="16" t="s">
        <v>416</v>
      </c>
      <c r="C635" s="16"/>
      <c r="D635" s="17">
        <v>25303.439999999999</v>
      </c>
      <c r="E635" s="17">
        <v>15863.4</v>
      </c>
      <c r="F635" s="17">
        <v>337963.8</v>
      </c>
      <c r="G635" s="17">
        <v>319736.69</v>
      </c>
      <c r="H635" s="17">
        <v>629834.48</v>
      </c>
      <c r="I635" s="17">
        <v>182877.59</v>
      </c>
      <c r="J635" s="17">
        <v>588762.09</v>
      </c>
    </row>
    <row r="636" spans="1:10" x14ac:dyDescent="0.25">
      <c r="A636" s="16" t="s">
        <v>1178</v>
      </c>
      <c r="B636" s="16" t="s">
        <v>417</v>
      </c>
      <c r="C636" s="16"/>
      <c r="D636" s="19"/>
      <c r="E636" s="19"/>
      <c r="F636" s="19"/>
      <c r="G636" s="19"/>
      <c r="H636" s="19"/>
      <c r="I636" s="19"/>
      <c r="J636" s="17">
        <v>30340.48</v>
      </c>
    </row>
    <row r="637" spans="1:10" x14ac:dyDescent="0.25">
      <c r="A637" s="16" t="s">
        <v>1178</v>
      </c>
      <c r="B637" s="16" t="s">
        <v>1037</v>
      </c>
      <c r="C637" s="16" t="s">
        <v>421</v>
      </c>
      <c r="D637" s="17">
        <v>15996.25</v>
      </c>
      <c r="E637" s="17">
        <v>31922.32</v>
      </c>
      <c r="F637" s="17">
        <v>13416.11</v>
      </c>
      <c r="G637" s="17">
        <v>234062.39</v>
      </c>
      <c r="H637" s="18">
        <v>463.14</v>
      </c>
      <c r="I637" s="17">
        <v>17522.37</v>
      </c>
      <c r="J637" s="17">
        <v>11366.28</v>
      </c>
    </row>
    <row r="638" spans="1:10" x14ac:dyDescent="0.25">
      <c r="A638" s="16" t="s">
        <v>1178</v>
      </c>
      <c r="B638" s="16" t="s">
        <v>419</v>
      </c>
      <c r="C638" s="16"/>
      <c r="D638" s="19"/>
      <c r="E638" s="17">
        <v>3114.74</v>
      </c>
      <c r="F638" s="19"/>
      <c r="G638" s="17">
        <v>29011.08</v>
      </c>
      <c r="H638" s="19"/>
      <c r="I638" s="19"/>
      <c r="J638" s="17">
        <v>12151</v>
      </c>
    </row>
    <row r="639" spans="1:10" x14ac:dyDescent="0.25">
      <c r="A639" s="16" t="s">
        <v>1178</v>
      </c>
      <c r="B639" s="16" t="s">
        <v>422</v>
      </c>
      <c r="C639" s="16"/>
      <c r="D639" s="19"/>
      <c r="E639" s="17">
        <v>308435.90000000002</v>
      </c>
      <c r="F639" s="19"/>
      <c r="G639" s="17">
        <v>273253.64</v>
      </c>
      <c r="H639" s="17">
        <v>249744.13</v>
      </c>
      <c r="I639" s="17">
        <v>229795.08</v>
      </c>
      <c r="J639" s="17">
        <v>410239.95</v>
      </c>
    </row>
    <row r="640" spans="1:10" x14ac:dyDescent="0.25">
      <c r="A640" s="16" t="s">
        <v>1178</v>
      </c>
      <c r="B640" s="16" t="s">
        <v>1047</v>
      </c>
      <c r="C640" s="16" t="s">
        <v>399</v>
      </c>
      <c r="D640" s="17">
        <v>28110.99</v>
      </c>
      <c r="E640" s="19"/>
      <c r="F640" s="19"/>
      <c r="G640" s="17">
        <v>38835.97</v>
      </c>
      <c r="H640" s="19"/>
      <c r="I640" s="17">
        <v>50711.1</v>
      </c>
      <c r="J640" s="17">
        <v>33923.19</v>
      </c>
    </row>
    <row r="641" spans="1:10" x14ac:dyDescent="0.25">
      <c r="A641" s="16" t="s">
        <v>1308</v>
      </c>
      <c r="B641" s="16" t="s">
        <v>1309</v>
      </c>
      <c r="C641" s="16"/>
      <c r="D641" s="19"/>
      <c r="E641" s="19"/>
      <c r="F641" s="19"/>
      <c r="G641" s="17">
        <v>201008.28</v>
      </c>
      <c r="H641" s="17">
        <v>172003.84</v>
      </c>
      <c r="I641" s="17">
        <v>15815.37</v>
      </c>
      <c r="J641" s="17">
        <v>130647.03999999999</v>
      </c>
    </row>
    <row r="642" spans="1:10" x14ac:dyDescent="0.25">
      <c r="A642" s="16" t="s">
        <v>1308</v>
      </c>
      <c r="B642" s="16" t="s">
        <v>1424</v>
      </c>
      <c r="C642" s="16"/>
      <c r="D642" s="19"/>
      <c r="E642" s="19"/>
      <c r="F642" s="19"/>
      <c r="G642" s="19"/>
      <c r="H642" s="19"/>
      <c r="I642" s="17">
        <v>32445.77</v>
      </c>
      <c r="J642" s="19"/>
    </row>
    <row r="643" spans="1:10" x14ac:dyDescent="0.25">
      <c r="A643" s="16" t="s">
        <v>1308</v>
      </c>
      <c r="B643" s="16" t="s">
        <v>1425</v>
      </c>
      <c r="C643" s="16"/>
      <c r="D643" s="19"/>
      <c r="E643" s="19"/>
      <c r="F643" s="19"/>
      <c r="G643" s="19"/>
      <c r="H643" s="19"/>
      <c r="I643" s="17">
        <v>52017.13</v>
      </c>
      <c r="J643" s="17">
        <v>148010.92000000001</v>
      </c>
    </row>
    <row r="644" spans="1:10" x14ac:dyDescent="0.25">
      <c r="A644" s="16" t="s">
        <v>1308</v>
      </c>
      <c r="B644" s="16" t="s">
        <v>1426</v>
      </c>
      <c r="C644" s="16"/>
      <c r="D644" s="19"/>
      <c r="E644" s="19"/>
      <c r="F644" s="19"/>
      <c r="G644" s="19"/>
      <c r="H644" s="19"/>
      <c r="I644" s="17">
        <v>29578.94</v>
      </c>
      <c r="J644" s="19"/>
    </row>
    <row r="645" spans="1:10" x14ac:dyDescent="0.25">
      <c r="A645" s="16" t="s">
        <v>1308</v>
      </c>
      <c r="B645" s="16" t="s">
        <v>1357</v>
      </c>
      <c r="C645" s="16"/>
      <c r="D645" s="19"/>
      <c r="E645" s="19"/>
      <c r="F645" s="19"/>
      <c r="G645" s="19"/>
      <c r="H645" s="17">
        <v>65128.72</v>
      </c>
      <c r="I645" s="17">
        <v>105073.27</v>
      </c>
      <c r="J645" s="19"/>
    </row>
    <row r="646" spans="1:10" x14ac:dyDescent="0.25">
      <c r="A646" s="16" t="s">
        <v>1308</v>
      </c>
      <c r="B646" s="16" t="s">
        <v>1358</v>
      </c>
      <c r="C646" s="16"/>
      <c r="D646" s="19"/>
      <c r="E646" s="19"/>
      <c r="F646" s="19"/>
      <c r="G646" s="19"/>
      <c r="H646" s="17">
        <v>48135.82</v>
      </c>
      <c r="I646" s="19"/>
      <c r="J646" s="19"/>
    </row>
    <row r="647" spans="1:10" x14ac:dyDescent="0.25">
      <c r="A647" s="16" t="s">
        <v>1308</v>
      </c>
      <c r="B647" s="16" t="s">
        <v>1359</v>
      </c>
      <c r="C647" s="16"/>
      <c r="D647" s="19"/>
      <c r="E647" s="19"/>
      <c r="F647" s="19"/>
      <c r="G647" s="19"/>
      <c r="H647" s="17">
        <v>168718.65</v>
      </c>
      <c r="I647" s="17">
        <v>578033.31000000006</v>
      </c>
      <c r="J647" s="17">
        <v>114489.67</v>
      </c>
    </row>
    <row r="648" spans="1:10" x14ac:dyDescent="0.25">
      <c r="A648" s="16" t="s">
        <v>1308</v>
      </c>
      <c r="B648" s="16" t="s">
        <v>1360</v>
      </c>
      <c r="C648" s="16"/>
      <c r="D648" s="19"/>
      <c r="E648" s="19"/>
      <c r="F648" s="19"/>
      <c r="G648" s="19"/>
      <c r="H648" s="17">
        <v>145274.57999999999</v>
      </c>
      <c r="I648" s="17">
        <v>85907.55</v>
      </c>
      <c r="J648" s="19"/>
    </row>
    <row r="649" spans="1:10" x14ac:dyDescent="0.25">
      <c r="A649" s="16" t="s">
        <v>1308</v>
      </c>
      <c r="B649" s="16" t="s">
        <v>1468</v>
      </c>
      <c r="C649" s="16"/>
      <c r="D649" s="19"/>
      <c r="E649" s="19"/>
      <c r="F649" s="19"/>
      <c r="G649" s="19"/>
      <c r="H649" s="19"/>
      <c r="I649" s="19"/>
      <c r="J649" s="17">
        <v>50061.07</v>
      </c>
    </row>
    <row r="650" spans="1:10" x14ac:dyDescent="0.25">
      <c r="A650" s="16" t="s">
        <v>1308</v>
      </c>
      <c r="B650" s="16" t="s">
        <v>1470</v>
      </c>
      <c r="C650" s="16"/>
      <c r="D650" s="19"/>
      <c r="E650" s="19"/>
      <c r="F650" s="19"/>
      <c r="G650" s="19"/>
      <c r="H650" s="19"/>
      <c r="I650" s="19"/>
      <c r="J650" s="17">
        <v>33873.96</v>
      </c>
    </row>
    <row r="651" spans="1:10" x14ac:dyDescent="0.25">
      <c r="A651" s="16" t="s">
        <v>1308</v>
      </c>
      <c r="B651" s="16" t="s">
        <v>1469</v>
      </c>
      <c r="C651" s="16"/>
      <c r="D651" s="19"/>
      <c r="E651" s="19"/>
      <c r="F651" s="19"/>
      <c r="G651" s="19"/>
      <c r="H651" s="19"/>
      <c r="I651" s="19"/>
      <c r="J651" s="17">
        <v>237585.25</v>
      </c>
    </row>
    <row r="652" spans="1:10" x14ac:dyDescent="0.25">
      <c r="A652" s="16" t="s">
        <v>1308</v>
      </c>
      <c r="B652" s="16" t="s">
        <v>1471</v>
      </c>
      <c r="C652" s="16"/>
      <c r="D652" s="19"/>
      <c r="E652" s="19"/>
      <c r="F652" s="19"/>
      <c r="G652" s="19"/>
      <c r="H652" s="19"/>
      <c r="I652" s="19"/>
      <c r="J652" s="17">
        <v>48329.29</v>
      </c>
    </row>
    <row r="653" spans="1:10" x14ac:dyDescent="0.25">
      <c r="A653" s="16" t="s">
        <v>1308</v>
      </c>
      <c r="B653" s="16" t="s">
        <v>1361</v>
      </c>
      <c r="C653" s="16"/>
      <c r="D653" s="19"/>
      <c r="E653" s="19"/>
      <c r="F653" s="19"/>
      <c r="G653" s="19"/>
      <c r="H653" s="17">
        <v>52839.25</v>
      </c>
      <c r="I653" s="17">
        <v>102809.33</v>
      </c>
      <c r="J653" s="17">
        <v>145267.46</v>
      </c>
    </row>
    <row r="654" spans="1:10" x14ac:dyDescent="0.25">
      <c r="A654" s="16" t="s">
        <v>1308</v>
      </c>
      <c r="B654" s="16" t="s">
        <v>1472</v>
      </c>
      <c r="C654" s="16"/>
      <c r="D654" s="19"/>
      <c r="E654" s="19"/>
      <c r="F654" s="19"/>
      <c r="G654" s="19"/>
      <c r="H654" s="19"/>
      <c r="I654" s="19"/>
      <c r="J654" s="17">
        <v>54659.14</v>
      </c>
    </row>
    <row r="655" spans="1:10" x14ac:dyDescent="0.25">
      <c r="A655" s="16" t="s">
        <v>1308</v>
      </c>
      <c r="B655" s="16" t="s">
        <v>1467</v>
      </c>
      <c r="C655" s="16"/>
      <c r="D655" s="19"/>
      <c r="E655" s="19"/>
      <c r="F655" s="19"/>
      <c r="G655" s="19"/>
      <c r="H655" s="19"/>
      <c r="I655" s="19"/>
      <c r="J655" s="17">
        <v>49302.71</v>
      </c>
    </row>
    <row r="656" spans="1:10" x14ac:dyDescent="0.25">
      <c r="A656" s="16" t="s">
        <v>1427</v>
      </c>
      <c r="B656" s="16" t="s">
        <v>1428</v>
      </c>
      <c r="C656" s="16" t="s">
        <v>1429</v>
      </c>
      <c r="D656" s="19"/>
      <c r="E656" s="19"/>
      <c r="F656" s="19"/>
      <c r="G656" s="19"/>
      <c r="H656" s="19"/>
      <c r="I656" s="17">
        <v>26785.8</v>
      </c>
      <c r="J656" s="19"/>
    </row>
    <row r="657" spans="1:10" x14ac:dyDescent="0.25">
      <c r="A657" s="16" t="s">
        <v>1427</v>
      </c>
      <c r="B657" s="16" t="s">
        <v>1473</v>
      </c>
      <c r="C657" s="16"/>
      <c r="D657" s="19"/>
      <c r="E657" s="19"/>
      <c r="F657" s="19"/>
      <c r="G657" s="19"/>
      <c r="H657" s="19"/>
      <c r="I657" s="19"/>
      <c r="J657" s="17">
        <v>62389.38</v>
      </c>
    </row>
    <row r="658" spans="1:10" x14ac:dyDescent="0.25">
      <c r="A658" s="16" t="s">
        <v>1427</v>
      </c>
      <c r="B658" s="16" t="s">
        <v>1430</v>
      </c>
      <c r="C658" s="16"/>
      <c r="D658" s="19"/>
      <c r="E658" s="19"/>
      <c r="F658" s="19"/>
      <c r="G658" s="19"/>
      <c r="H658" s="19"/>
      <c r="I658" s="17">
        <v>79424.960000000006</v>
      </c>
      <c r="J658" s="17">
        <v>61146.13</v>
      </c>
    </row>
    <row r="659" spans="1:10" x14ac:dyDescent="0.25">
      <c r="A659" s="16" t="s">
        <v>1427</v>
      </c>
      <c r="B659" s="16" t="s">
        <v>1431</v>
      </c>
      <c r="C659" s="16"/>
      <c r="D659" s="19"/>
      <c r="E659" s="19"/>
      <c r="F659" s="19"/>
      <c r="G659" s="19"/>
      <c r="H659" s="19"/>
      <c r="I659" s="17">
        <v>152760.1</v>
      </c>
      <c r="J659" s="17">
        <v>107986.64</v>
      </c>
    </row>
    <row r="660" spans="1:10" x14ac:dyDescent="0.25">
      <c r="A660" s="16" t="s">
        <v>1427</v>
      </c>
      <c r="B660" s="16" t="s">
        <v>1432</v>
      </c>
      <c r="C660" s="16"/>
      <c r="D660" s="19"/>
      <c r="E660" s="19"/>
      <c r="F660" s="19"/>
      <c r="G660" s="19"/>
      <c r="H660" s="19"/>
      <c r="I660" s="17">
        <v>67914.14</v>
      </c>
      <c r="J660" s="17">
        <v>50995.72</v>
      </c>
    </row>
    <row r="661" spans="1:10" x14ac:dyDescent="0.25">
      <c r="A661" s="16" t="s">
        <v>1427</v>
      </c>
      <c r="B661" s="16" t="s">
        <v>1433</v>
      </c>
      <c r="C661" s="16"/>
      <c r="D661" s="19"/>
      <c r="E661" s="19"/>
      <c r="F661" s="19"/>
      <c r="G661" s="19"/>
      <c r="H661" s="19"/>
      <c r="I661" s="17">
        <v>795741.24</v>
      </c>
      <c r="J661" s="17">
        <v>1076688.81</v>
      </c>
    </row>
    <row r="662" spans="1:10" x14ac:dyDescent="0.25">
      <c r="A662" s="16" t="s">
        <v>1427</v>
      </c>
      <c r="B662" s="16" t="s">
        <v>1434</v>
      </c>
      <c r="C662" s="16"/>
      <c r="D662" s="19"/>
      <c r="E662" s="19"/>
      <c r="F662" s="19"/>
      <c r="G662" s="19"/>
      <c r="H662" s="19"/>
      <c r="I662" s="17">
        <v>32815.9</v>
      </c>
      <c r="J662" s="17">
        <v>23854.98</v>
      </c>
    </row>
    <row r="663" spans="1:10" x14ac:dyDescent="0.25">
      <c r="A663" s="16" t="s">
        <v>1427</v>
      </c>
      <c r="B663" s="16" t="s">
        <v>1435</v>
      </c>
      <c r="C663" s="16"/>
      <c r="D663" s="19"/>
      <c r="E663" s="19"/>
      <c r="F663" s="19"/>
      <c r="G663" s="19"/>
      <c r="H663" s="19"/>
      <c r="I663" s="17">
        <v>129707.83</v>
      </c>
      <c r="J663" s="17">
        <v>146538.49</v>
      </c>
    </row>
    <row r="664" spans="1:10" x14ac:dyDescent="0.25">
      <c r="A664" s="16" t="s">
        <v>1427</v>
      </c>
      <c r="B664" s="16" t="s">
        <v>1436</v>
      </c>
      <c r="C664" s="16"/>
      <c r="D664" s="19"/>
      <c r="E664" s="19"/>
      <c r="F664" s="19"/>
      <c r="G664" s="19"/>
      <c r="H664" s="19"/>
      <c r="I664" s="17">
        <v>306332.81</v>
      </c>
      <c r="J664" s="17">
        <v>134453.94</v>
      </c>
    </row>
    <row r="665" spans="1:10" x14ac:dyDescent="0.25">
      <c r="A665" s="16" t="s">
        <v>1427</v>
      </c>
      <c r="B665" s="16" t="s">
        <v>1437</v>
      </c>
      <c r="C665" s="16"/>
      <c r="D665" s="19"/>
      <c r="E665" s="19"/>
      <c r="F665" s="19"/>
      <c r="G665" s="19"/>
      <c r="H665" s="19"/>
      <c r="I665" s="17">
        <v>50469.43</v>
      </c>
      <c r="J665" s="17">
        <v>33103.82</v>
      </c>
    </row>
    <row r="666" spans="1:10" x14ac:dyDescent="0.25">
      <c r="A666" s="16" t="s">
        <v>1427</v>
      </c>
      <c r="B666" s="16" t="s">
        <v>1521</v>
      </c>
      <c r="C666" s="16"/>
      <c r="D666" s="19"/>
      <c r="E666" s="19"/>
      <c r="F666" s="19"/>
      <c r="G666" s="19"/>
      <c r="H666" s="19"/>
      <c r="I666" s="19"/>
      <c r="J666" s="17">
        <v>28889.58</v>
      </c>
    </row>
    <row r="667" spans="1:10" x14ac:dyDescent="0.25">
      <c r="A667" s="16" t="s">
        <v>1179</v>
      </c>
      <c r="B667" s="16" t="s">
        <v>1180</v>
      </c>
      <c r="C667" s="16"/>
      <c r="D667" s="17">
        <v>128460.94</v>
      </c>
      <c r="E667" s="17">
        <v>81284.47</v>
      </c>
      <c r="F667" s="19"/>
      <c r="G667" s="19"/>
      <c r="H667" s="19"/>
      <c r="I667" s="19"/>
      <c r="J667" s="19"/>
    </row>
    <row r="668" spans="1:10" x14ac:dyDescent="0.25">
      <c r="A668" s="16" t="s">
        <v>1179</v>
      </c>
      <c r="B668" s="16" t="s">
        <v>423</v>
      </c>
      <c r="C668" s="16"/>
      <c r="D668" s="17">
        <v>16082.29</v>
      </c>
      <c r="E668" s="17">
        <v>21454.86</v>
      </c>
      <c r="F668" s="17">
        <v>25660.22</v>
      </c>
      <c r="G668" s="17">
        <v>40354</v>
      </c>
      <c r="H668" s="17">
        <v>75921.53</v>
      </c>
      <c r="I668" s="17">
        <v>63107.31</v>
      </c>
      <c r="J668" s="17">
        <v>32633.06</v>
      </c>
    </row>
    <row r="669" spans="1:10" x14ac:dyDescent="0.25">
      <c r="A669" s="16" t="s">
        <v>1179</v>
      </c>
      <c r="B669" s="16" t="s">
        <v>1522</v>
      </c>
      <c r="C669" s="16" t="s">
        <v>468</v>
      </c>
      <c r="D669" s="19"/>
      <c r="E669" s="19"/>
      <c r="F669" s="19"/>
      <c r="G669" s="19"/>
      <c r="H669" s="17">
        <v>43540.91</v>
      </c>
      <c r="I669" s="19"/>
      <c r="J669" s="19"/>
    </row>
    <row r="670" spans="1:10" x14ac:dyDescent="0.25">
      <c r="A670" s="16" t="s">
        <v>1179</v>
      </c>
      <c r="B670" s="16" t="s">
        <v>424</v>
      </c>
      <c r="C670" s="16"/>
      <c r="D670" s="19"/>
      <c r="E670" s="19"/>
      <c r="F670" s="19"/>
      <c r="G670" s="17">
        <v>256903.2</v>
      </c>
      <c r="H670" s="19"/>
      <c r="I670" s="17">
        <v>497692.3</v>
      </c>
      <c r="J670" s="19"/>
    </row>
    <row r="671" spans="1:10" x14ac:dyDescent="0.25">
      <c r="A671" s="16" t="s">
        <v>1179</v>
      </c>
      <c r="B671" s="16" t="s">
        <v>789</v>
      </c>
      <c r="C671" s="16" t="s">
        <v>790</v>
      </c>
      <c r="D671" s="17">
        <v>37811.51</v>
      </c>
      <c r="E671" s="17">
        <v>17695.919999999998</v>
      </c>
      <c r="F671" s="17">
        <v>24007.34</v>
      </c>
      <c r="G671" s="17">
        <v>8083.56</v>
      </c>
      <c r="H671" s="17">
        <v>45191.91</v>
      </c>
      <c r="I671" s="17">
        <v>30099.24</v>
      </c>
      <c r="J671" s="17">
        <v>10194.65</v>
      </c>
    </row>
    <row r="672" spans="1:10" x14ac:dyDescent="0.25">
      <c r="A672" s="16" t="s">
        <v>1179</v>
      </c>
      <c r="B672" s="16" t="s">
        <v>426</v>
      </c>
      <c r="C672" s="16"/>
      <c r="D672" s="17">
        <v>34571.230000000003</v>
      </c>
      <c r="E672" s="19"/>
      <c r="F672" s="17">
        <v>53819.56</v>
      </c>
      <c r="G672" s="17">
        <v>23899.85</v>
      </c>
      <c r="H672" s="17">
        <v>155021.56</v>
      </c>
      <c r="I672" s="17">
        <v>29192.19</v>
      </c>
      <c r="J672" s="17">
        <v>243864.79</v>
      </c>
    </row>
    <row r="673" spans="1:10" x14ac:dyDescent="0.25">
      <c r="A673" s="16" t="s">
        <v>1179</v>
      </c>
      <c r="B673" s="16" t="s">
        <v>791</v>
      </c>
      <c r="C673" s="16" t="s">
        <v>425</v>
      </c>
      <c r="D673" s="17">
        <v>190940.71</v>
      </c>
      <c r="E673" s="17">
        <v>336345.14</v>
      </c>
      <c r="F673" s="17">
        <v>326222.82</v>
      </c>
      <c r="G673" s="17">
        <v>387903.93</v>
      </c>
      <c r="H673" s="17">
        <v>248835.34</v>
      </c>
      <c r="I673" s="17">
        <v>382881.9</v>
      </c>
      <c r="J673" s="17">
        <v>289940.83</v>
      </c>
    </row>
    <row r="674" spans="1:10" x14ac:dyDescent="0.25">
      <c r="A674" s="16" t="s">
        <v>1179</v>
      </c>
      <c r="B674" s="16" t="s">
        <v>407</v>
      </c>
      <c r="C674" s="16"/>
      <c r="D674" s="17">
        <v>19680.04</v>
      </c>
      <c r="E674" s="17">
        <v>12834.88</v>
      </c>
      <c r="F674" s="19"/>
      <c r="G674" s="17">
        <v>69979.59</v>
      </c>
      <c r="H674" s="19"/>
      <c r="I674" s="17">
        <v>64369.54</v>
      </c>
      <c r="J674" s="17">
        <v>28915.11</v>
      </c>
    </row>
    <row r="675" spans="1:10" x14ac:dyDescent="0.25">
      <c r="A675" s="16" t="s">
        <v>1179</v>
      </c>
      <c r="B675" s="16" t="s">
        <v>427</v>
      </c>
      <c r="C675" s="16"/>
      <c r="D675" s="19"/>
      <c r="E675" s="19"/>
      <c r="F675" s="17">
        <v>67427.570000000007</v>
      </c>
      <c r="G675" s="19"/>
      <c r="H675" s="17">
        <v>56816.45</v>
      </c>
      <c r="I675" s="17">
        <v>23022.45</v>
      </c>
      <c r="J675" s="19"/>
    </row>
    <row r="676" spans="1:10" x14ac:dyDescent="0.25">
      <c r="A676" s="16" t="s">
        <v>1179</v>
      </c>
      <c r="B676" s="16" t="s">
        <v>428</v>
      </c>
      <c r="C676" s="16"/>
      <c r="D676" s="19"/>
      <c r="E676" s="19"/>
      <c r="F676" s="19"/>
      <c r="G676" s="17">
        <v>19783.580000000002</v>
      </c>
      <c r="H676" s="17">
        <v>43411.54</v>
      </c>
      <c r="I676" s="17">
        <v>41528.44</v>
      </c>
      <c r="J676" s="19"/>
    </row>
    <row r="677" spans="1:10" x14ac:dyDescent="0.25">
      <c r="A677" s="16" t="s">
        <v>1179</v>
      </c>
      <c r="B677" s="16" t="s">
        <v>793</v>
      </c>
      <c r="C677" s="16" t="s">
        <v>428</v>
      </c>
      <c r="D677" s="19"/>
      <c r="E677" s="19"/>
      <c r="F677" s="17">
        <v>61984.42</v>
      </c>
      <c r="G677" s="19"/>
      <c r="H677" s="17">
        <v>149425.76</v>
      </c>
      <c r="I677" s="19"/>
      <c r="J677" s="19"/>
    </row>
    <row r="678" spans="1:10" x14ac:dyDescent="0.25">
      <c r="A678" s="16" t="s">
        <v>1179</v>
      </c>
      <c r="B678" s="16" t="s">
        <v>429</v>
      </c>
      <c r="C678" s="16"/>
      <c r="D678" s="19"/>
      <c r="E678" s="19"/>
      <c r="F678" s="17">
        <v>62161.95</v>
      </c>
      <c r="G678" s="17">
        <v>88120.97</v>
      </c>
      <c r="H678" s="19"/>
      <c r="I678" s="17">
        <v>168592.31</v>
      </c>
      <c r="J678" s="19"/>
    </row>
    <row r="679" spans="1:10" x14ac:dyDescent="0.25">
      <c r="A679" s="16" t="s">
        <v>1179</v>
      </c>
      <c r="B679" s="16" t="s">
        <v>1310</v>
      </c>
      <c r="C679" s="16" t="s">
        <v>804</v>
      </c>
      <c r="D679" s="19"/>
      <c r="E679" s="19"/>
      <c r="F679" s="19"/>
      <c r="G679" s="17">
        <v>218827.02</v>
      </c>
      <c r="H679" s="17">
        <v>96180.47</v>
      </c>
      <c r="I679" s="19"/>
      <c r="J679" s="19"/>
    </row>
    <row r="680" spans="1:10" x14ac:dyDescent="0.25">
      <c r="A680" s="16" t="s">
        <v>1179</v>
      </c>
      <c r="B680" s="16" t="s">
        <v>430</v>
      </c>
      <c r="C680" s="16"/>
      <c r="D680" s="17">
        <v>1174004.51</v>
      </c>
      <c r="E680" s="17">
        <v>531588.51</v>
      </c>
      <c r="F680" s="17">
        <v>483690.98</v>
      </c>
      <c r="G680" s="17">
        <v>751213.02</v>
      </c>
      <c r="H680" s="19"/>
      <c r="I680" s="17">
        <v>690658.76</v>
      </c>
      <c r="J680" s="17">
        <v>814965.74</v>
      </c>
    </row>
    <row r="681" spans="1:10" x14ac:dyDescent="0.25">
      <c r="A681" s="16" t="s">
        <v>1179</v>
      </c>
      <c r="B681" s="16" t="s">
        <v>797</v>
      </c>
      <c r="C681" s="16"/>
      <c r="D681" s="17">
        <v>116640.41</v>
      </c>
      <c r="E681" s="17">
        <v>124976.34</v>
      </c>
      <c r="F681" s="17">
        <v>79805.100000000006</v>
      </c>
      <c r="G681" s="17">
        <v>68182.850000000006</v>
      </c>
      <c r="H681" s="17">
        <v>253570.02</v>
      </c>
      <c r="I681" s="17">
        <v>210242.08</v>
      </c>
      <c r="J681" s="17">
        <v>117856.31</v>
      </c>
    </row>
    <row r="682" spans="1:10" x14ac:dyDescent="0.25">
      <c r="A682" s="16" t="s">
        <v>1179</v>
      </c>
      <c r="B682" s="16" t="s">
        <v>802</v>
      </c>
      <c r="C682" s="16" t="s">
        <v>431</v>
      </c>
      <c r="D682" s="17">
        <v>16977.5</v>
      </c>
      <c r="E682" s="17">
        <v>41129.72</v>
      </c>
      <c r="F682" s="17">
        <v>44457.67</v>
      </c>
      <c r="G682" s="17">
        <v>92856.44</v>
      </c>
      <c r="H682" s="17">
        <v>51341.41</v>
      </c>
      <c r="I682" s="17">
        <v>37044.449999999997</v>
      </c>
      <c r="J682" s="17">
        <v>34868.300000000003</v>
      </c>
    </row>
    <row r="683" spans="1:10" x14ac:dyDescent="0.25">
      <c r="A683" s="16" t="s">
        <v>1179</v>
      </c>
      <c r="B683" s="16" t="s">
        <v>1523</v>
      </c>
      <c r="C683" s="16" t="s">
        <v>1464</v>
      </c>
      <c r="D683" s="19"/>
      <c r="E683" s="19"/>
      <c r="F683" s="19"/>
      <c r="G683" s="19"/>
      <c r="H683" s="19"/>
      <c r="I683" s="19"/>
      <c r="J683" s="17">
        <v>514448.62</v>
      </c>
    </row>
    <row r="684" spans="1:10" x14ac:dyDescent="0.25">
      <c r="A684" s="16" t="s">
        <v>1179</v>
      </c>
      <c r="B684" s="16" t="s">
        <v>804</v>
      </c>
      <c r="C684" s="16"/>
      <c r="D684" s="17">
        <v>121247.71</v>
      </c>
      <c r="E684" s="17">
        <v>100634.68</v>
      </c>
      <c r="F684" s="17">
        <v>48483.63</v>
      </c>
      <c r="G684" s="19"/>
      <c r="H684" s="17">
        <v>142177.04</v>
      </c>
      <c r="I684" s="17">
        <v>144724.42000000001</v>
      </c>
      <c r="J684" s="17">
        <v>92638.32</v>
      </c>
    </row>
    <row r="685" spans="1:10" x14ac:dyDescent="0.25">
      <c r="A685" s="16" t="s">
        <v>1179</v>
      </c>
      <c r="B685" s="16" t="s">
        <v>808</v>
      </c>
      <c r="C685" s="16"/>
      <c r="D685" s="19"/>
      <c r="E685" s="19"/>
      <c r="F685" s="19"/>
      <c r="G685" s="19"/>
      <c r="H685" s="17">
        <v>66550.91</v>
      </c>
      <c r="I685" s="19"/>
      <c r="J685" s="19"/>
    </row>
    <row r="686" spans="1:10" x14ac:dyDescent="0.25">
      <c r="A686" s="16" t="s">
        <v>1179</v>
      </c>
      <c r="B686" s="16" t="s">
        <v>484</v>
      </c>
      <c r="C686" s="16"/>
      <c r="D686" s="17">
        <v>467959.49</v>
      </c>
      <c r="E686" s="19"/>
      <c r="F686" s="19"/>
      <c r="G686" s="19"/>
      <c r="H686" s="19"/>
      <c r="I686" s="19"/>
      <c r="J686" s="19"/>
    </row>
    <row r="687" spans="1:10" x14ac:dyDescent="0.25">
      <c r="A687" s="16" t="s">
        <v>1179</v>
      </c>
      <c r="B687" s="16" t="s">
        <v>810</v>
      </c>
      <c r="C687" s="16"/>
      <c r="D687" s="19"/>
      <c r="E687" s="19"/>
      <c r="F687" s="19"/>
      <c r="G687" s="17">
        <v>237977.51</v>
      </c>
      <c r="H687" s="19"/>
      <c r="I687" s="17">
        <v>90681.51</v>
      </c>
      <c r="J687" s="17">
        <v>142782.96</v>
      </c>
    </row>
    <row r="688" spans="1:10" x14ac:dyDescent="0.25">
      <c r="A688" s="16" t="s">
        <v>1179</v>
      </c>
      <c r="B688" s="16" t="s">
        <v>432</v>
      </c>
      <c r="C688" s="16"/>
      <c r="D688" s="19"/>
      <c r="E688" s="17">
        <v>46894.879999999997</v>
      </c>
      <c r="F688" s="19"/>
      <c r="G688" s="17">
        <v>76176.990000000005</v>
      </c>
      <c r="H688" s="19"/>
      <c r="I688" s="19"/>
      <c r="J688" s="19"/>
    </row>
    <row r="689" spans="1:10" x14ac:dyDescent="0.25">
      <c r="A689" s="16" t="s">
        <v>1179</v>
      </c>
      <c r="B689" s="16" t="s">
        <v>433</v>
      </c>
      <c r="C689" s="16"/>
      <c r="D689" s="19"/>
      <c r="E689" s="19"/>
      <c r="F689" s="17">
        <v>44868.38</v>
      </c>
      <c r="G689" s="17">
        <v>6462.39</v>
      </c>
      <c r="H689" s="19"/>
      <c r="I689" s="17">
        <v>9747.98</v>
      </c>
      <c r="J689" s="19"/>
    </row>
    <row r="690" spans="1:10" x14ac:dyDescent="0.25">
      <c r="A690" s="16" t="s">
        <v>1179</v>
      </c>
      <c r="B690" s="16" t="s">
        <v>812</v>
      </c>
      <c r="C690" s="16"/>
      <c r="D690" s="19"/>
      <c r="E690" s="17">
        <v>40279.82</v>
      </c>
      <c r="F690" s="19"/>
      <c r="G690" s="19"/>
      <c r="H690" s="19"/>
      <c r="I690" s="19"/>
      <c r="J690" s="19"/>
    </row>
    <row r="691" spans="1:10" x14ac:dyDescent="0.25">
      <c r="A691" s="16" t="s">
        <v>1179</v>
      </c>
      <c r="B691" s="16" t="s">
        <v>434</v>
      </c>
      <c r="C691" s="16"/>
      <c r="D691" s="17">
        <v>208516.6</v>
      </c>
      <c r="E691" s="19"/>
      <c r="F691" s="17">
        <v>151132.76</v>
      </c>
      <c r="G691" s="17">
        <v>51642.62</v>
      </c>
      <c r="H691" s="17">
        <v>148123.56</v>
      </c>
      <c r="I691" s="17">
        <v>92421.119999999995</v>
      </c>
      <c r="J691" s="17">
        <v>259125.8</v>
      </c>
    </row>
    <row r="692" spans="1:10" x14ac:dyDescent="0.25">
      <c r="A692" s="16" t="s">
        <v>1179</v>
      </c>
      <c r="B692" s="16" t="s">
        <v>1181</v>
      </c>
      <c r="C692" s="16" t="s">
        <v>430</v>
      </c>
      <c r="D692" s="19"/>
      <c r="E692" s="17">
        <v>4306.62</v>
      </c>
      <c r="F692" s="19"/>
      <c r="G692" s="19"/>
      <c r="H692" s="19"/>
      <c r="I692" s="19"/>
      <c r="J692" s="19"/>
    </row>
    <row r="693" spans="1:10" x14ac:dyDescent="0.25">
      <c r="A693" s="16" t="s">
        <v>1179</v>
      </c>
      <c r="B693" s="16" t="s">
        <v>1043</v>
      </c>
      <c r="C693" s="16"/>
      <c r="D693" s="19"/>
      <c r="E693" s="17">
        <v>136982.79</v>
      </c>
      <c r="F693" s="19"/>
      <c r="G693" s="17">
        <v>231444.21</v>
      </c>
      <c r="H693" s="17">
        <v>279765.11</v>
      </c>
      <c r="I693" s="17">
        <v>316929.34999999998</v>
      </c>
      <c r="J693" s="19"/>
    </row>
    <row r="694" spans="1:10" x14ac:dyDescent="0.25">
      <c r="A694" s="16" t="s">
        <v>1182</v>
      </c>
      <c r="B694" s="16" t="s">
        <v>1311</v>
      </c>
      <c r="C694" s="16"/>
      <c r="D694" s="19"/>
      <c r="E694" s="19"/>
      <c r="F694" s="19"/>
      <c r="G694" s="17">
        <v>438569.53</v>
      </c>
      <c r="H694" s="17">
        <v>109041.46</v>
      </c>
      <c r="I694" s="17">
        <v>18684.12</v>
      </c>
      <c r="J694" s="17">
        <v>41901.019999999997</v>
      </c>
    </row>
    <row r="695" spans="1:10" x14ac:dyDescent="0.25">
      <c r="A695" s="16" t="s">
        <v>1182</v>
      </c>
      <c r="B695" s="16" t="s">
        <v>1262</v>
      </c>
      <c r="C695" s="16"/>
      <c r="D695" s="19"/>
      <c r="E695" s="19"/>
      <c r="F695" s="17">
        <v>103519.31</v>
      </c>
      <c r="G695" s="19"/>
      <c r="H695" s="19"/>
      <c r="I695" s="19"/>
      <c r="J695" s="19"/>
    </row>
    <row r="696" spans="1:10" x14ac:dyDescent="0.25">
      <c r="A696" s="16" t="s">
        <v>1182</v>
      </c>
      <c r="B696" s="21" t="s">
        <v>1488</v>
      </c>
      <c r="C696" s="16"/>
      <c r="D696" s="19"/>
      <c r="E696" s="19"/>
      <c r="F696" s="19"/>
      <c r="G696" s="19"/>
      <c r="H696" s="19"/>
      <c r="I696" s="19"/>
      <c r="J696" s="17">
        <v>382664.38</v>
      </c>
    </row>
    <row r="697" spans="1:10" x14ac:dyDescent="0.25">
      <c r="A697" s="16" t="s">
        <v>1182</v>
      </c>
      <c r="B697" s="16" t="s">
        <v>435</v>
      </c>
      <c r="C697" s="16"/>
      <c r="D697" s="19"/>
      <c r="E697" s="19"/>
      <c r="F697" s="19"/>
      <c r="G697" s="19"/>
      <c r="H697" s="17">
        <v>30012.22</v>
      </c>
      <c r="I697" s="19"/>
      <c r="J697" s="17">
        <v>45579.96</v>
      </c>
    </row>
    <row r="698" spans="1:10" x14ac:dyDescent="0.25">
      <c r="A698" s="16" t="s">
        <v>1182</v>
      </c>
      <c r="B698" s="16" t="s">
        <v>436</v>
      </c>
      <c r="C698" s="16"/>
      <c r="D698" s="19"/>
      <c r="E698" s="19"/>
      <c r="F698" s="19"/>
      <c r="G698" s="17">
        <v>29002.87</v>
      </c>
      <c r="H698" s="19"/>
      <c r="I698" s="19"/>
      <c r="J698" s="19"/>
    </row>
    <row r="699" spans="1:10" x14ac:dyDescent="0.25">
      <c r="A699" s="16" t="s">
        <v>1182</v>
      </c>
      <c r="B699" s="16" t="s">
        <v>437</v>
      </c>
      <c r="C699" s="16"/>
      <c r="D699" s="19"/>
      <c r="E699" s="17">
        <v>105775.32</v>
      </c>
      <c r="F699" s="17">
        <v>63463.85</v>
      </c>
      <c r="G699" s="17">
        <v>65495.38</v>
      </c>
      <c r="H699" s="17">
        <v>83381.740000000005</v>
      </c>
      <c r="I699" s="17">
        <v>328736.39</v>
      </c>
      <c r="J699" s="17">
        <v>82201.63</v>
      </c>
    </row>
    <row r="700" spans="1:10" x14ac:dyDescent="0.25">
      <c r="A700" s="16" t="s">
        <v>1182</v>
      </c>
      <c r="B700" s="16" t="s">
        <v>1183</v>
      </c>
      <c r="C700" s="16"/>
      <c r="D700" s="19"/>
      <c r="E700" s="17">
        <v>34385.870000000003</v>
      </c>
      <c r="F700" s="19"/>
      <c r="G700" s="19"/>
      <c r="H700" s="19"/>
      <c r="I700" s="19"/>
      <c r="J700" s="19"/>
    </row>
    <row r="701" spans="1:10" x14ac:dyDescent="0.25">
      <c r="A701" s="16" t="s">
        <v>1182</v>
      </c>
      <c r="B701" s="21" t="s">
        <v>783</v>
      </c>
      <c r="C701" s="16"/>
      <c r="D701" s="19"/>
      <c r="E701" s="19"/>
      <c r="F701" s="19"/>
      <c r="G701" s="19"/>
      <c r="H701" s="19"/>
      <c r="I701" s="19"/>
      <c r="J701" s="17">
        <v>202189.95</v>
      </c>
    </row>
    <row r="702" spans="1:10" x14ac:dyDescent="0.25">
      <c r="A702" s="16" t="s">
        <v>1182</v>
      </c>
      <c r="B702" s="16" t="s">
        <v>402</v>
      </c>
      <c r="C702" s="16"/>
      <c r="D702" s="19"/>
      <c r="E702" s="19"/>
      <c r="F702" s="19"/>
      <c r="G702" s="19"/>
      <c r="H702" s="19"/>
      <c r="I702" s="17">
        <v>64728</v>
      </c>
      <c r="J702" s="19"/>
    </row>
    <row r="703" spans="1:10" x14ac:dyDescent="0.25">
      <c r="A703" s="16" t="s">
        <v>1182</v>
      </c>
      <c r="B703" s="16" t="s">
        <v>1438</v>
      </c>
      <c r="C703" s="16"/>
      <c r="D703" s="19"/>
      <c r="E703" s="19"/>
      <c r="F703" s="19"/>
      <c r="G703" s="19"/>
      <c r="H703" s="19"/>
      <c r="I703" s="17">
        <v>39950.870000000003</v>
      </c>
      <c r="J703" s="19"/>
    </row>
    <row r="704" spans="1:10" x14ac:dyDescent="0.25">
      <c r="A704" s="16" t="s">
        <v>1182</v>
      </c>
      <c r="B704" s="16" t="s">
        <v>1184</v>
      </c>
      <c r="C704" s="16"/>
      <c r="D704" s="17">
        <v>45616.2</v>
      </c>
      <c r="E704" s="19"/>
      <c r="F704" s="19"/>
      <c r="G704" s="17">
        <v>79241.399999999994</v>
      </c>
      <c r="H704" s="19"/>
      <c r="I704" s="19"/>
      <c r="J704" s="19"/>
    </row>
    <row r="705" spans="1:10" x14ac:dyDescent="0.25">
      <c r="A705" s="16" t="s">
        <v>1182</v>
      </c>
      <c r="B705" s="21" t="s">
        <v>1524</v>
      </c>
      <c r="C705" s="16" t="s">
        <v>1536</v>
      </c>
      <c r="D705" s="19"/>
      <c r="E705" s="19"/>
      <c r="F705" s="19"/>
      <c r="G705" s="19"/>
      <c r="H705" s="19"/>
      <c r="I705" s="19"/>
      <c r="J705" s="17">
        <v>206468.42</v>
      </c>
    </row>
    <row r="706" spans="1:10" x14ac:dyDescent="0.25">
      <c r="A706" s="16" t="s">
        <v>1182</v>
      </c>
      <c r="B706" s="16" t="s">
        <v>1312</v>
      </c>
      <c r="C706" s="16"/>
      <c r="D706" s="19"/>
      <c r="E706" s="19"/>
      <c r="F706" s="19"/>
      <c r="G706" s="17">
        <v>31580.13</v>
      </c>
      <c r="H706" s="19"/>
      <c r="I706" s="19"/>
      <c r="J706" s="19"/>
    </row>
    <row r="707" spans="1:10" x14ac:dyDescent="0.25">
      <c r="A707" s="16" t="s">
        <v>1182</v>
      </c>
      <c r="B707" s="21" t="s">
        <v>1475</v>
      </c>
      <c r="C707" s="16"/>
      <c r="D707" s="19"/>
      <c r="E707" s="19"/>
      <c r="F707" s="19"/>
      <c r="G707" s="19"/>
      <c r="H707" s="19"/>
      <c r="I707" s="19"/>
      <c r="J707" s="17">
        <v>113804.76</v>
      </c>
    </row>
    <row r="708" spans="1:10" x14ac:dyDescent="0.25">
      <c r="A708" s="16" t="s">
        <v>1182</v>
      </c>
      <c r="B708" s="16" t="s">
        <v>438</v>
      </c>
      <c r="C708" s="16"/>
      <c r="D708" s="19"/>
      <c r="E708" s="17">
        <v>46461</v>
      </c>
      <c r="F708" s="19"/>
      <c r="G708" s="19"/>
      <c r="H708" s="19"/>
      <c r="I708" s="19"/>
      <c r="J708" s="19"/>
    </row>
    <row r="709" spans="1:10" x14ac:dyDescent="0.25">
      <c r="A709" s="16" t="s">
        <v>1182</v>
      </c>
      <c r="B709" s="16" t="s">
        <v>1313</v>
      </c>
      <c r="C709" s="16"/>
      <c r="D709" s="19"/>
      <c r="E709" s="19"/>
      <c r="F709" s="19"/>
      <c r="G709" s="17">
        <v>42083.38</v>
      </c>
      <c r="H709" s="17">
        <v>24119.759999999998</v>
      </c>
      <c r="I709" s="17">
        <v>96346.89</v>
      </c>
      <c r="J709" s="17">
        <v>30104.92</v>
      </c>
    </row>
    <row r="710" spans="1:10" x14ac:dyDescent="0.25">
      <c r="A710" s="16" t="s">
        <v>1182</v>
      </c>
      <c r="B710" s="16" t="s">
        <v>1314</v>
      </c>
      <c r="C710" s="16"/>
      <c r="D710" s="19"/>
      <c r="E710" s="19"/>
      <c r="F710" s="19"/>
      <c r="G710" s="17">
        <v>14691.07</v>
      </c>
      <c r="H710" s="19"/>
      <c r="I710" s="19"/>
      <c r="J710" s="19"/>
    </row>
    <row r="711" spans="1:10" x14ac:dyDescent="0.25">
      <c r="A711" s="16" t="s">
        <v>1182</v>
      </c>
      <c r="B711" s="21" t="s">
        <v>439</v>
      </c>
      <c r="C711" s="16"/>
      <c r="D711" s="19"/>
      <c r="E711" s="19"/>
      <c r="F711" s="19"/>
      <c r="G711" s="19"/>
      <c r="H711" s="19"/>
      <c r="I711" s="17">
        <v>88333.63</v>
      </c>
      <c r="J711" s="17">
        <v>163277.82999999999</v>
      </c>
    </row>
    <row r="712" spans="1:10" x14ac:dyDescent="0.25">
      <c r="A712" s="16" t="s">
        <v>1182</v>
      </c>
      <c r="B712" s="16" t="s">
        <v>991</v>
      </c>
      <c r="C712" s="16"/>
      <c r="D712" s="19"/>
      <c r="E712" s="19"/>
      <c r="F712" s="19"/>
      <c r="G712" s="19"/>
      <c r="H712" s="17">
        <v>327731.34000000003</v>
      </c>
      <c r="I712" s="19"/>
      <c r="J712" s="19"/>
    </row>
    <row r="713" spans="1:10" x14ac:dyDescent="0.25">
      <c r="A713" s="16" t="s">
        <v>1182</v>
      </c>
      <c r="B713" s="16" t="s">
        <v>993</v>
      </c>
      <c r="C713" s="16" t="s">
        <v>448</v>
      </c>
      <c r="D713" s="17">
        <v>47735.65</v>
      </c>
      <c r="E713" s="17">
        <v>184947.25</v>
      </c>
      <c r="F713" s="19"/>
      <c r="G713" s="17">
        <v>182599.91</v>
      </c>
      <c r="H713" s="17">
        <v>146028.28</v>
      </c>
      <c r="I713" s="17">
        <v>197730.92</v>
      </c>
      <c r="J713" s="17">
        <v>217980.48</v>
      </c>
    </row>
    <row r="714" spans="1:10" x14ac:dyDescent="0.25">
      <c r="A714" s="16" t="s">
        <v>1182</v>
      </c>
      <c r="B714" s="16" t="s">
        <v>1263</v>
      </c>
      <c r="C714" s="16"/>
      <c r="D714" s="19"/>
      <c r="E714" s="19"/>
      <c r="F714" s="17">
        <v>102168.75</v>
      </c>
      <c r="G714" s="19"/>
      <c r="H714" s="17">
        <v>33352.78</v>
      </c>
      <c r="I714" s="19"/>
      <c r="J714" s="19"/>
    </row>
    <row r="715" spans="1:10" x14ac:dyDescent="0.25">
      <c r="A715" s="16" t="s">
        <v>1182</v>
      </c>
      <c r="B715" s="16" t="s">
        <v>1185</v>
      </c>
      <c r="C715" s="16"/>
      <c r="D715" s="19"/>
      <c r="E715" s="17">
        <v>45326.5</v>
      </c>
      <c r="F715" s="17">
        <v>81951.34</v>
      </c>
      <c r="G715" s="17">
        <v>93629.67</v>
      </c>
      <c r="H715" s="17">
        <v>80834.69</v>
      </c>
      <c r="I715" s="17">
        <v>248768.69</v>
      </c>
      <c r="J715" s="17">
        <v>260947.87</v>
      </c>
    </row>
    <row r="716" spans="1:10" x14ac:dyDescent="0.25">
      <c r="A716" s="16" t="s">
        <v>1182</v>
      </c>
      <c r="B716" s="16" t="s">
        <v>1439</v>
      </c>
      <c r="C716" s="16"/>
      <c r="D716" s="19"/>
      <c r="E716" s="19"/>
      <c r="F716" s="19"/>
      <c r="G716" s="19"/>
      <c r="H716" s="19"/>
      <c r="I716" s="17">
        <v>34106.129999999997</v>
      </c>
      <c r="J716" s="19"/>
    </row>
    <row r="717" spans="1:10" x14ac:dyDescent="0.25">
      <c r="A717" s="16" t="s">
        <v>1182</v>
      </c>
      <c r="B717" s="16" t="s">
        <v>440</v>
      </c>
      <c r="C717" s="16"/>
      <c r="D717" s="19"/>
      <c r="E717" s="17">
        <v>35675.300000000003</v>
      </c>
      <c r="F717" s="17">
        <v>53895.59</v>
      </c>
      <c r="G717" s="19"/>
      <c r="H717" s="19"/>
      <c r="I717" s="17">
        <v>57568.54</v>
      </c>
      <c r="J717" s="17">
        <v>42940.49</v>
      </c>
    </row>
    <row r="718" spans="1:10" x14ac:dyDescent="0.25">
      <c r="A718" s="16" t="s">
        <v>1182</v>
      </c>
      <c r="B718" s="16" t="s">
        <v>1264</v>
      </c>
      <c r="C718" s="16" t="s">
        <v>441</v>
      </c>
      <c r="D718" s="19"/>
      <c r="E718" s="19"/>
      <c r="F718" s="17">
        <v>239926.34</v>
      </c>
      <c r="G718" s="19"/>
      <c r="H718" s="19"/>
      <c r="I718" s="17">
        <v>158592.91</v>
      </c>
      <c r="J718" s="19"/>
    </row>
    <row r="719" spans="1:10" x14ac:dyDescent="0.25">
      <c r="A719" s="16" t="s">
        <v>1182</v>
      </c>
      <c r="B719" s="16" t="s">
        <v>441</v>
      </c>
      <c r="C719" s="16"/>
      <c r="D719" s="19"/>
      <c r="E719" s="19"/>
      <c r="F719" s="19"/>
      <c r="G719" s="17">
        <v>162505.54999999999</v>
      </c>
      <c r="H719" s="17">
        <v>276757.28999999998</v>
      </c>
      <c r="I719" s="19"/>
      <c r="J719" s="19"/>
    </row>
    <row r="720" spans="1:10" x14ac:dyDescent="0.25">
      <c r="A720" s="16" t="s">
        <v>1182</v>
      </c>
      <c r="B720" s="16" t="s">
        <v>1362</v>
      </c>
      <c r="C720" s="16"/>
      <c r="D720" s="19"/>
      <c r="E720" s="19"/>
      <c r="F720" s="19"/>
      <c r="G720" s="19"/>
      <c r="H720" s="17">
        <v>64810.01</v>
      </c>
      <c r="I720" s="17">
        <v>47114.77</v>
      </c>
      <c r="J720" s="19"/>
    </row>
    <row r="721" spans="1:10" x14ac:dyDescent="0.25">
      <c r="A721" s="16" t="s">
        <v>1182</v>
      </c>
      <c r="B721" s="16" t="s">
        <v>1363</v>
      </c>
      <c r="C721" s="16"/>
      <c r="D721" s="19"/>
      <c r="E721" s="19"/>
      <c r="F721" s="19"/>
      <c r="G721" s="19"/>
      <c r="H721" s="17">
        <v>561119.94999999995</v>
      </c>
      <c r="I721" s="19"/>
      <c r="J721" s="19"/>
    </row>
    <row r="722" spans="1:10" x14ac:dyDescent="0.25">
      <c r="A722" s="16" t="s">
        <v>1182</v>
      </c>
      <c r="B722" s="16" t="s">
        <v>1315</v>
      </c>
      <c r="C722" s="16"/>
      <c r="D722" s="19"/>
      <c r="E722" s="19"/>
      <c r="F722" s="19"/>
      <c r="G722" s="17">
        <v>24997.200000000001</v>
      </c>
      <c r="H722" s="17">
        <v>116849.42</v>
      </c>
      <c r="I722" s="17">
        <v>123598.01</v>
      </c>
      <c r="J722" s="17">
        <v>39873.07</v>
      </c>
    </row>
    <row r="723" spans="1:10" x14ac:dyDescent="0.25">
      <c r="A723" s="16" t="s">
        <v>1182</v>
      </c>
      <c r="B723" s="16" t="s">
        <v>788</v>
      </c>
      <c r="C723" s="16"/>
      <c r="D723" s="19"/>
      <c r="E723" s="19"/>
      <c r="F723" s="19"/>
      <c r="G723" s="19"/>
      <c r="H723" s="17">
        <v>170591.44</v>
      </c>
      <c r="I723" s="19"/>
      <c r="J723" s="19"/>
    </row>
    <row r="724" spans="1:10" x14ac:dyDescent="0.25">
      <c r="A724" s="16" t="s">
        <v>1182</v>
      </c>
      <c r="B724" s="16" t="s">
        <v>1186</v>
      </c>
      <c r="C724" s="16"/>
      <c r="D724" s="17">
        <v>521234.41</v>
      </c>
      <c r="E724" s="19"/>
      <c r="F724" s="19"/>
      <c r="G724" s="19"/>
      <c r="H724" s="17">
        <v>130068.24</v>
      </c>
      <c r="I724" s="17">
        <v>60176.63</v>
      </c>
      <c r="J724" s="17">
        <v>233275.24</v>
      </c>
    </row>
    <row r="725" spans="1:10" x14ac:dyDescent="0.25">
      <c r="A725" s="16" t="s">
        <v>1182</v>
      </c>
      <c r="B725" s="21" t="s">
        <v>1476</v>
      </c>
      <c r="C725" s="16"/>
      <c r="D725" s="19"/>
      <c r="E725" s="19"/>
      <c r="F725" s="19"/>
      <c r="G725" s="19"/>
      <c r="H725" s="19"/>
      <c r="I725" s="19"/>
      <c r="J725" s="17">
        <v>284611.37</v>
      </c>
    </row>
    <row r="726" spans="1:10" x14ac:dyDescent="0.25">
      <c r="A726" s="16" t="s">
        <v>1182</v>
      </c>
      <c r="B726" s="16" t="s">
        <v>1004</v>
      </c>
      <c r="C726" s="16" t="s">
        <v>813</v>
      </c>
      <c r="D726" s="19"/>
      <c r="E726" s="19"/>
      <c r="F726" s="17">
        <v>157481.92000000001</v>
      </c>
      <c r="G726" s="19"/>
      <c r="H726" s="17">
        <v>89184.99</v>
      </c>
      <c r="I726" s="19"/>
      <c r="J726" s="19"/>
    </row>
    <row r="727" spans="1:10" x14ac:dyDescent="0.25">
      <c r="A727" s="16" t="s">
        <v>1182</v>
      </c>
      <c r="B727" s="16" t="s">
        <v>1187</v>
      </c>
      <c r="C727" s="16"/>
      <c r="D727" s="19"/>
      <c r="E727" s="17">
        <v>140842.51999999999</v>
      </c>
      <c r="F727" s="19"/>
      <c r="G727" s="17">
        <v>-7539.81</v>
      </c>
      <c r="H727" s="19"/>
      <c r="I727" s="17">
        <v>40935.06</v>
      </c>
      <c r="J727" s="19"/>
    </row>
    <row r="728" spans="1:10" x14ac:dyDescent="0.25">
      <c r="A728" s="16" t="s">
        <v>1182</v>
      </c>
      <c r="B728" s="16" t="s">
        <v>442</v>
      </c>
      <c r="C728" s="16"/>
      <c r="D728" s="17">
        <v>60938.38</v>
      </c>
      <c r="E728" s="19"/>
      <c r="F728" s="17">
        <v>315896.71000000002</v>
      </c>
      <c r="G728" s="17">
        <v>153778.71</v>
      </c>
      <c r="H728" s="17">
        <v>232414.86</v>
      </c>
      <c r="I728" s="17">
        <v>399300.34</v>
      </c>
      <c r="J728" s="17">
        <v>220311.33</v>
      </c>
    </row>
    <row r="729" spans="1:10" x14ac:dyDescent="0.25">
      <c r="A729" s="16" t="s">
        <v>1182</v>
      </c>
      <c r="B729" s="16" t="s">
        <v>1364</v>
      </c>
      <c r="C729" s="16"/>
      <c r="D729" s="19"/>
      <c r="E729" s="19"/>
      <c r="F729" s="19"/>
      <c r="G729" s="19"/>
      <c r="H729" s="17">
        <v>31260.46</v>
      </c>
      <c r="I729" s="19"/>
      <c r="J729" s="19"/>
    </row>
    <row r="730" spans="1:10" x14ac:dyDescent="0.25">
      <c r="A730" s="16" t="s">
        <v>1182</v>
      </c>
      <c r="B730" s="16" t="s">
        <v>1188</v>
      </c>
      <c r="C730" s="16"/>
      <c r="D730" s="17">
        <v>167277.93</v>
      </c>
      <c r="E730" s="17">
        <v>171502.27</v>
      </c>
      <c r="F730" s="19"/>
      <c r="G730" s="17">
        <v>71137.440000000002</v>
      </c>
      <c r="H730" s="17">
        <v>131005.32</v>
      </c>
      <c r="I730" s="19"/>
      <c r="J730" s="17">
        <v>173742.07</v>
      </c>
    </row>
    <row r="731" spans="1:10" x14ac:dyDescent="0.25">
      <c r="A731" s="16" t="s">
        <v>1182</v>
      </c>
      <c r="B731" s="16" t="s">
        <v>1265</v>
      </c>
      <c r="C731" s="16"/>
      <c r="D731" s="19"/>
      <c r="E731" s="19"/>
      <c r="F731" s="17">
        <v>46462.98</v>
      </c>
      <c r="G731" s="19"/>
      <c r="H731" s="19"/>
      <c r="I731" s="19"/>
      <c r="J731" s="19"/>
    </row>
    <row r="732" spans="1:10" x14ac:dyDescent="0.25">
      <c r="A732" s="16" t="s">
        <v>1182</v>
      </c>
      <c r="B732" s="16" t="s">
        <v>443</v>
      </c>
      <c r="C732" s="16"/>
      <c r="D732" s="19"/>
      <c r="E732" s="19"/>
      <c r="F732" s="17">
        <v>436992.2</v>
      </c>
      <c r="G732" s="19"/>
      <c r="H732" s="19"/>
      <c r="I732" s="17">
        <v>351738.86</v>
      </c>
      <c r="J732" s="19"/>
    </row>
    <row r="733" spans="1:10" x14ac:dyDescent="0.25">
      <c r="A733" s="16" t="s">
        <v>1182</v>
      </c>
      <c r="B733" s="16" t="s">
        <v>444</v>
      </c>
      <c r="C733" s="16"/>
      <c r="D733" s="17">
        <v>116732.7</v>
      </c>
      <c r="E733" s="19"/>
      <c r="F733" s="17">
        <v>108922.38</v>
      </c>
      <c r="G733" s="19"/>
      <c r="H733" s="19"/>
      <c r="I733" s="19"/>
      <c r="J733" s="17">
        <v>190318.43</v>
      </c>
    </row>
    <row r="734" spans="1:10" x14ac:dyDescent="0.25">
      <c r="A734" s="16" t="s">
        <v>1182</v>
      </c>
      <c r="B734" s="16" t="s">
        <v>1365</v>
      </c>
      <c r="C734" s="16"/>
      <c r="D734" s="19"/>
      <c r="E734" s="19"/>
      <c r="F734" s="19"/>
      <c r="G734" s="19"/>
      <c r="H734" s="17">
        <v>274169.83</v>
      </c>
      <c r="I734" s="19"/>
      <c r="J734" s="19"/>
    </row>
    <row r="735" spans="1:10" x14ac:dyDescent="0.25">
      <c r="A735" s="16" t="s">
        <v>1182</v>
      </c>
      <c r="B735" s="16" t="s">
        <v>1316</v>
      </c>
      <c r="C735" s="16"/>
      <c r="D735" s="19"/>
      <c r="E735" s="19"/>
      <c r="F735" s="19"/>
      <c r="G735" s="17">
        <v>10272.709999999999</v>
      </c>
      <c r="H735" s="19"/>
      <c r="I735" s="19"/>
      <c r="J735" s="19"/>
    </row>
    <row r="736" spans="1:10" x14ac:dyDescent="0.25">
      <c r="A736" s="16" t="s">
        <v>1182</v>
      </c>
      <c r="B736" s="16" t="s">
        <v>1366</v>
      </c>
      <c r="C736" s="16"/>
      <c r="D736" s="19"/>
      <c r="E736" s="19"/>
      <c r="F736" s="19"/>
      <c r="G736" s="19"/>
      <c r="H736" s="17">
        <v>376140.85</v>
      </c>
      <c r="I736" s="19"/>
      <c r="J736" s="19"/>
    </row>
    <row r="737" spans="1:10" x14ac:dyDescent="0.25">
      <c r="A737" s="16" t="s">
        <v>1182</v>
      </c>
      <c r="B737" s="16" t="s">
        <v>1317</v>
      </c>
      <c r="C737" s="16"/>
      <c r="D737" s="19"/>
      <c r="E737" s="19"/>
      <c r="F737" s="19"/>
      <c r="G737" s="17">
        <v>39209.78</v>
      </c>
      <c r="H737" s="17">
        <v>44239.11</v>
      </c>
      <c r="I737" s="19"/>
      <c r="J737" s="19"/>
    </row>
    <row r="738" spans="1:10" x14ac:dyDescent="0.25">
      <c r="A738" s="16" t="s">
        <v>1182</v>
      </c>
      <c r="B738" s="16" t="s">
        <v>1016</v>
      </c>
      <c r="C738" s="16" t="s">
        <v>436</v>
      </c>
      <c r="D738" s="19"/>
      <c r="E738" s="17">
        <v>43748.34</v>
      </c>
      <c r="F738" s="17">
        <v>39487</v>
      </c>
      <c r="G738" s="17">
        <v>22545.78</v>
      </c>
      <c r="H738" s="19"/>
      <c r="I738" s="19"/>
      <c r="J738" s="19"/>
    </row>
    <row r="739" spans="1:10" x14ac:dyDescent="0.25">
      <c r="A739" s="16" t="s">
        <v>1182</v>
      </c>
      <c r="B739" s="16" t="s">
        <v>1440</v>
      </c>
      <c r="C739" s="16"/>
      <c r="D739" s="19"/>
      <c r="E739" s="19"/>
      <c r="F739" s="19"/>
      <c r="G739" s="19"/>
      <c r="H739" s="19"/>
      <c r="I739" s="17">
        <v>162514.63</v>
      </c>
      <c r="J739" s="17">
        <v>289605.59999999998</v>
      </c>
    </row>
    <row r="740" spans="1:10" x14ac:dyDescent="0.25">
      <c r="A740" s="16" t="s">
        <v>1182</v>
      </c>
      <c r="B740" s="16" t="s">
        <v>445</v>
      </c>
      <c r="C740" s="16"/>
      <c r="D740" s="19"/>
      <c r="E740" s="19"/>
      <c r="F740" s="17">
        <v>253079.88</v>
      </c>
      <c r="G740" s="19"/>
      <c r="H740" s="19"/>
      <c r="I740" s="17">
        <v>174656.2</v>
      </c>
      <c r="J740" s="17">
        <v>179361.73</v>
      </c>
    </row>
    <row r="741" spans="1:10" x14ac:dyDescent="0.25">
      <c r="A741" s="16" t="s">
        <v>1182</v>
      </c>
      <c r="B741" s="16" t="s">
        <v>807</v>
      </c>
      <c r="C741" s="16"/>
      <c r="D741" s="19"/>
      <c r="E741" s="19"/>
      <c r="F741" s="19"/>
      <c r="G741" s="17">
        <v>80337.19</v>
      </c>
      <c r="H741" s="19"/>
      <c r="I741" s="17">
        <v>157414.67000000001</v>
      </c>
      <c r="J741" s="17">
        <v>162193.07</v>
      </c>
    </row>
    <row r="742" spans="1:10" x14ac:dyDescent="0.25">
      <c r="A742" s="16" t="s">
        <v>1182</v>
      </c>
      <c r="B742" s="16" t="s">
        <v>1525</v>
      </c>
      <c r="C742" s="16" t="s">
        <v>1537</v>
      </c>
      <c r="D742" s="19"/>
      <c r="E742" s="19"/>
      <c r="F742" s="19"/>
      <c r="G742" s="19"/>
      <c r="H742" s="19"/>
      <c r="I742" s="19"/>
      <c r="J742" s="17">
        <v>54953.98</v>
      </c>
    </row>
    <row r="743" spans="1:10" x14ac:dyDescent="0.25">
      <c r="A743" s="16" t="s">
        <v>1182</v>
      </c>
      <c r="B743" s="21" t="s">
        <v>1477</v>
      </c>
      <c r="C743" s="16"/>
      <c r="D743" s="19"/>
      <c r="E743" s="19"/>
      <c r="F743" s="19"/>
      <c r="G743" s="19"/>
      <c r="H743" s="19"/>
      <c r="I743" s="19"/>
      <c r="J743" s="17">
        <v>290530.62</v>
      </c>
    </row>
    <row r="744" spans="1:10" x14ac:dyDescent="0.25">
      <c r="A744" s="16" t="s">
        <v>1182</v>
      </c>
      <c r="B744" s="16" t="s">
        <v>1020</v>
      </c>
      <c r="C744" s="16"/>
      <c r="D744" s="17">
        <v>125686.74</v>
      </c>
      <c r="E744" s="19"/>
      <c r="F744" s="19"/>
      <c r="G744" s="19"/>
      <c r="H744" s="19"/>
      <c r="I744" s="19"/>
      <c r="J744" s="17">
        <v>59804.75</v>
      </c>
    </row>
    <row r="745" spans="1:10" x14ac:dyDescent="0.25">
      <c r="A745" s="16" t="s">
        <v>1182</v>
      </c>
      <c r="B745" s="16" t="s">
        <v>446</v>
      </c>
      <c r="C745" s="16"/>
      <c r="D745" s="19"/>
      <c r="E745" s="19"/>
      <c r="F745" s="17">
        <v>59910.57</v>
      </c>
      <c r="G745" s="19"/>
      <c r="H745" s="19"/>
      <c r="I745" s="19"/>
      <c r="J745" s="17">
        <v>33577.03</v>
      </c>
    </row>
    <row r="746" spans="1:10" x14ac:dyDescent="0.25">
      <c r="A746" s="16" t="s">
        <v>1182</v>
      </c>
      <c r="B746" s="16" t="s">
        <v>1189</v>
      </c>
      <c r="C746" s="16"/>
      <c r="D746" s="17">
        <v>23068.34</v>
      </c>
      <c r="E746" s="19"/>
      <c r="F746" s="19"/>
      <c r="G746" s="19"/>
      <c r="H746" s="19"/>
      <c r="I746" s="19"/>
      <c r="J746" s="19"/>
    </row>
    <row r="747" spans="1:10" x14ac:dyDescent="0.25">
      <c r="A747" s="16" t="s">
        <v>1182</v>
      </c>
      <c r="B747" s="16" t="s">
        <v>1190</v>
      </c>
      <c r="C747" s="16" t="s">
        <v>438</v>
      </c>
      <c r="D747" s="19"/>
      <c r="E747" s="17">
        <v>70099.679999999993</v>
      </c>
      <c r="F747" s="17">
        <v>61372.56</v>
      </c>
      <c r="G747" s="17">
        <v>35530.71</v>
      </c>
      <c r="H747" s="17">
        <v>37943.629999999997</v>
      </c>
      <c r="I747" s="17">
        <v>45755.38</v>
      </c>
      <c r="J747" s="19"/>
    </row>
    <row r="748" spans="1:10" x14ac:dyDescent="0.25">
      <c r="A748" s="16" t="s">
        <v>1182</v>
      </c>
      <c r="B748" s="16" t="s">
        <v>1191</v>
      </c>
      <c r="C748" s="16"/>
      <c r="D748" s="19"/>
      <c r="E748" s="17">
        <v>6902.34</v>
      </c>
      <c r="F748" s="19"/>
      <c r="G748" s="19"/>
      <c r="H748" s="19"/>
      <c r="I748" s="19"/>
      <c r="J748" s="19"/>
    </row>
    <row r="749" spans="1:10" x14ac:dyDescent="0.25">
      <c r="A749" s="16" t="s">
        <v>1182</v>
      </c>
      <c r="B749" s="16" t="s">
        <v>1441</v>
      </c>
      <c r="C749" s="16"/>
      <c r="D749" s="19"/>
      <c r="E749" s="19"/>
      <c r="F749" s="19"/>
      <c r="G749" s="19"/>
      <c r="H749" s="19"/>
      <c r="I749" s="17">
        <v>91200.24</v>
      </c>
      <c r="J749" s="19"/>
    </row>
    <row r="750" spans="1:10" x14ac:dyDescent="0.25">
      <c r="A750" s="16" t="s">
        <v>1182</v>
      </c>
      <c r="B750" s="16" t="s">
        <v>412</v>
      </c>
      <c r="C750" s="16"/>
      <c r="D750" s="17">
        <v>165276.94</v>
      </c>
      <c r="E750" s="19"/>
      <c r="F750" s="19"/>
      <c r="G750" s="19"/>
      <c r="H750" s="19"/>
      <c r="I750" s="19"/>
      <c r="J750" s="19"/>
    </row>
    <row r="751" spans="1:10" x14ac:dyDescent="0.25">
      <c r="A751" s="16" t="s">
        <v>1182</v>
      </c>
      <c r="B751" s="16" t="s">
        <v>811</v>
      </c>
      <c r="C751" s="16"/>
      <c r="D751" s="19"/>
      <c r="E751" s="19"/>
      <c r="F751" s="19"/>
      <c r="G751" s="19"/>
      <c r="H751" s="19"/>
      <c r="I751" s="17">
        <v>171093</v>
      </c>
      <c r="J751" s="19"/>
    </row>
    <row r="752" spans="1:10" x14ac:dyDescent="0.25">
      <c r="A752" s="16" t="s">
        <v>1182</v>
      </c>
      <c r="B752" s="21" t="s">
        <v>1487</v>
      </c>
      <c r="C752" s="16"/>
      <c r="D752" s="19"/>
      <c r="E752" s="19"/>
      <c r="F752" s="19"/>
      <c r="G752" s="19"/>
      <c r="H752" s="19"/>
      <c r="I752" s="19"/>
      <c r="J752" s="17">
        <v>101052.38</v>
      </c>
    </row>
    <row r="753" spans="1:10" x14ac:dyDescent="0.25">
      <c r="A753" s="16" t="s">
        <v>1182</v>
      </c>
      <c r="B753" s="16" t="s">
        <v>1266</v>
      </c>
      <c r="C753" s="16"/>
      <c r="D753" s="19"/>
      <c r="E753" s="19"/>
      <c r="F753" s="17">
        <v>16450.2</v>
      </c>
      <c r="G753" s="19"/>
      <c r="H753" s="17">
        <v>27790.58</v>
      </c>
      <c r="I753" s="19"/>
      <c r="J753" s="17">
        <v>35862.269999999997</v>
      </c>
    </row>
    <row r="754" spans="1:10" x14ac:dyDescent="0.25">
      <c r="A754" s="16" t="s">
        <v>1182</v>
      </c>
      <c r="B754" s="16" t="s">
        <v>447</v>
      </c>
      <c r="C754" s="16"/>
      <c r="D754" s="19"/>
      <c r="E754" s="17">
        <v>31058.11</v>
      </c>
      <c r="F754" s="17">
        <v>25762.35</v>
      </c>
      <c r="G754" s="19"/>
      <c r="H754" s="17">
        <v>32668.66</v>
      </c>
      <c r="I754" s="17">
        <v>102590.72</v>
      </c>
      <c r="J754" s="17">
        <v>85116.25</v>
      </c>
    </row>
    <row r="755" spans="1:10" x14ac:dyDescent="0.25">
      <c r="A755" s="16" t="s">
        <v>1182</v>
      </c>
      <c r="B755" s="16" t="s">
        <v>1040</v>
      </c>
      <c r="C755" s="16"/>
      <c r="D755" s="19"/>
      <c r="E755" s="19"/>
      <c r="F755" s="17">
        <v>49430.21</v>
      </c>
      <c r="G755" s="19"/>
      <c r="H755" s="17">
        <v>30388.7</v>
      </c>
      <c r="I755" s="17">
        <v>30855.759999999998</v>
      </c>
      <c r="J755" s="19"/>
    </row>
    <row r="756" spans="1:10" x14ac:dyDescent="0.25">
      <c r="A756" s="16" t="s">
        <v>1182</v>
      </c>
      <c r="B756" s="16" t="s">
        <v>1042</v>
      </c>
      <c r="C756" s="16"/>
      <c r="D756" s="17">
        <v>1527.6</v>
      </c>
      <c r="E756" s="19"/>
      <c r="F756" s="19"/>
      <c r="G756" s="19"/>
      <c r="H756" s="19"/>
      <c r="I756" s="19"/>
      <c r="J756" s="19"/>
    </row>
    <row r="757" spans="1:10" x14ac:dyDescent="0.25">
      <c r="A757" s="16" t="s">
        <v>1182</v>
      </c>
      <c r="B757" s="16" t="s">
        <v>448</v>
      </c>
      <c r="C757" s="16"/>
      <c r="D757" s="17">
        <v>17752.07</v>
      </c>
      <c r="E757" s="17">
        <v>41001.660000000003</v>
      </c>
      <c r="F757" s="19"/>
      <c r="G757" s="17">
        <v>33993.71</v>
      </c>
      <c r="H757" s="17">
        <v>47447.57</v>
      </c>
      <c r="I757" s="17">
        <v>56262.720000000001</v>
      </c>
      <c r="J757" s="17">
        <v>104090.35</v>
      </c>
    </row>
    <row r="758" spans="1:10" x14ac:dyDescent="0.25">
      <c r="A758" s="16" t="s">
        <v>1182</v>
      </c>
      <c r="B758" s="16" t="s">
        <v>1044</v>
      </c>
      <c r="C758" s="16"/>
      <c r="D758" s="17">
        <v>56719.35</v>
      </c>
      <c r="E758" s="17">
        <v>52361.39</v>
      </c>
      <c r="F758" s="19"/>
      <c r="G758" s="19"/>
      <c r="H758" s="19"/>
      <c r="I758" s="17">
        <v>194617.73</v>
      </c>
      <c r="J758" s="19"/>
    </row>
    <row r="759" spans="1:10" x14ac:dyDescent="0.25">
      <c r="A759" s="16" t="s">
        <v>1182</v>
      </c>
      <c r="B759" s="16" t="s">
        <v>1367</v>
      </c>
      <c r="C759" s="16"/>
      <c r="D759" s="19"/>
      <c r="E759" s="19"/>
      <c r="F759" s="19"/>
      <c r="G759" s="19"/>
      <c r="H759" s="17">
        <v>69476.539999999994</v>
      </c>
      <c r="I759" s="19"/>
      <c r="J759" s="19"/>
    </row>
    <row r="760" spans="1:10" x14ac:dyDescent="0.25">
      <c r="A760" s="16" t="s">
        <v>1182</v>
      </c>
      <c r="B760" s="16" t="s">
        <v>1526</v>
      </c>
      <c r="C760" s="16" t="s">
        <v>1185</v>
      </c>
      <c r="D760" s="19"/>
      <c r="E760" s="19"/>
      <c r="F760" s="19"/>
      <c r="G760" s="19"/>
      <c r="H760" s="19"/>
      <c r="I760" s="19"/>
      <c r="J760" s="18">
        <v>750.77</v>
      </c>
    </row>
    <row r="761" spans="1:10" x14ac:dyDescent="0.25">
      <c r="A761" s="16" t="s">
        <v>1182</v>
      </c>
      <c r="B761" s="16" t="s">
        <v>1442</v>
      </c>
      <c r="C761" s="16"/>
      <c r="D761" s="19"/>
      <c r="E761" s="19"/>
      <c r="F761" s="19"/>
      <c r="G761" s="19"/>
      <c r="H761" s="19"/>
      <c r="I761" s="17">
        <v>454278.04</v>
      </c>
      <c r="J761" s="19"/>
    </row>
    <row r="762" spans="1:10" x14ac:dyDescent="0.25">
      <c r="A762" s="16" t="s">
        <v>1182</v>
      </c>
      <c r="B762" s="16" t="s">
        <v>1048</v>
      </c>
      <c r="C762" s="16"/>
      <c r="D762" s="17">
        <v>30201.14</v>
      </c>
      <c r="E762" s="19"/>
      <c r="F762" s="19"/>
      <c r="G762" s="17">
        <v>147332.26</v>
      </c>
      <c r="H762" s="17">
        <v>177756.45</v>
      </c>
      <c r="I762" s="19"/>
      <c r="J762" s="19"/>
    </row>
    <row r="763" spans="1:10" x14ac:dyDescent="0.25">
      <c r="A763" s="16" t="s">
        <v>1182</v>
      </c>
      <c r="B763" s="16" t="s">
        <v>1443</v>
      </c>
      <c r="C763" s="16" t="s">
        <v>496</v>
      </c>
      <c r="D763" s="19"/>
      <c r="E763" s="19"/>
      <c r="F763" s="19"/>
      <c r="G763" s="19"/>
      <c r="H763" s="19"/>
      <c r="I763" s="17">
        <v>44922.5</v>
      </c>
      <c r="J763" s="17">
        <v>35502.639999999999</v>
      </c>
    </row>
    <row r="764" spans="1:10" x14ac:dyDescent="0.25">
      <c r="A764" s="16" t="s">
        <v>1192</v>
      </c>
      <c r="B764" s="16" t="s">
        <v>977</v>
      </c>
      <c r="C764" s="16" t="s">
        <v>449</v>
      </c>
      <c r="D764" s="17">
        <v>506859.47</v>
      </c>
      <c r="E764" s="17">
        <v>524737.97</v>
      </c>
      <c r="F764" s="17">
        <v>1570616.36</v>
      </c>
      <c r="G764" s="17">
        <v>2321084.64</v>
      </c>
      <c r="H764" s="17">
        <v>9370066.6699999999</v>
      </c>
      <c r="I764" s="17">
        <v>9618795.7699999996</v>
      </c>
      <c r="J764" s="17">
        <v>5963433.5199999996</v>
      </c>
    </row>
    <row r="765" spans="1:10" x14ac:dyDescent="0.25">
      <c r="A765" s="16" t="s">
        <v>1192</v>
      </c>
      <c r="B765" s="16" t="s">
        <v>451</v>
      </c>
      <c r="C765" s="16"/>
      <c r="D765" s="17">
        <v>263223.45</v>
      </c>
      <c r="E765" s="19"/>
      <c r="F765" s="19"/>
      <c r="G765" s="17">
        <v>171828.71</v>
      </c>
      <c r="H765" s="19"/>
      <c r="I765" s="17">
        <v>537325.56000000006</v>
      </c>
      <c r="J765" s="19"/>
    </row>
    <row r="766" spans="1:10" x14ac:dyDescent="0.25">
      <c r="A766" s="16" t="s">
        <v>1192</v>
      </c>
      <c r="B766" s="16" t="s">
        <v>1026</v>
      </c>
      <c r="C766" s="16" t="s">
        <v>1027</v>
      </c>
      <c r="D766" s="19"/>
      <c r="E766" s="19"/>
      <c r="F766" s="19"/>
      <c r="G766" s="17">
        <v>21459.72</v>
      </c>
      <c r="H766" s="17">
        <v>54900.03</v>
      </c>
      <c r="I766" s="17">
        <v>45988.33</v>
      </c>
      <c r="J766" s="17">
        <v>36869.24</v>
      </c>
    </row>
    <row r="767" spans="1:10" x14ac:dyDescent="0.25">
      <c r="A767" s="16" t="s">
        <v>1192</v>
      </c>
      <c r="B767" s="16" t="s">
        <v>1034</v>
      </c>
      <c r="C767" s="16" t="s">
        <v>453</v>
      </c>
      <c r="D767" s="19"/>
      <c r="E767" s="17">
        <v>157533.17000000001</v>
      </c>
      <c r="F767" s="17">
        <v>613300.4</v>
      </c>
      <c r="G767" s="19"/>
      <c r="H767" s="17">
        <v>1207712.8500000001</v>
      </c>
      <c r="I767" s="17">
        <v>1193643.3700000001</v>
      </c>
      <c r="J767" s="17">
        <v>3249735.13</v>
      </c>
    </row>
    <row r="768" spans="1:10" x14ac:dyDescent="0.25">
      <c r="A768" s="16" t="s">
        <v>1192</v>
      </c>
      <c r="B768" s="16" t="s">
        <v>452</v>
      </c>
      <c r="C768" s="16"/>
      <c r="D768" s="17">
        <v>2642166.54</v>
      </c>
      <c r="E768" s="19"/>
      <c r="F768" s="19"/>
      <c r="G768" s="17">
        <v>-1515.63</v>
      </c>
      <c r="H768" s="19"/>
      <c r="I768" s="17">
        <v>242682.17</v>
      </c>
      <c r="J768" s="17">
        <v>1263416.58</v>
      </c>
    </row>
    <row r="769" spans="1:10" x14ac:dyDescent="0.25">
      <c r="A769" s="16" t="s">
        <v>1192</v>
      </c>
      <c r="B769" s="16" t="s">
        <v>1041</v>
      </c>
      <c r="C769" s="16" t="s">
        <v>450</v>
      </c>
      <c r="D769" s="17">
        <v>2763496.6</v>
      </c>
      <c r="E769" s="17">
        <v>2391000.64</v>
      </c>
      <c r="F769" s="17">
        <v>4069736.4</v>
      </c>
      <c r="G769" s="17">
        <v>3694665.73</v>
      </c>
      <c r="H769" s="17">
        <v>5427881.1200000001</v>
      </c>
      <c r="I769" s="17">
        <v>7756107.9299999997</v>
      </c>
      <c r="J769" s="17">
        <v>6047696.2199999997</v>
      </c>
    </row>
    <row r="770" spans="1:10" x14ac:dyDescent="0.25">
      <c r="A770" s="16" t="s">
        <v>1192</v>
      </c>
      <c r="B770" s="16" t="s">
        <v>453</v>
      </c>
      <c r="C770" s="16"/>
      <c r="D770" s="17">
        <v>42117.51</v>
      </c>
      <c r="E770" s="17">
        <v>28383.83</v>
      </c>
      <c r="F770" s="17">
        <v>7750.07</v>
      </c>
      <c r="G770" s="17">
        <v>86979.43</v>
      </c>
      <c r="H770" s="17">
        <v>10381.89</v>
      </c>
      <c r="I770" s="17">
        <v>306657.95</v>
      </c>
      <c r="J770" s="17">
        <v>131799.85999999999</v>
      </c>
    </row>
    <row r="771" spans="1:10" x14ac:dyDescent="0.25">
      <c r="A771" s="16" t="s">
        <v>1193</v>
      </c>
      <c r="B771" s="16" t="s">
        <v>973</v>
      </c>
      <c r="C771" s="16" t="s">
        <v>974</v>
      </c>
      <c r="D771" s="17">
        <v>480823.96</v>
      </c>
      <c r="E771" s="19"/>
      <c r="F771" s="19"/>
      <c r="G771" s="17">
        <v>78403.14</v>
      </c>
      <c r="H771" s="19"/>
      <c r="I771" s="19"/>
      <c r="J771" s="19"/>
    </row>
    <row r="772" spans="1:10" x14ac:dyDescent="0.25">
      <c r="A772" s="16" t="s">
        <v>1193</v>
      </c>
      <c r="B772" s="16" t="s">
        <v>454</v>
      </c>
      <c r="C772" s="16"/>
      <c r="D772" s="19"/>
      <c r="E772" s="19"/>
      <c r="F772" s="17">
        <v>252974.34</v>
      </c>
      <c r="G772" s="17">
        <v>183087.01</v>
      </c>
      <c r="H772" s="17">
        <v>86732.73</v>
      </c>
      <c r="I772" s="17">
        <v>394919.67999999999</v>
      </c>
      <c r="J772" s="17">
        <v>60327.06</v>
      </c>
    </row>
    <row r="773" spans="1:10" x14ac:dyDescent="0.25">
      <c r="A773" s="16" t="s">
        <v>1193</v>
      </c>
      <c r="B773" s="16" t="s">
        <v>976</v>
      </c>
      <c r="C773" s="16" t="s">
        <v>494</v>
      </c>
      <c r="D773" s="17">
        <v>7167.82</v>
      </c>
      <c r="E773" s="19"/>
      <c r="F773" s="19"/>
      <c r="G773" s="19"/>
      <c r="H773" s="19"/>
      <c r="I773" s="19"/>
      <c r="J773" s="19"/>
    </row>
    <row r="774" spans="1:10" x14ac:dyDescent="0.25">
      <c r="A774" s="16" t="s">
        <v>1193</v>
      </c>
      <c r="B774" s="16" t="s">
        <v>455</v>
      </c>
      <c r="C774" s="16"/>
      <c r="D774" s="17">
        <v>85513.77</v>
      </c>
      <c r="E774" s="17">
        <v>22836.01</v>
      </c>
      <c r="F774" s="17">
        <v>67580.2</v>
      </c>
      <c r="G774" s="19"/>
      <c r="H774" s="19"/>
      <c r="I774" s="19"/>
      <c r="J774" s="17">
        <v>108266.67</v>
      </c>
    </row>
    <row r="775" spans="1:10" x14ac:dyDescent="0.25">
      <c r="A775" s="16" t="s">
        <v>1193</v>
      </c>
      <c r="B775" s="16" t="s">
        <v>978</v>
      </c>
      <c r="C775" s="16" t="s">
        <v>486</v>
      </c>
      <c r="D775" s="17">
        <v>38729.230000000003</v>
      </c>
      <c r="E775" s="17">
        <v>20648.98</v>
      </c>
      <c r="F775" s="19"/>
      <c r="G775" s="19"/>
      <c r="H775" s="19"/>
      <c r="I775" s="19"/>
      <c r="J775" s="19"/>
    </row>
    <row r="776" spans="1:10" x14ac:dyDescent="0.25">
      <c r="A776" s="16" t="s">
        <v>1193</v>
      </c>
      <c r="B776" s="16" t="s">
        <v>456</v>
      </c>
      <c r="C776" s="16"/>
      <c r="D776" s="17">
        <v>131128.32000000001</v>
      </c>
      <c r="E776" s="17">
        <v>59851.7</v>
      </c>
      <c r="F776" s="19"/>
      <c r="G776" s="17">
        <v>31802.17</v>
      </c>
      <c r="H776" s="19"/>
      <c r="I776" s="19"/>
      <c r="J776" s="19"/>
    </row>
    <row r="777" spans="1:10" x14ac:dyDescent="0.25">
      <c r="A777" s="16" t="s">
        <v>1193</v>
      </c>
      <c r="B777" s="16" t="s">
        <v>979</v>
      </c>
      <c r="C777" s="16" t="s">
        <v>463</v>
      </c>
      <c r="D777" s="17">
        <v>233177.66</v>
      </c>
      <c r="E777" s="17">
        <v>554276.97</v>
      </c>
      <c r="F777" s="17">
        <v>376001.7</v>
      </c>
      <c r="G777" s="17">
        <v>335009.38</v>
      </c>
      <c r="H777" s="17">
        <v>503085.28</v>
      </c>
      <c r="I777" s="17">
        <v>751543.42</v>
      </c>
      <c r="J777" s="17">
        <v>689091.94</v>
      </c>
    </row>
    <row r="778" spans="1:10" x14ac:dyDescent="0.25">
      <c r="A778" s="16" t="s">
        <v>1193</v>
      </c>
      <c r="B778" s="16" t="s">
        <v>980</v>
      </c>
      <c r="C778" s="16" t="s">
        <v>457</v>
      </c>
      <c r="D778" s="19"/>
      <c r="E778" s="19"/>
      <c r="F778" s="17">
        <v>13121</v>
      </c>
      <c r="G778" s="19"/>
      <c r="H778" s="19"/>
      <c r="I778" s="19"/>
      <c r="J778" s="17">
        <v>5059.7</v>
      </c>
    </row>
    <row r="779" spans="1:10" x14ac:dyDescent="0.25">
      <c r="A779" s="16" t="s">
        <v>1193</v>
      </c>
      <c r="B779" s="16" t="s">
        <v>981</v>
      </c>
      <c r="C779" s="16" t="s">
        <v>459</v>
      </c>
      <c r="D779" s="19"/>
      <c r="E779" s="19"/>
      <c r="F779" s="17">
        <v>51209.05</v>
      </c>
      <c r="G779" s="19"/>
      <c r="H779" s="19"/>
      <c r="I779" s="17">
        <v>51663.35</v>
      </c>
      <c r="J779" s="19"/>
    </row>
    <row r="780" spans="1:10" x14ac:dyDescent="0.25">
      <c r="A780" s="16" t="s">
        <v>1193</v>
      </c>
      <c r="B780" s="16" t="s">
        <v>982</v>
      </c>
      <c r="C780" s="16"/>
      <c r="D780" s="19"/>
      <c r="E780" s="19"/>
      <c r="F780" s="19"/>
      <c r="G780" s="19"/>
      <c r="H780" s="17">
        <v>48005.54</v>
      </c>
      <c r="I780" s="19"/>
      <c r="J780" s="19"/>
    </row>
    <row r="781" spans="1:10" x14ac:dyDescent="0.25">
      <c r="A781" s="16" t="s">
        <v>1193</v>
      </c>
      <c r="B781" s="16" t="s">
        <v>458</v>
      </c>
      <c r="C781" s="16"/>
      <c r="D781" s="17">
        <v>100906.68</v>
      </c>
      <c r="E781" s="17">
        <v>141277.82</v>
      </c>
      <c r="F781" s="17">
        <v>201405.58</v>
      </c>
      <c r="G781" s="17">
        <v>63414.7</v>
      </c>
      <c r="H781" s="17">
        <v>103997.82</v>
      </c>
      <c r="I781" s="17">
        <v>202222.02</v>
      </c>
      <c r="J781" s="19"/>
    </row>
    <row r="782" spans="1:10" x14ac:dyDescent="0.25">
      <c r="A782" s="16" t="s">
        <v>1193</v>
      </c>
      <c r="B782" s="16" t="s">
        <v>459</v>
      </c>
      <c r="C782" s="16"/>
      <c r="D782" s="17">
        <v>35045.050000000003</v>
      </c>
      <c r="E782" s="19"/>
      <c r="F782" s="17">
        <v>172363.16</v>
      </c>
      <c r="G782" s="17">
        <v>101808.25</v>
      </c>
      <c r="H782" s="17">
        <v>311256.39</v>
      </c>
      <c r="I782" s="17">
        <v>237424.65</v>
      </c>
      <c r="J782" s="17">
        <v>24872.81</v>
      </c>
    </row>
    <row r="783" spans="1:10" x14ac:dyDescent="0.25">
      <c r="A783" s="16" t="s">
        <v>1193</v>
      </c>
      <c r="B783" s="16" t="s">
        <v>461</v>
      </c>
      <c r="C783" s="16"/>
      <c r="D783" s="17">
        <v>13729.53</v>
      </c>
      <c r="E783" s="17">
        <v>59605.52</v>
      </c>
      <c r="F783" s="19"/>
      <c r="G783" s="19"/>
      <c r="H783" s="19"/>
      <c r="I783" s="19"/>
      <c r="J783" s="19"/>
    </row>
    <row r="784" spans="1:10" x14ac:dyDescent="0.25">
      <c r="A784" s="16" t="s">
        <v>1193</v>
      </c>
      <c r="B784" s="16" t="s">
        <v>1527</v>
      </c>
      <c r="C784" s="16" t="s">
        <v>458</v>
      </c>
      <c r="D784" s="19"/>
      <c r="E784" s="19"/>
      <c r="F784" s="19"/>
      <c r="G784" s="19"/>
      <c r="H784" s="19"/>
      <c r="I784" s="19"/>
      <c r="J784" s="17">
        <v>131567.54999999999</v>
      </c>
    </row>
    <row r="785" spans="1:10" x14ac:dyDescent="0.25">
      <c r="A785" s="16" t="s">
        <v>1193</v>
      </c>
      <c r="B785" s="16" t="s">
        <v>462</v>
      </c>
      <c r="C785" s="16"/>
      <c r="D785" s="17">
        <v>348626.78</v>
      </c>
      <c r="E785" s="17">
        <v>112917.62</v>
      </c>
      <c r="F785" s="17">
        <v>133961.01</v>
      </c>
      <c r="G785" s="19"/>
      <c r="H785" s="19"/>
      <c r="I785" s="17">
        <v>1081349.98</v>
      </c>
      <c r="J785" s="17">
        <v>259552.94</v>
      </c>
    </row>
    <row r="786" spans="1:10" x14ac:dyDescent="0.25">
      <c r="A786" s="16" t="s">
        <v>1193</v>
      </c>
      <c r="B786" s="16" t="s">
        <v>464</v>
      </c>
      <c r="C786" s="16"/>
      <c r="D786" s="17">
        <v>49496.65</v>
      </c>
      <c r="E786" s="17">
        <v>42947.34</v>
      </c>
      <c r="F786" s="17">
        <v>25345.26</v>
      </c>
      <c r="G786" s="19"/>
      <c r="H786" s="19"/>
      <c r="I786" s="19"/>
      <c r="J786" s="19"/>
    </row>
    <row r="787" spans="1:10" x14ac:dyDescent="0.25">
      <c r="A787" s="16" t="s">
        <v>1193</v>
      </c>
      <c r="B787" s="16" t="s">
        <v>465</v>
      </c>
      <c r="C787" s="16"/>
      <c r="D787" s="19"/>
      <c r="E787" s="17">
        <v>40511.42</v>
      </c>
      <c r="F787" s="17">
        <v>141242.6</v>
      </c>
      <c r="G787" s="17">
        <v>27872.29</v>
      </c>
      <c r="H787" s="17">
        <v>222338.19</v>
      </c>
      <c r="I787" s="17">
        <v>179699.18</v>
      </c>
      <c r="J787" s="17">
        <v>107610.51</v>
      </c>
    </row>
    <row r="788" spans="1:10" x14ac:dyDescent="0.25">
      <c r="A788" s="16" t="s">
        <v>1193</v>
      </c>
      <c r="B788" s="16" t="s">
        <v>998</v>
      </c>
      <c r="C788" s="16" t="s">
        <v>488</v>
      </c>
      <c r="D788" s="17">
        <v>828847.33</v>
      </c>
      <c r="E788" s="17">
        <v>419661.31</v>
      </c>
      <c r="F788" s="17">
        <v>1122898.4099999999</v>
      </c>
      <c r="G788" s="17">
        <v>1606459.43</v>
      </c>
      <c r="H788" s="17">
        <v>3277998.33</v>
      </c>
      <c r="I788" s="17">
        <v>1341471.8899999999</v>
      </c>
      <c r="J788" s="17">
        <v>1165053.3799999999</v>
      </c>
    </row>
    <row r="789" spans="1:10" x14ac:dyDescent="0.25">
      <c r="A789" s="16" t="s">
        <v>1193</v>
      </c>
      <c r="B789" s="16" t="s">
        <v>999</v>
      </c>
      <c r="C789" s="16" t="s">
        <v>466</v>
      </c>
      <c r="D789" s="17">
        <v>18694</v>
      </c>
      <c r="E789" s="19"/>
      <c r="F789" s="17">
        <v>22873.5</v>
      </c>
      <c r="G789" s="19"/>
      <c r="H789" s="17">
        <v>70717.52</v>
      </c>
      <c r="I789" s="17">
        <v>35635.47</v>
      </c>
      <c r="J789" s="17">
        <v>1392.56</v>
      </c>
    </row>
    <row r="790" spans="1:10" x14ac:dyDescent="0.25">
      <c r="A790" s="16" t="s">
        <v>1193</v>
      </c>
      <c r="B790" s="16" t="s">
        <v>467</v>
      </c>
      <c r="C790" s="16"/>
      <c r="D790" s="17">
        <v>155721.12</v>
      </c>
      <c r="E790" s="17">
        <v>237117.11</v>
      </c>
      <c r="F790" s="17">
        <v>220066.41</v>
      </c>
      <c r="G790" s="17">
        <v>252574.18</v>
      </c>
      <c r="H790" s="17">
        <v>1085088.56</v>
      </c>
      <c r="I790" s="17">
        <v>243900.76</v>
      </c>
      <c r="J790" s="17">
        <v>222807.79</v>
      </c>
    </row>
    <row r="791" spans="1:10" x14ac:dyDescent="0.25">
      <c r="A791" s="16" t="s">
        <v>1193</v>
      </c>
      <c r="B791" s="16" t="s">
        <v>1003</v>
      </c>
      <c r="C791" s="16"/>
      <c r="D791" s="19"/>
      <c r="E791" s="19"/>
      <c r="F791" s="17">
        <v>149228.06</v>
      </c>
      <c r="G791" s="17">
        <v>237751.7</v>
      </c>
      <c r="H791" s="17">
        <v>102209.98</v>
      </c>
      <c r="I791" s="17">
        <v>20820.79</v>
      </c>
      <c r="J791" s="19"/>
    </row>
    <row r="792" spans="1:10" x14ac:dyDescent="0.25">
      <c r="A792" s="16" t="s">
        <v>1193</v>
      </c>
      <c r="B792" s="16" t="s">
        <v>469</v>
      </c>
      <c r="C792" s="16"/>
      <c r="D792" s="19"/>
      <c r="E792" s="19"/>
      <c r="F792" s="17">
        <v>31669.88</v>
      </c>
      <c r="G792" s="19"/>
      <c r="H792" s="19"/>
      <c r="I792" s="17">
        <v>116554.91</v>
      </c>
      <c r="J792" s="17">
        <v>32931.019999999997</v>
      </c>
    </row>
    <row r="793" spans="1:10" x14ac:dyDescent="0.25">
      <c r="A793" s="16" t="s">
        <v>1193</v>
      </c>
      <c r="B793" s="16" t="s">
        <v>470</v>
      </c>
      <c r="C793" s="16"/>
      <c r="D793" s="19"/>
      <c r="E793" s="19"/>
      <c r="F793" s="19"/>
      <c r="G793" s="17">
        <v>39528.379999999997</v>
      </c>
      <c r="H793" s="19"/>
      <c r="I793" s="17">
        <v>33004.199999999997</v>
      </c>
      <c r="J793" s="19"/>
    </row>
    <row r="794" spans="1:10" x14ac:dyDescent="0.25">
      <c r="A794" s="16" t="s">
        <v>1193</v>
      </c>
      <c r="B794" s="16" t="s">
        <v>471</v>
      </c>
      <c r="C794" s="16"/>
      <c r="D794" s="17">
        <v>581599.32999999996</v>
      </c>
      <c r="E794" s="17">
        <v>714397.16</v>
      </c>
      <c r="F794" s="19"/>
      <c r="G794" s="17">
        <v>933448.59</v>
      </c>
      <c r="H794" s="17">
        <v>885249.28</v>
      </c>
      <c r="I794" s="17">
        <v>1357825.94</v>
      </c>
      <c r="J794" s="19"/>
    </row>
    <row r="795" spans="1:10" x14ac:dyDescent="0.25">
      <c r="A795" s="16" t="s">
        <v>1193</v>
      </c>
      <c r="B795" s="16" t="s">
        <v>1007</v>
      </c>
      <c r="C795" s="16" t="s">
        <v>472</v>
      </c>
      <c r="D795" s="17">
        <v>108417.89</v>
      </c>
      <c r="E795" s="19"/>
      <c r="F795" s="19"/>
      <c r="G795" s="19"/>
      <c r="H795" s="19"/>
      <c r="I795" s="19"/>
      <c r="J795" s="19"/>
    </row>
    <row r="796" spans="1:10" x14ac:dyDescent="0.25">
      <c r="A796" s="16" t="s">
        <v>1193</v>
      </c>
      <c r="B796" s="16" t="s">
        <v>472</v>
      </c>
      <c r="C796" s="16"/>
      <c r="D796" s="19"/>
      <c r="E796" s="17">
        <v>10201.1</v>
      </c>
      <c r="F796" s="19"/>
      <c r="G796" s="19"/>
      <c r="H796" s="19"/>
      <c r="I796" s="19"/>
      <c r="J796" s="19"/>
    </row>
    <row r="797" spans="1:10" x14ac:dyDescent="0.25">
      <c r="A797" s="16" t="s">
        <v>1193</v>
      </c>
      <c r="B797" s="16" t="s">
        <v>473</v>
      </c>
      <c r="C797" s="16"/>
      <c r="D797" s="19"/>
      <c r="E797" s="19"/>
      <c r="F797" s="19"/>
      <c r="G797" s="17">
        <v>24857.79</v>
      </c>
      <c r="H797" s="19"/>
      <c r="I797" s="17">
        <v>16049.33</v>
      </c>
      <c r="J797" s="19"/>
    </row>
    <row r="798" spans="1:10" x14ac:dyDescent="0.25">
      <c r="A798" s="16" t="s">
        <v>1193</v>
      </c>
      <c r="B798" s="16" t="s">
        <v>475</v>
      </c>
      <c r="C798" s="16" t="s">
        <v>456</v>
      </c>
      <c r="D798" s="17">
        <v>34739.480000000003</v>
      </c>
      <c r="E798" s="19"/>
      <c r="F798" s="17">
        <v>136287.53</v>
      </c>
      <c r="G798" s="19"/>
      <c r="H798" s="17">
        <v>146980.10999999999</v>
      </c>
      <c r="I798" s="17">
        <v>176296.45</v>
      </c>
      <c r="J798" s="17">
        <v>121877.68</v>
      </c>
    </row>
    <row r="799" spans="1:10" x14ac:dyDescent="0.25">
      <c r="A799" s="16" t="s">
        <v>1193</v>
      </c>
      <c r="B799" s="16" t="s">
        <v>476</v>
      </c>
      <c r="C799" s="16"/>
      <c r="D799" s="19"/>
      <c r="E799" s="19"/>
      <c r="F799" s="19"/>
      <c r="G799" s="17">
        <v>191906.47</v>
      </c>
      <c r="H799" s="19"/>
      <c r="I799" s="17">
        <v>210859.39</v>
      </c>
      <c r="J799" s="17">
        <v>172026.5</v>
      </c>
    </row>
    <row r="800" spans="1:10" x14ac:dyDescent="0.25">
      <c r="A800" s="16" t="s">
        <v>1193</v>
      </c>
      <c r="B800" s="16" t="s">
        <v>478</v>
      </c>
      <c r="C800" s="16"/>
      <c r="D800" s="17">
        <v>339631.21</v>
      </c>
      <c r="E800" s="17">
        <v>619173.56000000006</v>
      </c>
      <c r="F800" s="17">
        <v>608308.29</v>
      </c>
      <c r="G800" s="17">
        <v>749046.01</v>
      </c>
      <c r="H800" s="17">
        <v>1139557.53</v>
      </c>
      <c r="I800" s="17">
        <v>371302.26</v>
      </c>
      <c r="J800" s="17">
        <v>1121631.3</v>
      </c>
    </row>
    <row r="801" spans="1:10" x14ac:dyDescent="0.25">
      <c r="A801" s="16" t="s">
        <v>1193</v>
      </c>
      <c r="B801" s="16" t="s">
        <v>1015</v>
      </c>
      <c r="C801" s="16" t="s">
        <v>461</v>
      </c>
      <c r="D801" s="17">
        <v>24706.12</v>
      </c>
      <c r="E801" s="19"/>
      <c r="F801" s="19"/>
      <c r="G801" s="19"/>
      <c r="H801" s="19"/>
      <c r="I801" s="19"/>
      <c r="J801" s="19"/>
    </row>
    <row r="802" spans="1:10" x14ac:dyDescent="0.25">
      <c r="A802" s="16" t="s">
        <v>1193</v>
      </c>
      <c r="B802" s="16" t="s">
        <v>480</v>
      </c>
      <c r="C802" s="16"/>
      <c r="D802" s="17">
        <v>111295.91</v>
      </c>
      <c r="E802" s="19"/>
      <c r="F802" s="19"/>
      <c r="G802" s="17">
        <v>410478.36</v>
      </c>
      <c r="H802" s="19"/>
      <c r="I802" s="17">
        <v>307908.40999999997</v>
      </c>
      <c r="J802" s="19"/>
    </row>
    <row r="803" spans="1:10" x14ac:dyDescent="0.25">
      <c r="A803" s="16" t="s">
        <v>1193</v>
      </c>
      <c r="B803" s="16" t="s">
        <v>481</v>
      </c>
      <c r="C803" s="16"/>
      <c r="D803" s="17">
        <v>235409.33</v>
      </c>
      <c r="E803" s="17">
        <v>182569.95</v>
      </c>
      <c r="F803" s="19"/>
      <c r="G803" s="17">
        <v>178657.17</v>
      </c>
      <c r="H803" s="17">
        <v>138173.54</v>
      </c>
      <c r="I803" s="17">
        <v>379622.05</v>
      </c>
      <c r="J803" s="17">
        <v>117575.59</v>
      </c>
    </row>
    <row r="804" spans="1:10" x14ac:dyDescent="0.25">
      <c r="A804" s="16" t="s">
        <v>1193</v>
      </c>
      <c r="B804" s="16" t="s">
        <v>482</v>
      </c>
      <c r="C804" s="16"/>
      <c r="D804" s="19"/>
      <c r="E804" s="19"/>
      <c r="F804" s="17">
        <v>71874.12</v>
      </c>
      <c r="G804" s="19"/>
      <c r="H804" s="19"/>
      <c r="I804" s="19"/>
      <c r="J804" s="17">
        <v>126213.65</v>
      </c>
    </row>
    <row r="805" spans="1:10" x14ac:dyDescent="0.25">
      <c r="A805" s="16" t="s">
        <v>1193</v>
      </c>
      <c r="B805" s="16" t="s">
        <v>483</v>
      </c>
      <c r="C805" s="16"/>
      <c r="D805" s="19"/>
      <c r="E805" s="17">
        <v>37304.18</v>
      </c>
      <c r="F805" s="19"/>
      <c r="G805" s="19"/>
      <c r="H805" s="19"/>
      <c r="I805" s="19"/>
      <c r="J805" s="19"/>
    </row>
    <row r="806" spans="1:10" x14ac:dyDescent="0.25">
      <c r="A806" s="16" t="s">
        <v>1193</v>
      </c>
      <c r="B806" s="16" t="s">
        <v>1021</v>
      </c>
      <c r="C806" s="16" t="s">
        <v>1398</v>
      </c>
      <c r="D806" s="19"/>
      <c r="E806" s="19"/>
      <c r="F806" s="19"/>
      <c r="G806" s="17">
        <v>29290.99</v>
      </c>
      <c r="H806" s="19"/>
      <c r="I806" s="17">
        <v>43306.01</v>
      </c>
      <c r="J806" s="17">
        <v>33010.04</v>
      </c>
    </row>
    <row r="807" spans="1:10" x14ac:dyDescent="0.25">
      <c r="A807" s="16" t="s">
        <v>1193</v>
      </c>
      <c r="B807" s="16" t="s">
        <v>486</v>
      </c>
      <c r="C807" s="16"/>
      <c r="D807" s="19"/>
      <c r="E807" s="19"/>
      <c r="F807" s="19"/>
      <c r="G807" s="17">
        <v>131068</v>
      </c>
      <c r="H807" s="19"/>
      <c r="I807" s="19"/>
      <c r="J807" s="19"/>
    </row>
    <row r="808" spans="1:10" x14ac:dyDescent="0.25">
      <c r="A808" s="16" t="s">
        <v>1193</v>
      </c>
      <c r="B808" s="16" t="s">
        <v>485</v>
      </c>
      <c r="C808" s="16"/>
      <c r="D808" s="17">
        <v>373478.08</v>
      </c>
      <c r="E808" s="17">
        <v>161909.35</v>
      </c>
      <c r="F808" s="17">
        <v>217317.6</v>
      </c>
      <c r="G808" s="17">
        <v>365363.61</v>
      </c>
      <c r="H808" s="17">
        <v>198895.1</v>
      </c>
      <c r="I808" s="17">
        <v>256013.73</v>
      </c>
      <c r="J808" s="17">
        <v>305867.93</v>
      </c>
    </row>
    <row r="809" spans="1:10" x14ac:dyDescent="0.25">
      <c r="A809" s="16" t="s">
        <v>1193</v>
      </c>
      <c r="B809" s="16" t="s">
        <v>487</v>
      </c>
      <c r="C809" s="16"/>
      <c r="D809" s="19"/>
      <c r="E809" s="17">
        <v>161359.59</v>
      </c>
      <c r="F809" s="17">
        <v>159294.37</v>
      </c>
      <c r="G809" s="17">
        <v>164867.29999999999</v>
      </c>
      <c r="H809" s="17">
        <v>53112.56</v>
      </c>
      <c r="I809" s="19"/>
      <c r="J809" s="17">
        <v>167410.66</v>
      </c>
    </row>
    <row r="810" spans="1:10" x14ac:dyDescent="0.25">
      <c r="A810" s="16" t="s">
        <v>1193</v>
      </c>
      <c r="B810" s="16" t="s">
        <v>1028</v>
      </c>
      <c r="C810" s="16"/>
      <c r="D810" s="19"/>
      <c r="E810" s="19"/>
      <c r="F810" s="17">
        <v>3368.46</v>
      </c>
      <c r="G810" s="19"/>
      <c r="H810" s="19"/>
      <c r="I810" s="19"/>
      <c r="J810" s="19"/>
    </row>
    <row r="811" spans="1:10" x14ac:dyDescent="0.25">
      <c r="A811" s="16" t="s">
        <v>1193</v>
      </c>
      <c r="B811" s="16" t="s">
        <v>1033</v>
      </c>
      <c r="C811" s="16" t="s">
        <v>460</v>
      </c>
      <c r="D811" s="19"/>
      <c r="E811" s="19"/>
      <c r="F811" s="17">
        <v>45762.93</v>
      </c>
      <c r="G811" s="19"/>
      <c r="H811" s="17">
        <v>108896.06</v>
      </c>
      <c r="I811" s="17">
        <v>81376.17</v>
      </c>
      <c r="J811" s="17">
        <v>7267.03</v>
      </c>
    </row>
    <row r="812" spans="1:10" x14ac:dyDescent="0.25">
      <c r="A812" s="16" t="s">
        <v>1193</v>
      </c>
      <c r="B812" s="16" t="s">
        <v>489</v>
      </c>
      <c r="C812" s="16"/>
      <c r="D812" s="19"/>
      <c r="E812" s="19"/>
      <c r="F812" s="19"/>
      <c r="G812" s="17">
        <v>468830.42</v>
      </c>
      <c r="H812" s="19"/>
      <c r="I812" s="19"/>
      <c r="J812" s="19"/>
    </row>
    <row r="813" spans="1:10" x14ac:dyDescent="0.25">
      <c r="A813" s="16" t="s">
        <v>1193</v>
      </c>
      <c r="B813" s="16" t="s">
        <v>490</v>
      </c>
      <c r="C813" s="16"/>
      <c r="D813" s="17">
        <v>405053.82</v>
      </c>
      <c r="E813" s="17">
        <v>198871.3</v>
      </c>
      <c r="F813" s="17">
        <v>317529.63</v>
      </c>
      <c r="G813" s="17">
        <v>379031.94</v>
      </c>
      <c r="H813" s="17">
        <v>1523257.5</v>
      </c>
      <c r="I813" s="17">
        <v>1375716.41</v>
      </c>
      <c r="J813" s="17">
        <v>612715.06999999995</v>
      </c>
    </row>
    <row r="814" spans="1:10" x14ac:dyDescent="0.25">
      <c r="A814" s="16" t="s">
        <v>1193</v>
      </c>
      <c r="B814" s="16" t="s">
        <v>1194</v>
      </c>
      <c r="C814" s="16" t="s">
        <v>470</v>
      </c>
      <c r="D814" s="17">
        <v>49918.14</v>
      </c>
      <c r="E814" s="19"/>
      <c r="F814" s="19"/>
      <c r="G814" s="19"/>
      <c r="H814" s="17">
        <v>30053.22</v>
      </c>
      <c r="I814" s="19"/>
      <c r="J814" s="19"/>
    </row>
    <row r="815" spans="1:10" x14ac:dyDescent="0.25">
      <c r="A815" s="16" t="s">
        <v>1193</v>
      </c>
      <c r="B815" s="16" t="s">
        <v>491</v>
      </c>
      <c r="C815" s="16"/>
      <c r="D815" s="19"/>
      <c r="E815" s="19"/>
      <c r="F815" s="17">
        <v>97440.19</v>
      </c>
      <c r="G815" s="17">
        <v>30219.78</v>
      </c>
      <c r="H815" s="17">
        <v>144928.88</v>
      </c>
      <c r="I815" s="17">
        <v>125998.29</v>
      </c>
      <c r="J815" s="17">
        <v>60815.44</v>
      </c>
    </row>
    <row r="816" spans="1:10" x14ac:dyDescent="0.25">
      <c r="A816" s="16" t="s">
        <v>1193</v>
      </c>
      <c r="B816" s="16" t="s">
        <v>492</v>
      </c>
      <c r="C816" s="16"/>
      <c r="D816" s="19"/>
      <c r="E816" s="17">
        <v>129519.12</v>
      </c>
      <c r="F816" s="17">
        <v>180476.67</v>
      </c>
      <c r="G816" s="19"/>
      <c r="H816" s="17">
        <v>64627.01</v>
      </c>
      <c r="I816" s="19"/>
      <c r="J816" s="19"/>
    </row>
    <row r="817" spans="1:10" x14ac:dyDescent="0.25">
      <c r="A817" s="16" t="s">
        <v>1193</v>
      </c>
      <c r="B817" s="16" t="s">
        <v>1035</v>
      </c>
      <c r="C817" s="16" t="s">
        <v>473</v>
      </c>
      <c r="D817" s="17">
        <v>1472.23</v>
      </c>
      <c r="E817" s="19"/>
      <c r="F817" s="19"/>
      <c r="G817" s="19"/>
      <c r="H817" s="19"/>
      <c r="I817" s="17">
        <v>35706.46</v>
      </c>
      <c r="J817" s="19"/>
    </row>
    <row r="818" spans="1:10" x14ac:dyDescent="0.25">
      <c r="A818" s="16" t="s">
        <v>1193</v>
      </c>
      <c r="B818" s="16" t="s">
        <v>493</v>
      </c>
      <c r="C818" s="16"/>
      <c r="D818" s="19"/>
      <c r="E818" s="17">
        <v>91076.6</v>
      </c>
      <c r="F818" s="19"/>
      <c r="G818" s="17">
        <v>66909.679999999993</v>
      </c>
      <c r="H818" s="17">
        <v>56486.8</v>
      </c>
      <c r="I818" s="17">
        <v>92078.39</v>
      </c>
      <c r="J818" s="19"/>
    </row>
    <row r="819" spans="1:10" x14ac:dyDescent="0.25">
      <c r="A819" s="16" t="s">
        <v>1193</v>
      </c>
      <c r="B819" s="16" t="s">
        <v>1036</v>
      </c>
      <c r="C819" s="16" t="s">
        <v>477</v>
      </c>
      <c r="D819" s="19"/>
      <c r="E819" s="19"/>
      <c r="F819" s="17">
        <v>248177.17</v>
      </c>
      <c r="G819" s="19"/>
      <c r="H819" s="19"/>
      <c r="I819" s="17">
        <v>259455.26</v>
      </c>
      <c r="J819" s="19"/>
    </row>
    <row r="820" spans="1:10" x14ac:dyDescent="0.25">
      <c r="A820" s="16" t="s">
        <v>1193</v>
      </c>
      <c r="B820" s="16" t="s">
        <v>1038</v>
      </c>
      <c r="C820" s="16" t="s">
        <v>479</v>
      </c>
      <c r="D820" s="19"/>
      <c r="E820" s="17">
        <v>95234.23</v>
      </c>
      <c r="F820" s="19"/>
      <c r="G820" s="19"/>
      <c r="H820" s="17">
        <v>212842.5</v>
      </c>
      <c r="I820" s="19"/>
      <c r="J820" s="19"/>
    </row>
    <row r="821" spans="1:10" x14ac:dyDescent="0.25">
      <c r="A821" s="16" t="s">
        <v>1193</v>
      </c>
      <c r="B821" s="16" t="s">
        <v>1039</v>
      </c>
      <c r="C821" s="16" t="s">
        <v>474</v>
      </c>
      <c r="D821" s="17">
        <v>274165.34999999998</v>
      </c>
      <c r="E821" s="17">
        <v>733316.92</v>
      </c>
      <c r="F821" s="17">
        <v>1100043.1100000001</v>
      </c>
      <c r="G821" s="17">
        <v>790075.29</v>
      </c>
      <c r="H821" s="17">
        <v>2062476.74</v>
      </c>
      <c r="I821" s="17">
        <v>3398159.87</v>
      </c>
      <c r="J821" s="17">
        <v>3551454.02</v>
      </c>
    </row>
    <row r="822" spans="1:10" x14ac:dyDescent="0.25">
      <c r="A822" s="16" t="s">
        <v>1193</v>
      </c>
      <c r="B822" s="16" t="s">
        <v>495</v>
      </c>
      <c r="C822" s="16"/>
      <c r="D822" s="19"/>
      <c r="E822" s="17">
        <v>27656.22</v>
      </c>
      <c r="F822" s="19"/>
      <c r="G822" s="19"/>
      <c r="H822" s="17">
        <v>29912.95</v>
      </c>
      <c r="I822" s="17">
        <v>55189.599999999999</v>
      </c>
      <c r="J822" s="19"/>
    </row>
    <row r="823" spans="1:10" x14ac:dyDescent="0.25">
      <c r="A823" s="16" t="s">
        <v>1193</v>
      </c>
      <c r="B823" s="16" t="s">
        <v>1046</v>
      </c>
      <c r="C823" s="16" t="s">
        <v>1014</v>
      </c>
      <c r="D823" s="19"/>
      <c r="E823" s="19"/>
      <c r="F823" s="17">
        <v>2806.92</v>
      </c>
      <c r="G823" s="19"/>
      <c r="H823" s="19"/>
      <c r="I823" s="17">
        <v>11581.01</v>
      </c>
      <c r="J823" s="19"/>
    </row>
    <row r="824" spans="1:10" x14ac:dyDescent="0.25">
      <c r="A824" s="16" t="s">
        <v>1195</v>
      </c>
      <c r="B824" s="16" t="s">
        <v>497</v>
      </c>
      <c r="C824" s="16"/>
      <c r="D824" s="17">
        <v>14826.84</v>
      </c>
      <c r="E824" s="17">
        <v>4446.8100000000004</v>
      </c>
      <c r="F824" s="17">
        <v>26829.88</v>
      </c>
      <c r="G824" s="17">
        <v>10502.96</v>
      </c>
      <c r="H824" s="17">
        <v>44167.48</v>
      </c>
      <c r="I824" s="17">
        <v>9756.32</v>
      </c>
      <c r="J824" s="19"/>
    </row>
    <row r="825" spans="1:10" x14ac:dyDescent="0.25">
      <c r="A825" s="16" t="s">
        <v>1195</v>
      </c>
      <c r="B825" s="16" t="s">
        <v>498</v>
      </c>
      <c r="C825" s="16"/>
      <c r="D825" s="17">
        <v>4335330.78</v>
      </c>
      <c r="E825" s="17">
        <v>4823509.82</v>
      </c>
      <c r="F825" s="17">
        <v>16542290.699999999</v>
      </c>
      <c r="G825" s="17">
        <v>5892474.7400000002</v>
      </c>
      <c r="H825" s="17">
        <v>5066817.8099999996</v>
      </c>
      <c r="I825" s="17">
        <v>6307994.4100000001</v>
      </c>
      <c r="J825" s="17">
        <v>6764979.2000000002</v>
      </c>
    </row>
    <row r="826" spans="1:10" x14ac:dyDescent="0.25">
      <c r="A826" s="16" t="s">
        <v>1195</v>
      </c>
      <c r="B826" s="16" t="s">
        <v>785</v>
      </c>
      <c r="C826" s="16" t="s">
        <v>503</v>
      </c>
      <c r="D826" s="17">
        <v>2277767.54</v>
      </c>
      <c r="E826" s="17">
        <v>1416941.59</v>
      </c>
      <c r="F826" s="17">
        <v>2588076.14</v>
      </c>
      <c r="G826" s="19"/>
      <c r="H826" s="17">
        <v>1805472.93</v>
      </c>
      <c r="I826" s="17">
        <v>1981125.2</v>
      </c>
      <c r="J826" s="17">
        <v>6119415.6200000001</v>
      </c>
    </row>
    <row r="827" spans="1:10" x14ac:dyDescent="0.25">
      <c r="A827" s="16" t="s">
        <v>1195</v>
      </c>
      <c r="B827" s="16" t="s">
        <v>500</v>
      </c>
      <c r="C827" s="16"/>
      <c r="D827" s="17">
        <v>19815.939999999999</v>
      </c>
      <c r="E827" s="17">
        <v>36661.699999999997</v>
      </c>
      <c r="F827" s="17">
        <v>81133.03</v>
      </c>
      <c r="G827" s="17">
        <v>76661.53</v>
      </c>
      <c r="H827" s="17">
        <v>203893.95</v>
      </c>
      <c r="I827" s="17">
        <v>170397.85</v>
      </c>
      <c r="J827" s="17">
        <v>88848.71</v>
      </c>
    </row>
    <row r="828" spans="1:10" x14ac:dyDescent="0.25">
      <c r="A828" s="16" t="s">
        <v>1195</v>
      </c>
      <c r="B828" s="16" t="s">
        <v>501</v>
      </c>
      <c r="C828" s="16"/>
      <c r="D828" s="19"/>
      <c r="E828" s="19"/>
      <c r="F828" s="19"/>
      <c r="G828" s="17">
        <v>925945.9</v>
      </c>
      <c r="H828" s="17">
        <v>73094.759999999995</v>
      </c>
      <c r="I828" s="17">
        <v>2307683.6</v>
      </c>
      <c r="J828" s="17">
        <v>411425.28000000003</v>
      </c>
    </row>
    <row r="829" spans="1:10" x14ac:dyDescent="0.25">
      <c r="A829" s="16" t="s">
        <v>1195</v>
      </c>
      <c r="B829" s="16" t="s">
        <v>502</v>
      </c>
      <c r="C829" s="16"/>
      <c r="D829" s="17">
        <v>4012913.5</v>
      </c>
      <c r="E829" s="17">
        <v>3749587.32</v>
      </c>
      <c r="F829" s="17">
        <v>2559237.34</v>
      </c>
      <c r="G829" s="17">
        <v>6710467.29</v>
      </c>
      <c r="H829" s="17">
        <v>2113379.7200000002</v>
      </c>
      <c r="I829" s="17">
        <v>7678725.2699999996</v>
      </c>
      <c r="J829" s="17">
        <v>4557360.38</v>
      </c>
    </row>
    <row r="830" spans="1:10" x14ac:dyDescent="0.25">
      <c r="A830" s="16" t="s">
        <v>1195</v>
      </c>
      <c r="B830" s="16" t="s">
        <v>1005</v>
      </c>
      <c r="C830" s="16" t="s">
        <v>1006</v>
      </c>
      <c r="D830" s="17">
        <v>123711.34</v>
      </c>
      <c r="E830" s="19"/>
      <c r="F830" s="19"/>
      <c r="G830" s="19"/>
      <c r="H830" s="19"/>
      <c r="I830" s="19"/>
      <c r="J830" s="19"/>
    </row>
    <row r="831" spans="1:10" x14ac:dyDescent="0.25">
      <c r="A831" s="16" t="s">
        <v>1195</v>
      </c>
      <c r="B831" s="16" t="s">
        <v>1006</v>
      </c>
      <c r="C831" s="16"/>
      <c r="D831" s="19"/>
      <c r="E831" s="19"/>
      <c r="F831" s="19"/>
      <c r="G831" s="19"/>
      <c r="H831" s="17">
        <v>198508.31</v>
      </c>
      <c r="I831" s="17">
        <v>543443.02</v>
      </c>
      <c r="J831" s="17">
        <v>303638.90999999997</v>
      </c>
    </row>
    <row r="832" spans="1:10" x14ac:dyDescent="0.25">
      <c r="A832" s="16" t="s">
        <v>1195</v>
      </c>
      <c r="B832" s="16" t="s">
        <v>794</v>
      </c>
      <c r="C832" s="16"/>
      <c r="D832" s="19"/>
      <c r="E832" s="19"/>
      <c r="F832" s="17">
        <v>45225.62</v>
      </c>
      <c r="G832" s="19"/>
      <c r="H832" s="19"/>
      <c r="I832" s="19"/>
      <c r="J832" s="19"/>
    </row>
    <row r="833" spans="1:10" x14ac:dyDescent="0.25">
      <c r="A833" s="16" t="s">
        <v>1195</v>
      </c>
      <c r="B833" s="16" t="s">
        <v>795</v>
      </c>
      <c r="C833" s="16" t="s">
        <v>499</v>
      </c>
      <c r="D833" s="17">
        <v>204755.08</v>
      </c>
      <c r="E833" s="17">
        <v>1364111.25</v>
      </c>
      <c r="F833" s="17">
        <v>134836.66</v>
      </c>
      <c r="G833" s="17">
        <v>864204.6</v>
      </c>
      <c r="H833" s="17">
        <v>1312252.1399999999</v>
      </c>
      <c r="I833" s="17">
        <v>968516.81</v>
      </c>
      <c r="J833" s="17">
        <v>1203031.58</v>
      </c>
    </row>
    <row r="834" spans="1:10" x14ac:dyDescent="0.25">
      <c r="A834" s="16" t="s">
        <v>1195</v>
      </c>
      <c r="B834" s="16" t="s">
        <v>796</v>
      </c>
      <c r="C834" s="16"/>
      <c r="D834" s="17">
        <v>146612.54999999999</v>
      </c>
      <c r="E834" s="19"/>
      <c r="F834" s="17">
        <v>151159.84</v>
      </c>
      <c r="G834" s="17">
        <v>317561.40999999997</v>
      </c>
      <c r="H834" s="17">
        <v>476777.45</v>
      </c>
      <c r="I834" s="17">
        <v>146455.42000000001</v>
      </c>
      <c r="J834" s="17">
        <v>280703.03000000003</v>
      </c>
    </row>
    <row r="835" spans="1:10" x14ac:dyDescent="0.25">
      <c r="A835" s="16" t="s">
        <v>1195</v>
      </c>
      <c r="B835" s="16" t="s">
        <v>1196</v>
      </c>
      <c r="C835" s="16" t="s">
        <v>505</v>
      </c>
      <c r="D835" s="17">
        <v>242319.83</v>
      </c>
      <c r="E835" s="17">
        <v>217132.59</v>
      </c>
      <c r="F835" s="19"/>
      <c r="G835" s="17">
        <v>261142.76</v>
      </c>
      <c r="H835" s="17">
        <v>154942.54999999999</v>
      </c>
      <c r="I835" s="17">
        <v>123607.99</v>
      </c>
      <c r="J835" s="17">
        <v>308361.02</v>
      </c>
    </row>
    <row r="836" spans="1:10" x14ac:dyDescent="0.25">
      <c r="A836" s="16" t="s">
        <v>1195</v>
      </c>
      <c r="B836" s="16" t="s">
        <v>798</v>
      </c>
      <c r="C836" s="16"/>
      <c r="D836" s="17">
        <v>29701</v>
      </c>
      <c r="E836" s="19"/>
      <c r="F836" s="19"/>
      <c r="G836" s="19"/>
      <c r="H836" s="17">
        <v>20003.89</v>
      </c>
      <c r="I836" s="19"/>
      <c r="J836" s="19"/>
    </row>
    <row r="837" spans="1:10" x14ac:dyDescent="0.25">
      <c r="A837" s="16" t="s">
        <v>1195</v>
      </c>
      <c r="B837" s="16" t="s">
        <v>803</v>
      </c>
      <c r="C837" s="16" t="s">
        <v>504</v>
      </c>
      <c r="D837" s="17">
        <v>591267.88</v>
      </c>
      <c r="E837" s="17">
        <v>395167.1</v>
      </c>
      <c r="F837" s="17">
        <v>236815.48</v>
      </c>
      <c r="G837" s="17">
        <v>159139.88</v>
      </c>
      <c r="H837" s="17">
        <v>717643.66</v>
      </c>
      <c r="I837" s="17">
        <v>1887324.35</v>
      </c>
      <c r="J837" s="17">
        <v>393416.33</v>
      </c>
    </row>
    <row r="838" spans="1:10" x14ac:dyDescent="0.25">
      <c r="A838" s="16" t="s">
        <v>1195</v>
      </c>
      <c r="B838" s="16" t="s">
        <v>1019</v>
      </c>
      <c r="C838" s="16"/>
      <c r="D838" s="17">
        <v>26341.66</v>
      </c>
      <c r="E838" s="19"/>
      <c r="F838" s="17">
        <v>33193.050000000003</v>
      </c>
      <c r="G838" s="17">
        <v>60325.35</v>
      </c>
      <c r="H838" s="17">
        <v>44847.3</v>
      </c>
      <c r="I838" s="17">
        <v>41732.26</v>
      </c>
      <c r="J838" s="17">
        <v>409533.54</v>
      </c>
    </row>
    <row r="839" spans="1:10" x14ac:dyDescent="0.25">
      <c r="A839" s="16" t="s">
        <v>1195</v>
      </c>
      <c r="B839" s="16" t="s">
        <v>505</v>
      </c>
      <c r="C839" s="16"/>
      <c r="D839" s="17">
        <v>289856.01</v>
      </c>
      <c r="E839" s="17">
        <v>263866.19</v>
      </c>
      <c r="F839" s="17">
        <v>106634.24000000001</v>
      </c>
      <c r="G839" s="17">
        <v>559615.43999999994</v>
      </c>
      <c r="H839" s="17">
        <v>76447.95</v>
      </c>
      <c r="I839" s="17">
        <v>480458.25</v>
      </c>
      <c r="J839" s="19"/>
    </row>
    <row r="840" spans="1:10" x14ac:dyDescent="0.25">
      <c r="A840" s="16" t="s">
        <v>1195</v>
      </c>
      <c r="B840" s="16" t="s">
        <v>1031</v>
      </c>
      <c r="C840" s="16" t="s">
        <v>1006</v>
      </c>
      <c r="D840" s="19"/>
      <c r="E840" s="17">
        <v>233134.11</v>
      </c>
      <c r="F840" s="17">
        <v>398335.2</v>
      </c>
      <c r="G840" s="17">
        <v>727817.55</v>
      </c>
      <c r="H840" s="17">
        <v>891329.12</v>
      </c>
      <c r="I840" s="17">
        <v>452148.15</v>
      </c>
      <c r="J840" s="17">
        <v>878089.41</v>
      </c>
    </row>
    <row r="841" spans="1:10" x14ac:dyDescent="0.25">
      <c r="A841" s="16" t="s">
        <v>1195</v>
      </c>
      <c r="B841" s="16" t="s">
        <v>506</v>
      </c>
      <c r="C841" s="16"/>
      <c r="D841" s="19"/>
      <c r="E841" s="17">
        <v>486791.75</v>
      </c>
      <c r="F841" s="19"/>
      <c r="G841" s="17">
        <v>1168787.81</v>
      </c>
      <c r="H841" s="17">
        <v>883093.12</v>
      </c>
      <c r="I841" s="17">
        <v>1361719.7</v>
      </c>
      <c r="J841" s="17">
        <v>1042251.49</v>
      </c>
    </row>
    <row r="842" spans="1:10" x14ac:dyDescent="0.25">
      <c r="A842" s="16" t="s">
        <v>1195</v>
      </c>
      <c r="B842" s="16" t="s">
        <v>1032</v>
      </c>
      <c r="C842" s="16" t="s">
        <v>1006</v>
      </c>
      <c r="D842" s="19"/>
      <c r="E842" s="19"/>
      <c r="F842" s="17">
        <v>404885.32</v>
      </c>
      <c r="G842" s="19"/>
      <c r="H842" s="17">
        <v>1059151.08</v>
      </c>
      <c r="I842" s="17">
        <v>969426.54</v>
      </c>
      <c r="J842" s="19"/>
    </row>
    <row r="843" spans="1:10" x14ac:dyDescent="0.25">
      <c r="A843" s="16" t="s">
        <v>1195</v>
      </c>
      <c r="B843" s="16" t="s">
        <v>507</v>
      </c>
      <c r="C843" s="16"/>
      <c r="D843" s="19"/>
      <c r="E843" s="19"/>
      <c r="F843" s="19"/>
      <c r="G843" s="17">
        <v>1379884.74</v>
      </c>
      <c r="H843" s="17">
        <v>22248.19</v>
      </c>
      <c r="I843" s="19"/>
      <c r="J843" s="19"/>
    </row>
    <row r="844" spans="1:10" x14ac:dyDescent="0.25">
      <c r="A844" s="16" t="s">
        <v>1195</v>
      </c>
      <c r="B844" s="16" t="s">
        <v>1368</v>
      </c>
      <c r="C844" s="16" t="s">
        <v>499</v>
      </c>
      <c r="D844" s="19"/>
      <c r="E844" s="19"/>
      <c r="F844" s="19"/>
      <c r="G844" s="19"/>
      <c r="H844" s="17">
        <v>609616.91</v>
      </c>
      <c r="I844" s="19"/>
      <c r="J844" s="19"/>
    </row>
    <row r="845" spans="1:10" x14ac:dyDescent="0.25">
      <c r="A845" s="16" t="s">
        <v>1195</v>
      </c>
      <c r="B845" s="16" t="s">
        <v>508</v>
      </c>
      <c r="C845" s="16"/>
      <c r="D845" s="17">
        <v>1909953.82</v>
      </c>
      <c r="E845" s="17">
        <v>1835667.99</v>
      </c>
      <c r="F845" s="17">
        <v>1159234.3</v>
      </c>
      <c r="G845" s="17">
        <v>1643899.11</v>
      </c>
      <c r="H845" s="17">
        <v>3490293.06</v>
      </c>
      <c r="I845" s="17">
        <v>2755001.46</v>
      </c>
      <c r="J845" s="17">
        <v>1598767.46</v>
      </c>
    </row>
    <row r="846" spans="1:10" x14ac:dyDescent="0.25">
      <c r="A846" s="16" t="s">
        <v>1195</v>
      </c>
      <c r="B846" s="16" t="s">
        <v>815</v>
      </c>
      <c r="C846" s="16" t="s">
        <v>816</v>
      </c>
      <c r="D846" s="17">
        <v>641298.98</v>
      </c>
      <c r="E846" s="17">
        <v>136527.81</v>
      </c>
      <c r="F846" s="17">
        <v>299745.19</v>
      </c>
      <c r="G846" s="17">
        <v>567819.13</v>
      </c>
      <c r="H846" s="17">
        <v>1728616.99</v>
      </c>
      <c r="I846" s="19"/>
      <c r="J846" s="17">
        <v>517781.14</v>
      </c>
    </row>
    <row r="847" spans="1:10" x14ac:dyDescent="0.25">
      <c r="A847" s="16" t="s">
        <v>1195</v>
      </c>
      <c r="B847" s="16" t="s">
        <v>817</v>
      </c>
      <c r="C847" s="16" t="s">
        <v>1369</v>
      </c>
      <c r="D847" s="17">
        <v>163422.54999999999</v>
      </c>
      <c r="E847" s="19"/>
      <c r="F847" s="19"/>
      <c r="G847" s="17">
        <v>232644.36</v>
      </c>
      <c r="H847" s="17">
        <v>190564.01</v>
      </c>
      <c r="I847" s="17">
        <v>200801.65</v>
      </c>
      <c r="J847" s="17">
        <v>64784.15</v>
      </c>
    </row>
    <row r="848" spans="1:10" x14ac:dyDescent="0.25">
      <c r="A848" s="16" t="s">
        <v>1197</v>
      </c>
      <c r="B848" s="22" t="s">
        <v>524</v>
      </c>
      <c r="C848" s="16"/>
      <c r="D848" s="19"/>
      <c r="E848" s="19"/>
      <c r="F848" s="19"/>
      <c r="G848" s="19"/>
      <c r="H848" s="19"/>
      <c r="I848" s="19"/>
      <c r="J848" s="20">
        <v>188190.06</v>
      </c>
    </row>
    <row r="849" spans="1:10" x14ac:dyDescent="0.25">
      <c r="A849" s="16" t="s">
        <v>1197</v>
      </c>
      <c r="B849" s="16" t="s">
        <v>525</v>
      </c>
      <c r="C849" s="16"/>
      <c r="D849" s="19"/>
      <c r="E849" s="19"/>
      <c r="F849" s="17">
        <v>39053.74</v>
      </c>
      <c r="G849" s="19"/>
      <c r="H849" s="19"/>
      <c r="I849" s="17">
        <v>30001.15</v>
      </c>
      <c r="J849" s="19"/>
    </row>
    <row r="850" spans="1:10" x14ac:dyDescent="0.25">
      <c r="A850" s="16" t="s">
        <v>1197</v>
      </c>
      <c r="B850" s="16" t="s">
        <v>1198</v>
      </c>
      <c r="C850" s="16" t="s">
        <v>1199</v>
      </c>
      <c r="D850" s="19"/>
      <c r="E850" s="17">
        <v>230531</v>
      </c>
      <c r="F850" s="17">
        <v>20446.25</v>
      </c>
      <c r="G850" s="19"/>
      <c r="H850" s="17">
        <v>13683.18</v>
      </c>
      <c r="I850" s="17">
        <v>10035.040000000001</v>
      </c>
      <c r="J850" s="19"/>
    </row>
    <row r="851" spans="1:10" x14ac:dyDescent="0.25">
      <c r="A851" s="16" t="s">
        <v>1197</v>
      </c>
      <c r="B851" s="16" t="s">
        <v>527</v>
      </c>
      <c r="C851" s="16"/>
      <c r="D851" s="17">
        <v>107064.97</v>
      </c>
      <c r="E851" s="17">
        <v>17547.89</v>
      </c>
      <c r="F851" s="17">
        <v>30337.88</v>
      </c>
      <c r="G851" s="19"/>
      <c r="H851" s="17">
        <v>109970.03</v>
      </c>
      <c r="I851" s="17">
        <v>66407.960000000006</v>
      </c>
      <c r="J851" s="17">
        <v>135711.26</v>
      </c>
    </row>
    <row r="852" spans="1:10" x14ac:dyDescent="0.25">
      <c r="A852" s="16" t="s">
        <v>1197</v>
      </c>
      <c r="B852" s="16" t="s">
        <v>986</v>
      </c>
      <c r="C852" s="16" t="s">
        <v>526</v>
      </c>
      <c r="D852" s="17">
        <v>40793.660000000003</v>
      </c>
      <c r="E852" s="19"/>
      <c r="F852" s="17">
        <v>35910.65</v>
      </c>
      <c r="G852" s="17">
        <v>93712.95</v>
      </c>
      <c r="H852" s="17">
        <v>105696.1</v>
      </c>
      <c r="I852" s="17">
        <v>103011.42</v>
      </c>
      <c r="J852" s="17">
        <v>81946.16</v>
      </c>
    </row>
    <row r="853" spans="1:10" x14ac:dyDescent="0.25">
      <c r="A853" s="16" t="s">
        <v>1197</v>
      </c>
      <c r="B853" s="16" t="s">
        <v>987</v>
      </c>
      <c r="C853" s="16" t="s">
        <v>540</v>
      </c>
      <c r="D853" s="19"/>
      <c r="E853" s="19"/>
      <c r="F853" s="19"/>
      <c r="G853" s="19"/>
      <c r="H853" s="19"/>
      <c r="I853" s="17">
        <v>164042.96</v>
      </c>
      <c r="J853" s="19"/>
    </row>
    <row r="854" spans="1:10" x14ac:dyDescent="0.25">
      <c r="A854" s="16" t="s">
        <v>1197</v>
      </c>
      <c r="B854" s="16" t="s">
        <v>1370</v>
      </c>
      <c r="C854" s="16"/>
      <c r="D854" s="19"/>
      <c r="E854" s="19"/>
      <c r="F854" s="19"/>
      <c r="G854" s="19"/>
      <c r="H854" s="17">
        <v>105459.24</v>
      </c>
      <c r="I854" s="17">
        <v>137934.60999999999</v>
      </c>
      <c r="J854" s="17">
        <v>81465.87</v>
      </c>
    </row>
    <row r="855" spans="1:10" x14ac:dyDescent="0.25">
      <c r="A855" s="16" t="s">
        <v>1197</v>
      </c>
      <c r="B855" s="16" t="s">
        <v>1528</v>
      </c>
      <c r="C855" s="16" t="s">
        <v>997</v>
      </c>
      <c r="D855" s="19"/>
      <c r="E855" s="19"/>
      <c r="F855" s="19"/>
      <c r="G855" s="19"/>
      <c r="H855" s="19"/>
      <c r="I855" s="19"/>
      <c r="J855" s="17">
        <v>3617.05</v>
      </c>
    </row>
    <row r="856" spans="1:10" x14ac:dyDescent="0.25">
      <c r="A856" s="16" t="s">
        <v>1197</v>
      </c>
      <c r="B856" s="16" t="s">
        <v>528</v>
      </c>
      <c r="C856" s="16"/>
      <c r="D856" s="19"/>
      <c r="E856" s="19"/>
      <c r="F856" s="17">
        <v>32549.119999999999</v>
      </c>
      <c r="G856" s="17">
        <v>31489.1</v>
      </c>
      <c r="H856" s="17">
        <v>31349.59</v>
      </c>
      <c r="I856" s="17">
        <v>33501.24</v>
      </c>
      <c r="J856" s="17">
        <v>42001.21</v>
      </c>
    </row>
    <row r="857" spans="1:10" x14ac:dyDescent="0.25">
      <c r="A857" s="16" t="s">
        <v>1197</v>
      </c>
      <c r="B857" s="16" t="s">
        <v>1491</v>
      </c>
      <c r="C857" s="16"/>
      <c r="D857" s="19"/>
      <c r="E857" s="19"/>
      <c r="F857" s="19"/>
      <c r="G857" s="19"/>
      <c r="H857" s="19"/>
      <c r="I857" s="19"/>
      <c r="J857" s="17">
        <v>12140.68</v>
      </c>
    </row>
    <row r="858" spans="1:10" x14ac:dyDescent="0.25">
      <c r="A858" s="16" t="s">
        <v>1197</v>
      </c>
      <c r="B858" s="16" t="s">
        <v>520</v>
      </c>
      <c r="C858" s="16"/>
      <c r="D858" s="19"/>
      <c r="E858" s="19"/>
      <c r="F858" s="17">
        <v>323166.14</v>
      </c>
      <c r="G858" s="17">
        <v>109176.48</v>
      </c>
      <c r="H858" s="17">
        <v>-26266.14</v>
      </c>
      <c r="I858" s="19"/>
      <c r="J858" s="17">
        <v>169704.37</v>
      </c>
    </row>
    <row r="859" spans="1:10" x14ac:dyDescent="0.25">
      <c r="A859" s="16" t="s">
        <v>1197</v>
      </c>
      <c r="B859" s="16" t="s">
        <v>784</v>
      </c>
      <c r="C859" s="16" t="s">
        <v>521</v>
      </c>
      <c r="D859" s="19"/>
      <c r="E859" s="19"/>
      <c r="F859" s="19"/>
      <c r="G859" s="19"/>
      <c r="H859" s="17">
        <v>6976.27</v>
      </c>
      <c r="I859" s="19"/>
      <c r="J859" s="19"/>
    </row>
    <row r="860" spans="1:10" x14ac:dyDescent="0.25">
      <c r="A860" s="16" t="s">
        <v>1197</v>
      </c>
      <c r="B860" s="16" t="s">
        <v>510</v>
      </c>
      <c r="C860" s="16"/>
      <c r="D860" s="17">
        <v>35241.54</v>
      </c>
      <c r="E860" s="19"/>
      <c r="F860" s="19"/>
      <c r="G860" s="19"/>
      <c r="H860" s="19"/>
      <c r="I860" s="19"/>
      <c r="J860" s="19"/>
    </row>
    <row r="861" spans="1:10" x14ac:dyDescent="0.25">
      <c r="A861" s="16" t="s">
        <v>1197</v>
      </c>
      <c r="B861" s="16" t="s">
        <v>995</v>
      </c>
      <c r="C861" s="16" t="s">
        <v>543</v>
      </c>
      <c r="D861" s="17">
        <v>307806.68</v>
      </c>
      <c r="E861" s="17">
        <v>188548.54</v>
      </c>
      <c r="F861" s="17">
        <v>206229.32</v>
      </c>
      <c r="G861" s="17">
        <v>130360.98</v>
      </c>
      <c r="H861" s="17">
        <v>554667.94999999995</v>
      </c>
      <c r="I861" s="17">
        <v>518534.93</v>
      </c>
      <c r="J861" s="17">
        <v>332280.31</v>
      </c>
    </row>
    <row r="862" spans="1:10" x14ac:dyDescent="0.25">
      <c r="A862" s="16" t="s">
        <v>1197</v>
      </c>
      <c r="B862" s="16" t="s">
        <v>511</v>
      </c>
      <c r="C862" s="16"/>
      <c r="D862" s="17">
        <v>298391.11</v>
      </c>
      <c r="E862" s="17">
        <v>314630.21000000002</v>
      </c>
      <c r="F862" s="17">
        <v>168971.81</v>
      </c>
      <c r="G862" s="17">
        <v>335302.89</v>
      </c>
      <c r="H862" s="17">
        <v>2090818.36</v>
      </c>
      <c r="I862" s="17">
        <v>2506056.0699999998</v>
      </c>
      <c r="J862" s="17">
        <v>236407.58</v>
      </c>
    </row>
    <row r="863" spans="1:10" x14ac:dyDescent="0.25">
      <c r="A863" s="16" t="s">
        <v>1197</v>
      </c>
      <c r="B863" s="16" t="s">
        <v>996</v>
      </c>
      <c r="C863" s="16" t="s">
        <v>997</v>
      </c>
      <c r="D863" s="19"/>
      <c r="E863" s="19"/>
      <c r="F863" s="19"/>
      <c r="G863" s="19"/>
      <c r="H863" s="19"/>
      <c r="I863" s="19"/>
      <c r="J863" s="17">
        <v>27583.64</v>
      </c>
    </row>
    <row r="864" spans="1:10" x14ac:dyDescent="0.25">
      <c r="A864" s="16" t="s">
        <v>1197</v>
      </c>
      <c r="B864" s="16" t="s">
        <v>521</v>
      </c>
      <c r="C864" s="16"/>
      <c r="D864" s="19"/>
      <c r="E864" s="17">
        <v>3524.65</v>
      </c>
      <c r="F864" s="19"/>
      <c r="G864" s="17">
        <v>12705.53</v>
      </c>
      <c r="H864" s="19"/>
      <c r="I864" s="19"/>
      <c r="J864" s="19"/>
    </row>
    <row r="865" spans="1:10" x14ac:dyDescent="0.25">
      <c r="A865" s="16" t="s">
        <v>1197</v>
      </c>
      <c r="B865" s="16" t="s">
        <v>529</v>
      </c>
      <c r="C865" s="16"/>
      <c r="D865" s="19"/>
      <c r="E865" s="19"/>
      <c r="F865" s="17">
        <v>47296.99</v>
      </c>
      <c r="G865" s="19"/>
      <c r="H865" s="19"/>
      <c r="I865" s="19"/>
      <c r="J865" s="19"/>
    </row>
    <row r="866" spans="1:10" x14ac:dyDescent="0.25">
      <c r="A866" s="16" t="s">
        <v>1197</v>
      </c>
      <c r="B866" s="22" t="s">
        <v>1444</v>
      </c>
      <c r="C866" s="16"/>
      <c r="D866" s="19"/>
      <c r="E866" s="19"/>
      <c r="F866" s="19"/>
      <c r="G866" s="19"/>
      <c r="H866" s="19"/>
      <c r="I866" s="17">
        <v>82728.62</v>
      </c>
      <c r="J866" s="20">
        <v>152015.5</v>
      </c>
    </row>
    <row r="867" spans="1:10" ht="22.5" x14ac:dyDescent="0.25">
      <c r="A867" s="16" t="s">
        <v>1197</v>
      </c>
      <c r="B867" s="16" t="s">
        <v>544</v>
      </c>
      <c r="C867" s="16"/>
      <c r="D867" s="19"/>
      <c r="E867" s="19"/>
      <c r="F867" s="19"/>
      <c r="G867" s="19"/>
      <c r="H867" s="19"/>
      <c r="I867" s="17">
        <v>191984.04</v>
      </c>
      <c r="J867" s="17">
        <v>69924.13</v>
      </c>
    </row>
    <row r="868" spans="1:10" x14ac:dyDescent="0.25">
      <c r="A868" s="16" t="s">
        <v>1197</v>
      </c>
      <c r="B868" s="16" t="s">
        <v>512</v>
      </c>
      <c r="C868" s="16"/>
      <c r="D868" s="17">
        <v>703714.56</v>
      </c>
      <c r="E868" s="19"/>
      <c r="F868" s="17">
        <v>43876.29</v>
      </c>
      <c r="G868" s="17">
        <v>59138.66</v>
      </c>
      <c r="H868" s="17">
        <v>232070.52</v>
      </c>
      <c r="I868" s="17">
        <v>106039.36</v>
      </c>
      <c r="J868" s="17">
        <v>246148.77</v>
      </c>
    </row>
    <row r="869" spans="1:10" x14ac:dyDescent="0.25">
      <c r="A869" s="16" t="s">
        <v>1197</v>
      </c>
      <c r="B869" s="16" t="s">
        <v>516</v>
      </c>
      <c r="C869" s="16"/>
      <c r="D869" s="19"/>
      <c r="E869" s="17">
        <v>117756.3</v>
      </c>
      <c r="F869" s="17">
        <v>141295.51999999999</v>
      </c>
      <c r="G869" s="19"/>
      <c r="H869" s="17">
        <v>168394.52</v>
      </c>
      <c r="I869" s="17">
        <v>179038.88</v>
      </c>
      <c r="J869" s="17">
        <v>74677.3</v>
      </c>
    </row>
    <row r="870" spans="1:10" x14ac:dyDescent="0.25">
      <c r="A870" s="16" t="s">
        <v>1197</v>
      </c>
      <c r="B870" s="16" t="s">
        <v>530</v>
      </c>
      <c r="C870" s="16"/>
      <c r="D870" s="19"/>
      <c r="E870" s="19"/>
      <c r="F870" s="19"/>
      <c r="G870" s="17">
        <v>101774.02</v>
      </c>
      <c r="H870" s="19"/>
      <c r="I870" s="17">
        <v>61884.66</v>
      </c>
      <c r="J870" s="19"/>
    </row>
    <row r="871" spans="1:10" x14ac:dyDescent="0.25">
      <c r="A871" s="16" t="s">
        <v>1197</v>
      </c>
      <c r="B871" s="16" t="s">
        <v>1318</v>
      </c>
      <c r="C871" s="16"/>
      <c r="D871" s="19"/>
      <c r="E871" s="19"/>
      <c r="F871" s="19"/>
      <c r="G871" s="17">
        <v>65782</v>
      </c>
      <c r="H871" s="19"/>
      <c r="I871" s="19"/>
      <c r="J871" s="19"/>
    </row>
    <row r="872" spans="1:10" x14ac:dyDescent="0.25">
      <c r="A872" s="16" t="s">
        <v>1197</v>
      </c>
      <c r="B872" s="16" t="s">
        <v>531</v>
      </c>
      <c r="C872" s="16"/>
      <c r="D872" s="19"/>
      <c r="E872" s="19"/>
      <c r="F872" s="19"/>
      <c r="G872" s="19"/>
      <c r="H872" s="17">
        <v>205197.36</v>
      </c>
      <c r="I872" s="19"/>
      <c r="J872" s="19"/>
    </row>
    <row r="873" spans="1:10" x14ac:dyDescent="0.25">
      <c r="A873" s="16" t="s">
        <v>1197</v>
      </c>
      <c r="B873" s="16" t="s">
        <v>532</v>
      </c>
      <c r="C873" s="16"/>
      <c r="D873" s="19"/>
      <c r="E873" s="19"/>
      <c r="F873" s="19"/>
      <c r="G873" s="17">
        <v>10381.93</v>
      </c>
      <c r="H873" s="19"/>
      <c r="I873" s="19"/>
      <c r="J873" s="17">
        <v>39042.660000000003</v>
      </c>
    </row>
    <row r="874" spans="1:10" x14ac:dyDescent="0.25">
      <c r="A874" s="16" t="s">
        <v>1197</v>
      </c>
      <c r="B874" s="16" t="s">
        <v>513</v>
      </c>
      <c r="C874" s="16"/>
      <c r="D874" s="17">
        <v>116841.79</v>
      </c>
      <c r="E874" s="17">
        <v>49225.41</v>
      </c>
      <c r="F874" s="17">
        <v>127484.25</v>
      </c>
      <c r="G874" s="17">
        <v>33544.57</v>
      </c>
      <c r="H874" s="17">
        <v>163801.79999999999</v>
      </c>
      <c r="I874" s="17">
        <v>50340.9</v>
      </c>
      <c r="J874" s="17">
        <v>72735.100000000006</v>
      </c>
    </row>
    <row r="875" spans="1:10" x14ac:dyDescent="0.25">
      <c r="A875" s="16" t="s">
        <v>1197</v>
      </c>
      <c r="B875" s="16" t="s">
        <v>533</v>
      </c>
      <c r="C875" s="16"/>
      <c r="D875" s="19"/>
      <c r="E875" s="19"/>
      <c r="F875" s="19"/>
      <c r="G875" s="17">
        <v>30028.74</v>
      </c>
      <c r="H875" s="19"/>
      <c r="I875" s="19"/>
      <c r="J875" s="19"/>
    </row>
    <row r="876" spans="1:10" x14ac:dyDescent="0.25">
      <c r="A876" s="16" t="s">
        <v>1197</v>
      </c>
      <c r="B876" s="16" t="s">
        <v>514</v>
      </c>
      <c r="C876" s="16"/>
      <c r="D876" s="19"/>
      <c r="E876" s="19"/>
      <c r="F876" s="19"/>
      <c r="G876" s="19"/>
      <c r="H876" s="19"/>
      <c r="I876" s="17">
        <v>155371.91</v>
      </c>
      <c r="J876" s="17">
        <v>279018.78999999998</v>
      </c>
    </row>
    <row r="877" spans="1:10" x14ac:dyDescent="0.25">
      <c r="A877" s="16" t="s">
        <v>1197</v>
      </c>
      <c r="B877" s="16" t="s">
        <v>1011</v>
      </c>
      <c r="C877" s="16"/>
      <c r="D877" s="19"/>
      <c r="E877" s="17">
        <v>34088.03</v>
      </c>
      <c r="F877" s="17">
        <v>46665.06</v>
      </c>
      <c r="G877" s="17">
        <v>36364.71</v>
      </c>
      <c r="H877" s="17">
        <v>100154.6</v>
      </c>
      <c r="I877" s="17">
        <v>151464.21</v>
      </c>
      <c r="J877" s="17">
        <v>30808.07</v>
      </c>
    </row>
    <row r="878" spans="1:10" x14ac:dyDescent="0.25">
      <c r="A878" s="16" t="s">
        <v>1197</v>
      </c>
      <c r="B878" s="16" t="s">
        <v>515</v>
      </c>
      <c r="C878" s="16"/>
      <c r="D878" s="17">
        <v>278734.74</v>
      </c>
      <c r="E878" s="19"/>
      <c r="F878" s="17">
        <v>342436.73</v>
      </c>
      <c r="G878" s="17">
        <v>375984.59</v>
      </c>
      <c r="H878" s="17">
        <v>338878.86</v>
      </c>
      <c r="I878" s="17">
        <v>330090.78000000003</v>
      </c>
      <c r="J878" s="17">
        <v>263831.82</v>
      </c>
    </row>
    <row r="879" spans="1:10" ht="22.5" x14ac:dyDescent="0.25">
      <c r="A879" s="16" t="s">
        <v>1197</v>
      </c>
      <c r="B879" s="16" t="s">
        <v>534</v>
      </c>
      <c r="C879" s="16"/>
      <c r="D879" s="19"/>
      <c r="E879" s="19"/>
      <c r="F879" s="17">
        <v>113627.84</v>
      </c>
      <c r="G879" s="19"/>
      <c r="H879" s="17">
        <v>189702.43</v>
      </c>
      <c r="I879" s="19"/>
      <c r="J879" s="19"/>
    </row>
    <row r="880" spans="1:10" x14ac:dyDescent="0.25">
      <c r="A880" s="16" t="s">
        <v>1197</v>
      </c>
      <c r="B880" s="16" t="s">
        <v>535</v>
      </c>
      <c r="C880" s="16"/>
      <c r="D880" s="19"/>
      <c r="E880" s="19"/>
      <c r="F880" s="17">
        <v>50421.63</v>
      </c>
      <c r="G880" s="19"/>
      <c r="H880" s="17">
        <v>130964.51</v>
      </c>
      <c r="I880" s="17">
        <v>10493.13</v>
      </c>
      <c r="J880" s="17">
        <v>21799.43</v>
      </c>
    </row>
    <row r="881" spans="1:10" x14ac:dyDescent="0.25">
      <c r="A881" s="16" t="s">
        <v>1197</v>
      </c>
      <c r="B881" s="16" t="s">
        <v>517</v>
      </c>
      <c r="C881" s="16"/>
      <c r="D881" s="19"/>
      <c r="E881" s="17">
        <v>117511.22</v>
      </c>
      <c r="F881" s="17">
        <v>142335.39000000001</v>
      </c>
      <c r="G881" s="19"/>
      <c r="H881" s="17">
        <v>529453.63</v>
      </c>
      <c r="I881" s="17">
        <v>285817.37</v>
      </c>
      <c r="J881" s="17">
        <v>622505.73</v>
      </c>
    </row>
    <row r="882" spans="1:10" ht="22.5" x14ac:dyDescent="0.25">
      <c r="A882" s="16" t="s">
        <v>1197</v>
      </c>
      <c r="B882" s="16" t="s">
        <v>799</v>
      </c>
      <c r="C882" s="16" t="s">
        <v>383</v>
      </c>
      <c r="D882" s="19"/>
      <c r="E882" s="19"/>
      <c r="F882" s="17">
        <v>128418.61</v>
      </c>
      <c r="G882" s="19"/>
      <c r="H882" s="19"/>
      <c r="I882" s="19"/>
      <c r="J882" s="19"/>
    </row>
    <row r="883" spans="1:10" x14ac:dyDescent="0.25">
      <c r="A883" s="16" t="s">
        <v>1197</v>
      </c>
      <c r="B883" s="16" t="s">
        <v>536</v>
      </c>
      <c r="C883" s="16"/>
      <c r="D883" s="17">
        <v>15304.26</v>
      </c>
      <c r="E883" s="17">
        <v>321765.28000000003</v>
      </c>
      <c r="F883" s="17">
        <v>77970.539999999994</v>
      </c>
      <c r="G883" s="19"/>
      <c r="H883" s="17">
        <v>76778.8</v>
      </c>
      <c r="I883" s="17">
        <v>11728.51</v>
      </c>
      <c r="J883" s="17">
        <v>60848.57</v>
      </c>
    </row>
    <row r="884" spans="1:10" x14ac:dyDescent="0.25">
      <c r="A884" s="16" t="s">
        <v>1197</v>
      </c>
      <c r="B884" s="16" t="s">
        <v>518</v>
      </c>
      <c r="C884" s="16"/>
      <c r="D884" s="17">
        <v>37731.68</v>
      </c>
      <c r="E884" s="17">
        <v>96657.21</v>
      </c>
      <c r="F884" s="17">
        <v>147037.57</v>
      </c>
      <c r="G884" s="17">
        <v>68439.179999999993</v>
      </c>
      <c r="H884" s="17">
        <v>194062.24</v>
      </c>
      <c r="I884" s="17">
        <v>163504.51</v>
      </c>
      <c r="J884" s="17">
        <v>188815.57</v>
      </c>
    </row>
    <row r="885" spans="1:10" x14ac:dyDescent="0.25">
      <c r="A885" s="16" t="s">
        <v>1197</v>
      </c>
      <c r="B885" s="16" t="s">
        <v>537</v>
      </c>
      <c r="C885" s="16"/>
      <c r="D885" s="19"/>
      <c r="E885" s="19"/>
      <c r="F885" s="17">
        <v>576807.73</v>
      </c>
      <c r="G885" s="19"/>
      <c r="H885" s="17">
        <v>275818.93</v>
      </c>
      <c r="I885" s="19"/>
      <c r="J885" s="19"/>
    </row>
    <row r="886" spans="1:10" x14ac:dyDescent="0.25">
      <c r="A886" s="16" t="s">
        <v>1197</v>
      </c>
      <c r="B886" s="16" t="s">
        <v>538</v>
      </c>
      <c r="C886" s="16"/>
      <c r="D886" s="17">
        <v>22401.69</v>
      </c>
      <c r="E886" s="17">
        <v>56013.86</v>
      </c>
      <c r="F886" s="17">
        <v>30919.31</v>
      </c>
      <c r="G886" s="17">
        <v>43635.5</v>
      </c>
      <c r="H886" s="17">
        <v>58201.24</v>
      </c>
      <c r="I886" s="17">
        <v>104866.05</v>
      </c>
      <c r="J886" s="17">
        <v>93564.72</v>
      </c>
    </row>
    <row r="887" spans="1:10" x14ac:dyDescent="0.25">
      <c r="A887" s="16" t="s">
        <v>1197</v>
      </c>
      <c r="B887" s="16" t="s">
        <v>523</v>
      </c>
      <c r="C887" s="16"/>
      <c r="D887" s="19"/>
      <c r="E887" s="19"/>
      <c r="F887" s="19"/>
      <c r="G887" s="17">
        <v>239380.87</v>
      </c>
      <c r="H887" s="19"/>
      <c r="I887" s="19"/>
      <c r="J887" s="19"/>
    </row>
    <row r="888" spans="1:10" x14ac:dyDescent="0.25">
      <c r="A888" s="16" t="s">
        <v>1197</v>
      </c>
      <c r="B888" s="16" t="s">
        <v>1017</v>
      </c>
      <c r="C888" s="16" t="s">
        <v>1200</v>
      </c>
      <c r="D888" s="19"/>
      <c r="E888" s="19"/>
      <c r="F888" s="19"/>
      <c r="G888" s="19"/>
      <c r="H888" s="19"/>
      <c r="I888" s="17">
        <v>37373.94</v>
      </c>
      <c r="J888" s="19"/>
    </row>
    <row r="889" spans="1:10" x14ac:dyDescent="0.25">
      <c r="A889" s="16" t="s">
        <v>1197</v>
      </c>
      <c r="B889" s="16" t="s">
        <v>1200</v>
      </c>
      <c r="C889" s="16"/>
      <c r="D889" s="19"/>
      <c r="E889" s="17">
        <v>88028.7</v>
      </c>
      <c r="F889" s="19"/>
      <c r="G889" s="17">
        <v>47712.42</v>
      </c>
      <c r="H889" s="19"/>
      <c r="I889" s="19"/>
      <c r="J889" s="17">
        <v>53957.37</v>
      </c>
    </row>
    <row r="890" spans="1:10" x14ac:dyDescent="0.25">
      <c r="A890" s="16" t="s">
        <v>1197</v>
      </c>
      <c r="B890" s="16" t="s">
        <v>1371</v>
      </c>
      <c r="C890" s="16"/>
      <c r="D890" s="19"/>
      <c r="E890" s="19"/>
      <c r="F890" s="19"/>
      <c r="G890" s="19"/>
      <c r="H890" s="17">
        <v>33910.46</v>
      </c>
      <c r="I890" s="19"/>
      <c r="J890" s="17">
        <v>31409.88</v>
      </c>
    </row>
    <row r="891" spans="1:10" x14ac:dyDescent="0.25">
      <c r="A891" s="16" t="s">
        <v>1197</v>
      </c>
      <c r="B891" s="22" t="s">
        <v>539</v>
      </c>
      <c r="C891" s="16"/>
      <c r="D891" s="19"/>
      <c r="E891" s="17">
        <v>54876.09</v>
      </c>
      <c r="F891" s="19"/>
      <c r="G891" s="19"/>
      <c r="H891" s="19"/>
      <c r="I891" s="19"/>
      <c r="J891" s="20">
        <v>100509.75</v>
      </c>
    </row>
    <row r="892" spans="1:10" x14ac:dyDescent="0.25">
      <c r="A892" s="16" t="s">
        <v>1197</v>
      </c>
      <c r="B892" s="16" t="s">
        <v>770</v>
      </c>
      <c r="C892" s="16"/>
      <c r="D892" s="19"/>
      <c r="E892" s="19"/>
      <c r="F892" s="17">
        <v>4724.3999999999996</v>
      </c>
      <c r="G892" s="19"/>
      <c r="H892" s="19"/>
      <c r="I892" s="19"/>
      <c r="J892" s="19"/>
    </row>
    <row r="893" spans="1:10" x14ac:dyDescent="0.25">
      <c r="A893" s="16" t="s">
        <v>1197</v>
      </c>
      <c r="B893" s="16" t="s">
        <v>540</v>
      </c>
      <c r="C893" s="16"/>
      <c r="D893" s="19"/>
      <c r="E893" s="19"/>
      <c r="F893" s="19"/>
      <c r="G893" s="19"/>
      <c r="H893" s="19"/>
      <c r="I893" s="17">
        <v>11436.09</v>
      </c>
      <c r="J893" s="20">
        <v>196158.94</v>
      </c>
    </row>
    <row r="894" spans="1:10" x14ac:dyDescent="0.25">
      <c r="A894" s="16" t="s">
        <v>1197</v>
      </c>
      <c r="B894" s="16" t="s">
        <v>519</v>
      </c>
      <c r="C894" s="16"/>
      <c r="D894" s="19"/>
      <c r="E894" s="19"/>
      <c r="F894" s="19"/>
      <c r="G894" s="19"/>
      <c r="H894" s="17">
        <v>153619.51</v>
      </c>
      <c r="I894" s="19"/>
      <c r="J894" s="19"/>
    </row>
    <row r="895" spans="1:10" x14ac:dyDescent="0.25">
      <c r="A895" s="16" t="s">
        <v>1197</v>
      </c>
      <c r="B895" s="16" t="s">
        <v>522</v>
      </c>
      <c r="C895" s="16"/>
      <c r="D895" s="19"/>
      <c r="E895" s="19"/>
      <c r="F895" s="17">
        <v>37305.760000000002</v>
      </c>
      <c r="G895" s="19"/>
      <c r="H895" s="17">
        <v>44876.89</v>
      </c>
      <c r="I895" s="17">
        <v>44758.03</v>
      </c>
      <c r="J895" s="17">
        <v>59119.82</v>
      </c>
    </row>
    <row r="896" spans="1:10" x14ac:dyDescent="0.25">
      <c r="A896" s="16" t="s">
        <v>1197</v>
      </c>
      <c r="B896" s="22" t="s">
        <v>1490</v>
      </c>
      <c r="C896" s="16"/>
      <c r="D896" s="19"/>
      <c r="E896" s="19"/>
      <c r="F896" s="19"/>
      <c r="G896" s="19"/>
      <c r="H896" s="19"/>
      <c r="I896" s="19"/>
      <c r="J896" s="20">
        <v>440215.37</v>
      </c>
    </row>
    <row r="897" spans="1:10" x14ac:dyDescent="0.25">
      <c r="A897" s="16" t="s">
        <v>1197</v>
      </c>
      <c r="B897" s="16" t="s">
        <v>541</v>
      </c>
      <c r="C897" s="16"/>
      <c r="D897" s="19"/>
      <c r="E897" s="17">
        <v>566745.31999999995</v>
      </c>
      <c r="F897" s="19"/>
      <c r="G897" s="19"/>
      <c r="H897" s="19"/>
      <c r="I897" s="19"/>
      <c r="J897" s="19"/>
    </row>
    <row r="898" spans="1:10" x14ac:dyDescent="0.25">
      <c r="A898" s="16" t="s">
        <v>1197</v>
      </c>
      <c r="B898" s="16" t="s">
        <v>1201</v>
      </c>
      <c r="C898" s="16"/>
      <c r="D898" s="17">
        <v>148337.5</v>
      </c>
      <c r="E898" s="19"/>
      <c r="F898" s="19"/>
      <c r="G898" s="19"/>
      <c r="H898" s="19"/>
      <c r="I898" s="19"/>
      <c r="J898" s="19"/>
    </row>
    <row r="899" spans="1:10" x14ac:dyDescent="0.25">
      <c r="A899" s="16" t="s">
        <v>1197</v>
      </c>
      <c r="B899" s="16" t="s">
        <v>542</v>
      </c>
      <c r="C899" s="16"/>
      <c r="D899" s="19"/>
      <c r="E899" s="19"/>
      <c r="F899" s="19"/>
      <c r="G899" s="17">
        <v>19587.47</v>
      </c>
      <c r="H899" s="17">
        <v>21333.46</v>
      </c>
      <c r="I899" s="17">
        <v>60666.45</v>
      </c>
      <c r="J899" s="17">
        <v>74820.08</v>
      </c>
    </row>
    <row r="900" spans="1:10" x14ac:dyDescent="0.25">
      <c r="A900" s="16" t="s">
        <v>1202</v>
      </c>
      <c r="B900" s="16" t="s">
        <v>545</v>
      </c>
      <c r="C900" s="16"/>
      <c r="D900" s="19"/>
      <c r="E900" s="19"/>
      <c r="F900" s="19"/>
      <c r="G900" s="19"/>
      <c r="H900" s="17">
        <v>140072.07</v>
      </c>
      <c r="I900" s="17">
        <v>65578.210000000006</v>
      </c>
      <c r="J900" s="17">
        <v>36576.6</v>
      </c>
    </row>
    <row r="901" spans="1:10" x14ac:dyDescent="0.25">
      <c r="A901" s="16" t="s">
        <v>1202</v>
      </c>
      <c r="B901" s="16" t="s">
        <v>546</v>
      </c>
      <c r="C901" s="16"/>
      <c r="D901" s="17">
        <v>110384.18</v>
      </c>
      <c r="E901" s="19"/>
      <c r="F901" s="19"/>
      <c r="G901" s="17">
        <v>197265.44</v>
      </c>
      <c r="H901" s="17">
        <v>158377.76999999999</v>
      </c>
      <c r="I901" s="17">
        <v>93447.39</v>
      </c>
      <c r="J901" s="17">
        <v>203070.8</v>
      </c>
    </row>
    <row r="902" spans="1:10" x14ac:dyDescent="0.25">
      <c r="A902" s="16" t="s">
        <v>1202</v>
      </c>
      <c r="B902" s="16" t="s">
        <v>1054</v>
      </c>
      <c r="C902" s="16" t="s">
        <v>550</v>
      </c>
      <c r="D902" s="17">
        <v>30466.09</v>
      </c>
      <c r="E902" s="17">
        <v>102552.03</v>
      </c>
      <c r="F902" s="17">
        <v>43257.73</v>
      </c>
      <c r="G902" s="17">
        <v>22527.47</v>
      </c>
      <c r="H902" s="17">
        <v>43467.3</v>
      </c>
      <c r="I902" s="17">
        <v>56883.35</v>
      </c>
      <c r="J902" s="17">
        <v>28832.89</v>
      </c>
    </row>
    <row r="903" spans="1:10" x14ac:dyDescent="0.25">
      <c r="A903" s="16" t="s">
        <v>1202</v>
      </c>
      <c r="B903" s="16" t="s">
        <v>547</v>
      </c>
      <c r="C903" s="16"/>
      <c r="D903" s="19"/>
      <c r="E903" s="19"/>
      <c r="F903" s="19"/>
      <c r="G903" s="17">
        <v>243023.86</v>
      </c>
      <c r="H903" s="17">
        <v>116482.91</v>
      </c>
      <c r="I903" s="19"/>
      <c r="J903" s="17">
        <v>169111.6</v>
      </c>
    </row>
    <row r="904" spans="1:10" x14ac:dyDescent="0.25">
      <c r="A904" s="16" t="s">
        <v>1202</v>
      </c>
      <c r="B904" s="16" t="s">
        <v>551</v>
      </c>
      <c r="C904" s="16"/>
      <c r="D904" s="19"/>
      <c r="E904" s="19"/>
      <c r="F904" s="19"/>
      <c r="G904" s="17">
        <v>12963.18</v>
      </c>
      <c r="H904" s="19"/>
      <c r="I904" s="17">
        <v>17150.86</v>
      </c>
      <c r="J904" s="19"/>
    </row>
    <row r="905" spans="1:10" x14ac:dyDescent="0.25">
      <c r="A905" s="16" t="s">
        <v>1202</v>
      </c>
      <c r="B905" s="16" t="s">
        <v>1445</v>
      </c>
      <c r="C905" s="16"/>
      <c r="D905" s="19"/>
      <c r="E905" s="19"/>
      <c r="F905" s="19"/>
      <c r="G905" s="19"/>
      <c r="H905" s="19"/>
      <c r="I905" s="17">
        <v>13336.81</v>
      </c>
      <c r="J905" s="19"/>
    </row>
    <row r="906" spans="1:10" x14ac:dyDescent="0.25">
      <c r="A906" s="16" t="s">
        <v>1202</v>
      </c>
      <c r="B906" s="16" t="s">
        <v>552</v>
      </c>
      <c r="C906" s="16"/>
      <c r="D906" s="17">
        <v>27644.35</v>
      </c>
      <c r="E906" s="17">
        <v>12157.62</v>
      </c>
      <c r="F906" s="17">
        <v>28813.94</v>
      </c>
      <c r="G906" s="19"/>
      <c r="H906" s="19"/>
      <c r="I906" s="17">
        <v>45436.87</v>
      </c>
      <c r="J906" s="17">
        <v>16988.77</v>
      </c>
    </row>
    <row r="907" spans="1:10" x14ac:dyDescent="0.25">
      <c r="A907" s="16" t="s">
        <v>1202</v>
      </c>
      <c r="B907" s="16" t="s">
        <v>554</v>
      </c>
      <c r="C907" s="16"/>
      <c r="D907" s="19"/>
      <c r="E907" s="17">
        <v>148979.43</v>
      </c>
      <c r="F907" s="19"/>
      <c r="G907" s="17">
        <v>74267.38</v>
      </c>
      <c r="H907" s="19"/>
      <c r="I907" s="17">
        <v>261124.45</v>
      </c>
      <c r="J907" s="17">
        <v>195122.98</v>
      </c>
    </row>
    <row r="908" spans="1:10" ht="22.5" x14ac:dyDescent="0.25">
      <c r="A908" s="16" t="s">
        <v>1202</v>
      </c>
      <c r="B908" s="16" t="s">
        <v>1267</v>
      </c>
      <c r="C908" s="16" t="s">
        <v>572</v>
      </c>
      <c r="D908" s="19"/>
      <c r="E908" s="17">
        <v>170864.25</v>
      </c>
      <c r="F908" s="17">
        <v>421959.21</v>
      </c>
      <c r="G908" s="17">
        <v>197770.63</v>
      </c>
      <c r="H908" s="17">
        <v>420342.49</v>
      </c>
      <c r="I908" s="17">
        <v>337425.06</v>
      </c>
      <c r="J908" s="17">
        <v>117857.74</v>
      </c>
    </row>
    <row r="909" spans="1:10" x14ac:dyDescent="0.25">
      <c r="A909" s="16" t="s">
        <v>1202</v>
      </c>
      <c r="B909" s="16" t="s">
        <v>555</v>
      </c>
      <c r="C909" s="16"/>
      <c r="D909" s="17">
        <v>73223.839999999997</v>
      </c>
      <c r="E909" s="19"/>
      <c r="F909" s="19"/>
      <c r="G909" s="19"/>
      <c r="H909" s="19"/>
      <c r="I909" s="19"/>
      <c r="J909" s="19"/>
    </row>
    <row r="910" spans="1:10" x14ac:dyDescent="0.25">
      <c r="A910" s="16" t="s">
        <v>1202</v>
      </c>
      <c r="B910" s="16" t="s">
        <v>556</v>
      </c>
      <c r="C910" s="16"/>
      <c r="D910" s="19"/>
      <c r="E910" s="19"/>
      <c r="F910" s="19"/>
      <c r="G910" s="17">
        <v>25056.22</v>
      </c>
      <c r="H910" s="17">
        <v>15115.61</v>
      </c>
      <c r="I910" s="17">
        <v>40507.79</v>
      </c>
      <c r="J910" s="17">
        <v>22706.49</v>
      </c>
    </row>
    <row r="911" spans="1:10" x14ac:dyDescent="0.25">
      <c r="A911" s="16" t="s">
        <v>1202</v>
      </c>
      <c r="B911" s="16" t="s">
        <v>557</v>
      </c>
      <c r="C911" s="16"/>
      <c r="D911" s="19"/>
      <c r="E911" s="19"/>
      <c r="F911" s="17">
        <v>173674.22</v>
      </c>
      <c r="G911" s="19"/>
      <c r="H911" s="19"/>
      <c r="I911" s="19"/>
      <c r="J911" s="17">
        <v>278384.40000000002</v>
      </c>
    </row>
    <row r="912" spans="1:10" x14ac:dyDescent="0.25">
      <c r="A912" s="16" t="s">
        <v>1202</v>
      </c>
      <c r="B912" s="16" t="s">
        <v>1319</v>
      </c>
      <c r="C912" s="16"/>
      <c r="D912" s="19"/>
      <c r="E912" s="19"/>
      <c r="F912" s="19"/>
      <c r="G912" s="17">
        <v>168929.73</v>
      </c>
      <c r="H912" s="17">
        <v>54454.44</v>
      </c>
      <c r="I912" s="17">
        <v>60079.55</v>
      </c>
      <c r="J912" s="17">
        <v>55644.43</v>
      </c>
    </row>
    <row r="913" spans="1:10" x14ac:dyDescent="0.25">
      <c r="A913" s="16" t="s">
        <v>1202</v>
      </c>
      <c r="B913" s="16" t="s">
        <v>562</v>
      </c>
      <c r="C913" s="16"/>
      <c r="D913" s="19"/>
      <c r="E913" s="17">
        <v>35352.400000000001</v>
      </c>
      <c r="F913" s="19"/>
      <c r="G913" s="19"/>
      <c r="H913" s="17">
        <v>30519.200000000001</v>
      </c>
      <c r="I913" s="19"/>
      <c r="J913" s="17">
        <v>26821.21</v>
      </c>
    </row>
    <row r="914" spans="1:10" x14ac:dyDescent="0.25">
      <c r="A914" s="16" t="s">
        <v>1202</v>
      </c>
      <c r="B914" s="16" t="s">
        <v>565</v>
      </c>
      <c r="C914" s="16"/>
      <c r="D914" s="17">
        <v>78853.039999999994</v>
      </c>
      <c r="E914" s="17">
        <v>42521.16</v>
      </c>
      <c r="F914" s="17">
        <v>108748.11</v>
      </c>
      <c r="G914" s="17">
        <v>99401.06</v>
      </c>
      <c r="H914" s="17">
        <v>54361.42</v>
      </c>
      <c r="I914" s="17">
        <v>301825.75</v>
      </c>
      <c r="J914" s="17">
        <v>135745.47</v>
      </c>
    </row>
    <row r="915" spans="1:10" ht="22.5" x14ac:dyDescent="0.25">
      <c r="A915" s="16" t="s">
        <v>1202</v>
      </c>
      <c r="B915" s="16" t="s">
        <v>1071</v>
      </c>
      <c r="C915" s="16" t="s">
        <v>549</v>
      </c>
      <c r="D915" s="17">
        <v>49195.96</v>
      </c>
      <c r="E915" s="17">
        <v>85619.35</v>
      </c>
      <c r="F915" s="17">
        <v>44997.65</v>
      </c>
      <c r="G915" s="17">
        <v>105740.13</v>
      </c>
      <c r="H915" s="17">
        <v>51433.96</v>
      </c>
      <c r="I915" s="17">
        <v>72800.84</v>
      </c>
      <c r="J915" s="17">
        <v>46057.9</v>
      </c>
    </row>
    <row r="916" spans="1:10" x14ac:dyDescent="0.25">
      <c r="A916" s="16" t="s">
        <v>1202</v>
      </c>
      <c r="B916" s="16" t="s">
        <v>1446</v>
      </c>
      <c r="C916" s="16"/>
      <c r="D916" s="19"/>
      <c r="E916" s="19"/>
      <c r="F916" s="19"/>
      <c r="G916" s="19"/>
      <c r="H916" s="19"/>
      <c r="I916" s="17">
        <v>180185.83</v>
      </c>
      <c r="J916" s="19"/>
    </row>
    <row r="917" spans="1:10" x14ac:dyDescent="0.25">
      <c r="A917" s="16" t="s">
        <v>1202</v>
      </c>
      <c r="B917" s="16" t="s">
        <v>566</v>
      </c>
      <c r="C917" s="16"/>
      <c r="D917" s="17">
        <v>11414.74</v>
      </c>
      <c r="E917" s="17">
        <v>43432.7</v>
      </c>
      <c r="F917" s="17">
        <v>12710.79</v>
      </c>
      <c r="G917" s="17">
        <v>21370.97</v>
      </c>
      <c r="H917" s="17">
        <v>11539.25</v>
      </c>
      <c r="I917" s="19"/>
      <c r="J917" s="17">
        <v>84807.84</v>
      </c>
    </row>
    <row r="918" spans="1:10" x14ac:dyDescent="0.25">
      <c r="A918" s="16" t="s">
        <v>1202</v>
      </c>
      <c r="B918" s="16" t="s">
        <v>567</v>
      </c>
      <c r="C918" s="16"/>
      <c r="D918" s="17">
        <v>35685.339999999997</v>
      </c>
      <c r="E918" s="17">
        <v>98037.94</v>
      </c>
      <c r="F918" s="17">
        <v>162915.53</v>
      </c>
      <c r="G918" s="17">
        <v>49811.839999999997</v>
      </c>
      <c r="H918" s="17">
        <v>561656.01</v>
      </c>
      <c r="I918" s="17">
        <v>749763.69</v>
      </c>
      <c r="J918" s="17">
        <v>192064.46</v>
      </c>
    </row>
    <row r="919" spans="1:10" x14ac:dyDescent="0.25">
      <c r="A919" s="16" t="s">
        <v>1202</v>
      </c>
      <c r="B919" s="16" t="s">
        <v>1073</v>
      </c>
      <c r="C919" s="16"/>
      <c r="D919" s="17">
        <v>109043.44</v>
      </c>
      <c r="E919" s="19"/>
      <c r="F919" s="19"/>
      <c r="G919" s="19"/>
      <c r="H919" s="17">
        <v>185201.54</v>
      </c>
      <c r="I919" s="17">
        <v>300073.12</v>
      </c>
      <c r="J919" s="17">
        <v>195357.1</v>
      </c>
    </row>
    <row r="920" spans="1:10" x14ac:dyDescent="0.25">
      <c r="A920" s="16" t="s">
        <v>1202</v>
      </c>
      <c r="B920" s="16" t="s">
        <v>1321</v>
      </c>
      <c r="C920" s="16"/>
      <c r="D920" s="19"/>
      <c r="E920" s="19"/>
      <c r="F920" s="19"/>
      <c r="G920" s="17">
        <v>14948.46</v>
      </c>
      <c r="H920" s="19"/>
      <c r="I920" s="19"/>
      <c r="J920" s="19"/>
    </row>
    <row r="921" spans="1:10" x14ac:dyDescent="0.25">
      <c r="A921" s="16" t="s">
        <v>1202</v>
      </c>
      <c r="B921" s="16" t="s">
        <v>570</v>
      </c>
      <c r="C921" s="16"/>
      <c r="D921" s="19"/>
      <c r="E921" s="19"/>
      <c r="F921" s="17">
        <v>67841.53</v>
      </c>
      <c r="G921" s="19"/>
      <c r="H921" s="17">
        <v>24478.47</v>
      </c>
      <c r="I921" s="17">
        <v>343403.46</v>
      </c>
      <c r="J921" s="17">
        <v>26268.959999999999</v>
      </c>
    </row>
    <row r="922" spans="1:10" x14ac:dyDescent="0.25">
      <c r="A922" s="16" t="s">
        <v>1202</v>
      </c>
      <c r="B922" s="16" t="s">
        <v>1078</v>
      </c>
      <c r="C922" s="16" t="s">
        <v>561</v>
      </c>
      <c r="D922" s="19"/>
      <c r="E922" s="19"/>
      <c r="F922" s="17">
        <v>33105.269999999997</v>
      </c>
      <c r="G922" s="19"/>
      <c r="H922" s="19"/>
      <c r="I922" s="19"/>
      <c r="J922" s="19"/>
    </row>
    <row r="923" spans="1:10" x14ac:dyDescent="0.25">
      <c r="A923" s="16" t="s">
        <v>1202</v>
      </c>
      <c r="B923" s="16" t="s">
        <v>1322</v>
      </c>
      <c r="C923" s="16"/>
      <c r="D923" s="19"/>
      <c r="E923" s="19"/>
      <c r="F923" s="19"/>
      <c r="G923" s="17">
        <v>466581.22</v>
      </c>
      <c r="H923" s="17">
        <v>277941.18</v>
      </c>
      <c r="I923" s="17">
        <v>405516.21</v>
      </c>
      <c r="J923" s="17">
        <v>63619.99</v>
      </c>
    </row>
    <row r="924" spans="1:10" x14ac:dyDescent="0.25">
      <c r="A924" s="16" t="s">
        <v>1202</v>
      </c>
      <c r="B924" s="16" t="s">
        <v>1081</v>
      </c>
      <c r="C924" s="16" t="s">
        <v>572</v>
      </c>
      <c r="D924" s="17">
        <v>1230208.6200000001</v>
      </c>
      <c r="E924" s="17">
        <v>1998358.81</v>
      </c>
      <c r="F924" s="17">
        <v>3393039.57</v>
      </c>
      <c r="G924" s="17">
        <v>3355784.88</v>
      </c>
      <c r="H924" s="17">
        <v>2864488.6</v>
      </c>
      <c r="I924" s="17">
        <v>3651564.51</v>
      </c>
      <c r="J924" s="17">
        <v>2610630.34</v>
      </c>
    </row>
    <row r="925" spans="1:10" x14ac:dyDescent="0.25">
      <c r="A925" s="16" t="s">
        <v>1202</v>
      </c>
      <c r="B925" s="16" t="s">
        <v>1082</v>
      </c>
      <c r="C925" s="16" t="s">
        <v>548</v>
      </c>
      <c r="D925" s="17">
        <v>631980.77</v>
      </c>
      <c r="E925" s="17">
        <v>22103.7</v>
      </c>
      <c r="F925" s="19"/>
      <c r="G925" s="19"/>
      <c r="H925" s="17">
        <v>122237.89</v>
      </c>
      <c r="I925" s="17">
        <v>108110.06</v>
      </c>
      <c r="J925" s="19"/>
    </row>
    <row r="926" spans="1:10" x14ac:dyDescent="0.25">
      <c r="A926" s="16" t="s">
        <v>1202</v>
      </c>
      <c r="B926" s="16" t="s">
        <v>573</v>
      </c>
      <c r="C926" s="16"/>
      <c r="D926" s="17">
        <v>264377.52</v>
      </c>
      <c r="E926" s="19"/>
      <c r="F926" s="17">
        <v>55666.64</v>
      </c>
      <c r="G926" s="17">
        <v>107927.28</v>
      </c>
      <c r="H926" s="17">
        <v>726132.27</v>
      </c>
      <c r="I926" s="17">
        <v>272295.12</v>
      </c>
      <c r="J926" s="17">
        <v>137717.95000000001</v>
      </c>
    </row>
    <row r="927" spans="1:10" x14ac:dyDescent="0.25">
      <c r="A927" s="16" t="s">
        <v>1202</v>
      </c>
      <c r="B927" s="16" t="s">
        <v>574</v>
      </c>
      <c r="C927" s="16"/>
      <c r="D927" s="17">
        <v>1960785.79</v>
      </c>
      <c r="E927" s="17">
        <v>2419520.63</v>
      </c>
      <c r="F927" s="17">
        <v>3021877.36</v>
      </c>
      <c r="G927" s="17">
        <v>2602111.1800000002</v>
      </c>
      <c r="H927" s="17">
        <v>3369041.28</v>
      </c>
      <c r="I927" s="17">
        <v>4385120.49</v>
      </c>
      <c r="J927" s="17">
        <v>3265826.78</v>
      </c>
    </row>
    <row r="928" spans="1:10" ht="22.5" x14ac:dyDescent="0.25">
      <c r="A928" s="16" t="s">
        <v>1202</v>
      </c>
      <c r="B928" s="16" t="s">
        <v>1083</v>
      </c>
      <c r="C928" s="16" t="s">
        <v>574</v>
      </c>
      <c r="D928" s="17">
        <v>20613.8</v>
      </c>
      <c r="E928" s="17">
        <v>44320.4</v>
      </c>
      <c r="F928" s="17">
        <v>75268.86</v>
      </c>
      <c r="G928" s="17">
        <v>178215.15</v>
      </c>
      <c r="H928" s="17">
        <v>186209.07</v>
      </c>
      <c r="I928" s="17">
        <v>495342.59</v>
      </c>
      <c r="J928" s="17">
        <v>689967.92</v>
      </c>
    </row>
    <row r="929" spans="1:10" x14ac:dyDescent="0.25">
      <c r="A929" s="16" t="s">
        <v>1202</v>
      </c>
      <c r="B929" s="16" t="s">
        <v>1084</v>
      </c>
      <c r="C929" s="16" t="s">
        <v>564</v>
      </c>
      <c r="D929" s="19"/>
      <c r="E929" s="17">
        <v>137786.79999999999</v>
      </c>
      <c r="F929" s="17">
        <v>80239.009999999995</v>
      </c>
      <c r="G929" s="17">
        <v>114449.69</v>
      </c>
      <c r="H929" s="17">
        <v>376036.08</v>
      </c>
      <c r="I929" s="17">
        <v>74508.990000000005</v>
      </c>
      <c r="J929" s="19"/>
    </row>
    <row r="930" spans="1:10" x14ac:dyDescent="0.25">
      <c r="A930" s="16" t="s">
        <v>1202</v>
      </c>
      <c r="B930" s="16" t="s">
        <v>575</v>
      </c>
      <c r="C930" s="16"/>
      <c r="D930" s="17">
        <v>177111.11</v>
      </c>
      <c r="E930" s="17">
        <v>145835.19</v>
      </c>
      <c r="F930" s="17">
        <v>161981.35999999999</v>
      </c>
      <c r="G930" s="17">
        <v>324951.65000000002</v>
      </c>
      <c r="H930" s="17">
        <v>719955.4</v>
      </c>
      <c r="I930" s="17">
        <v>778217.98</v>
      </c>
      <c r="J930" s="17">
        <v>270731.11</v>
      </c>
    </row>
    <row r="931" spans="1:10" x14ac:dyDescent="0.25">
      <c r="A931" s="16" t="s">
        <v>1202</v>
      </c>
      <c r="B931" s="16" t="s">
        <v>576</v>
      </c>
      <c r="C931" s="16"/>
      <c r="D931" s="17">
        <v>43837.47</v>
      </c>
      <c r="E931" s="19"/>
      <c r="F931" s="19"/>
      <c r="G931" s="19"/>
      <c r="H931" s="19"/>
      <c r="I931" s="17">
        <v>184520.62</v>
      </c>
      <c r="J931" s="19"/>
    </row>
    <row r="932" spans="1:10" x14ac:dyDescent="0.25">
      <c r="A932" s="16" t="s">
        <v>1202</v>
      </c>
      <c r="B932" s="16" t="s">
        <v>577</v>
      </c>
      <c r="C932" s="16"/>
      <c r="D932" s="19"/>
      <c r="E932" s="17">
        <v>105879.76</v>
      </c>
      <c r="F932" s="19"/>
      <c r="G932" s="19"/>
      <c r="H932" s="19"/>
      <c r="I932" s="19"/>
      <c r="J932" s="19"/>
    </row>
    <row r="933" spans="1:10" x14ac:dyDescent="0.25">
      <c r="A933" s="16" t="s">
        <v>1202</v>
      </c>
      <c r="B933" s="16" t="s">
        <v>1203</v>
      </c>
      <c r="C933" s="16" t="s">
        <v>574</v>
      </c>
      <c r="D933" s="17">
        <v>95209.21</v>
      </c>
      <c r="E933" s="17">
        <v>30502.959999999999</v>
      </c>
      <c r="F933" s="17">
        <v>42064.3</v>
      </c>
      <c r="G933" s="17">
        <v>168413.34</v>
      </c>
      <c r="H933" s="17">
        <v>66240.52</v>
      </c>
      <c r="I933" s="17">
        <v>338039.13</v>
      </c>
      <c r="J933" s="17">
        <v>114525.87</v>
      </c>
    </row>
    <row r="934" spans="1:10" x14ac:dyDescent="0.25">
      <c r="A934" s="16" t="s">
        <v>1202</v>
      </c>
      <c r="B934" s="16" t="s">
        <v>578</v>
      </c>
      <c r="C934" s="16"/>
      <c r="D934" s="17">
        <v>32104.53</v>
      </c>
      <c r="E934" s="17">
        <v>111985.76</v>
      </c>
      <c r="F934" s="17">
        <v>22386.46</v>
      </c>
      <c r="G934" s="19"/>
      <c r="H934" s="19"/>
      <c r="I934" s="19"/>
      <c r="J934" s="17">
        <v>38459.97</v>
      </c>
    </row>
    <row r="935" spans="1:10" x14ac:dyDescent="0.25">
      <c r="A935" s="16" t="s">
        <v>1202</v>
      </c>
      <c r="B935" s="16" t="s">
        <v>579</v>
      </c>
      <c r="C935" s="16"/>
      <c r="D935" s="19"/>
      <c r="E935" s="17">
        <v>48778.85</v>
      </c>
      <c r="F935" s="17">
        <v>68906.100000000006</v>
      </c>
      <c r="G935" s="19"/>
      <c r="H935" s="17">
        <v>84912.8</v>
      </c>
      <c r="I935" s="19"/>
      <c r="J935" s="17">
        <v>84374.78</v>
      </c>
    </row>
    <row r="936" spans="1:10" x14ac:dyDescent="0.25">
      <c r="A936" s="16" t="s">
        <v>1202</v>
      </c>
      <c r="B936" s="16" t="s">
        <v>580</v>
      </c>
      <c r="C936" s="16"/>
      <c r="D936" s="17">
        <v>34646.720000000001</v>
      </c>
      <c r="E936" s="17">
        <v>39684.629999999997</v>
      </c>
      <c r="F936" s="17">
        <v>41438.44</v>
      </c>
      <c r="G936" s="17">
        <v>62957.29</v>
      </c>
      <c r="H936" s="17">
        <v>40166.49</v>
      </c>
      <c r="I936" s="17">
        <v>147251.28</v>
      </c>
      <c r="J936" s="17">
        <v>84179.15</v>
      </c>
    </row>
    <row r="937" spans="1:10" x14ac:dyDescent="0.25">
      <c r="A937" s="16" t="s">
        <v>1202</v>
      </c>
      <c r="B937" s="16" t="s">
        <v>1088</v>
      </c>
      <c r="C937" s="16" t="s">
        <v>581</v>
      </c>
      <c r="D937" s="17">
        <v>22370.29</v>
      </c>
      <c r="E937" s="17">
        <v>3921.74</v>
      </c>
      <c r="F937" s="17">
        <v>15349.34</v>
      </c>
      <c r="G937" s="17">
        <v>22861.15</v>
      </c>
      <c r="H937" s="17">
        <v>8725.6299999999992</v>
      </c>
      <c r="I937" s="17">
        <v>69122.25</v>
      </c>
      <c r="J937" s="17">
        <v>64240.38</v>
      </c>
    </row>
    <row r="938" spans="1:10" x14ac:dyDescent="0.25">
      <c r="A938" s="16" t="s">
        <v>1202</v>
      </c>
      <c r="B938" s="16" t="s">
        <v>1089</v>
      </c>
      <c r="C938" s="16" t="s">
        <v>572</v>
      </c>
      <c r="D938" s="17">
        <v>125273.44</v>
      </c>
      <c r="E938" s="17">
        <v>389074.09</v>
      </c>
      <c r="F938" s="17">
        <v>190536.88</v>
      </c>
      <c r="G938" s="17">
        <v>344198.73</v>
      </c>
      <c r="H938" s="17">
        <v>367898.51</v>
      </c>
      <c r="I938" s="17">
        <v>538456.34</v>
      </c>
      <c r="J938" s="17">
        <v>307079.45</v>
      </c>
    </row>
    <row r="939" spans="1:10" x14ac:dyDescent="0.25">
      <c r="A939" s="16" t="s">
        <v>1202</v>
      </c>
      <c r="B939" s="16" t="s">
        <v>1323</v>
      </c>
      <c r="C939" s="16"/>
      <c r="D939" s="19"/>
      <c r="E939" s="19"/>
      <c r="F939" s="19"/>
      <c r="G939" s="17">
        <v>24816.92</v>
      </c>
      <c r="H939" s="19"/>
      <c r="I939" s="19"/>
      <c r="J939" s="19"/>
    </row>
    <row r="940" spans="1:10" x14ac:dyDescent="0.25">
      <c r="A940" s="16" t="s">
        <v>1202</v>
      </c>
      <c r="B940" s="16" t="s">
        <v>582</v>
      </c>
      <c r="C940" s="16"/>
      <c r="D940" s="17">
        <v>22358.51</v>
      </c>
      <c r="E940" s="19"/>
      <c r="F940" s="19"/>
      <c r="G940" s="19"/>
      <c r="H940" s="19"/>
      <c r="I940" s="19"/>
      <c r="J940" s="19"/>
    </row>
    <row r="941" spans="1:10" x14ac:dyDescent="0.25">
      <c r="A941" s="16" t="s">
        <v>1399</v>
      </c>
      <c r="B941" s="16" t="s">
        <v>1218</v>
      </c>
      <c r="C941" s="16"/>
      <c r="D941" s="19"/>
      <c r="E941" s="17">
        <v>26652.400000000001</v>
      </c>
      <c r="F941" s="19"/>
      <c r="G941" s="19"/>
      <c r="H941" s="19"/>
      <c r="I941" s="19"/>
      <c r="J941" s="19"/>
    </row>
    <row r="942" spans="1:10" x14ac:dyDescent="0.25">
      <c r="A942" s="16" t="s">
        <v>1268</v>
      </c>
      <c r="B942" s="16" t="s">
        <v>1053</v>
      </c>
      <c r="C942" s="16" t="s">
        <v>563</v>
      </c>
      <c r="D942" s="17">
        <v>3526.18</v>
      </c>
      <c r="E942" s="19"/>
      <c r="F942" s="19"/>
      <c r="G942" s="17">
        <v>11597.02</v>
      </c>
      <c r="H942" s="19"/>
      <c r="I942" s="19"/>
      <c r="J942" s="19"/>
    </row>
    <row r="943" spans="1:10" x14ac:dyDescent="0.25">
      <c r="A943" s="16" t="s">
        <v>1268</v>
      </c>
      <c r="B943" s="16" t="s">
        <v>771</v>
      </c>
      <c r="C943" s="16" t="s">
        <v>1080</v>
      </c>
      <c r="D943" s="19"/>
      <c r="E943" s="17">
        <v>51173.32</v>
      </c>
      <c r="F943" s="19"/>
      <c r="G943" s="19"/>
      <c r="H943" s="17">
        <v>9453.2099999999991</v>
      </c>
      <c r="I943" s="19"/>
      <c r="J943" s="19"/>
    </row>
    <row r="944" spans="1:10" x14ac:dyDescent="0.25">
      <c r="A944" s="16" t="s">
        <v>1268</v>
      </c>
      <c r="B944" s="16" t="s">
        <v>1269</v>
      </c>
      <c r="C944" s="16"/>
      <c r="D944" s="19"/>
      <c r="E944" s="19"/>
      <c r="F944" s="17">
        <v>11047.06</v>
      </c>
      <c r="G944" s="19"/>
      <c r="H944" s="19"/>
      <c r="I944" s="19"/>
      <c r="J944" s="19"/>
    </row>
    <row r="945" spans="1:10" x14ac:dyDescent="0.25">
      <c r="A945" s="16" t="s">
        <v>1268</v>
      </c>
      <c r="B945" s="16" t="s">
        <v>636</v>
      </c>
      <c r="C945" s="16"/>
      <c r="D945" s="19"/>
      <c r="E945" s="17">
        <v>136955.01999999999</v>
      </c>
      <c r="F945" s="17">
        <v>35123.279999999999</v>
      </c>
      <c r="G945" s="19"/>
      <c r="H945" s="17">
        <v>75396.710000000006</v>
      </c>
      <c r="I945" s="19"/>
      <c r="J945" s="19"/>
    </row>
    <row r="946" spans="1:10" x14ac:dyDescent="0.25">
      <c r="A946" s="16" t="s">
        <v>1268</v>
      </c>
      <c r="B946" s="16" t="s">
        <v>637</v>
      </c>
      <c r="C946" s="16"/>
      <c r="D946" s="19"/>
      <c r="E946" s="17">
        <v>78331.899999999994</v>
      </c>
      <c r="F946" s="19"/>
      <c r="G946" s="19"/>
      <c r="H946" s="19"/>
      <c r="I946" s="17">
        <v>26562.6</v>
      </c>
      <c r="J946" s="19"/>
    </row>
    <row r="947" spans="1:10" x14ac:dyDescent="0.25">
      <c r="A947" s="16" t="s">
        <v>1268</v>
      </c>
      <c r="B947" s="16" t="s">
        <v>1372</v>
      </c>
      <c r="C947" s="16"/>
      <c r="D947" s="17">
        <v>18480.43</v>
      </c>
      <c r="E947" s="17">
        <v>23990.03</v>
      </c>
      <c r="F947" s="17">
        <v>31552.75</v>
      </c>
      <c r="G947" s="17">
        <v>24861.42</v>
      </c>
      <c r="H947" s="19"/>
      <c r="I947" s="19"/>
      <c r="J947" s="19"/>
    </row>
    <row r="948" spans="1:10" x14ac:dyDescent="0.25">
      <c r="A948" s="16" t="s">
        <v>1268</v>
      </c>
      <c r="B948" s="16" t="s">
        <v>638</v>
      </c>
      <c r="C948" s="16"/>
      <c r="D948" s="17">
        <v>31077.17</v>
      </c>
      <c r="E948" s="17">
        <v>48438.400000000001</v>
      </c>
      <c r="F948" s="17">
        <v>34782.28</v>
      </c>
      <c r="G948" s="17">
        <v>99043.23</v>
      </c>
      <c r="H948" s="17">
        <v>149496.68</v>
      </c>
      <c r="I948" s="17">
        <v>75369.81</v>
      </c>
      <c r="J948" s="17">
        <v>67889.759999999995</v>
      </c>
    </row>
    <row r="949" spans="1:10" x14ac:dyDescent="0.25">
      <c r="A949" s="16" t="s">
        <v>1268</v>
      </c>
      <c r="B949" s="16" t="s">
        <v>1373</v>
      </c>
      <c r="C949" s="16"/>
      <c r="D949" s="19"/>
      <c r="E949" s="17">
        <v>29362.18</v>
      </c>
      <c r="F949" s="19"/>
      <c r="G949" s="19"/>
      <c r="H949" s="19"/>
      <c r="I949" s="17">
        <v>41710.699999999997</v>
      </c>
      <c r="J949" s="19"/>
    </row>
    <row r="950" spans="1:10" x14ac:dyDescent="0.25">
      <c r="A950" s="16" t="s">
        <v>1268</v>
      </c>
      <c r="B950" s="16" t="s">
        <v>1217</v>
      </c>
      <c r="C950" s="16"/>
      <c r="D950" s="19"/>
      <c r="E950" s="17">
        <v>18457.59</v>
      </c>
      <c r="F950" s="17">
        <v>83910.68</v>
      </c>
      <c r="G950" s="17">
        <v>38889.65</v>
      </c>
      <c r="H950" s="17">
        <v>37137.81</v>
      </c>
      <c r="I950" s="17">
        <v>30424.31</v>
      </c>
      <c r="J950" s="17">
        <v>119994.61</v>
      </c>
    </row>
    <row r="951" spans="1:10" x14ac:dyDescent="0.25">
      <c r="A951" s="16" t="s">
        <v>1268</v>
      </c>
      <c r="B951" s="16" t="s">
        <v>1059</v>
      </c>
      <c r="C951" s="16" t="s">
        <v>639</v>
      </c>
      <c r="D951" s="19"/>
      <c r="E951" s="19"/>
      <c r="F951" s="19"/>
      <c r="G951" s="19"/>
      <c r="H951" s="19"/>
      <c r="I951" s="17">
        <v>16433.22</v>
      </c>
      <c r="J951" s="19"/>
    </row>
    <row r="952" spans="1:10" x14ac:dyDescent="0.25">
      <c r="A952" s="16" t="s">
        <v>1268</v>
      </c>
      <c r="B952" s="16" t="s">
        <v>640</v>
      </c>
      <c r="C952" s="16"/>
      <c r="D952" s="17">
        <v>69283.399999999994</v>
      </c>
      <c r="E952" s="19"/>
      <c r="F952" s="17">
        <v>57063.44</v>
      </c>
      <c r="G952" s="19"/>
      <c r="H952" s="17">
        <v>43648.78</v>
      </c>
      <c r="I952" s="19"/>
      <c r="J952" s="19"/>
    </row>
    <row r="953" spans="1:10" x14ac:dyDescent="0.25">
      <c r="A953" s="16" t="s">
        <v>1268</v>
      </c>
      <c r="B953" s="16" t="s">
        <v>641</v>
      </c>
      <c r="C953" s="16"/>
      <c r="D953" s="19"/>
      <c r="E953" s="19"/>
      <c r="F953" s="19"/>
      <c r="G953" s="19"/>
      <c r="H953" s="19"/>
      <c r="I953" s="17">
        <v>17580.97</v>
      </c>
      <c r="J953" s="17">
        <v>16500</v>
      </c>
    </row>
    <row r="954" spans="1:10" x14ac:dyDescent="0.25">
      <c r="A954" s="16" t="s">
        <v>1268</v>
      </c>
      <c r="B954" s="16" t="s">
        <v>1447</v>
      </c>
      <c r="C954" s="16"/>
      <c r="D954" s="19"/>
      <c r="E954" s="19"/>
      <c r="F954" s="19"/>
      <c r="G954" s="19"/>
      <c r="H954" s="19"/>
      <c r="I954" s="17">
        <v>488105.96</v>
      </c>
      <c r="J954" s="17">
        <v>987982.07</v>
      </c>
    </row>
    <row r="955" spans="1:10" x14ac:dyDescent="0.25">
      <c r="A955" s="16" t="s">
        <v>1268</v>
      </c>
      <c r="B955" s="16" t="s">
        <v>1061</v>
      </c>
      <c r="C955" s="16"/>
      <c r="D955" s="17">
        <v>1468.37</v>
      </c>
      <c r="E955" s="17">
        <v>58234.89</v>
      </c>
      <c r="F955" s="19"/>
      <c r="G955" s="17">
        <v>61103.14</v>
      </c>
      <c r="H955" s="19"/>
      <c r="I955" s="19"/>
      <c r="J955" s="19"/>
    </row>
    <row r="956" spans="1:10" x14ac:dyDescent="0.25">
      <c r="A956" s="16" t="s">
        <v>1268</v>
      </c>
      <c r="B956" s="16" t="s">
        <v>558</v>
      </c>
      <c r="C956" s="16"/>
      <c r="D956" s="17">
        <v>45833.45</v>
      </c>
      <c r="E956" s="19"/>
      <c r="F956" s="17">
        <v>54810.25</v>
      </c>
      <c r="G956" s="17">
        <v>106987.77</v>
      </c>
      <c r="H956" s="19"/>
      <c r="I956" s="19"/>
      <c r="J956" s="19"/>
    </row>
    <row r="957" spans="1:10" x14ac:dyDescent="0.25">
      <c r="A957" s="16" t="s">
        <v>1268</v>
      </c>
      <c r="B957" s="16" t="s">
        <v>643</v>
      </c>
      <c r="C957" s="16"/>
      <c r="D957" s="19"/>
      <c r="E957" s="17">
        <v>133528.95000000001</v>
      </c>
      <c r="F957" s="19"/>
      <c r="G957" s="19"/>
      <c r="H957" s="19"/>
      <c r="I957" s="19"/>
      <c r="J957" s="17">
        <v>47320.94</v>
      </c>
    </row>
    <row r="958" spans="1:10" x14ac:dyDescent="0.25">
      <c r="A958" s="16" t="s">
        <v>1268</v>
      </c>
      <c r="B958" s="16" t="s">
        <v>645</v>
      </c>
      <c r="C958" s="16"/>
      <c r="D958" s="19"/>
      <c r="E958" s="17">
        <v>16356.46</v>
      </c>
      <c r="F958" s="17">
        <v>15455.71</v>
      </c>
      <c r="G958" s="17">
        <v>16481.509999999998</v>
      </c>
      <c r="H958" s="17">
        <v>47004.94</v>
      </c>
      <c r="I958" s="17">
        <v>24460.23</v>
      </c>
      <c r="J958" s="17">
        <v>59169.919999999998</v>
      </c>
    </row>
    <row r="959" spans="1:10" x14ac:dyDescent="0.25">
      <c r="A959" s="16" t="s">
        <v>1268</v>
      </c>
      <c r="B959" s="16" t="s">
        <v>559</v>
      </c>
      <c r="C959" s="16"/>
      <c r="D959" s="19"/>
      <c r="E959" s="19"/>
      <c r="F959" s="17">
        <v>331037.55</v>
      </c>
      <c r="G959" s="19"/>
      <c r="H959" s="17">
        <v>320978</v>
      </c>
      <c r="I959" s="19"/>
      <c r="J959" s="17">
        <v>284646.8</v>
      </c>
    </row>
    <row r="960" spans="1:10" x14ac:dyDescent="0.25">
      <c r="A960" s="16" t="s">
        <v>1268</v>
      </c>
      <c r="B960" s="16" t="s">
        <v>560</v>
      </c>
      <c r="C960" s="16"/>
      <c r="D960" s="19"/>
      <c r="E960" s="19"/>
      <c r="F960" s="17">
        <v>7089.74</v>
      </c>
      <c r="G960" s="17">
        <v>20274.05</v>
      </c>
      <c r="H960" s="17">
        <v>15660.53</v>
      </c>
      <c r="I960" s="19"/>
      <c r="J960" s="17">
        <v>38619.39</v>
      </c>
    </row>
    <row r="961" spans="1:10" x14ac:dyDescent="0.25">
      <c r="A961" s="16" t="s">
        <v>1268</v>
      </c>
      <c r="B961" s="16" t="s">
        <v>646</v>
      </c>
      <c r="C961" s="16"/>
      <c r="D961" s="19"/>
      <c r="E961" s="19"/>
      <c r="F961" s="19"/>
      <c r="G961" s="17">
        <v>119577.77</v>
      </c>
      <c r="H961" s="19"/>
      <c r="I961" s="19"/>
      <c r="J961" s="19"/>
    </row>
    <row r="962" spans="1:10" x14ac:dyDescent="0.25">
      <c r="A962" s="16" t="s">
        <v>1268</v>
      </c>
      <c r="B962" s="16" t="s">
        <v>647</v>
      </c>
      <c r="C962" s="16"/>
      <c r="D962" s="19"/>
      <c r="E962" s="17">
        <v>32689.42</v>
      </c>
      <c r="F962" s="19"/>
      <c r="G962" s="19"/>
      <c r="H962" s="19"/>
      <c r="I962" s="19"/>
      <c r="J962" s="19"/>
    </row>
    <row r="963" spans="1:10" x14ac:dyDescent="0.25">
      <c r="A963" s="16" t="s">
        <v>1268</v>
      </c>
      <c r="B963" s="16" t="s">
        <v>563</v>
      </c>
      <c r="C963" s="16"/>
      <c r="D963" s="19"/>
      <c r="E963" s="17">
        <v>26584.12</v>
      </c>
      <c r="F963" s="19"/>
      <c r="G963" s="19"/>
      <c r="H963" s="17">
        <v>36626.54</v>
      </c>
      <c r="I963" s="17">
        <v>51641.919999999998</v>
      </c>
      <c r="J963" s="17">
        <v>44363.23</v>
      </c>
    </row>
    <row r="964" spans="1:10" x14ac:dyDescent="0.25">
      <c r="A964" s="16" t="s">
        <v>1268</v>
      </c>
      <c r="B964" s="16" t="s">
        <v>1374</v>
      </c>
      <c r="C964" s="16" t="s">
        <v>563</v>
      </c>
      <c r="D964" s="19"/>
      <c r="E964" s="19"/>
      <c r="F964" s="19"/>
      <c r="G964" s="19"/>
      <c r="H964" s="17">
        <v>3486.66</v>
      </c>
      <c r="I964" s="19"/>
      <c r="J964" s="19"/>
    </row>
    <row r="965" spans="1:10" x14ac:dyDescent="0.25">
      <c r="A965" s="16" t="s">
        <v>1268</v>
      </c>
      <c r="B965" s="16" t="s">
        <v>1069</v>
      </c>
      <c r="C965" s="16" t="s">
        <v>569</v>
      </c>
      <c r="D965" s="17">
        <v>35414.1</v>
      </c>
      <c r="E965" s="19"/>
      <c r="F965" s="17">
        <v>32891.14</v>
      </c>
      <c r="G965" s="17">
        <v>30087.759999999998</v>
      </c>
      <c r="H965" s="19"/>
      <c r="I965" s="17">
        <v>51398.77</v>
      </c>
      <c r="J965" s="19"/>
    </row>
    <row r="966" spans="1:10" x14ac:dyDescent="0.25">
      <c r="A966" s="16" t="s">
        <v>1268</v>
      </c>
      <c r="B966" s="16" t="s">
        <v>648</v>
      </c>
      <c r="C966" s="16"/>
      <c r="D966" s="19"/>
      <c r="E966" s="17">
        <v>22149.65</v>
      </c>
      <c r="F966" s="19"/>
      <c r="G966" s="19"/>
      <c r="H966" s="17">
        <v>48698.12</v>
      </c>
      <c r="I966" s="19"/>
      <c r="J966" s="17">
        <v>14599.8</v>
      </c>
    </row>
    <row r="967" spans="1:10" x14ac:dyDescent="0.25">
      <c r="A967" s="16" t="s">
        <v>1268</v>
      </c>
      <c r="B967" s="16" t="s">
        <v>649</v>
      </c>
      <c r="C967" s="16"/>
      <c r="D967" s="17">
        <v>17657.39</v>
      </c>
      <c r="E967" s="19"/>
      <c r="F967" s="17">
        <v>13577.2</v>
      </c>
      <c r="G967" s="19"/>
      <c r="H967" s="17">
        <v>21616.39</v>
      </c>
      <c r="I967" s="19"/>
      <c r="J967" s="19"/>
    </row>
    <row r="968" spans="1:10" x14ac:dyDescent="0.25">
      <c r="A968" s="16" t="s">
        <v>1268</v>
      </c>
      <c r="B968" s="16" t="s">
        <v>650</v>
      </c>
      <c r="C968" s="16"/>
      <c r="D968" s="19"/>
      <c r="E968" s="19"/>
      <c r="F968" s="17">
        <v>5392.43</v>
      </c>
      <c r="G968" s="19"/>
      <c r="H968" s="19"/>
      <c r="I968" s="19"/>
      <c r="J968" s="17">
        <v>11183.81</v>
      </c>
    </row>
    <row r="969" spans="1:10" x14ac:dyDescent="0.25">
      <c r="A969" s="16" t="s">
        <v>1268</v>
      </c>
      <c r="B969" s="16" t="s">
        <v>568</v>
      </c>
      <c r="C969" s="16"/>
      <c r="D969" s="17">
        <v>485979.64</v>
      </c>
      <c r="E969" s="17">
        <v>439759.77</v>
      </c>
      <c r="F969" s="17">
        <v>461072.72</v>
      </c>
      <c r="G969" s="17">
        <v>569172.47</v>
      </c>
      <c r="H969" s="17">
        <v>434258.68</v>
      </c>
      <c r="I969" s="17">
        <v>1026566.34</v>
      </c>
      <c r="J969" s="17">
        <v>779610.68</v>
      </c>
    </row>
    <row r="970" spans="1:10" x14ac:dyDescent="0.25">
      <c r="A970" s="16" t="s">
        <v>1268</v>
      </c>
      <c r="B970" s="16" t="s">
        <v>651</v>
      </c>
      <c r="C970" s="16"/>
      <c r="D970" s="19"/>
      <c r="E970" s="17">
        <v>21229.73</v>
      </c>
      <c r="F970" s="17">
        <v>70439.039999999994</v>
      </c>
      <c r="G970" s="19"/>
      <c r="H970" s="17">
        <v>50924.53</v>
      </c>
      <c r="I970" s="17">
        <v>66066.12</v>
      </c>
      <c r="J970" s="17">
        <v>87580.03</v>
      </c>
    </row>
    <row r="971" spans="1:10" x14ac:dyDescent="0.25">
      <c r="A971" s="16" t="s">
        <v>1268</v>
      </c>
      <c r="B971" s="16" t="s">
        <v>1074</v>
      </c>
      <c r="C971" s="16"/>
      <c r="D971" s="17">
        <v>21047.74</v>
      </c>
      <c r="E971" s="19"/>
      <c r="F971" s="19"/>
      <c r="G971" s="19"/>
      <c r="H971" s="17">
        <v>43260.22</v>
      </c>
      <c r="I971" s="17">
        <v>43340.01</v>
      </c>
      <c r="J971" s="19"/>
    </row>
    <row r="972" spans="1:10" x14ac:dyDescent="0.25">
      <c r="A972" s="16" t="s">
        <v>1268</v>
      </c>
      <c r="B972" s="16" t="s">
        <v>652</v>
      </c>
      <c r="C972" s="16"/>
      <c r="D972" s="19"/>
      <c r="E972" s="19"/>
      <c r="F972" s="17">
        <v>13148.42</v>
      </c>
      <c r="G972" s="17">
        <v>31294.67</v>
      </c>
      <c r="H972" s="19"/>
      <c r="I972" s="19"/>
      <c r="J972" s="17">
        <v>7847.22</v>
      </c>
    </row>
    <row r="973" spans="1:10" x14ac:dyDescent="0.25">
      <c r="A973" s="16" t="s">
        <v>1268</v>
      </c>
      <c r="B973" s="16" t="s">
        <v>1075</v>
      </c>
      <c r="C973" s="16" t="s">
        <v>652</v>
      </c>
      <c r="D973" s="17">
        <v>35627.620000000003</v>
      </c>
      <c r="E973" s="19"/>
      <c r="F973" s="19"/>
      <c r="G973" s="19"/>
      <c r="H973" s="19"/>
      <c r="I973" s="19"/>
      <c r="J973" s="19"/>
    </row>
    <row r="974" spans="1:10" x14ac:dyDescent="0.25">
      <c r="A974" s="16" t="s">
        <v>1268</v>
      </c>
      <c r="B974" s="16" t="s">
        <v>571</v>
      </c>
      <c r="C974" s="16"/>
      <c r="D974" s="19"/>
      <c r="E974" s="17">
        <v>228200.51</v>
      </c>
      <c r="F974" s="17">
        <v>113989.9</v>
      </c>
      <c r="G974" s="17">
        <v>11975.7</v>
      </c>
      <c r="H974" s="17">
        <v>387280.3</v>
      </c>
      <c r="I974" s="17">
        <v>90978</v>
      </c>
      <c r="J974" s="17">
        <v>179963.23</v>
      </c>
    </row>
    <row r="975" spans="1:10" x14ac:dyDescent="0.25">
      <c r="A975" s="16" t="s">
        <v>1268</v>
      </c>
      <c r="B975" s="16" t="s">
        <v>653</v>
      </c>
      <c r="C975" s="16"/>
      <c r="D975" s="17">
        <v>359313.52</v>
      </c>
      <c r="E975" s="17">
        <v>337171.3</v>
      </c>
      <c r="F975" s="19"/>
      <c r="G975" s="19"/>
      <c r="H975" s="19"/>
      <c r="I975" s="19"/>
      <c r="J975" s="19"/>
    </row>
    <row r="976" spans="1:10" x14ac:dyDescent="0.25">
      <c r="A976" s="16" t="s">
        <v>1268</v>
      </c>
      <c r="B976" s="16" t="s">
        <v>654</v>
      </c>
      <c r="C976" s="16"/>
      <c r="D976" s="19"/>
      <c r="E976" s="17">
        <v>32615.88</v>
      </c>
      <c r="F976" s="17">
        <v>62076.79</v>
      </c>
      <c r="G976" s="17">
        <v>35830.17</v>
      </c>
      <c r="H976" s="17">
        <v>54527.94</v>
      </c>
      <c r="I976" s="17">
        <v>100904.1</v>
      </c>
      <c r="J976" s="17">
        <v>57078.82</v>
      </c>
    </row>
    <row r="977" spans="1:10" x14ac:dyDescent="0.25">
      <c r="A977" s="16" t="s">
        <v>1268</v>
      </c>
      <c r="B977" s="16" t="s">
        <v>655</v>
      </c>
      <c r="C977" s="16"/>
      <c r="D977" s="19"/>
      <c r="E977" s="17">
        <v>76828.81</v>
      </c>
      <c r="F977" s="19"/>
      <c r="G977" s="19"/>
      <c r="H977" s="19"/>
      <c r="I977" s="19"/>
      <c r="J977" s="19"/>
    </row>
    <row r="978" spans="1:10" x14ac:dyDescent="0.25">
      <c r="A978" s="16" t="s">
        <v>1268</v>
      </c>
      <c r="B978" s="16" t="s">
        <v>1080</v>
      </c>
      <c r="C978" s="16"/>
      <c r="D978" s="19"/>
      <c r="E978" s="19"/>
      <c r="F978" s="19"/>
      <c r="G978" s="19"/>
      <c r="H978" s="17">
        <v>16147.15</v>
      </c>
      <c r="I978" s="17">
        <v>38675.660000000003</v>
      </c>
      <c r="J978" s="19"/>
    </row>
    <row r="979" spans="1:10" x14ac:dyDescent="0.25">
      <c r="A979" s="16" t="s">
        <v>1268</v>
      </c>
      <c r="B979" s="16" t="s">
        <v>1219</v>
      </c>
      <c r="C979" s="16"/>
      <c r="D979" s="19"/>
      <c r="E979" s="17">
        <v>15383.67</v>
      </c>
      <c r="F979" s="19"/>
      <c r="G979" s="19"/>
      <c r="H979" s="19"/>
      <c r="I979" s="19"/>
      <c r="J979" s="19"/>
    </row>
    <row r="980" spans="1:10" x14ac:dyDescent="0.25">
      <c r="A980" s="16" t="s">
        <v>1268</v>
      </c>
      <c r="B980" s="16" t="s">
        <v>656</v>
      </c>
      <c r="C980" s="16"/>
      <c r="D980" s="19"/>
      <c r="E980" s="17">
        <v>17369.919999999998</v>
      </c>
      <c r="F980" s="19"/>
      <c r="G980" s="19"/>
      <c r="H980" s="19"/>
      <c r="I980" s="19"/>
      <c r="J980" s="19"/>
    </row>
    <row r="981" spans="1:10" x14ac:dyDescent="0.25">
      <c r="A981" s="16" t="s">
        <v>1268</v>
      </c>
      <c r="B981" s="16" t="s">
        <v>657</v>
      </c>
      <c r="C981" s="16"/>
      <c r="D981" s="17">
        <v>16381.89</v>
      </c>
      <c r="E981" s="17">
        <v>24590.19</v>
      </c>
      <c r="F981" s="19"/>
      <c r="G981" s="19"/>
      <c r="H981" s="19"/>
      <c r="I981" s="19"/>
      <c r="J981" s="17">
        <v>62436.65</v>
      </c>
    </row>
    <row r="982" spans="1:10" x14ac:dyDescent="0.25">
      <c r="A982" s="16" t="s">
        <v>1268</v>
      </c>
      <c r="B982" s="16" t="s">
        <v>658</v>
      </c>
      <c r="C982" s="16"/>
      <c r="D982" s="19"/>
      <c r="E982" s="19"/>
      <c r="F982" s="17">
        <v>42294.74</v>
      </c>
      <c r="G982" s="19"/>
      <c r="H982" s="19"/>
      <c r="I982" s="17">
        <v>66698.87</v>
      </c>
      <c r="J982" s="19"/>
    </row>
    <row r="983" spans="1:10" x14ac:dyDescent="0.25">
      <c r="A983" s="16" t="s">
        <v>1268</v>
      </c>
      <c r="B983" s="16" t="s">
        <v>1375</v>
      </c>
      <c r="C983" s="16"/>
      <c r="D983" s="17">
        <v>14113.8</v>
      </c>
      <c r="E983" s="17">
        <v>9207.68</v>
      </c>
      <c r="F983" s="19"/>
      <c r="G983" s="19"/>
      <c r="H983" s="19"/>
      <c r="I983" s="17">
        <v>7733.94</v>
      </c>
      <c r="J983" s="19"/>
    </row>
    <row r="984" spans="1:10" x14ac:dyDescent="0.25">
      <c r="A984" s="16" t="s">
        <v>1268</v>
      </c>
      <c r="B984" s="16" t="s">
        <v>774</v>
      </c>
      <c r="C984" s="16"/>
      <c r="D984" s="19"/>
      <c r="E984" s="17">
        <v>55393.84</v>
      </c>
      <c r="F984" s="19"/>
      <c r="G984" s="19"/>
      <c r="H984" s="19"/>
      <c r="I984" s="19"/>
      <c r="J984" s="19"/>
    </row>
    <row r="985" spans="1:10" x14ac:dyDescent="0.25">
      <c r="A985" s="16" t="s">
        <v>1268</v>
      </c>
      <c r="B985" s="16" t="s">
        <v>1086</v>
      </c>
      <c r="C985" s="16" t="s">
        <v>644</v>
      </c>
      <c r="D985" s="19"/>
      <c r="E985" s="17">
        <v>43455.19</v>
      </c>
      <c r="F985" s="17">
        <v>76316.850000000006</v>
      </c>
      <c r="G985" s="19"/>
      <c r="H985" s="17">
        <v>37586.9</v>
      </c>
      <c r="I985" s="17">
        <v>49956.71</v>
      </c>
      <c r="J985" s="17">
        <v>14702.06</v>
      </c>
    </row>
    <row r="986" spans="1:10" x14ac:dyDescent="0.25">
      <c r="A986" s="16" t="s">
        <v>1268</v>
      </c>
      <c r="B986" s="16" t="s">
        <v>660</v>
      </c>
      <c r="C986" s="16"/>
      <c r="D986" s="19"/>
      <c r="E986" s="19"/>
      <c r="F986" s="19"/>
      <c r="G986" s="17">
        <v>14558.54</v>
      </c>
      <c r="H986" s="17">
        <v>28278.1</v>
      </c>
      <c r="I986" s="17">
        <v>42323.14</v>
      </c>
      <c r="J986" s="19"/>
    </row>
    <row r="987" spans="1:10" x14ac:dyDescent="0.25">
      <c r="A987" s="16" t="s">
        <v>1268</v>
      </c>
      <c r="B987" s="16" t="s">
        <v>1270</v>
      </c>
      <c r="C987" s="16" t="s">
        <v>652</v>
      </c>
      <c r="D987" s="19"/>
      <c r="E987" s="19"/>
      <c r="F987" s="17">
        <v>71800.820000000007</v>
      </c>
      <c r="G987" s="19"/>
      <c r="H987" s="17">
        <v>44523.73</v>
      </c>
      <c r="I987" s="17">
        <v>79601.52</v>
      </c>
      <c r="J987" s="17">
        <v>108238.09</v>
      </c>
    </row>
    <row r="988" spans="1:10" x14ac:dyDescent="0.25">
      <c r="A988" s="16" t="s">
        <v>1268</v>
      </c>
      <c r="B988" s="16" t="s">
        <v>661</v>
      </c>
      <c r="C988" s="16" t="s">
        <v>659</v>
      </c>
      <c r="D988" s="17">
        <v>10741.64</v>
      </c>
      <c r="E988" s="19"/>
      <c r="F988" s="17">
        <v>10264.6</v>
      </c>
      <c r="G988" s="17">
        <v>20965.07</v>
      </c>
      <c r="H988" s="19"/>
      <c r="I988" s="17">
        <v>11948.1</v>
      </c>
      <c r="J988" s="19"/>
    </row>
    <row r="989" spans="1:10" x14ac:dyDescent="0.25">
      <c r="A989" s="16" t="s">
        <v>1268</v>
      </c>
      <c r="B989" s="16" t="s">
        <v>1220</v>
      </c>
      <c r="C989" s="16"/>
      <c r="D989" s="17">
        <v>20717.900000000001</v>
      </c>
      <c r="E989" s="17">
        <v>19804.009999999998</v>
      </c>
      <c r="F989" s="17">
        <v>33121.360000000001</v>
      </c>
      <c r="G989" s="17">
        <v>25237.360000000001</v>
      </c>
      <c r="H989" s="17">
        <v>22366.44</v>
      </c>
      <c r="I989" s="17">
        <v>28368.94</v>
      </c>
      <c r="J989" s="17">
        <v>24131.37</v>
      </c>
    </row>
    <row r="990" spans="1:10" x14ac:dyDescent="0.25">
      <c r="A990" s="16" t="s">
        <v>1268</v>
      </c>
      <c r="B990" s="16" t="s">
        <v>1271</v>
      </c>
      <c r="C990" s="16"/>
      <c r="D990" s="19"/>
      <c r="E990" s="19"/>
      <c r="F990" s="17">
        <v>16663.650000000001</v>
      </c>
      <c r="G990" s="19"/>
      <c r="H990" s="19"/>
      <c r="I990" s="19"/>
      <c r="J990" s="19"/>
    </row>
    <row r="991" spans="1:10" x14ac:dyDescent="0.25">
      <c r="A991" s="16" t="s">
        <v>1268</v>
      </c>
      <c r="B991" s="16" t="s">
        <v>1221</v>
      </c>
      <c r="C991" s="16"/>
      <c r="D991" s="19"/>
      <c r="E991" s="17">
        <v>26404.560000000001</v>
      </c>
      <c r="F991" s="19"/>
      <c r="G991" s="19"/>
      <c r="H991" s="19"/>
      <c r="I991" s="19"/>
      <c r="J991" s="19"/>
    </row>
    <row r="992" spans="1:10" x14ac:dyDescent="0.25">
      <c r="A992" s="16" t="s">
        <v>1376</v>
      </c>
      <c r="B992" s="16" t="s">
        <v>635</v>
      </c>
      <c r="C992" s="16"/>
      <c r="D992" s="17">
        <v>13089.52</v>
      </c>
      <c r="E992" s="19"/>
      <c r="F992" s="19"/>
      <c r="G992" s="19"/>
      <c r="H992" s="19"/>
      <c r="I992" s="19"/>
      <c r="J992" s="19"/>
    </row>
    <row r="993" spans="1:10" x14ac:dyDescent="0.25">
      <c r="A993" s="16" t="s">
        <v>1376</v>
      </c>
      <c r="B993" s="16" t="s">
        <v>1448</v>
      </c>
      <c r="C993" s="16"/>
      <c r="D993" s="19"/>
      <c r="E993" s="19"/>
      <c r="F993" s="19"/>
      <c r="G993" s="19"/>
      <c r="H993" s="19"/>
      <c r="I993" s="17">
        <v>20503.23</v>
      </c>
      <c r="J993" s="19"/>
    </row>
    <row r="994" spans="1:10" ht="22.5" x14ac:dyDescent="0.25">
      <c r="A994" s="16" t="s">
        <v>1376</v>
      </c>
      <c r="B994" s="16" t="s">
        <v>1449</v>
      </c>
      <c r="C994" s="16"/>
      <c r="D994" s="19"/>
      <c r="E994" s="19"/>
      <c r="F994" s="19"/>
      <c r="G994" s="19"/>
      <c r="H994" s="19"/>
      <c r="I994" s="17">
        <v>47931.91</v>
      </c>
      <c r="J994" s="19"/>
    </row>
    <row r="995" spans="1:10" x14ac:dyDescent="0.25">
      <c r="A995" s="16" t="s">
        <v>1376</v>
      </c>
      <c r="B995" s="16" t="s">
        <v>642</v>
      </c>
      <c r="C995" s="16"/>
      <c r="D995" s="19"/>
      <c r="E995" s="19"/>
      <c r="F995" s="17">
        <v>1231.23</v>
      </c>
      <c r="G995" s="19"/>
      <c r="H995" s="19"/>
      <c r="I995" s="17">
        <v>10745.77</v>
      </c>
      <c r="J995" s="19"/>
    </row>
    <row r="996" spans="1:10" x14ac:dyDescent="0.25">
      <c r="A996" s="16" t="s">
        <v>1376</v>
      </c>
      <c r="B996" s="16" t="s">
        <v>1465</v>
      </c>
      <c r="C996" s="16"/>
      <c r="D996" s="19"/>
      <c r="E996" s="19"/>
      <c r="F996" s="19"/>
      <c r="G996" s="19"/>
      <c r="H996" s="19"/>
      <c r="I996" s="19"/>
      <c r="J996" s="17">
        <v>59970.45</v>
      </c>
    </row>
    <row r="997" spans="1:10" x14ac:dyDescent="0.25">
      <c r="A997" s="16" t="s">
        <v>1376</v>
      </c>
      <c r="B997" s="16" t="s">
        <v>1070</v>
      </c>
      <c r="C997" s="16" t="s">
        <v>1493</v>
      </c>
      <c r="D997" s="19"/>
      <c r="E997" s="17">
        <v>30057.599999999999</v>
      </c>
      <c r="F997" s="19"/>
      <c r="G997" s="19"/>
      <c r="H997" s="19"/>
      <c r="I997" s="19"/>
      <c r="J997" s="19"/>
    </row>
    <row r="998" spans="1:10" x14ac:dyDescent="0.25">
      <c r="A998" s="16" t="s">
        <v>1376</v>
      </c>
      <c r="B998" s="16" t="s">
        <v>1320</v>
      </c>
      <c r="C998" s="16"/>
      <c r="D998" s="19"/>
      <c r="E998" s="19"/>
      <c r="F998" s="19"/>
      <c r="G998" s="17">
        <v>38164.050000000003</v>
      </c>
      <c r="H998" s="19"/>
      <c r="I998" s="17">
        <v>46909.81</v>
      </c>
      <c r="J998" s="17">
        <v>56148.55</v>
      </c>
    </row>
    <row r="999" spans="1:10" x14ac:dyDescent="0.25">
      <c r="A999" s="16" t="s">
        <v>1376</v>
      </c>
      <c r="B999" s="16" t="s">
        <v>1272</v>
      </c>
      <c r="C999" s="16"/>
      <c r="D999" s="19"/>
      <c r="E999" s="19"/>
      <c r="F999" s="17">
        <v>17240.599999999999</v>
      </c>
      <c r="G999" s="19"/>
      <c r="H999" s="19"/>
      <c r="I999" s="17">
        <v>31659.78</v>
      </c>
      <c r="J999" s="19"/>
    </row>
    <row r="1000" spans="1:10" x14ac:dyDescent="0.25">
      <c r="A1000" s="16" t="s">
        <v>1376</v>
      </c>
      <c r="B1000" s="16" t="s">
        <v>609</v>
      </c>
      <c r="C1000" s="16"/>
      <c r="D1000" s="19"/>
      <c r="E1000" s="19"/>
      <c r="F1000" s="19"/>
      <c r="G1000" s="19"/>
      <c r="H1000" s="19"/>
      <c r="I1000" s="19"/>
      <c r="J1000" s="17">
        <v>182170.7</v>
      </c>
    </row>
    <row r="1001" spans="1:10" x14ac:dyDescent="0.25">
      <c r="A1001" s="16" t="s">
        <v>1376</v>
      </c>
      <c r="B1001" s="16" t="s">
        <v>1529</v>
      </c>
      <c r="C1001" s="16" t="s">
        <v>1492</v>
      </c>
      <c r="D1001" s="19"/>
      <c r="E1001" s="19"/>
      <c r="F1001" s="19"/>
      <c r="G1001" s="19"/>
      <c r="H1001" s="19"/>
      <c r="I1001" s="19"/>
      <c r="J1001" s="17">
        <v>212246.76</v>
      </c>
    </row>
    <row r="1002" spans="1:10" x14ac:dyDescent="0.25">
      <c r="A1002" s="16" t="s">
        <v>1376</v>
      </c>
      <c r="B1002" s="16" t="s">
        <v>1087</v>
      </c>
      <c r="C1002" s="16" t="s">
        <v>553</v>
      </c>
      <c r="D1002" s="19"/>
      <c r="E1002" s="19"/>
      <c r="F1002" s="19"/>
      <c r="G1002" s="19"/>
      <c r="H1002" s="19"/>
      <c r="I1002" s="19"/>
      <c r="J1002" s="17">
        <v>11549.2</v>
      </c>
    </row>
    <row r="1003" spans="1:10" x14ac:dyDescent="0.25">
      <c r="A1003" s="16" t="s">
        <v>1376</v>
      </c>
      <c r="B1003" s="16" t="s">
        <v>663</v>
      </c>
      <c r="C1003" s="16"/>
      <c r="D1003" s="19"/>
      <c r="E1003" s="19"/>
      <c r="F1003" s="19"/>
      <c r="G1003" s="19"/>
      <c r="H1003" s="19"/>
      <c r="I1003" s="17">
        <v>32623.74</v>
      </c>
      <c r="J1003" s="19"/>
    </row>
    <row r="1004" spans="1:10" x14ac:dyDescent="0.25">
      <c r="A1004" s="16" t="s">
        <v>1204</v>
      </c>
      <c r="B1004" s="16" t="s">
        <v>1079</v>
      </c>
      <c r="C1004" s="16" t="s">
        <v>772</v>
      </c>
      <c r="D1004" s="19"/>
      <c r="E1004" s="19"/>
      <c r="F1004" s="17">
        <v>-1131.19</v>
      </c>
      <c r="G1004" s="19"/>
      <c r="H1004" s="19"/>
      <c r="I1004" s="19"/>
      <c r="J1004" s="19"/>
    </row>
    <row r="1005" spans="1:10" x14ac:dyDescent="0.25">
      <c r="A1005" s="16" t="s">
        <v>1205</v>
      </c>
      <c r="B1005" s="16" t="s">
        <v>1049</v>
      </c>
      <c r="C1005" s="16"/>
      <c r="D1005" s="19"/>
      <c r="E1005" s="19"/>
      <c r="F1005" s="19"/>
      <c r="G1005" s="19"/>
      <c r="H1005" s="19"/>
      <c r="I1005" s="17">
        <v>55000</v>
      </c>
      <c r="J1005" s="17">
        <v>220000</v>
      </c>
    </row>
    <row r="1006" spans="1:10" x14ac:dyDescent="0.25">
      <c r="A1006" s="16" t="s">
        <v>1205</v>
      </c>
      <c r="B1006" s="16" t="s">
        <v>583</v>
      </c>
      <c r="C1006" s="16"/>
      <c r="D1006" s="17">
        <v>30638.02</v>
      </c>
      <c r="E1006" s="19"/>
      <c r="F1006" s="19"/>
      <c r="G1006" s="19"/>
      <c r="H1006" s="17">
        <v>76646.19</v>
      </c>
      <c r="I1006" s="19"/>
      <c r="J1006" s="19"/>
    </row>
    <row r="1007" spans="1:10" x14ac:dyDescent="0.25">
      <c r="A1007" s="16" t="s">
        <v>1205</v>
      </c>
      <c r="B1007" s="16" t="s">
        <v>1055</v>
      </c>
      <c r="C1007" s="16"/>
      <c r="D1007" s="19"/>
      <c r="E1007" s="17">
        <v>85928.38</v>
      </c>
      <c r="F1007" s="17">
        <v>51646.66</v>
      </c>
      <c r="G1007" s="19"/>
      <c r="H1007" s="17">
        <v>167322.37</v>
      </c>
      <c r="I1007" s="17">
        <v>307572.14</v>
      </c>
      <c r="J1007" s="19"/>
    </row>
    <row r="1008" spans="1:10" x14ac:dyDescent="0.25">
      <c r="A1008" s="16" t="s">
        <v>1205</v>
      </c>
      <c r="B1008" s="16" t="s">
        <v>1377</v>
      </c>
      <c r="C1008" s="16"/>
      <c r="D1008" s="19"/>
      <c r="E1008" s="19"/>
      <c r="F1008" s="19"/>
      <c r="G1008" s="19"/>
      <c r="H1008" s="17">
        <v>156233.13</v>
      </c>
      <c r="I1008" s="19"/>
      <c r="J1008" s="19"/>
    </row>
    <row r="1009" spans="1:10" x14ac:dyDescent="0.25">
      <c r="A1009" s="16" t="s">
        <v>1205</v>
      </c>
      <c r="B1009" s="16" t="s">
        <v>1206</v>
      </c>
      <c r="C1009" s="16"/>
      <c r="D1009" s="19"/>
      <c r="E1009" s="17">
        <v>1761.64</v>
      </c>
      <c r="F1009" s="19"/>
      <c r="G1009" s="19"/>
      <c r="H1009" s="19"/>
      <c r="I1009" s="19"/>
      <c r="J1009" s="19"/>
    </row>
    <row r="1010" spans="1:10" x14ac:dyDescent="0.25">
      <c r="A1010" s="16" t="s">
        <v>1205</v>
      </c>
      <c r="B1010" s="16" t="s">
        <v>584</v>
      </c>
      <c r="C1010" s="16"/>
      <c r="D1010" s="17">
        <v>336920.86</v>
      </c>
      <c r="E1010" s="17">
        <v>228047.43</v>
      </c>
      <c r="F1010" s="17">
        <v>206564.96</v>
      </c>
      <c r="G1010" s="17">
        <v>320312.77</v>
      </c>
      <c r="H1010" s="17">
        <v>281177.21000000002</v>
      </c>
      <c r="I1010" s="17">
        <v>524906.66</v>
      </c>
      <c r="J1010" s="17">
        <v>260748.52</v>
      </c>
    </row>
    <row r="1011" spans="1:10" x14ac:dyDescent="0.25">
      <c r="A1011" s="16" t="s">
        <v>1205</v>
      </c>
      <c r="B1011" s="16" t="s">
        <v>1057</v>
      </c>
      <c r="C1011" s="16"/>
      <c r="D1011" s="17">
        <v>37923.67</v>
      </c>
      <c r="E1011" s="19"/>
      <c r="F1011" s="17">
        <v>49263.65</v>
      </c>
      <c r="G1011" s="19"/>
      <c r="H1011" s="17">
        <v>93644.46</v>
      </c>
      <c r="I1011" s="17">
        <v>66830.03</v>
      </c>
      <c r="J1011" s="17">
        <v>101693.49</v>
      </c>
    </row>
    <row r="1012" spans="1:10" x14ac:dyDescent="0.25">
      <c r="A1012" s="16" t="s">
        <v>1205</v>
      </c>
      <c r="B1012" s="16" t="s">
        <v>1324</v>
      </c>
      <c r="C1012" s="16"/>
      <c r="D1012" s="19"/>
      <c r="E1012" s="19"/>
      <c r="F1012" s="19"/>
      <c r="G1012" s="17">
        <v>13897.92</v>
      </c>
      <c r="H1012" s="19"/>
      <c r="I1012" s="19"/>
      <c r="J1012" s="17">
        <v>13478.8</v>
      </c>
    </row>
    <row r="1013" spans="1:10" x14ac:dyDescent="0.25">
      <c r="A1013" s="16" t="s">
        <v>1205</v>
      </c>
      <c r="B1013" s="16" t="s">
        <v>662</v>
      </c>
      <c r="C1013" s="16"/>
      <c r="D1013" s="19"/>
      <c r="E1013" s="19"/>
      <c r="F1013" s="17">
        <v>20373.59</v>
      </c>
      <c r="G1013" s="19"/>
      <c r="H1013" s="19"/>
      <c r="I1013" s="19"/>
      <c r="J1013" s="19"/>
    </row>
    <row r="1014" spans="1:10" x14ac:dyDescent="0.25">
      <c r="A1014" s="16" t="s">
        <v>1205</v>
      </c>
      <c r="B1014" s="16" t="s">
        <v>586</v>
      </c>
      <c r="C1014" s="16"/>
      <c r="D1014" s="17">
        <v>11486.12</v>
      </c>
      <c r="E1014" s="17">
        <v>16011.35</v>
      </c>
      <c r="F1014" s="19"/>
      <c r="G1014" s="17">
        <v>10474.94</v>
      </c>
      <c r="H1014" s="17">
        <v>27910.5</v>
      </c>
      <c r="I1014" s="19"/>
      <c r="J1014" s="19"/>
    </row>
    <row r="1015" spans="1:10" x14ac:dyDescent="0.25">
      <c r="A1015" s="16" t="s">
        <v>1205</v>
      </c>
      <c r="B1015" s="16" t="s">
        <v>1273</v>
      </c>
      <c r="C1015" s="16"/>
      <c r="D1015" s="19"/>
      <c r="E1015" s="19"/>
      <c r="F1015" s="17">
        <v>15278.35</v>
      </c>
      <c r="G1015" s="19"/>
      <c r="H1015" s="19"/>
      <c r="I1015" s="19"/>
      <c r="J1015" s="19"/>
    </row>
    <row r="1016" spans="1:10" x14ac:dyDescent="0.25">
      <c r="A1016" s="16" t="s">
        <v>1205</v>
      </c>
      <c r="B1016" s="16" t="s">
        <v>1207</v>
      </c>
      <c r="C1016" s="16"/>
      <c r="D1016" s="19"/>
      <c r="E1016" s="17">
        <v>20160.689999999999</v>
      </c>
      <c r="F1016" s="19"/>
      <c r="G1016" s="19"/>
      <c r="H1016" s="17">
        <v>20262.439999999999</v>
      </c>
      <c r="I1016" s="19"/>
      <c r="J1016" s="17">
        <v>20414.09</v>
      </c>
    </row>
    <row r="1017" spans="1:10" x14ac:dyDescent="0.25">
      <c r="A1017" s="16" t="s">
        <v>1205</v>
      </c>
      <c r="B1017" s="16" t="s">
        <v>587</v>
      </c>
      <c r="C1017" s="16"/>
      <c r="D1017" s="19"/>
      <c r="E1017" s="19"/>
      <c r="F1017" s="17">
        <v>227182.83</v>
      </c>
      <c r="G1017" s="19"/>
      <c r="H1017" s="19"/>
      <c r="I1017" s="19"/>
      <c r="J1017" s="19"/>
    </row>
    <row r="1018" spans="1:10" x14ac:dyDescent="0.25">
      <c r="A1018" s="16" t="s">
        <v>1205</v>
      </c>
      <c r="B1018" s="16" t="s">
        <v>1062</v>
      </c>
      <c r="C1018" s="16"/>
      <c r="D1018" s="17">
        <v>10100.42</v>
      </c>
      <c r="E1018" s="19"/>
      <c r="F1018" s="17">
        <v>20044.18</v>
      </c>
      <c r="G1018" s="19"/>
      <c r="H1018" s="19"/>
      <c r="I1018" s="19"/>
      <c r="J1018" s="19"/>
    </row>
    <row r="1019" spans="1:10" ht="22.5" x14ac:dyDescent="0.25">
      <c r="A1019" s="16" t="s">
        <v>1205</v>
      </c>
      <c r="B1019" s="16" t="s">
        <v>1450</v>
      </c>
      <c r="C1019" s="16"/>
      <c r="D1019" s="19"/>
      <c r="E1019" s="19"/>
      <c r="F1019" s="19"/>
      <c r="G1019" s="19"/>
      <c r="H1019" s="19"/>
      <c r="I1019" s="17">
        <v>5500</v>
      </c>
      <c r="J1019" s="19"/>
    </row>
    <row r="1020" spans="1:10" x14ac:dyDescent="0.25">
      <c r="A1020" s="16" t="s">
        <v>1205</v>
      </c>
      <c r="B1020" s="16" t="s">
        <v>588</v>
      </c>
      <c r="C1020" s="16"/>
      <c r="D1020" s="19"/>
      <c r="E1020" s="17">
        <v>3745.85</v>
      </c>
      <c r="F1020" s="19"/>
      <c r="G1020" s="17">
        <v>25423.08</v>
      </c>
      <c r="H1020" s="17">
        <v>24909.119999999999</v>
      </c>
      <c r="I1020" s="17">
        <v>26225.69</v>
      </c>
      <c r="J1020" s="19"/>
    </row>
    <row r="1021" spans="1:10" x14ac:dyDescent="0.25">
      <c r="A1021" s="16" t="s">
        <v>1205</v>
      </c>
      <c r="B1021" s="16" t="s">
        <v>1325</v>
      </c>
      <c r="C1021" s="16"/>
      <c r="D1021" s="19"/>
      <c r="E1021" s="19"/>
      <c r="F1021" s="19"/>
      <c r="G1021" s="17">
        <v>14572.06</v>
      </c>
      <c r="H1021" s="19"/>
      <c r="I1021" s="19"/>
      <c r="J1021" s="19"/>
    </row>
    <row r="1022" spans="1:10" x14ac:dyDescent="0.25">
      <c r="A1022" s="16" t="s">
        <v>1205</v>
      </c>
      <c r="B1022" s="16" t="s">
        <v>589</v>
      </c>
      <c r="C1022" s="16"/>
      <c r="D1022" s="19"/>
      <c r="E1022" s="19"/>
      <c r="F1022" s="19"/>
      <c r="G1022" s="19"/>
      <c r="H1022" s="19"/>
      <c r="I1022" s="17">
        <v>233764.21</v>
      </c>
      <c r="J1022" s="19"/>
    </row>
    <row r="1023" spans="1:10" x14ac:dyDescent="0.25">
      <c r="A1023" s="16" t="s">
        <v>1205</v>
      </c>
      <c r="B1023" s="16" t="s">
        <v>1378</v>
      </c>
      <c r="C1023" s="16"/>
      <c r="D1023" s="19"/>
      <c r="E1023" s="19"/>
      <c r="F1023" s="19"/>
      <c r="G1023" s="19"/>
      <c r="H1023" s="17">
        <v>11011.32</v>
      </c>
      <c r="I1023" s="19"/>
      <c r="J1023" s="19"/>
    </row>
    <row r="1024" spans="1:10" x14ac:dyDescent="0.25">
      <c r="A1024" s="16" t="s">
        <v>1205</v>
      </c>
      <c r="B1024" s="16" t="s">
        <v>1208</v>
      </c>
      <c r="C1024" s="16"/>
      <c r="D1024" s="17">
        <v>34576.46</v>
      </c>
      <c r="E1024" s="19"/>
      <c r="F1024" s="17">
        <v>8854.9500000000007</v>
      </c>
      <c r="G1024" s="19"/>
      <c r="H1024" s="19"/>
      <c r="I1024" s="19"/>
      <c r="J1024" s="19"/>
    </row>
    <row r="1025" spans="1:10" x14ac:dyDescent="0.25">
      <c r="A1025" s="16" t="s">
        <v>1205</v>
      </c>
      <c r="B1025" s="16" t="s">
        <v>1379</v>
      </c>
      <c r="C1025" s="16"/>
      <c r="D1025" s="19"/>
      <c r="E1025" s="19"/>
      <c r="F1025" s="19"/>
      <c r="G1025" s="19"/>
      <c r="H1025" s="17">
        <v>6967.06</v>
      </c>
      <c r="I1025" s="19"/>
      <c r="J1025" s="19"/>
    </row>
    <row r="1026" spans="1:10" x14ac:dyDescent="0.25">
      <c r="A1026" s="16" t="s">
        <v>1205</v>
      </c>
      <c r="B1026" s="16" t="s">
        <v>1451</v>
      </c>
      <c r="C1026" s="16"/>
      <c r="D1026" s="19"/>
      <c r="E1026" s="19"/>
      <c r="F1026" s="19"/>
      <c r="G1026" s="19"/>
      <c r="H1026" s="19"/>
      <c r="I1026" s="17">
        <v>46180.15</v>
      </c>
      <c r="J1026" s="19"/>
    </row>
    <row r="1027" spans="1:10" x14ac:dyDescent="0.25">
      <c r="A1027" s="16" t="s">
        <v>1205</v>
      </c>
      <c r="B1027" s="16" t="s">
        <v>1209</v>
      </c>
      <c r="C1027" s="16"/>
      <c r="D1027" s="19"/>
      <c r="E1027" s="17">
        <v>24883.63</v>
      </c>
      <c r="F1027" s="19"/>
      <c r="G1027" s="19"/>
      <c r="H1027" s="19"/>
      <c r="I1027" s="19"/>
      <c r="J1027" s="19"/>
    </row>
    <row r="1028" spans="1:10" x14ac:dyDescent="0.25">
      <c r="A1028" s="16" t="s">
        <v>1205</v>
      </c>
      <c r="B1028" s="16" t="s">
        <v>1063</v>
      </c>
      <c r="C1028" s="16" t="s">
        <v>585</v>
      </c>
      <c r="D1028" s="17">
        <v>31499.27</v>
      </c>
      <c r="E1028" s="19"/>
      <c r="F1028" s="19"/>
      <c r="G1028" s="17">
        <v>29782.14</v>
      </c>
      <c r="H1028" s="17">
        <v>24384.04</v>
      </c>
      <c r="I1028" s="17">
        <v>31075.15</v>
      </c>
      <c r="J1028" s="17">
        <v>23025.35</v>
      </c>
    </row>
    <row r="1029" spans="1:10" x14ac:dyDescent="0.25">
      <c r="A1029" s="16" t="s">
        <v>1205</v>
      </c>
      <c r="B1029" s="16" t="s">
        <v>1064</v>
      </c>
      <c r="C1029" s="16"/>
      <c r="D1029" s="19"/>
      <c r="E1029" s="17">
        <v>27913.200000000001</v>
      </c>
      <c r="F1029" s="18">
        <v>340.57</v>
      </c>
      <c r="G1029" s="19"/>
      <c r="H1029" s="17">
        <v>22923.38</v>
      </c>
      <c r="I1029" s="19"/>
      <c r="J1029" s="19"/>
    </row>
    <row r="1030" spans="1:10" x14ac:dyDescent="0.25">
      <c r="A1030" s="16" t="s">
        <v>1205</v>
      </c>
      <c r="B1030" s="16" t="s">
        <v>590</v>
      </c>
      <c r="C1030" s="16"/>
      <c r="D1030" s="19"/>
      <c r="E1030" s="17">
        <v>35622.879999999997</v>
      </c>
      <c r="F1030" s="19"/>
      <c r="G1030" s="19"/>
      <c r="H1030" s="19"/>
      <c r="I1030" s="19"/>
      <c r="J1030" s="19"/>
    </row>
    <row r="1031" spans="1:10" x14ac:dyDescent="0.25">
      <c r="A1031" s="16" t="s">
        <v>1205</v>
      </c>
      <c r="B1031" s="16" t="s">
        <v>1066</v>
      </c>
      <c r="C1031" s="16" t="s">
        <v>607</v>
      </c>
      <c r="D1031" s="19"/>
      <c r="E1031" s="17">
        <v>95832.12</v>
      </c>
      <c r="F1031" s="19"/>
      <c r="G1031" s="19"/>
      <c r="H1031" s="19"/>
      <c r="I1031" s="19"/>
      <c r="J1031" s="19"/>
    </row>
    <row r="1032" spans="1:10" x14ac:dyDescent="0.25">
      <c r="A1032" s="16" t="s">
        <v>1205</v>
      </c>
      <c r="B1032" s="16" t="s">
        <v>1067</v>
      </c>
      <c r="C1032" s="16" t="s">
        <v>608</v>
      </c>
      <c r="D1032" s="17">
        <v>103782.85</v>
      </c>
      <c r="E1032" s="19"/>
      <c r="F1032" s="17">
        <v>126858.2</v>
      </c>
      <c r="G1032" s="17">
        <v>87248.35</v>
      </c>
      <c r="H1032" s="17">
        <v>383947.45</v>
      </c>
      <c r="I1032" s="17">
        <v>269722.53000000003</v>
      </c>
      <c r="J1032" s="17">
        <v>285976.5</v>
      </c>
    </row>
    <row r="1033" spans="1:10" x14ac:dyDescent="0.25">
      <c r="A1033" s="16" t="s">
        <v>1205</v>
      </c>
      <c r="B1033" s="16" t="s">
        <v>591</v>
      </c>
      <c r="C1033" s="16"/>
      <c r="D1033" s="19"/>
      <c r="E1033" s="19"/>
      <c r="F1033" s="17">
        <v>50372.68</v>
      </c>
      <c r="G1033" s="17">
        <v>16016.15</v>
      </c>
      <c r="H1033" s="19"/>
      <c r="I1033" s="19"/>
      <c r="J1033" s="17">
        <v>225324.92</v>
      </c>
    </row>
    <row r="1034" spans="1:10" x14ac:dyDescent="0.25">
      <c r="A1034" s="16" t="s">
        <v>1205</v>
      </c>
      <c r="B1034" s="16" t="s">
        <v>592</v>
      </c>
      <c r="C1034" s="16"/>
      <c r="D1034" s="19"/>
      <c r="E1034" s="19"/>
      <c r="F1034" s="17">
        <v>166382.39999999999</v>
      </c>
      <c r="G1034" s="19"/>
      <c r="H1034" s="19"/>
      <c r="I1034" s="17">
        <v>146162.9</v>
      </c>
      <c r="J1034" s="19"/>
    </row>
    <row r="1035" spans="1:10" x14ac:dyDescent="0.25">
      <c r="A1035" s="16" t="s">
        <v>1205</v>
      </c>
      <c r="B1035" s="16" t="s">
        <v>593</v>
      </c>
      <c r="C1035" s="16"/>
      <c r="D1035" s="17">
        <v>31009.200000000001</v>
      </c>
      <c r="E1035" s="17">
        <v>96128.73</v>
      </c>
      <c r="F1035" s="17">
        <v>107254.12</v>
      </c>
      <c r="G1035" s="19"/>
      <c r="H1035" s="19"/>
      <c r="I1035" s="17">
        <v>96303.45</v>
      </c>
      <c r="J1035" s="19"/>
    </row>
    <row r="1036" spans="1:10" x14ac:dyDescent="0.25">
      <c r="A1036" s="16" t="s">
        <v>1205</v>
      </c>
      <c r="B1036" s="16" t="s">
        <v>1380</v>
      </c>
      <c r="C1036" s="16"/>
      <c r="D1036" s="19"/>
      <c r="E1036" s="19"/>
      <c r="F1036" s="19"/>
      <c r="G1036" s="19"/>
      <c r="H1036" s="17">
        <v>739358.3</v>
      </c>
      <c r="I1036" s="19"/>
      <c r="J1036" s="17">
        <v>74730.84</v>
      </c>
    </row>
    <row r="1037" spans="1:10" x14ac:dyDescent="0.25">
      <c r="A1037" s="16" t="s">
        <v>1205</v>
      </c>
      <c r="B1037" s="16" t="s">
        <v>594</v>
      </c>
      <c r="C1037" s="16"/>
      <c r="D1037" s="17">
        <v>175640.18</v>
      </c>
      <c r="E1037" s="19"/>
      <c r="F1037" s="17">
        <v>70068.36</v>
      </c>
      <c r="G1037" s="17">
        <v>64991.61</v>
      </c>
      <c r="H1037" s="17">
        <v>340590.2</v>
      </c>
      <c r="I1037" s="17">
        <v>147709.01</v>
      </c>
      <c r="J1037" s="17">
        <v>108500.89</v>
      </c>
    </row>
    <row r="1038" spans="1:10" x14ac:dyDescent="0.25">
      <c r="A1038" s="16" t="s">
        <v>1205</v>
      </c>
      <c r="B1038" s="16" t="s">
        <v>595</v>
      </c>
      <c r="C1038" s="16"/>
      <c r="D1038" s="19"/>
      <c r="E1038" s="19"/>
      <c r="F1038" s="17">
        <v>16319.57</v>
      </c>
      <c r="G1038" s="19"/>
      <c r="H1038" s="19"/>
      <c r="I1038" s="19"/>
      <c r="J1038" s="19"/>
    </row>
    <row r="1039" spans="1:10" x14ac:dyDescent="0.25">
      <c r="A1039" s="16" t="s">
        <v>1205</v>
      </c>
      <c r="B1039" s="16" t="s">
        <v>596</v>
      </c>
      <c r="C1039" s="16"/>
      <c r="D1039" s="19"/>
      <c r="E1039" s="19"/>
      <c r="F1039" s="19"/>
      <c r="G1039" s="19"/>
      <c r="H1039" s="17">
        <v>45417.2</v>
      </c>
      <c r="I1039" s="19"/>
      <c r="J1039" s="19"/>
    </row>
    <row r="1040" spans="1:10" x14ac:dyDescent="0.25">
      <c r="A1040" s="16" t="s">
        <v>1205</v>
      </c>
      <c r="B1040" s="16" t="s">
        <v>1274</v>
      </c>
      <c r="C1040" s="16"/>
      <c r="D1040" s="19"/>
      <c r="E1040" s="19"/>
      <c r="F1040" s="17">
        <v>1482.4</v>
      </c>
      <c r="G1040" s="19"/>
      <c r="H1040" s="19"/>
      <c r="I1040" s="19"/>
      <c r="J1040" s="19"/>
    </row>
    <row r="1041" spans="1:10" x14ac:dyDescent="0.25">
      <c r="A1041" s="16" t="s">
        <v>1205</v>
      </c>
      <c r="B1041" s="16" t="s">
        <v>597</v>
      </c>
      <c r="C1041" s="16"/>
      <c r="D1041" s="19"/>
      <c r="E1041" s="19"/>
      <c r="F1041" s="17">
        <v>38450.97</v>
      </c>
      <c r="G1041" s="17">
        <v>32692.84</v>
      </c>
      <c r="H1041" s="17">
        <v>32228.14</v>
      </c>
      <c r="I1041" s="17">
        <v>16705.36</v>
      </c>
      <c r="J1041" s="17">
        <v>13731.26</v>
      </c>
    </row>
    <row r="1042" spans="1:10" x14ac:dyDescent="0.25">
      <c r="A1042" s="16" t="s">
        <v>1205</v>
      </c>
      <c r="B1042" s="16" t="s">
        <v>1210</v>
      </c>
      <c r="C1042" s="16"/>
      <c r="D1042" s="19"/>
      <c r="E1042" s="17">
        <v>10443.379999999999</v>
      </c>
      <c r="F1042" s="19"/>
      <c r="G1042" s="19"/>
      <c r="H1042" s="19"/>
      <c r="I1042" s="19"/>
      <c r="J1042" s="19"/>
    </row>
    <row r="1043" spans="1:10" x14ac:dyDescent="0.25">
      <c r="A1043" s="16" t="s">
        <v>1205</v>
      </c>
      <c r="B1043" s="16" t="s">
        <v>1326</v>
      </c>
      <c r="C1043" s="16"/>
      <c r="D1043" s="19"/>
      <c r="E1043" s="19"/>
      <c r="F1043" s="19"/>
      <c r="G1043" s="17">
        <v>96860.3</v>
      </c>
      <c r="H1043" s="17">
        <v>29233.279999999999</v>
      </c>
      <c r="I1043" s="17">
        <v>2802.93</v>
      </c>
      <c r="J1043" s="19"/>
    </row>
    <row r="1044" spans="1:10" x14ac:dyDescent="0.25">
      <c r="A1044" s="16" t="s">
        <v>1205</v>
      </c>
      <c r="B1044" s="16" t="s">
        <v>1494</v>
      </c>
      <c r="C1044" s="16"/>
      <c r="D1044" s="19"/>
      <c r="E1044" s="19"/>
      <c r="F1044" s="19"/>
      <c r="G1044" s="19"/>
      <c r="H1044" s="19"/>
      <c r="I1044" s="19"/>
      <c r="J1044" s="17">
        <v>124418.72</v>
      </c>
    </row>
    <row r="1045" spans="1:10" x14ac:dyDescent="0.25">
      <c r="A1045" s="16" t="s">
        <v>1205</v>
      </c>
      <c r="B1045" s="16" t="s">
        <v>1211</v>
      </c>
      <c r="C1045" s="16"/>
      <c r="D1045" s="17">
        <v>79906.789999999994</v>
      </c>
      <c r="E1045" s="19"/>
      <c r="F1045" s="19"/>
      <c r="G1045" s="19"/>
      <c r="H1045" s="19"/>
      <c r="I1045" s="19"/>
      <c r="J1045" s="19"/>
    </row>
    <row r="1046" spans="1:10" x14ac:dyDescent="0.25">
      <c r="A1046" s="16" t="s">
        <v>1205</v>
      </c>
      <c r="B1046" s="16" t="s">
        <v>1275</v>
      </c>
      <c r="C1046" s="16"/>
      <c r="D1046" s="19"/>
      <c r="E1046" s="19"/>
      <c r="F1046" s="17">
        <v>16506.09</v>
      </c>
      <c r="G1046" s="19"/>
      <c r="H1046" s="19"/>
      <c r="I1046" s="19"/>
      <c r="J1046" s="19"/>
    </row>
    <row r="1047" spans="1:10" x14ac:dyDescent="0.25">
      <c r="A1047" s="16" t="s">
        <v>1205</v>
      </c>
      <c r="B1047" s="16" t="s">
        <v>1452</v>
      </c>
      <c r="C1047" s="16"/>
      <c r="D1047" s="19"/>
      <c r="E1047" s="19"/>
      <c r="F1047" s="19"/>
      <c r="G1047" s="19"/>
      <c r="H1047" s="19"/>
      <c r="I1047" s="17">
        <v>23105.119999999999</v>
      </c>
      <c r="J1047" s="19"/>
    </row>
    <row r="1048" spans="1:10" x14ac:dyDescent="0.25">
      <c r="A1048" s="16" t="s">
        <v>1205</v>
      </c>
      <c r="B1048" s="16" t="s">
        <v>1276</v>
      </c>
      <c r="C1048" s="16" t="s">
        <v>602</v>
      </c>
      <c r="D1048" s="19"/>
      <c r="E1048" s="19"/>
      <c r="F1048" s="17">
        <v>12734.84</v>
      </c>
      <c r="G1048" s="17">
        <v>64543.92</v>
      </c>
      <c r="H1048" s="17">
        <v>196381.91</v>
      </c>
      <c r="I1048" s="17">
        <v>368169.01</v>
      </c>
      <c r="J1048" s="17">
        <v>63594.76</v>
      </c>
    </row>
    <row r="1049" spans="1:10" x14ac:dyDescent="0.25">
      <c r="A1049" s="16" t="s">
        <v>1205</v>
      </c>
      <c r="B1049" s="16" t="s">
        <v>598</v>
      </c>
      <c r="C1049" s="16"/>
      <c r="D1049" s="17">
        <v>40903.379999999997</v>
      </c>
      <c r="E1049" s="19"/>
      <c r="F1049" s="19"/>
      <c r="G1049" s="19"/>
      <c r="H1049" s="19"/>
      <c r="I1049" s="19"/>
      <c r="J1049" s="19"/>
    </row>
    <row r="1050" spans="1:10" x14ac:dyDescent="0.25">
      <c r="A1050" s="16" t="s">
        <v>1205</v>
      </c>
      <c r="B1050" s="16" t="s">
        <v>1076</v>
      </c>
      <c r="C1050" s="16" t="s">
        <v>602</v>
      </c>
      <c r="D1050" s="19"/>
      <c r="E1050" s="17">
        <v>20470.099999999999</v>
      </c>
      <c r="F1050" s="19"/>
      <c r="G1050" s="19"/>
      <c r="H1050" s="17">
        <v>11190.41</v>
      </c>
      <c r="I1050" s="17">
        <v>37536.07</v>
      </c>
      <c r="J1050" s="17">
        <v>7260.7</v>
      </c>
    </row>
    <row r="1051" spans="1:10" x14ac:dyDescent="0.25">
      <c r="A1051" s="16" t="s">
        <v>1205</v>
      </c>
      <c r="B1051" s="16" t="s">
        <v>773</v>
      </c>
      <c r="C1051" s="16"/>
      <c r="D1051" s="19"/>
      <c r="E1051" s="19"/>
      <c r="F1051" s="19"/>
      <c r="G1051" s="17">
        <v>17583.2</v>
      </c>
      <c r="H1051" s="19"/>
      <c r="I1051" s="19"/>
      <c r="J1051" s="19"/>
    </row>
    <row r="1052" spans="1:10" x14ac:dyDescent="0.25">
      <c r="A1052" s="16" t="s">
        <v>1205</v>
      </c>
      <c r="B1052" s="16" t="s">
        <v>1077</v>
      </c>
      <c r="C1052" s="16"/>
      <c r="D1052" s="19"/>
      <c r="E1052" s="19"/>
      <c r="F1052" s="17">
        <v>31641.32</v>
      </c>
      <c r="G1052" s="17">
        <v>30410.34</v>
      </c>
      <c r="H1052" s="17">
        <v>174275.94</v>
      </c>
      <c r="I1052" s="17">
        <v>212373.61</v>
      </c>
      <c r="J1052" s="17">
        <v>486900.33</v>
      </c>
    </row>
    <row r="1053" spans="1:10" x14ac:dyDescent="0.25">
      <c r="A1053" s="16" t="s">
        <v>1205</v>
      </c>
      <c r="B1053" s="16" t="s">
        <v>599</v>
      </c>
      <c r="C1053" s="16"/>
      <c r="D1053" s="17">
        <v>10048.43</v>
      </c>
      <c r="E1053" s="19"/>
      <c r="F1053" s="17">
        <v>33240.959999999999</v>
      </c>
      <c r="G1053" s="17">
        <v>14108.24</v>
      </c>
      <c r="H1053" s="17">
        <v>11000.2</v>
      </c>
      <c r="I1053" s="17">
        <v>46875.86</v>
      </c>
      <c r="J1053" s="17">
        <v>20518.39</v>
      </c>
    </row>
    <row r="1054" spans="1:10" x14ac:dyDescent="0.25">
      <c r="A1054" s="16" t="s">
        <v>1205</v>
      </c>
      <c r="B1054" s="16" t="s">
        <v>600</v>
      </c>
      <c r="C1054" s="16"/>
      <c r="D1054" s="17">
        <v>64633.05</v>
      </c>
      <c r="E1054" s="19"/>
      <c r="F1054" s="19"/>
      <c r="G1054" s="19"/>
      <c r="H1054" s="17">
        <v>72870.61</v>
      </c>
      <c r="I1054" s="17">
        <v>55000</v>
      </c>
      <c r="J1054" s="17">
        <v>76448.03</v>
      </c>
    </row>
    <row r="1055" spans="1:10" x14ac:dyDescent="0.25">
      <c r="A1055" s="16" t="s">
        <v>1205</v>
      </c>
      <c r="B1055" s="16" t="s">
        <v>628</v>
      </c>
      <c r="C1055" s="16"/>
      <c r="D1055" s="19"/>
      <c r="E1055" s="19"/>
      <c r="F1055" s="19"/>
      <c r="G1055" s="17">
        <v>36178.910000000003</v>
      </c>
      <c r="H1055" s="17">
        <v>22927.38</v>
      </c>
      <c r="I1055" s="17">
        <v>56678.57</v>
      </c>
      <c r="J1055" s="17">
        <v>28238.98</v>
      </c>
    </row>
    <row r="1056" spans="1:10" x14ac:dyDescent="0.25">
      <c r="A1056" s="16" t="s">
        <v>1205</v>
      </c>
      <c r="B1056" s="16" t="s">
        <v>601</v>
      </c>
      <c r="C1056" s="16"/>
      <c r="D1056" s="19"/>
      <c r="E1056" s="19"/>
      <c r="F1056" s="17">
        <v>3456.35</v>
      </c>
      <c r="G1056" s="19"/>
      <c r="H1056" s="19"/>
      <c r="I1056" s="19"/>
      <c r="J1056" s="19"/>
    </row>
    <row r="1057" spans="1:10" x14ac:dyDescent="0.25">
      <c r="A1057" s="16" t="s">
        <v>1205</v>
      </c>
      <c r="B1057" s="16" t="s">
        <v>602</v>
      </c>
      <c r="C1057" s="16"/>
      <c r="D1057" s="19"/>
      <c r="E1057" s="17">
        <v>106202.58</v>
      </c>
      <c r="F1057" s="19"/>
      <c r="G1057" s="19"/>
      <c r="H1057" s="19"/>
      <c r="I1057" s="19"/>
      <c r="J1057" s="19"/>
    </row>
    <row r="1058" spans="1:10" x14ac:dyDescent="0.25">
      <c r="A1058" s="16" t="s">
        <v>1205</v>
      </c>
      <c r="B1058" s="16" t="s">
        <v>1453</v>
      </c>
      <c r="C1058" s="16" t="s">
        <v>611</v>
      </c>
      <c r="D1058" s="19"/>
      <c r="E1058" s="19"/>
      <c r="F1058" s="19"/>
      <c r="G1058" s="19"/>
      <c r="H1058" s="19"/>
      <c r="I1058" s="17">
        <v>74544.039999999994</v>
      </c>
      <c r="J1058" s="17">
        <v>43832.21</v>
      </c>
    </row>
    <row r="1059" spans="1:10" x14ac:dyDescent="0.25">
      <c r="A1059" s="16" t="s">
        <v>1205</v>
      </c>
      <c r="B1059" s="16" t="s">
        <v>603</v>
      </c>
      <c r="C1059" s="16"/>
      <c r="D1059" s="17">
        <v>134175.07999999999</v>
      </c>
      <c r="E1059" s="19"/>
      <c r="F1059" s="17">
        <v>183260.25</v>
      </c>
      <c r="G1059" s="19"/>
      <c r="H1059" s="19"/>
      <c r="I1059" s="19"/>
      <c r="J1059" s="19"/>
    </row>
    <row r="1060" spans="1:10" x14ac:dyDescent="0.25">
      <c r="A1060" s="16" t="s">
        <v>1205</v>
      </c>
      <c r="B1060" s="16" t="s">
        <v>604</v>
      </c>
      <c r="C1060" s="16"/>
      <c r="D1060" s="17">
        <v>39267.65</v>
      </c>
      <c r="E1060" s="17">
        <v>106683.8</v>
      </c>
      <c r="F1060" s="17">
        <v>128190.89</v>
      </c>
      <c r="G1060" s="19"/>
      <c r="H1060" s="19"/>
      <c r="I1060" s="19"/>
      <c r="J1060" s="17">
        <v>245357.75</v>
      </c>
    </row>
    <row r="1061" spans="1:10" x14ac:dyDescent="0.25">
      <c r="A1061" s="16" t="s">
        <v>1205</v>
      </c>
      <c r="B1061" s="16" t="s">
        <v>605</v>
      </c>
      <c r="C1061" s="16"/>
      <c r="D1061" s="19"/>
      <c r="E1061" s="19"/>
      <c r="F1061" s="19"/>
      <c r="G1061" s="19"/>
      <c r="H1061" s="19"/>
      <c r="I1061" s="17">
        <v>39800.089999999997</v>
      </c>
      <c r="J1061" s="19"/>
    </row>
    <row r="1062" spans="1:10" x14ac:dyDescent="0.25">
      <c r="A1062" s="16" t="s">
        <v>1205</v>
      </c>
      <c r="B1062" s="16" t="s">
        <v>1495</v>
      </c>
      <c r="C1062" s="16"/>
      <c r="D1062" s="19"/>
      <c r="E1062" s="19"/>
      <c r="F1062" s="19"/>
      <c r="G1062" s="19"/>
      <c r="H1062" s="19"/>
      <c r="I1062" s="19"/>
      <c r="J1062" s="17">
        <v>21450.23</v>
      </c>
    </row>
    <row r="1063" spans="1:10" x14ac:dyDescent="0.25">
      <c r="A1063" s="16" t="s">
        <v>1205</v>
      </c>
      <c r="B1063" s="16" t="s">
        <v>606</v>
      </c>
      <c r="C1063" s="16"/>
      <c r="D1063" s="19"/>
      <c r="E1063" s="17">
        <v>17463.009999999998</v>
      </c>
      <c r="F1063" s="19"/>
      <c r="G1063" s="17">
        <v>24082.94</v>
      </c>
      <c r="H1063" s="17">
        <v>31593.84</v>
      </c>
      <c r="I1063" s="17">
        <v>29316.82</v>
      </c>
      <c r="J1063" s="17">
        <v>42457.26</v>
      </c>
    </row>
    <row r="1064" spans="1:10" x14ac:dyDescent="0.25">
      <c r="A1064" s="16" t="s">
        <v>1205</v>
      </c>
      <c r="B1064" s="16" t="s">
        <v>607</v>
      </c>
      <c r="C1064" s="16"/>
      <c r="D1064" s="17">
        <v>208579.11</v>
      </c>
      <c r="E1064" s="19"/>
      <c r="F1064" s="17">
        <v>82594.320000000007</v>
      </c>
      <c r="G1064" s="19"/>
      <c r="H1064" s="17">
        <v>450035.85</v>
      </c>
      <c r="I1064" s="19"/>
      <c r="J1064" s="17">
        <v>122142.34</v>
      </c>
    </row>
    <row r="1065" spans="1:10" x14ac:dyDescent="0.25">
      <c r="A1065" s="16" t="s">
        <v>1205</v>
      </c>
      <c r="B1065" s="16" t="s">
        <v>610</v>
      </c>
      <c r="C1065" s="16"/>
      <c r="D1065" s="17">
        <v>153630.51</v>
      </c>
      <c r="E1065" s="17">
        <v>52669.45</v>
      </c>
      <c r="F1065" s="17">
        <v>163880.14000000001</v>
      </c>
      <c r="G1065" s="17">
        <v>239137.8</v>
      </c>
      <c r="H1065" s="17">
        <v>30612.29</v>
      </c>
      <c r="I1065" s="17">
        <v>82414.09</v>
      </c>
      <c r="J1065" s="17">
        <v>44287.69</v>
      </c>
    </row>
    <row r="1066" spans="1:10" x14ac:dyDescent="0.25">
      <c r="A1066" s="16" t="s">
        <v>1205</v>
      </c>
      <c r="B1066" s="16" t="s">
        <v>633</v>
      </c>
      <c r="C1066" s="16"/>
      <c r="D1066" s="17">
        <v>11159</v>
      </c>
      <c r="E1066" s="19"/>
      <c r="F1066" s="19"/>
      <c r="G1066" s="19"/>
      <c r="H1066" s="19"/>
      <c r="I1066" s="17">
        <v>18900</v>
      </c>
      <c r="J1066" s="17">
        <v>25500</v>
      </c>
    </row>
    <row r="1067" spans="1:10" x14ac:dyDescent="0.25">
      <c r="A1067" s="16" t="s">
        <v>1205</v>
      </c>
      <c r="B1067" s="16" t="s">
        <v>611</v>
      </c>
      <c r="C1067" s="16"/>
      <c r="D1067" s="17">
        <v>143598.94</v>
      </c>
      <c r="E1067" s="17">
        <v>53559.83</v>
      </c>
      <c r="F1067" s="17">
        <v>181200.13</v>
      </c>
      <c r="G1067" s="17">
        <v>256193.85</v>
      </c>
      <c r="H1067" s="17">
        <v>122744.65</v>
      </c>
      <c r="I1067" s="17">
        <v>81700.63</v>
      </c>
      <c r="J1067" s="19"/>
    </row>
    <row r="1068" spans="1:10" x14ac:dyDescent="0.25">
      <c r="A1068" s="16" t="s">
        <v>1205</v>
      </c>
      <c r="B1068" s="16" t="s">
        <v>612</v>
      </c>
      <c r="C1068" s="16"/>
      <c r="D1068" s="19"/>
      <c r="E1068" s="17">
        <v>4350.3599999999997</v>
      </c>
      <c r="F1068" s="17">
        <v>4672.63</v>
      </c>
      <c r="G1068" s="19"/>
      <c r="H1068" s="17">
        <v>276766.32</v>
      </c>
      <c r="I1068" s="17">
        <v>33646.36</v>
      </c>
      <c r="J1068" s="17">
        <v>57492.63</v>
      </c>
    </row>
    <row r="1069" spans="1:10" x14ac:dyDescent="0.25">
      <c r="A1069" s="16" t="s">
        <v>1205</v>
      </c>
      <c r="B1069" s="16" t="s">
        <v>1327</v>
      </c>
      <c r="C1069" s="16"/>
      <c r="D1069" s="19"/>
      <c r="E1069" s="19"/>
      <c r="F1069" s="19"/>
      <c r="G1069" s="17">
        <v>49206.8</v>
      </c>
      <c r="H1069" s="19"/>
      <c r="I1069" s="17">
        <v>13944.33</v>
      </c>
      <c r="J1069" s="17">
        <v>37603.589999999997</v>
      </c>
    </row>
    <row r="1070" spans="1:10" x14ac:dyDescent="0.25">
      <c r="A1070" s="16" t="s">
        <v>1205</v>
      </c>
      <c r="B1070" s="16" t="s">
        <v>1454</v>
      </c>
      <c r="C1070" s="16"/>
      <c r="D1070" s="19"/>
      <c r="E1070" s="19"/>
      <c r="F1070" s="19"/>
      <c r="G1070" s="19"/>
      <c r="H1070" s="19"/>
      <c r="I1070" s="17">
        <v>26769.08</v>
      </c>
      <c r="J1070" s="19"/>
    </row>
    <row r="1071" spans="1:10" x14ac:dyDescent="0.25">
      <c r="A1071" s="16" t="s">
        <v>1205</v>
      </c>
      <c r="B1071" s="16" t="s">
        <v>613</v>
      </c>
      <c r="C1071" s="16"/>
      <c r="D1071" s="19"/>
      <c r="E1071" s="19"/>
      <c r="F1071" s="17">
        <v>35677.839999999997</v>
      </c>
      <c r="G1071" s="19"/>
      <c r="H1071" s="19"/>
      <c r="I1071" s="19"/>
      <c r="J1071" s="19"/>
    </row>
    <row r="1072" spans="1:10" x14ac:dyDescent="0.25">
      <c r="A1072" s="16" t="s">
        <v>1205</v>
      </c>
      <c r="B1072" s="16" t="s">
        <v>614</v>
      </c>
      <c r="C1072" s="16"/>
      <c r="D1072" s="19"/>
      <c r="E1072" s="17">
        <v>50716</v>
      </c>
      <c r="F1072" s="17">
        <v>313489.53000000003</v>
      </c>
      <c r="G1072" s="17">
        <v>79663.100000000006</v>
      </c>
      <c r="H1072" s="17">
        <v>217800.25</v>
      </c>
      <c r="I1072" s="17">
        <v>539211.61</v>
      </c>
      <c r="J1072" s="17">
        <v>87933.6</v>
      </c>
    </row>
    <row r="1073" spans="1:10" x14ac:dyDescent="0.25">
      <c r="A1073" s="16" t="s">
        <v>1205</v>
      </c>
      <c r="B1073" s="16" t="s">
        <v>615</v>
      </c>
      <c r="C1073" s="16"/>
      <c r="D1073" s="19"/>
      <c r="E1073" s="19"/>
      <c r="F1073" s="19"/>
      <c r="G1073" s="19"/>
      <c r="H1073" s="17">
        <v>31156.94</v>
      </c>
      <c r="I1073" s="19"/>
      <c r="J1073" s="17">
        <v>35290.94</v>
      </c>
    </row>
    <row r="1074" spans="1:10" x14ac:dyDescent="0.25">
      <c r="A1074" s="16" t="s">
        <v>1212</v>
      </c>
      <c r="B1074" s="16" t="s">
        <v>1050</v>
      </c>
      <c r="C1074" s="16" t="s">
        <v>621</v>
      </c>
      <c r="D1074" s="17">
        <v>1754289.43</v>
      </c>
      <c r="E1074" s="17">
        <v>382154.63</v>
      </c>
      <c r="F1074" s="17">
        <v>107451.43</v>
      </c>
      <c r="G1074" s="17">
        <v>2646350.08</v>
      </c>
      <c r="H1074" s="17">
        <v>2096225.63</v>
      </c>
      <c r="I1074" s="17">
        <v>1095747.46</v>
      </c>
      <c r="J1074" s="17">
        <v>3494292.9</v>
      </c>
    </row>
    <row r="1075" spans="1:10" x14ac:dyDescent="0.25">
      <c r="A1075" s="16" t="s">
        <v>1212</v>
      </c>
      <c r="B1075" s="16" t="s">
        <v>1051</v>
      </c>
      <c r="C1075" s="16" t="s">
        <v>621</v>
      </c>
      <c r="D1075" s="17">
        <v>322364.78999999998</v>
      </c>
      <c r="E1075" s="17">
        <v>58565.21</v>
      </c>
      <c r="F1075" s="17">
        <v>392786.24</v>
      </c>
      <c r="G1075" s="17">
        <v>1256356.8</v>
      </c>
      <c r="H1075" s="17">
        <v>3859247.53</v>
      </c>
      <c r="I1075" s="17">
        <v>2971748.16</v>
      </c>
      <c r="J1075" s="17">
        <v>260872.55</v>
      </c>
    </row>
    <row r="1076" spans="1:10" x14ac:dyDescent="0.25">
      <c r="A1076" s="16" t="s">
        <v>1212</v>
      </c>
      <c r="B1076" s="16" t="s">
        <v>1052</v>
      </c>
      <c r="C1076" s="16" t="s">
        <v>621</v>
      </c>
      <c r="D1076" s="17">
        <v>874000.32</v>
      </c>
      <c r="E1076" s="17">
        <v>1235800.67</v>
      </c>
      <c r="F1076" s="17">
        <v>5613360</v>
      </c>
      <c r="G1076" s="17">
        <v>588404.38</v>
      </c>
      <c r="H1076" s="17">
        <v>244700.46</v>
      </c>
      <c r="I1076" s="17">
        <v>208967.08</v>
      </c>
      <c r="J1076" s="17">
        <v>2383097.15</v>
      </c>
    </row>
    <row r="1077" spans="1:10" x14ac:dyDescent="0.25">
      <c r="A1077" s="16" t="s">
        <v>1212</v>
      </c>
      <c r="B1077" s="16" t="s">
        <v>616</v>
      </c>
      <c r="C1077" s="16"/>
      <c r="D1077" s="17">
        <v>140864.78</v>
      </c>
      <c r="E1077" s="17">
        <v>98137.46</v>
      </c>
      <c r="F1077" s="17">
        <v>35258.44</v>
      </c>
      <c r="G1077" s="17">
        <v>118006.61</v>
      </c>
      <c r="H1077" s="17">
        <v>169417.38</v>
      </c>
      <c r="I1077" s="17">
        <v>137748.06</v>
      </c>
      <c r="J1077" s="17">
        <v>168929.06</v>
      </c>
    </row>
    <row r="1078" spans="1:10" x14ac:dyDescent="0.25">
      <c r="A1078" s="16" t="s">
        <v>1212</v>
      </c>
      <c r="B1078" s="16" t="s">
        <v>617</v>
      </c>
      <c r="C1078" s="16"/>
      <c r="D1078" s="17">
        <v>20599.310000000001</v>
      </c>
      <c r="E1078" s="17">
        <v>22803.11</v>
      </c>
      <c r="F1078" s="19"/>
      <c r="G1078" s="19"/>
      <c r="H1078" s="17">
        <v>41701.730000000003</v>
      </c>
      <c r="I1078" s="17">
        <v>23970.16</v>
      </c>
      <c r="J1078" s="17">
        <v>8057.82</v>
      </c>
    </row>
    <row r="1079" spans="1:10" x14ac:dyDescent="0.25">
      <c r="A1079" s="16" t="s">
        <v>1212</v>
      </c>
      <c r="B1079" s="16" t="s">
        <v>618</v>
      </c>
      <c r="C1079" s="16"/>
      <c r="D1079" s="17">
        <v>221679.01</v>
      </c>
      <c r="E1079" s="17">
        <v>439068.23</v>
      </c>
      <c r="F1079" s="17">
        <v>361013.27</v>
      </c>
      <c r="G1079" s="17">
        <v>329130.2</v>
      </c>
      <c r="H1079" s="17">
        <v>538784.64</v>
      </c>
      <c r="I1079" s="17">
        <v>789655.93</v>
      </c>
      <c r="J1079" s="17">
        <v>233217.93</v>
      </c>
    </row>
    <row r="1080" spans="1:10" x14ac:dyDescent="0.25">
      <c r="A1080" s="16" t="s">
        <v>1212</v>
      </c>
      <c r="B1080" s="16" t="s">
        <v>1056</v>
      </c>
      <c r="C1080" s="16" t="s">
        <v>631</v>
      </c>
      <c r="D1080" s="19"/>
      <c r="E1080" s="19"/>
      <c r="F1080" s="19"/>
      <c r="G1080" s="19"/>
      <c r="H1080" s="19"/>
      <c r="I1080" s="17">
        <v>2075.62</v>
      </c>
      <c r="J1080" s="19"/>
    </row>
    <row r="1081" spans="1:10" x14ac:dyDescent="0.25">
      <c r="A1081" s="16" t="s">
        <v>1212</v>
      </c>
      <c r="B1081" s="16" t="s">
        <v>1058</v>
      </c>
      <c r="C1081" s="16" t="s">
        <v>621</v>
      </c>
      <c r="D1081" s="19"/>
      <c r="E1081" s="19"/>
      <c r="F1081" s="17">
        <v>689583.38</v>
      </c>
      <c r="G1081" s="17">
        <v>97706.7</v>
      </c>
      <c r="H1081" s="17">
        <v>3474364.53</v>
      </c>
      <c r="I1081" s="17">
        <v>5161448.59</v>
      </c>
      <c r="J1081" s="17">
        <v>126807.75</v>
      </c>
    </row>
    <row r="1082" spans="1:10" x14ac:dyDescent="0.25">
      <c r="A1082" s="16" t="s">
        <v>1212</v>
      </c>
      <c r="B1082" s="16" t="s">
        <v>1060</v>
      </c>
      <c r="C1082" s="16" t="s">
        <v>627</v>
      </c>
      <c r="D1082" s="19"/>
      <c r="E1082" s="17">
        <v>66913.279999999999</v>
      </c>
      <c r="F1082" s="17">
        <v>114678.47</v>
      </c>
      <c r="G1082" s="19"/>
      <c r="H1082" s="19"/>
      <c r="I1082" s="17">
        <v>101597.86</v>
      </c>
      <c r="J1082" s="17">
        <v>43916.25</v>
      </c>
    </row>
    <row r="1083" spans="1:10" x14ac:dyDescent="0.25">
      <c r="A1083" s="16" t="s">
        <v>1212</v>
      </c>
      <c r="B1083" s="16" t="s">
        <v>619</v>
      </c>
      <c r="C1083" s="16"/>
      <c r="D1083" s="17">
        <v>19776.509999999998</v>
      </c>
      <c r="E1083" s="19"/>
      <c r="F1083" s="19"/>
      <c r="G1083" s="19"/>
      <c r="H1083" s="19"/>
      <c r="I1083" s="19"/>
      <c r="J1083" s="19"/>
    </row>
    <row r="1084" spans="1:10" x14ac:dyDescent="0.25">
      <c r="A1084" s="16" t="s">
        <v>1212</v>
      </c>
      <c r="B1084" s="16" t="s">
        <v>1065</v>
      </c>
      <c r="C1084" s="16" t="s">
        <v>622</v>
      </c>
      <c r="D1084" s="17">
        <v>30750.69</v>
      </c>
      <c r="E1084" s="17">
        <v>38572.49</v>
      </c>
      <c r="F1084" s="17">
        <v>78413.23</v>
      </c>
      <c r="G1084" s="17">
        <v>267849.65999999997</v>
      </c>
      <c r="H1084" s="17">
        <v>136191.65</v>
      </c>
      <c r="I1084" s="17">
        <v>224572.43</v>
      </c>
      <c r="J1084" s="17">
        <v>107361.71</v>
      </c>
    </row>
    <row r="1085" spans="1:10" x14ac:dyDescent="0.25">
      <c r="A1085" s="16" t="s">
        <v>1212</v>
      </c>
      <c r="B1085" s="16" t="s">
        <v>1068</v>
      </c>
      <c r="C1085" s="16" t="s">
        <v>619</v>
      </c>
      <c r="D1085" s="17">
        <v>6132.98</v>
      </c>
      <c r="E1085" s="19"/>
      <c r="F1085" s="19"/>
      <c r="G1085" s="19"/>
      <c r="H1085" s="19"/>
      <c r="I1085" s="19"/>
      <c r="J1085" s="19"/>
    </row>
    <row r="1086" spans="1:10" x14ac:dyDescent="0.25">
      <c r="A1086" s="16" t="s">
        <v>1212</v>
      </c>
      <c r="B1086" s="16" t="s">
        <v>623</v>
      </c>
      <c r="C1086" s="16"/>
      <c r="D1086" s="17">
        <v>23416.07</v>
      </c>
      <c r="E1086" s="17">
        <v>415546.42</v>
      </c>
      <c r="F1086" s="17">
        <v>30349.55</v>
      </c>
      <c r="G1086" s="17">
        <v>17619.830000000002</v>
      </c>
      <c r="H1086" s="17">
        <v>158253.6</v>
      </c>
      <c r="I1086" s="17">
        <v>81512.679999999993</v>
      </c>
      <c r="J1086" s="17">
        <v>96201.11</v>
      </c>
    </row>
    <row r="1087" spans="1:10" x14ac:dyDescent="0.25">
      <c r="A1087" s="16" t="s">
        <v>1212</v>
      </c>
      <c r="B1087" s="16" t="s">
        <v>624</v>
      </c>
      <c r="C1087" s="16"/>
      <c r="D1087" s="17">
        <v>89496.92</v>
      </c>
      <c r="E1087" s="17">
        <v>89192.38</v>
      </c>
      <c r="F1087" s="17">
        <v>56393.81</v>
      </c>
      <c r="G1087" s="17">
        <v>70228.13</v>
      </c>
      <c r="H1087" s="17">
        <v>57091.61</v>
      </c>
      <c r="I1087" s="17">
        <v>84144.48</v>
      </c>
      <c r="J1087" s="17">
        <v>93778.83</v>
      </c>
    </row>
    <row r="1088" spans="1:10" x14ac:dyDescent="0.25">
      <c r="A1088" s="16" t="s">
        <v>1212</v>
      </c>
      <c r="B1088" s="16" t="s">
        <v>1072</v>
      </c>
      <c r="C1088" s="16" t="s">
        <v>626</v>
      </c>
      <c r="D1088" s="17">
        <v>1948.28</v>
      </c>
      <c r="E1088" s="17">
        <v>209231.65</v>
      </c>
      <c r="F1088" s="17">
        <v>26253.73</v>
      </c>
      <c r="G1088" s="17">
        <v>21711.61</v>
      </c>
      <c r="H1088" s="17">
        <v>220986.75</v>
      </c>
      <c r="I1088" s="17">
        <v>242149.38</v>
      </c>
      <c r="J1088" s="17">
        <v>312037.02</v>
      </c>
    </row>
    <row r="1089" spans="1:10" x14ac:dyDescent="0.25">
      <c r="A1089" s="16" t="s">
        <v>1212</v>
      </c>
      <c r="B1089" s="16" t="s">
        <v>1213</v>
      </c>
      <c r="C1089" s="16" t="s">
        <v>620</v>
      </c>
      <c r="D1089" s="19"/>
      <c r="E1089" s="18">
        <v>775.72</v>
      </c>
      <c r="F1089" s="19"/>
      <c r="G1089" s="19"/>
      <c r="H1089" s="19"/>
      <c r="I1089" s="19"/>
      <c r="J1089" s="19"/>
    </row>
    <row r="1090" spans="1:10" x14ac:dyDescent="0.25">
      <c r="A1090" s="16" t="s">
        <v>1212</v>
      </c>
      <c r="B1090" s="16" t="s">
        <v>625</v>
      </c>
      <c r="C1090" s="16"/>
      <c r="D1090" s="17">
        <v>43546.19</v>
      </c>
      <c r="E1090" s="17">
        <v>20958.689999999999</v>
      </c>
      <c r="F1090" s="17">
        <v>14643.5</v>
      </c>
      <c r="G1090" s="17">
        <v>7001.46</v>
      </c>
      <c r="H1090" s="19"/>
      <c r="I1090" s="17">
        <v>9128.49</v>
      </c>
      <c r="J1090" s="19"/>
    </row>
    <row r="1091" spans="1:10" x14ac:dyDescent="0.25">
      <c r="A1091" s="16" t="s">
        <v>1212</v>
      </c>
      <c r="B1091" s="16" t="s">
        <v>1214</v>
      </c>
      <c r="C1091" s="16"/>
      <c r="D1091" s="17">
        <v>22559.94</v>
      </c>
      <c r="E1091" s="19"/>
      <c r="F1091" s="17">
        <v>33631.769999999997</v>
      </c>
      <c r="G1091" s="17">
        <v>24832.86</v>
      </c>
      <c r="H1091" s="19"/>
      <c r="I1091" s="19"/>
      <c r="J1091" s="19"/>
    </row>
    <row r="1092" spans="1:10" x14ac:dyDescent="0.25">
      <c r="A1092" s="16" t="s">
        <v>1212</v>
      </c>
      <c r="B1092" s="16" t="s">
        <v>629</v>
      </c>
      <c r="C1092" s="16"/>
      <c r="D1092" s="17">
        <v>199150.84</v>
      </c>
      <c r="E1092" s="17">
        <v>764359.75</v>
      </c>
      <c r="F1092" s="17">
        <v>269194.62</v>
      </c>
      <c r="G1092" s="17">
        <v>669979.12</v>
      </c>
      <c r="H1092" s="17">
        <v>696281.78</v>
      </c>
      <c r="I1092" s="17">
        <v>1099682.3899999999</v>
      </c>
      <c r="J1092" s="17">
        <v>653928</v>
      </c>
    </row>
    <row r="1093" spans="1:10" x14ac:dyDescent="0.25">
      <c r="A1093" s="16" t="s">
        <v>1212</v>
      </c>
      <c r="B1093" s="16" t="s">
        <v>630</v>
      </c>
      <c r="C1093" s="16"/>
      <c r="D1093" s="19"/>
      <c r="E1093" s="19"/>
      <c r="F1093" s="17">
        <v>112700.7</v>
      </c>
      <c r="G1093" s="17">
        <v>77109.25</v>
      </c>
      <c r="H1093" s="17">
        <v>79560.350000000006</v>
      </c>
      <c r="I1093" s="17">
        <v>22232.16</v>
      </c>
      <c r="J1093" s="17">
        <v>68900.600000000006</v>
      </c>
    </row>
    <row r="1094" spans="1:10" x14ac:dyDescent="0.25">
      <c r="A1094" s="16" t="s">
        <v>1212</v>
      </c>
      <c r="B1094" s="16" t="s">
        <v>1215</v>
      </c>
      <c r="C1094" s="16" t="s">
        <v>634</v>
      </c>
      <c r="D1094" s="19"/>
      <c r="E1094" s="17">
        <v>2305.2800000000002</v>
      </c>
      <c r="F1094" s="19"/>
      <c r="G1094" s="17">
        <v>2489.27</v>
      </c>
      <c r="H1094" s="19"/>
      <c r="I1094" s="19"/>
      <c r="J1094" s="19"/>
    </row>
    <row r="1095" spans="1:10" x14ac:dyDescent="0.25">
      <c r="A1095" s="16" t="s">
        <v>1212</v>
      </c>
      <c r="B1095" s="16" t="s">
        <v>631</v>
      </c>
      <c r="C1095" s="16"/>
      <c r="D1095" s="17">
        <v>88303.15</v>
      </c>
      <c r="E1095" s="17">
        <v>1178683.42</v>
      </c>
      <c r="F1095" s="17">
        <v>105685.85</v>
      </c>
      <c r="G1095" s="17">
        <v>873756.89</v>
      </c>
      <c r="H1095" s="17">
        <v>2040164.55</v>
      </c>
      <c r="I1095" s="17">
        <v>2717775.78</v>
      </c>
      <c r="J1095" s="17">
        <v>1171299.81</v>
      </c>
    </row>
    <row r="1096" spans="1:10" x14ac:dyDescent="0.25">
      <c r="A1096" s="16" t="s">
        <v>1212</v>
      </c>
      <c r="B1096" s="16" t="s">
        <v>1085</v>
      </c>
      <c r="C1096" s="16" t="s">
        <v>621</v>
      </c>
      <c r="D1096" s="17">
        <v>547094.62</v>
      </c>
      <c r="E1096" s="17">
        <v>679608.59</v>
      </c>
      <c r="F1096" s="17">
        <v>973374.46</v>
      </c>
      <c r="G1096" s="17">
        <v>1324732.46</v>
      </c>
      <c r="H1096" s="17">
        <v>2679880.5099999998</v>
      </c>
      <c r="I1096" s="17">
        <v>2794222.1</v>
      </c>
      <c r="J1096" s="17">
        <v>741126.55</v>
      </c>
    </row>
    <row r="1097" spans="1:10" x14ac:dyDescent="0.25">
      <c r="A1097" s="16" t="s">
        <v>1212</v>
      </c>
      <c r="B1097" s="16" t="s">
        <v>1216</v>
      </c>
      <c r="C1097" s="16" t="s">
        <v>632</v>
      </c>
      <c r="D1097" s="17">
        <v>5321.84</v>
      </c>
      <c r="E1097" s="19"/>
      <c r="F1097" s="19"/>
      <c r="G1097" s="19"/>
      <c r="H1097" s="19"/>
      <c r="I1097" s="19"/>
      <c r="J1097" s="19"/>
    </row>
    <row r="1098" spans="1:10" x14ac:dyDescent="0.25">
      <c r="A1098" s="16" t="s">
        <v>1212</v>
      </c>
      <c r="B1098" s="16" t="s">
        <v>634</v>
      </c>
      <c r="C1098" s="16"/>
      <c r="D1098" s="17">
        <v>498647.59</v>
      </c>
      <c r="E1098" s="17">
        <v>440836.95</v>
      </c>
      <c r="F1098" s="17">
        <v>209683.22</v>
      </c>
      <c r="G1098" s="17">
        <v>174748.3</v>
      </c>
      <c r="H1098" s="17">
        <v>236795.04</v>
      </c>
      <c r="I1098" s="17">
        <v>151323.46</v>
      </c>
      <c r="J1098" s="17">
        <v>247570.06</v>
      </c>
    </row>
    <row r="1099" spans="1:10" x14ac:dyDescent="0.25">
      <c r="A1099" s="16" t="s">
        <v>1241</v>
      </c>
      <c r="B1099" s="16" t="s">
        <v>1092</v>
      </c>
      <c r="C1099" s="16" t="s">
        <v>689</v>
      </c>
      <c r="D1099" s="19"/>
      <c r="E1099" s="19"/>
      <c r="F1099" s="19"/>
      <c r="G1099" s="19"/>
      <c r="H1099" s="19"/>
      <c r="I1099" s="19"/>
      <c r="J1099" s="17">
        <v>21523.63</v>
      </c>
    </row>
    <row r="1100" spans="1:10" x14ac:dyDescent="0.25">
      <c r="A1100" s="16" t="s">
        <v>1241</v>
      </c>
      <c r="B1100" s="16" t="s">
        <v>1381</v>
      </c>
      <c r="C1100" s="16"/>
      <c r="D1100" s="19"/>
      <c r="E1100" s="19"/>
      <c r="F1100" s="19"/>
      <c r="G1100" s="19"/>
      <c r="H1100" s="17">
        <v>8248.92</v>
      </c>
      <c r="I1100" s="19"/>
      <c r="J1100" s="19"/>
    </row>
    <row r="1101" spans="1:10" x14ac:dyDescent="0.25">
      <c r="A1101" s="16" t="s">
        <v>1241</v>
      </c>
      <c r="B1101" s="16" t="s">
        <v>1094</v>
      </c>
      <c r="C1101" s="16" t="s">
        <v>691</v>
      </c>
      <c r="D1101" s="19"/>
      <c r="E1101" s="17">
        <v>16844.59</v>
      </c>
      <c r="F1101" s="19"/>
      <c r="G1101" s="19"/>
      <c r="H1101" s="19"/>
      <c r="I1101" s="19"/>
      <c r="J1101" s="19"/>
    </row>
    <row r="1102" spans="1:10" x14ac:dyDescent="0.25">
      <c r="A1102" s="16" t="s">
        <v>1241</v>
      </c>
      <c r="B1102" s="16" t="s">
        <v>678</v>
      </c>
      <c r="C1102" s="16"/>
      <c r="D1102" s="19"/>
      <c r="E1102" s="19"/>
      <c r="F1102" s="17">
        <v>8601.2800000000007</v>
      </c>
      <c r="G1102" s="19"/>
      <c r="H1102" s="19"/>
      <c r="I1102" s="19"/>
      <c r="J1102" s="19"/>
    </row>
    <row r="1103" spans="1:10" x14ac:dyDescent="0.25">
      <c r="A1103" s="16" t="s">
        <v>1241</v>
      </c>
      <c r="B1103" s="16" t="s">
        <v>1105</v>
      </c>
      <c r="C1103" s="16" t="s">
        <v>698</v>
      </c>
      <c r="D1103" s="17">
        <v>129027.26</v>
      </c>
      <c r="E1103" s="17">
        <v>133045.03</v>
      </c>
      <c r="F1103" s="19"/>
      <c r="G1103" s="19"/>
      <c r="H1103" s="17">
        <v>150796.51999999999</v>
      </c>
      <c r="I1103" s="19"/>
      <c r="J1103" s="17">
        <v>187843.67</v>
      </c>
    </row>
    <row r="1104" spans="1:10" x14ac:dyDescent="0.25">
      <c r="A1104" s="16" t="s">
        <v>1241</v>
      </c>
      <c r="B1104" s="16" t="s">
        <v>706</v>
      </c>
      <c r="C1104" s="16"/>
      <c r="D1104" s="19"/>
      <c r="E1104" s="19"/>
      <c r="F1104" s="19"/>
      <c r="G1104" s="17">
        <v>67544</v>
      </c>
      <c r="H1104" s="19"/>
      <c r="I1104" s="17">
        <v>53291.43</v>
      </c>
      <c r="J1104" s="19"/>
    </row>
    <row r="1105" spans="1:10" x14ac:dyDescent="0.25">
      <c r="A1105" s="16" t="s">
        <v>1241</v>
      </c>
      <c r="B1105" s="16" t="s">
        <v>1109</v>
      </c>
      <c r="C1105" s="16" t="s">
        <v>702</v>
      </c>
      <c r="D1105" s="17">
        <v>209777.32</v>
      </c>
      <c r="E1105" s="17">
        <v>113125.68</v>
      </c>
      <c r="F1105" s="17">
        <v>276827.52000000002</v>
      </c>
      <c r="G1105" s="17">
        <v>329376.46000000002</v>
      </c>
      <c r="H1105" s="17">
        <v>163521.32999999999</v>
      </c>
      <c r="I1105" s="17">
        <v>309987.32</v>
      </c>
      <c r="J1105" s="17">
        <v>169154.87</v>
      </c>
    </row>
    <row r="1106" spans="1:10" x14ac:dyDescent="0.25">
      <c r="A1106" s="16" t="s">
        <v>1277</v>
      </c>
      <c r="B1106" s="16" t="s">
        <v>1090</v>
      </c>
      <c r="C1106" s="16" t="s">
        <v>706</v>
      </c>
      <c r="D1106" s="19"/>
      <c r="E1106" s="19"/>
      <c r="F1106" s="19"/>
      <c r="G1106" s="17">
        <v>90369.919999999998</v>
      </c>
      <c r="H1106" s="17">
        <v>47045.4</v>
      </c>
      <c r="I1106" s="19"/>
      <c r="J1106" s="17">
        <v>37656.050000000003</v>
      </c>
    </row>
    <row r="1107" spans="1:10" x14ac:dyDescent="0.25">
      <c r="A1107" s="16" t="s">
        <v>1277</v>
      </c>
      <c r="B1107" s="16" t="s">
        <v>1331</v>
      </c>
      <c r="C1107" s="16"/>
      <c r="D1107" s="19"/>
      <c r="E1107" s="19"/>
      <c r="F1107" s="19"/>
      <c r="G1107" s="17">
        <v>1251.8499999999999</v>
      </c>
      <c r="H1107" s="19"/>
      <c r="I1107" s="19"/>
      <c r="J1107" s="19"/>
    </row>
    <row r="1108" spans="1:10" x14ac:dyDescent="0.25">
      <c r="A1108" s="16" t="s">
        <v>1277</v>
      </c>
      <c r="B1108" s="16" t="s">
        <v>1091</v>
      </c>
      <c r="C1108" s="16" t="s">
        <v>704</v>
      </c>
      <c r="D1108" s="19"/>
      <c r="E1108" s="19"/>
      <c r="F1108" s="17">
        <v>191633.43</v>
      </c>
      <c r="G1108" s="17">
        <v>143888.20000000001</v>
      </c>
      <c r="H1108" s="19"/>
      <c r="I1108" s="19"/>
      <c r="J1108" s="19"/>
    </row>
    <row r="1109" spans="1:10" x14ac:dyDescent="0.25">
      <c r="A1109" s="16" t="s">
        <v>1277</v>
      </c>
      <c r="B1109" s="16" t="s">
        <v>687</v>
      </c>
      <c r="C1109" s="16"/>
      <c r="D1109" s="17">
        <v>1181576.18</v>
      </c>
      <c r="E1109" s="17">
        <v>1079430.76</v>
      </c>
      <c r="F1109" s="17">
        <v>1609127.74</v>
      </c>
      <c r="G1109" s="17">
        <v>2066096.27</v>
      </c>
      <c r="H1109" s="17">
        <v>1602324.31</v>
      </c>
      <c r="I1109" s="17">
        <v>2403740.3199999998</v>
      </c>
      <c r="J1109" s="17">
        <v>1376290.35</v>
      </c>
    </row>
    <row r="1110" spans="1:10" x14ac:dyDescent="0.25">
      <c r="A1110" s="16" t="s">
        <v>1277</v>
      </c>
      <c r="B1110" s="16" t="s">
        <v>688</v>
      </c>
      <c r="C1110" s="16"/>
      <c r="D1110" s="19"/>
      <c r="E1110" s="19"/>
      <c r="F1110" s="19"/>
      <c r="G1110" s="19"/>
      <c r="H1110" s="17">
        <v>175660</v>
      </c>
      <c r="I1110" s="19"/>
      <c r="J1110" s="19"/>
    </row>
    <row r="1111" spans="1:10" x14ac:dyDescent="0.25">
      <c r="A1111" s="16" t="s">
        <v>1277</v>
      </c>
      <c r="B1111" s="16" t="s">
        <v>1279</v>
      </c>
      <c r="C1111" s="16"/>
      <c r="D1111" s="19"/>
      <c r="E1111" s="19"/>
      <c r="F1111" s="17">
        <v>24876.41</v>
      </c>
      <c r="G1111" s="19"/>
      <c r="H1111" s="19"/>
      <c r="I1111" s="19"/>
      <c r="J1111" s="19"/>
    </row>
    <row r="1112" spans="1:10" x14ac:dyDescent="0.25">
      <c r="A1112" s="16" t="s">
        <v>1277</v>
      </c>
      <c r="B1112" s="16" t="s">
        <v>710</v>
      </c>
      <c r="C1112" s="16"/>
      <c r="D1112" s="17">
        <v>362153.8</v>
      </c>
      <c r="E1112" s="17">
        <v>181081.83</v>
      </c>
      <c r="F1112" s="17">
        <v>131836.69</v>
      </c>
      <c r="G1112" s="17">
        <v>148222.34</v>
      </c>
      <c r="H1112" s="19"/>
      <c r="I1112" s="17">
        <v>82628.34</v>
      </c>
      <c r="J1112" s="17">
        <v>175700</v>
      </c>
    </row>
    <row r="1113" spans="1:10" x14ac:dyDescent="0.25">
      <c r="A1113" s="16" t="s">
        <v>1277</v>
      </c>
      <c r="B1113" s="16" t="s">
        <v>664</v>
      </c>
      <c r="C1113" s="16"/>
      <c r="D1113" s="17">
        <v>110836.24</v>
      </c>
      <c r="E1113" s="17">
        <v>105148.22</v>
      </c>
      <c r="F1113" s="17">
        <v>159053.01</v>
      </c>
      <c r="G1113" s="17">
        <v>154607.51999999999</v>
      </c>
      <c r="H1113" s="17">
        <v>149902.01999999999</v>
      </c>
      <c r="I1113" s="17">
        <v>373923.44</v>
      </c>
      <c r="J1113" s="17">
        <v>63289.08</v>
      </c>
    </row>
    <row r="1114" spans="1:10" x14ac:dyDescent="0.25">
      <c r="A1114" s="16" t="s">
        <v>1277</v>
      </c>
      <c r="B1114" s="16" t="s">
        <v>1387</v>
      </c>
      <c r="C1114" s="16"/>
      <c r="D1114" s="19"/>
      <c r="E1114" s="19"/>
      <c r="F1114" s="19"/>
      <c r="G1114" s="19"/>
      <c r="H1114" s="17">
        <v>16871.63</v>
      </c>
      <c r="I1114" s="17">
        <v>148978.54</v>
      </c>
      <c r="J1114" s="19"/>
    </row>
    <row r="1115" spans="1:10" x14ac:dyDescent="0.25">
      <c r="A1115" s="16" t="s">
        <v>1277</v>
      </c>
      <c r="B1115" s="16" t="s">
        <v>711</v>
      </c>
      <c r="C1115" s="16"/>
      <c r="D1115" s="19"/>
      <c r="E1115" s="17">
        <v>139166.32999999999</v>
      </c>
      <c r="F1115" s="19"/>
      <c r="G1115" s="19"/>
      <c r="H1115" s="19"/>
      <c r="I1115" s="17">
        <v>103698.66</v>
      </c>
      <c r="J1115" s="19"/>
    </row>
    <row r="1116" spans="1:10" x14ac:dyDescent="0.25">
      <c r="A1116" s="16" t="s">
        <v>1277</v>
      </c>
      <c r="B1116" s="16" t="s">
        <v>1223</v>
      </c>
      <c r="C1116" s="16"/>
      <c r="D1116" s="19"/>
      <c r="E1116" s="17">
        <v>3999.09</v>
      </c>
      <c r="F1116" s="17">
        <v>98519.27</v>
      </c>
      <c r="G1116" s="19"/>
      <c r="H1116" s="19"/>
      <c r="I1116" s="17">
        <v>124203.98</v>
      </c>
      <c r="J1116" s="17">
        <v>37944</v>
      </c>
    </row>
    <row r="1117" spans="1:10" x14ac:dyDescent="0.25">
      <c r="A1117" s="16" t="s">
        <v>1277</v>
      </c>
      <c r="B1117" s="16" t="s">
        <v>1497</v>
      </c>
      <c r="C1117" s="16"/>
      <c r="D1117" s="19"/>
      <c r="E1117" s="19"/>
      <c r="F1117" s="19"/>
      <c r="G1117" s="19"/>
      <c r="H1117" s="19"/>
      <c r="I1117" s="19"/>
      <c r="J1117" s="17">
        <v>40731.5</v>
      </c>
    </row>
    <row r="1118" spans="1:10" x14ac:dyDescent="0.25">
      <c r="A1118" s="16" t="s">
        <v>1277</v>
      </c>
      <c r="B1118" s="16" t="s">
        <v>712</v>
      </c>
      <c r="C1118" s="16"/>
      <c r="D1118" s="19"/>
      <c r="E1118" s="19"/>
      <c r="F1118" s="19"/>
      <c r="G1118" s="19"/>
      <c r="H1118" s="17">
        <v>30973.46</v>
      </c>
      <c r="I1118" s="19"/>
      <c r="J1118" s="19"/>
    </row>
    <row r="1119" spans="1:10" x14ac:dyDescent="0.25">
      <c r="A1119" s="16" t="s">
        <v>1277</v>
      </c>
      <c r="B1119" s="16" t="s">
        <v>1384</v>
      </c>
      <c r="C1119" s="16"/>
      <c r="D1119" s="19"/>
      <c r="E1119" s="19"/>
      <c r="F1119" s="19"/>
      <c r="G1119" s="19"/>
      <c r="H1119" s="17">
        <v>-1121.6400000000001</v>
      </c>
      <c r="I1119" s="19"/>
      <c r="J1119" s="19"/>
    </row>
    <row r="1120" spans="1:10" x14ac:dyDescent="0.25">
      <c r="A1120" s="16" t="s">
        <v>1277</v>
      </c>
      <c r="B1120" s="16" t="s">
        <v>692</v>
      </c>
      <c r="C1120" s="16"/>
      <c r="D1120" s="19"/>
      <c r="E1120" s="17">
        <v>318142.15000000002</v>
      </c>
      <c r="F1120" s="19"/>
      <c r="G1120" s="17">
        <v>125796.43</v>
      </c>
      <c r="H1120" s="19"/>
      <c r="I1120" s="19"/>
      <c r="J1120" s="17">
        <v>215042.25</v>
      </c>
    </row>
    <row r="1121" spans="1:10" x14ac:dyDescent="0.25">
      <c r="A1121" s="16" t="s">
        <v>1277</v>
      </c>
      <c r="B1121" s="16" t="s">
        <v>714</v>
      </c>
      <c r="C1121" s="16"/>
      <c r="D1121" s="17">
        <v>165000</v>
      </c>
      <c r="E1121" s="17">
        <v>558389.19999999995</v>
      </c>
      <c r="F1121" s="19"/>
      <c r="G1121" s="17">
        <v>579140</v>
      </c>
      <c r="H1121" s="17">
        <v>335000</v>
      </c>
      <c r="I1121" s="19"/>
      <c r="J1121" s="19"/>
    </row>
    <row r="1122" spans="1:10" x14ac:dyDescent="0.25">
      <c r="A1122" s="16" t="s">
        <v>1277</v>
      </c>
      <c r="B1122" s="16" t="s">
        <v>693</v>
      </c>
      <c r="C1122" s="16"/>
      <c r="D1122" s="19"/>
      <c r="E1122" s="19"/>
      <c r="F1122" s="19"/>
      <c r="G1122" s="19"/>
      <c r="H1122" s="19"/>
      <c r="I1122" s="19"/>
      <c r="J1122" s="17">
        <v>329171.07</v>
      </c>
    </row>
    <row r="1123" spans="1:10" x14ac:dyDescent="0.25">
      <c r="A1123" s="16" t="s">
        <v>1277</v>
      </c>
      <c r="B1123" s="16" t="s">
        <v>1096</v>
      </c>
      <c r="C1123" s="16" t="s">
        <v>1401</v>
      </c>
      <c r="D1123" s="19"/>
      <c r="E1123" s="17">
        <v>352980.09</v>
      </c>
      <c r="F1123" s="17">
        <v>121628.51</v>
      </c>
      <c r="G1123" s="17">
        <v>967330.6</v>
      </c>
      <c r="H1123" s="17">
        <v>490010.37</v>
      </c>
      <c r="I1123" s="17">
        <v>153689.31</v>
      </c>
      <c r="J1123" s="17">
        <v>171591.71</v>
      </c>
    </row>
    <row r="1124" spans="1:10" x14ac:dyDescent="0.25">
      <c r="A1124" s="16" t="s">
        <v>1277</v>
      </c>
      <c r="B1124" s="16" t="s">
        <v>1332</v>
      </c>
      <c r="C1124" s="16"/>
      <c r="D1124" s="19"/>
      <c r="E1124" s="19"/>
      <c r="F1124" s="19"/>
      <c r="G1124" s="17">
        <v>9589.56</v>
      </c>
      <c r="H1124" s="19"/>
      <c r="I1124" s="19"/>
      <c r="J1124" s="19"/>
    </row>
    <row r="1125" spans="1:10" x14ac:dyDescent="0.25">
      <c r="A1125" s="16" t="s">
        <v>1277</v>
      </c>
      <c r="B1125" s="16" t="s">
        <v>674</v>
      </c>
      <c r="C1125" s="16"/>
      <c r="D1125" s="19"/>
      <c r="E1125" s="19"/>
      <c r="F1125" s="17">
        <v>-2123019.29</v>
      </c>
      <c r="G1125" s="19"/>
      <c r="H1125" s="19"/>
      <c r="I1125" s="17">
        <v>-6438.32</v>
      </c>
      <c r="J1125" s="19"/>
    </row>
    <row r="1126" spans="1:10" x14ac:dyDescent="0.25">
      <c r="A1126" s="16" t="s">
        <v>1277</v>
      </c>
      <c r="B1126" s="16" t="s">
        <v>675</v>
      </c>
      <c r="C1126" s="16"/>
      <c r="D1126" s="19"/>
      <c r="E1126" s="19"/>
      <c r="F1126" s="19"/>
      <c r="G1126" s="19"/>
      <c r="H1126" s="19"/>
      <c r="I1126" s="17">
        <v>11204.64</v>
      </c>
      <c r="J1126" s="19"/>
    </row>
    <row r="1127" spans="1:10" x14ac:dyDescent="0.25">
      <c r="A1127" s="16" t="s">
        <v>1277</v>
      </c>
      <c r="B1127" s="16" t="s">
        <v>1385</v>
      </c>
      <c r="C1127" s="16"/>
      <c r="D1127" s="19"/>
      <c r="E1127" s="19"/>
      <c r="F1127" s="19"/>
      <c r="G1127" s="19"/>
      <c r="H1127" s="17">
        <v>19000</v>
      </c>
      <c r="I1127" s="19"/>
      <c r="J1127" s="19"/>
    </row>
    <row r="1128" spans="1:10" x14ac:dyDescent="0.25">
      <c r="A1128" s="16" t="s">
        <v>1277</v>
      </c>
      <c r="B1128" s="16" t="s">
        <v>676</v>
      </c>
      <c r="C1128" s="16"/>
      <c r="D1128" s="19"/>
      <c r="E1128" s="19"/>
      <c r="F1128" s="19"/>
      <c r="G1128" s="19"/>
      <c r="H1128" s="19"/>
      <c r="I1128" s="19"/>
      <c r="J1128" s="17">
        <v>5671.02</v>
      </c>
    </row>
    <row r="1129" spans="1:10" x14ac:dyDescent="0.25">
      <c r="A1129" s="16" t="s">
        <v>1277</v>
      </c>
      <c r="B1129" s="16" t="s">
        <v>1400</v>
      </c>
      <c r="C1129" s="16"/>
      <c r="D1129" s="19"/>
      <c r="E1129" s="19"/>
      <c r="F1129" s="19"/>
      <c r="G1129" s="17">
        <v>282307.95</v>
      </c>
      <c r="H1129" s="19"/>
      <c r="I1129" s="19"/>
      <c r="J1129" s="17">
        <v>37197.06</v>
      </c>
    </row>
    <row r="1130" spans="1:10" x14ac:dyDescent="0.25">
      <c r="A1130" s="16" t="s">
        <v>1277</v>
      </c>
      <c r="B1130" s="16" t="s">
        <v>666</v>
      </c>
      <c r="C1130" s="16"/>
      <c r="D1130" s="19"/>
      <c r="E1130" s="17">
        <v>40632.959999999999</v>
      </c>
      <c r="F1130" s="19"/>
      <c r="G1130" s="19"/>
      <c r="H1130" s="19"/>
      <c r="I1130" s="19"/>
      <c r="J1130" s="17">
        <v>8252</v>
      </c>
    </row>
    <row r="1131" spans="1:10" x14ac:dyDescent="0.25">
      <c r="A1131" s="16" t="s">
        <v>1277</v>
      </c>
      <c r="B1131" s="16" t="s">
        <v>1098</v>
      </c>
      <c r="C1131" s="16" t="s">
        <v>704</v>
      </c>
      <c r="D1131" s="17">
        <v>106757.91</v>
      </c>
      <c r="E1131" s="17">
        <v>177213.84</v>
      </c>
      <c r="F1131" s="19"/>
      <c r="G1131" s="17">
        <v>109269.73</v>
      </c>
      <c r="H1131" s="17">
        <v>361393.36</v>
      </c>
      <c r="I1131" s="17">
        <v>296514.23</v>
      </c>
      <c r="J1131" s="19"/>
    </row>
    <row r="1132" spans="1:10" x14ac:dyDescent="0.25">
      <c r="A1132" s="16" t="s">
        <v>1277</v>
      </c>
      <c r="B1132" s="16" t="s">
        <v>1099</v>
      </c>
      <c r="C1132" s="16" t="s">
        <v>704</v>
      </c>
      <c r="D1132" s="19"/>
      <c r="E1132" s="19"/>
      <c r="F1132" s="19"/>
      <c r="G1132" s="19"/>
      <c r="H1132" s="17">
        <v>155025.98000000001</v>
      </c>
      <c r="I1132" s="19"/>
      <c r="J1132" s="17">
        <v>182642.84</v>
      </c>
    </row>
    <row r="1133" spans="1:10" x14ac:dyDescent="0.25">
      <c r="A1133" s="16" t="s">
        <v>1277</v>
      </c>
      <c r="B1133" s="16" t="s">
        <v>667</v>
      </c>
      <c r="C1133" s="16"/>
      <c r="D1133" s="19"/>
      <c r="E1133" s="17">
        <v>364691.89</v>
      </c>
      <c r="F1133" s="17">
        <v>363141.28</v>
      </c>
      <c r="G1133" s="17">
        <v>491532.32</v>
      </c>
      <c r="H1133" s="17">
        <v>518494.88</v>
      </c>
      <c r="I1133" s="17">
        <v>790212.06</v>
      </c>
      <c r="J1133" s="17">
        <v>428118.64</v>
      </c>
    </row>
    <row r="1134" spans="1:10" x14ac:dyDescent="0.25">
      <c r="A1134" s="16" t="s">
        <v>1277</v>
      </c>
      <c r="B1134" s="16" t="s">
        <v>695</v>
      </c>
      <c r="C1134" s="16"/>
      <c r="D1134" s="19"/>
      <c r="E1134" s="17">
        <v>159986.59</v>
      </c>
      <c r="F1134" s="17">
        <v>78990.350000000006</v>
      </c>
      <c r="G1134" s="17">
        <v>32496.9</v>
      </c>
      <c r="H1134" s="17">
        <v>6444.19</v>
      </c>
      <c r="I1134" s="17">
        <v>36413.160000000003</v>
      </c>
      <c r="J1134" s="17">
        <v>55220.57</v>
      </c>
    </row>
    <row r="1135" spans="1:10" x14ac:dyDescent="0.25">
      <c r="A1135" s="16" t="s">
        <v>1277</v>
      </c>
      <c r="B1135" s="16" t="s">
        <v>715</v>
      </c>
      <c r="C1135" s="16"/>
      <c r="D1135" s="17">
        <v>199277.96</v>
      </c>
      <c r="E1135" s="17">
        <v>234099.97</v>
      </c>
      <c r="F1135" s="17">
        <v>424509.68</v>
      </c>
      <c r="G1135" s="19"/>
      <c r="H1135" s="17">
        <v>501882.23</v>
      </c>
      <c r="I1135" s="17">
        <v>346922.17</v>
      </c>
      <c r="J1135" s="17">
        <v>197583.37</v>
      </c>
    </row>
    <row r="1136" spans="1:10" x14ac:dyDescent="0.25">
      <c r="A1136" s="16" t="s">
        <v>1277</v>
      </c>
      <c r="B1136" s="16" t="s">
        <v>1278</v>
      </c>
      <c r="C1136" s="16"/>
      <c r="D1136" s="19"/>
      <c r="E1136" s="19"/>
      <c r="F1136" s="17">
        <v>60106.51</v>
      </c>
      <c r="G1136" s="19"/>
      <c r="H1136" s="19"/>
      <c r="I1136" s="19"/>
      <c r="J1136" s="19"/>
    </row>
    <row r="1137" spans="1:10" x14ac:dyDescent="0.25">
      <c r="A1137" s="16" t="s">
        <v>1277</v>
      </c>
      <c r="B1137" s="16" t="s">
        <v>697</v>
      </c>
      <c r="C1137" s="16"/>
      <c r="D1137" s="19"/>
      <c r="E1137" s="19"/>
      <c r="F1137" s="17">
        <v>177899.13</v>
      </c>
      <c r="G1137" s="17">
        <v>198172.57</v>
      </c>
      <c r="H1137" s="17">
        <v>114620.39</v>
      </c>
      <c r="I1137" s="17">
        <v>97358.46</v>
      </c>
      <c r="J1137" s="17">
        <v>168137.87</v>
      </c>
    </row>
    <row r="1138" spans="1:10" x14ac:dyDescent="0.25">
      <c r="A1138" s="16" t="s">
        <v>1277</v>
      </c>
      <c r="B1138" s="16" t="s">
        <v>1101</v>
      </c>
      <c r="C1138" s="16" t="s">
        <v>698</v>
      </c>
      <c r="D1138" s="17">
        <v>101805.48</v>
      </c>
      <c r="E1138" s="19"/>
      <c r="F1138" s="19"/>
      <c r="G1138" s="17">
        <v>91360.03</v>
      </c>
      <c r="H1138" s="17">
        <v>88864.67</v>
      </c>
      <c r="I1138" s="17">
        <v>140042.35</v>
      </c>
      <c r="J1138" s="19"/>
    </row>
    <row r="1139" spans="1:10" x14ac:dyDescent="0.25">
      <c r="A1139" s="16" t="s">
        <v>1277</v>
      </c>
      <c r="B1139" s="16" t="s">
        <v>1330</v>
      </c>
      <c r="C1139" s="16"/>
      <c r="D1139" s="19"/>
      <c r="E1139" s="19"/>
      <c r="F1139" s="19"/>
      <c r="G1139" s="17">
        <v>10875</v>
      </c>
      <c r="H1139" s="19"/>
      <c r="I1139" s="19"/>
      <c r="J1139" s="19"/>
    </row>
    <row r="1140" spans="1:10" x14ac:dyDescent="0.25">
      <c r="A1140" s="16" t="s">
        <v>1277</v>
      </c>
      <c r="B1140" s="16" t="s">
        <v>679</v>
      </c>
      <c r="C1140" s="16"/>
      <c r="D1140" s="17">
        <v>19079.63</v>
      </c>
      <c r="E1140" s="19"/>
      <c r="F1140" s="19"/>
      <c r="G1140" s="19"/>
      <c r="H1140" s="19"/>
      <c r="I1140" s="17">
        <v>205561.61</v>
      </c>
      <c r="J1140" s="19"/>
    </row>
    <row r="1141" spans="1:10" x14ac:dyDescent="0.25">
      <c r="A1141" s="16" t="s">
        <v>1277</v>
      </c>
      <c r="B1141" s="16" t="s">
        <v>1386</v>
      </c>
      <c r="C1141" s="16"/>
      <c r="D1141" s="19"/>
      <c r="E1141" s="19"/>
      <c r="F1141" s="19"/>
      <c r="G1141" s="19"/>
      <c r="H1141" s="17">
        <v>35978.400000000001</v>
      </c>
      <c r="I1141" s="19"/>
      <c r="J1141" s="19"/>
    </row>
    <row r="1142" spans="1:10" x14ac:dyDescent="0.25">
      <c r="A1142" s="16" t="s">
        <v>1277</v>
      </c>
      <c r="B1142" s="16" t="s">
        <v>1496</v>
      </c>
      <c r="C1142" s="16"/>
      <c r="D1142" s="19"/>
      <c r="E1142" s="19"/>
      <c r="F1142" s="19"/>
      <c r="G1142" s="19"/>
      <c r="H1142" s="19"/>
      <c r="I1142" s="17">
        <v>11900</v>
      </c>
      <c r="J1142" s="17">
        <v>11900</v>
      </c>
    </row>
    <row r="1143" spans="1:10" x14ac:dyDescent="0.25">
      <c r="A1143" s="16" t="s">
        <v>1277</v>
      </c>
      <c r="B1143" s="16" t="s">
        <v>668</v>
      </c>
      <c r="C1143" s="16"/>
      <c r="D1143" s="19"/>
      <c r="E1143" s="17">
        <v>141247.56</v>
      </c>
      <c r="F1143" s="17">
        <v>32194.45</v>
      </c>
      <c r="G1143" s="17">
        <v>105712.58</v>
      </c>
      <c r="H1143" s="17">
        <v>20784.14</v>
      </c>
      <c r="I1143" s="17">
        <v>210100.87</v>
      </c>
      <c r="J1143" s="19"/>
    </row>
    <row r="1144" spans="1:10" x14ac:dyDescent="0.25">
      <c r="A1144" s="16" t="s">
        <v>1277</v>
      </c>
      <c r="B1144" s="16" t="s">
        <v>669</v>
      </c>
      <c r="C1144" s="16"/>
      <c r="D1144" s="19"/>
      <c r="E1144" s="19"/>
      <c r="F1144" s="19"/>
      <c r="G1144" s="17">
        <v>27363.35</v>
      </c>
      <c r="H1144" s="19"/>
      <c r="I1144" s="19"/>
      <c r="J1144" s="19"/>
    </row>
    <row r="1145" spans="1:10" x14ac:dyDescent="0.25">
      <c r="A1145" s="16" t="s">
        <v>1277</v>
      </c>
      <c r="B1145" s="16" t="s">
        <v>680</v>
      </c>
      <c r="C1145" s="16"/>
      <c r="D1145" s="19"/>
      <c r="E1145" s="19"/>
      <c r="F1145" s="19"/>
      <c r="G1145" s="19"/>
      <c r="H1145" s="19"/>
      <c r="I1145" s="19"/>
      <c r="J1145" s="17">
        <v>1057551.6000000001</v>
      </c>
    </row>
    <row r="1146" spans="1:10" x14ac:dyDescent="0.25">
      <c r="A1146" s="16" t="s">
        <v>1277</v>
      </c>
      <c r="B1146" s="16" t="s">
        <v>699</v>
      </c>
      <c r="C1146" s="16"/>
      <c r="D1146" s="19"/>
      <c r="E1146" s="19"/>
      <c r="F1146" s="19"/>
      <c r="G1146" s="19"/>
      <c r="H1146" s="19"/>
      <c r="I1146" s="17">
        <v>88321.81</v>
      </c>
      <c r="J1146" s="19"/>
    </row>
    <row r="1147" spans="1:10" x14ac:dyDescent="0.25">
      <c r="A1147" s="16" t="s">
        <v>1277</v>
      </c>
      <c r="B1147" s="16" t="s">
        <v>670</v>
      </c>
      <c r="C1147" s="16"/>
      <c r="D1147" s="19"/>
      <c r="E1147" s="19"/>
      <c r="F1147" s="19"/>
      <c r="G1147" s="19"/>
      <c r="H1147" s="19"/>
      <c r="I1147" s="17">
        <v>70590.78</v>
      </c>
      <c r="J1147" s="19"/>
    </row>
    <row r="1148" spans="1:10" x14ac:dyDescent="0.25">
      <c r="A1148" s="16" t="s">
        <v>1277</v>
      </c>
      <c r="B1148" s="16" t="s">
        <v>1103</v>
      </c>
      <c r="C1148" s="16" t="s">
        <v>713</v>
      </c>
      <c r="D1148" s="17">
        <v>285257.5</v>
      </c>
      <c r="E1148" s="19"/>
      <c r="F1148" s="19"/>
      <c r="G1148" s="19"/>
      <c r="H1148" s="19"/>
      <c r="I1148" s="19"/>
      <c r="J1148" s="19"/>
    </row>
    <row r="1149" spans="1:10" x14ac:dyDescent="0.25">
      <c r="A1149" s="16" t="s">
        <v>1277</v>
      </c>
      <c r="B1149" s="16" t="s">
        <v>700</v>
      </c>
      <c r="C1149" s="16"/>
      <c r="D1149" s="17">
        <v>59419.16</v>
      </c>
      <c r="E1149" s="17">
        <v>43152.95</v>
      </c>
      <c r="F1149" s="17">
        <v>121470.12</v>
      </c>
      <c r="G1149" s="17">
        <v>-2994.25</v>
      </c>
      <c r="H1149" s="17">
        <v>93148.67</v>
      </c>
      <c r="I1149" s="17">
        <v>190541.85</v>
      </c>
      <c r="J1149" s="17">
        <v>91727.76</v>
      </c>
    </row>
    <row r="1150" spans="1:10" x14ac:dyDescent="0.25">
      <c r="A1150" s="16" t="s">
        <v>1277</v>
      </c>
      <c r="B1150" s="16" t="s">
        <v>1382</v>
      </c>
      <c r="C1150" s="16"/>
      <c r="D1150" s="19"/>
      <c r="E1150" s="19"/>
      <c r="F1150" s="19"/>
      <c r="G1150" s="19"/>
      <c r="H1150" s="17">
        <v>28583.62</v>
      </c>
      <c r="I1150" s="17">
        <v>113093.85</v>
      </c>
      <c r="J1150" s="19"/>
    </row>
    <row r="1151" spans="1:10" x14ac:dyDescent="0.25">
      <c r="A1151" s="16" t="s">
        <v>1277</v>
      </c>
      <c r="B1151" s="16" t="s">
        <v>1383</v>
      </c>
      <c r="C1151" s="16"/>
      <c r="D1151" s="19"/>
      <c r="E1151" s="19"/>
      <c r="F1151" s="19"/>
      <c r="G1151" s="19"/>
      <c r="H1151" s="17">
        <v>136457.5</v>
      </c>
      <c r="I1151" s="19"/>
      <c r="J1151" s="19"/>
    </row>
    <row r="1152" spans="1:10" x14ac:dyDescent="0.25">
      <c r="A1152" s="16" t="s">
        <v>1277</v>
      </c>
      <c r="B1152" s="16" t="s">
        <v>1104</v>
      </c>
      <c r="C1152" s="16" t="s">
        <v>677</v>
      </c>
      <c r="D1152" s="17">
        <v>1842611.28</v>
      </c>
      <c r="E1152" s="17">
        <v>219486.46</v>
      </c>
      <c r="F1152" s="19"/>
      <c r="G1152" s="19"/>
      <c r="H1152" s="19"/>
      <c r="I1152" s="19"/>
      <c r="J1152" s="17">
        <v>1713002.23</v>
      </c>
    </row>
    <row r="1153" spans="1:10" x14ac:dyDescent="0.25">
      <c r="A1153" s="16" t="s">
        <v>1277</v>
      </c>
      <c r="B1153" s="16" t="s">
        <v>671</v>
      </c>
      <c r="C1153" s="16"/>
      <c r="D1153" s="17">
        <v>16371.6</v>
      </c>
      <c r="E1153" s="17">
        <v>40922</v>
      </c>
      <c r="F1153" s="19"/>
      <c r="G1153" s="19"/>
      <c r="H1153" s="17">
        <v>31240.93</v>
      </c>
      <c r="I1153" s="19"/>
      <c r="J1153" s="17">
        <v>21964.5</v>
      </c>
    </row>
    <row r="1154" spans="1:10" x14ac:dyDescent="0.25">
      <c r="A1154" s="16" t="s">
        <v>1277</v>
      </c>
      <c r="B1154" s="16" t="s">
        <v>1224</v>
      </c>
      <c r="C1154" s="16"/>
      <c r="D1154" s="19"/>
      <c r="E1154" s="17">
        <v>198505.55</v>
      </c>
      <c r="F1154" s="19"/>
      <c r="G1154" s="19"/>
      <c r="H1154" s="19"/>
      <c r="I1154" s="19"/>
      <c r="J1154" s="19"/>
    </row>
    <row r="1155" spans="1:10" x14ac:dyDescent="0.25">
      <c r="A1155" s="16" t="s">
        <v>1277</v>
      </c>
      <c r="B1155" s="16" t="s">
        <v>1225</v>
      </c>
      <c r="C1155" s="16"/>
      <c r="D1155" s="19"/>
      <c r="E1155" s="17">
        <v>4954.25</v>
      </c>
      <c r="F1155" s="19"/>
      <c r="G1155" s="19"/>
      <c r="H1155" s="19"/>
      <c r="I1155" s="19"/>
      <c r="J1155" s="19"/>
    </row>
    <row r="1156" spans="1:10" x14ac:dyDescent="0.25">
      <c r="A1156" s="16" t="s">
        <v>1277</v>
      </c>
      <c r="B1156" s="16" t="s">
        <v>684</v>
      </c>
      <c r="C1156" s="16"/>
      <c r="D1156" s="17">
        <v>13560</v>
      </c>
      <c r="E1156" s="19"/>
      <c r="F1156" s="19"/>
      <c r="G1156" s="19"/>
      <c r="H1156" s="19"/>
      <c r="I1156" s="19"/>
      <c r="J1156" s="19"/>
    </row>
    <row r="1157" spans="1:10" x14ac:dyDescent="0.25">
      <c r="A1157" s="16" t="s">
        <v>1277</v>
      </c>
      <c r="B1157" s="16" t="s">
        <v>1328</v>
      </c>
      <c r="C1157" s="16" t="s">
        <v>1329</v>
      </c>
      <c r="D1157" s="19"/>
      <c r="E1157" s="19"/>
      <c r="F1157" s="19"/>
      <c r="G1157" s="17">
        <v>84499.51</v>
      </c>
      <c r="H1157" s="17">
        <v>77856.429999999993</v>
      </c>
      <c r="I1157" s="17">
        <v>58857.51</v>
      </c>
      <c r="J1157" s="19"/>
    </row>
    <row r="1158" spans="1:10" x14ac:dyDescent="0.25">
      <c r="A1158" s="16" t="s">
        <v>1277</v>
      </c>
      <c r="B1158" s="16" t="s">
        <v>717</v>
      </c>
      <c r="C1158" s="16"/>
      <c r="D1158" s="17">
        <v>83970.11</v>
      </c>
      <c r="E1158" s="17">
        <v>216651.63</v>
      </c>
      <c r="F1158" s="19"/>
      <c r="G1158" s="17">
        <v>300786.31</v>
      </c>
      <c r="H1158" s="17">
        <v>410498.96</v>
      </c>
      <c r="I1158" s="17">
        <v>139016.67000000001</v>
      </c>
      <c r="J1158" s="17">
        <v>184972.76</v>
      </c>
    </row>
    <row r="1159" spans="1:10" x14ac:dyDescent="0.25">
      <c r="A1159" s="16" t="s">
        <v>1277</v>
      </c>
      <c r="B1159" s="16" t="s">
        <v>703</v>
      </c>
      <c r="C1159" s="16"/>
      <c r="D1159" s="17">
        <v>24777.25</v>
      </c>
      <c r="E1159" s="17">
        <v>35961.58</v>
      </c>
      <c r="F1159" s="17">
        <v>23948.720000000001</v>
      </c>
      <c r="G1159" s="17">
        <v>363551.09</v>
      </c>
      <c r="H1159" s="17">
        <v>95137.3</v>
      </c>
      <c r="I1159" s="17">
        <v>26804.22</v>
      </c>
      <c r="J1159" s="17">
        <v>66389.850000000006</v>
      </c>
    </row>
    <row r="1160" spans="1:10" x14ac:dyDescent="0.25">
      <c r="A1160" s="16" t="s">
        <v>1277</v>
      </c>
      <c r="B1160" s="16" t="s">
        <v>718</v>
      </c>
      <c r="C1160" s="16"/>
      <c r="D1160" s="17">
        <v>50848.77</v>
      </c>
      <c r="E1160" s="17">
        <v>26727.71</v>
      </c>
      <c r="F1160" s="17">
        <v>25112.7</v>
      </c>
      <c r="G1160" s="19"/>
      <c r="H1160" s="17">
        <v>77126.64</v>
      </c>
      <c r="I1160" s="19"/>
      <c r="J1160" s="17">
        <v>72091.86</v>
      </c>
    </row>
    <row r="1161" spans="1:10" x14ac:dyDescent="0.25">
      <c r="A1161" s="16" t="s">
        <v>1277</v>
      </c>
      <c r="B1161" s="16" t="s">
        <v>705</v>
      </c>
      <c r="C1161" s="16"/>
      <c r="D1161" s="17">
        <v>281358.75</v>
      </c>
      <c r="E1161" s="19"/>
      <c r="F1161" s="17">
        <v>155599.65</v>
      </c>
      <c r="G1161" s="19"/>
      <c r="H1161" s="17">
        <v>225988.95</v>
      </c>
      <c r="I1161" s="19"/>
      <c r="J1161" s="17">
        <v>404852.67</v>
      </c>
    </row>
    <row r="1162" spans="1:10" x14ac:dyDescent="0.25">
      <c r="A1162" s="16" t="s">
        <v>1277</v>
      </c>
      <c r="B1162" s="16" t="s">
        <v>1107</v>
      </c>
      <c r="C1162" s="16" t="s">
        <v>674</v>
      </c>
      <c r="D1162" s="19"/>
      <c r="E1162" s="19"/>
      <c r="F1162" s="19"/>
      <c r="G1162" s="17">
        <v>-3283.98</v>
      </c>
      <c r="H1162" s="19"/>
      <c r="I1162" s="19"/>
      <c r="J1162" s="19"/>
    </row>
    <row r="1163" spans="1:10" x14ac:dyDescent="0.25">
      <c r="A1163" s="16" t="s">
        <v>1277</v>
      </c>
      <c r="B1163" s="16" t="s">
        <v>708</v>
      </c>
      <c r="C1163" s="16"/>
      <c r="D1163" s="19"/>
      <c r="E1163" s="19"/>
      <c r="F1163" s="19"/>
      <c r="G1163" s="17">
        <v>1227.8499999999999</v>
      </c>
      <c r="H1163" s="19"/>
      <c r="I1163" s="19"/>
      <c r="J1163" s="19"/>
    </row>
    <row r="1164" spans="1:10" x14ac:dyDescent="0.25">
      <c r="A1164" s="16" t="s">
        <v>1277</v>
      </c>
      <c r="B1164" s="16" t="s">
        <v>686</v>
      </c>
      <c r="C1164" s="16"/>
      <c r="D1164" s="19"/>
      <c r="E1164" s="19"/>
      <c r="F1164" s="19"/>
      <c r="G1164" s="17">
        <v>216796.64</v>
      </c>
      <c r="H1164" s="17">
        <v>130229.26</v>
      </c>
      <c r="I1164" s="17">
        <v>93901.26</v>
      </c>
      <c r="J1164" s="19"/>
    </row>
    <row r="1165" spans="1:10" x14ac:dyDescent="0.25">
      <c r="A1165" s="16" t="s">
        <v>1222</v>
      </c>
      <c r="B1165" s="16" t="s">
        <v>709</v>
      </c>
      <c r="C1165" s="16"/>
      <c r="D1165" s="17">
        <v>65330.65</v>
      </c>
      <c r="E1165" s="19"/>
      <c r="F1165" s="17">
        <v>70472.570000000007</v>
      </c>
      <c r="G1165" s="17">
        <v>69942.009999999995</v>
      </c>
      <c r="H1165" s="17">
        <v>63242.239999999998</v>
      </c>
      <c r="I1165" s="17">
        <v>126535.84</v>
      </c>
      <c r="J1165" s="17">
        <v>119788.81</v>
      </c>
    </row>
    <row r="1166" spans="1:10" x14ac:dyDescent="0.25">
      <c r="A1166" s="16" t="s">
        <v>1222</v>
      </c>
      <c r="B1166" s="16" t="s">
        <v>673</v>
      </c>
      <c r="C1166" s="16"/>
      <c r="D1166" s="17">
        <v>82557.52</v>
      </c>
      <c r="E1166" s="19"/>
      <c r="F1166" s="19"/>
      <c r="G1166" s="17">
        <v>57058.73</v>
      </c>
      <c r="H1166" s="17">
        <v>103658.3</v>
      </c>
      <c r="I1166" s="19"/>
      <c r="J1166" s="19"/>
    </row>
    <row r="1167" spans="1:10" x14ac:dyDescent="0.25">
      <c r="A1167" s="16" t="s">
        <v>1222</v>
      </c>
      <c r="B1167" s="16" t="s">
        <v>690</v>
      </c>
      <c r="C1167" s="16"/>
      <c r="D1167" s="19"/>
      <c r="E1167" s="17">
        <v>201628.05</v>
      </c>
      <c r="F1167" s="19"/>
      <c r="G1167" s="19"/>
      <c r="H1167" s="18">
        <v>-425.67</v>
      </c>
      <c r="I1167" s="19"/>
      <c r="J1167" s="19"/>
    </row>
    <row r="1168" spans="1:10" x14ac:dyDescent="0.25">
      <c r="A1168" s="16" t="s">
        <v>1222</v>
      </c>
      <c r="B1168" s="16" t="s">
        <v>1095</v>
      </c>
      <c r="C1168" s="16" t="s">
        <v>672</v>
      </c>
      <c r="D1168" s="19"/>
      <c r="E1168" s="17">
        <v>44221.82</v>
      </c>
      <c r="F1168" s="19"/>
      <c r="G1168" s="19"/>
      <c r="H1168" s="19"/>
      <c r="I1168" s="17">
        <v>289272.77</v>
      </c>
      <c r="J1168" s="19"/>
    </row>
    <row r="1169" spans="1:10" x14ac:dyDescent="0.25">
      <c r="A1169" s="16" t="s">
        <v>1222</v>
      </c>
      <c r="B1169" s="16" t="s">
        <v>681</v>
      </c>
      <c r="C1169" s="16"/>
      <c r="D1169" s="17">
        <v>7165.08</v>
      </c>
      <c r="E1169" s="19"/>
      <c r="F1169" s="19"/>
      <c r="G1169" s="19"/>
      <c r="H1169" s="19"/>
      <c r="I1169" s="19"/>
      <c r="J1169" s="19"/>
    </row>
    <row r="1170" spans="1:10" x14ac:dyDescent="0.25">
      <c r="A1170" s="16" t="s">
        <v>1222</v>
      </c>
      <c r="B1170" s="16" t="s">
        <v>682</v>
      </c>
      <c r="C1170" s="16"/>
      <c r="D1170" s="19"/>
      <c r="E1170" s="17">
        <v>77374.05</v>
      </c>
      <c r="F1170" s="19"/>
      <c r="G1170" s="17">
        <v>163431.23000000001</v>
      </c>
      <c r="H1170" s="19"/>
      <c r="I1170" s="17">
        <v>67340.97</v>
      </c>
      <c r="J1170" s="17">
        <v>55836.97</v>
      </c>
    </row>
    <row r="1171" spans="1:10" x14ac:dyDescent="0.25">
      <c r="A1171" s="16" t="s">
        <v>1222</v>
      </c>
      <c r="B1171" s="16" t="s">
        <v>683</v>
      </c>
      <c r="C1171" s="16"/>
      <c r="D1171" s="17">
        <v>53059.71</v>
      </c>
      <c r="E1171" s="19"/>
      <c r="F1171" s="19"/>
      <c r="G1171" s="17">
        <v>58584.800000000003</v>
      </c>
      <c r="H1171" s="19"/>
      <c r="I1171" s="19"/>
      <c r="J1171" s="19"/>
    </row>
    <row r="1172" spans="1:10" x14ac:dyDescent="0.25">
      <c r="A1172" s="16" t="s">
        <v>1222</v>
      </c>
      <c r="B1172" s="16" t="s">
        <v>1106</v>
      </c>
      <c r="C1172" s="16"/>
      <c r="D1172" s="19"/>
      <c r="E1172" s="19"/>
      <c r="F1172" s="17">
        <v>1080601.05</v>
      </c>
      <c r="G1172" s="18">
        <v>-317.19</v>
      </c>
      <c r="H1172" s="19"/>
      <c r="I1172" s="19"/>
      <c r="J1172" s="19"/>
    </row>
    <row r="1173" spans="1:10" x14ac:dyDescent="0.25">
      <c r="A1173" s="16" t="s">
        <v>1222</v>
      </c>
      <c r="B1173" s="16" t="s">
        <v>719</v>
      </c>
      <c r="C1173" s="16"/>
      <c r="D1173" s="19"/>
      <c r="E1173" s="17">
        <v>2481.37</v>
      </c>
      <c r="F1173" s="19"/>
      <c r="G1173" s="19"/>
      <c r="H1173" s="19"/>
      <c r="I1173" s="19"/>
      <c r="J1173" s="17">
        <v>70715.509999999995</v>
      </c>
    </row>
    <row r="1174" spans="1:10" x14ac:dyDescent="0.25">
      <c r="A1174" s="16" t="s">
        <v>1222</v>
      </c>
      <c r="B1174" s="16" t="s">
        <v>685</v>
      </c>
      <c r="C1174" s="16"/>
      <c r="D1174" s="19"/>
      <c r="E1174" s="19"/>
      <c r="F1174" s="19"/>
      <c r="G1174" s="17">
        <v>120263.7</v>
      </c>
      <c r="H1174" s="17">
        <v>116645.95</v>
      </c>
      <c r="I1174" s="17">
        <v>108527.65</v>
      </c>
      <c r="J1174" s="19"/>
    </row>
    <row r="1175" spans="1:10" x14ac:dyDescent="0.25">
      <c r="A1175" s="16" t="s">
        <v>1280</v>
      </c>
      <c r="B1175" s="16" t="s">
        <v>665</v>
      </c>
      <c r="C1175" s="16"/>
      <c r="D1175" s="17">
        <v>1147641.7</v>
      </c>
      <c r="E1175" s="17">
        <v>1444376.4</v>
      </c>
      <c r="F1175" s="17">
        <v>1654668.76</v>
      </c>
      <c r="G1175" s="17">
        <v>2589141.2999999998</v>
      </c>
      <c r="H1175" s="17">
        <v>3138406.97</v>
      </c>
      <c r="I1175" s="17">
        <v>2944210.47</v>
      </c>
      <c r="J1175" s="17">
        <v>3295574.29</v>
      </c>
    </row>
    <row r="1176" spans="1:10" x14ac:dyDescent="0.25">
      <c r="A1176" s="16" t="s">
        <v>1280</v>
      </c>
      <c r="B1176" s="16" t="s">
        <v>1097</v>
      </c>
      <c r="C1176" s="16" t="s">
        <v>701</v>
      </c>
      <c r="D1176" s="17">
        <v>830011.77</v>
      </c>
      <c r="E1176" s="17">
        <v>677220.5</v>
      </c>
      <c r="F1176" s="17">
        <v>1430142.51</v>
      </c>
      <c r="G1176" s="17">
        <v>1538891.71</v>
      </c>
      <c r="H1176" s="17">
        <v>1941408.15</v>
      </c>
      <c r="I1176" s="17">
        <v>2860600.42</v>
      </c>
      <c r="J1176" s="17">
        <v>2452595.9500000002</v>
      </c>
    </row>
    <row r="1177" spans="1:10" x14ac:dyDescent="0.25">
      <c r="A1177" s="16" t="s">
        <v>1280</v>
      </c>
      <c r="B1177" s="16" t="s">
        <v>1100</v>
      </c>
      <c r="C1177" s="16"/>
      <c r="D1177" s="17">
        <v>140192.1</v>
      </c>
      <c r="E1177" s="19"/>
      <c r="F1177" s="17">
        <v>321756.83</v>
      </c>
      <c r="G1177" s="17">
        <v>226555.28</v>
      </c>
      <c r="H1177" s="17">
        <v>477983.52</v>
      </c>
      <c r="I1177" s="17">
        <v>548217.06000000006</v>
      </c>
      <c r="J1177" s="17">
        <v>408303.15</v>
      </c>
    </row>
    <row r="1178" spans="1:10" x14ac:dyDescent="0.25">
      <c r="A1178" s="16" t="s">
        <v>1280</v>
      </c>
      <c r="B1178" s="16" t="s">
        <v>696</v>
      </c>
      <c r="C1178" s="16"/>
      <c r="D1178" s="17">
        <v>886402.5</v>
      </c>
      <c r="E1178" s="17">
        <v>1188880.2</v>
      </c>
      <c r="F1178" s="17">
        <v>1575771.05</v>
      </c>
      <c r="G1178" s="17">
        <v>1041334.96</v>
      </c>
      <c r="H1178" s="17">
        <v>1876987.99</v>
      </c>
      <c r="I1178" s="17">
        <v>2507458.62</v>
      </c>
      <c r="J1178" s="17">
        <v>1970637.47</v>
      </c>
    </row>
    <row r="1179" spans="1:10" x14ac:dyDescent="0.25">
      <c r="A1179" s="16" t="s">
        <v>1280</v>
      </c>
      <c r="B1179" s="16" t="s">
        <v>716</v>
      </c>
      <c r="C1179" s="16"/>
      <c r="D1179" s="17">
        <v>1843531.52</v>
      </c>
      <c r="E1179" s="17">
        <v>909750.34</v>
      </c>
      <c r="F1179" s="17">
        <v>891379.03</v>
      </c>
      <c r="G1179" s="17">
        <v>2190828.3199999998</v>
      </c>
      <c r="H1179" s="17">
        <v>2411357.2599999998</v>
      </c>
      <c r="I1179" s="17">
        <v>1801417.39</v>
      </c>
      <c r="J1179" s="17">
        <v>1164439.22</v>
      </c>
    </row>
    <row r="1180" spans="1:10" x14ac:dyDescent="0.25">
      <c r="A1180" s="16" t="s">
        <v>1280</v>
      </c>
      <c r="B1180" s="16" t="s">
        <v>1102</v>
      </c>
      <c r="C1180" s="16"/>
      <c r="D1180" s="17">
        <v>1187933.42</v>
      </c>
      <c r="E1180" s="17">
        <v>2671706.85</v>
      </c>
      <c r="F1180" s="17">
        <v>3456376.98</v>
      </c>
      <c r="G1180" s="17">
        <v>2764264.2</v>
      </c>
      <c r="H1180" s="17">
        <v>4514412.74</v>
      </c>
      <c r="I1180" s="17">
        <v>4332446.79</v>
      </c>
      <c r="J1180" s="17">
        <v>4944939.3499999996</v>
      </c>
    </row>
    <row r="1181" spans="1:10" x14ac:dyDescent="0.25">
      <c r="A1181" s="16" t="s">
        <v>1388</v>
      </c>
      <c r="B1181" s="16" t="s">
        <v>1093</v>
      </c>
      <c r="C1181" s="16" t="s">
        <v>694</v>
      </c>
      <c r="D1181" s="17">
        <v>319703.59999999998</v>
      </c>
      <c r="E1181" s="19"/>
      <c r="F1181" s="17">
        <v>223510.09</v>
      </c>
      <c r="G1181" s="19"/>
      <c r="H1181" s="17">
        <v>1605885.11</v>
      </c>
      <c r="I1181" s="17">
        <v>1158037.68</v>
      </c>
      <c r="J1181" s="17">
        <v>711589.52</v>
      </c>
    </row>
    <row r="1182" spans="1:10" x14ac:dyDescent="0.25">
      <c r="A1182" s="16" t="s">
        <v>1388</v>
      </c>
      <c r="B1182" s="16" t="s">
        <v>1108</v>
      </c>
      <c r="C1182" s="16" t="s">
        <v>707</v>
      </c>
      <c r="D1182" s="17">
        <v>259144.9</v>
      </c>
      <c r="E1182" s="17">
        <v>146082.57999999999</v>
      </c>
      <c r="F1182" s="17">
        <v>644341.53</v>
      </c>
      <c r="G1182" s="17">
        <v>476591.14</v>
      </c>
      <c r="H1182" s="17">
        <v>475483.58</v>
      </c>
      <c r="I1182" s="17">
        <v>1301949.2</v>
      </c>
      <c r="J1182" s="17">
        <v>779488.01</v>
      </c>
    </row>
    <row r="1183" spans="1:10" x14ac:dyDescent="0.25">
      <c r="A1183" s="16" t="s">
        <v>1226</v>
      </c>
      <c r="B1183" s="16" t="s">
        <v>720</v>
      </c>
      <c r="C1183" s="16"/>
      <c r="D1183" s="17">
        <v>179162.93</v>
      </c>
      <c r="E1183" s="19"/>
      <c r="F1183" s="17">
        <v>377541.07</v>
      </c>
      <c r="G1183" s="17">
        <v>339976.7</v>
      </c>
      <c r="H1183" s="17">
        <v>102767.58</v>
      </c>
      <c r="I1183" s="17">
        <v>248832.5</v>
      </c>
      <c r="J1183" s="17">
        <v>109981.55</v>
      </c>
    </row>
    <row r="1184" spans="1:10" x14ac:dyDescent="0.25">
      <c r="A1184" s="16" t="s">
        <v>1226</v>
      </c>
      <c r="B1184" s="16" t="s">
        <v>1110</v>
      </c>
      <c r="C1184" s="16" t="s">
        <v>733</v>
      </c>
      <c r="D1184" s="17">
        <v>445697.72</v>
      </c>
      <c r="E1184" s="19"/>
      <c r="F1184" s="19"/>
      <c r="G1184" s="17">
        <v>496991.11</v>
      </c>
      <c r="H1184" s="17">
        <v>503677.54</v>
      </c>
      <c r="I1184" s="19"/>
      <c r="J1184" s="17">
        <v>504472.32000000001</v>
      </c>
    </row>
    <row r="1185" spans="1:10" x14ac:dyDescent="0.25">
      <c r="A1185" s="16" t="s">
        <v>1226</v>
      </c>
      <c r="B1185" s="16" t="s">
        <v>1111</v>
      </c>
      <c r="C1185" s="16" t="s">
        <v>736</v>
      </c>
      <c r="D1185" s="17">
        <v>714619.21</v>
      </c>
      <c r="E1185" s="17">
        <v>303660.2</v>
      </c>
      <c r="F1185" s="17">
        <v>526631.37</v>
      </c>
      <c r="G1185" s="17">
        <v>368932.56</v>
      </c>
      <c r="H1185" s="17">
        <v>474756.91</v>
      </c>
      <c r="I1185" s="17">
        <v>807672.85</v>
      </c>
      <c r="J1185" s="17">
        <v>885680.04</v>
      </c>
    </row>
    <row r="1186" spans="1:10" x14ac:dyDescent="0.25">
      <c r="A1186" s="16" t="s">
        <v>1226</v>
      </c>
      <c r="B1186" s="16" t="s">
        <v>721</v>
      </c>
      <c r="C1186" s="16"/>
      <c r="D1186" s="17">
        <v>262319.58</v>
      </c>
      <c r="E1186" s="17">
        <v>888081.97</v>
      </c>
      <c r="F1186" s="17">
        <v>78128.31</v>
      </c>
      <c r="G1186" s="19"/>
      <c r="H1186" s="19"/>
      <c r="I1186" s="17">
        <v>449066.01</v>
      </c>
      <c r="J1186" s="17">
        <v>137533.51999999999</v>
      </c>
    </row>
    <row r="1187" spans="1:10" x14ac:dyDescent="0.25">
      <c r="A1187" s="16" t="s">
        <v>1226</v>
      </c>
      <c r="B1187" s="16" t="s">
        <v>1227</v>
      </c>
      <c r="C1187" s="16" t="s">
        <v>760</v>
      </c>
      <c r="D1187" s="17">
        <v>167124.63</v>
      </c>
      <c r="E1187" s="19"/>
      <c r="F1187" s="19"/>
      <c r="G1187" s="19"/>
      <c r="H1187" s="19"/>
      <c r="I1187" s="19"/>
      <c r="J1187" s="19"/>
    </row>
    <row r="1188" spans="1:10" x14ac:dyDescent="0.25">
      <c r="A1188" s="16" t="s">
        <v>1226</v>
      </c>
      <c r="B1188" s="16" t="s">
        <v>722</v>
      </c>
      <c r="C1188" s="16"/>
      <c r="D1188" s="17">
        <v>348979.51</v>
      </c>
      <c r="E1188" s="17">
        <v>842430.18</v>
      </c>
      <c r="F1188" s="17">
        <v>743996.1</v>
      </c>
      <c r="G1188" s="17">
        <v>316470.17</v>
      </c>
      <c r="H1188" s="17">
        <v>326861.09000000003</v>
      </c>
      <c r="I1188" s="17">
        <v>809674.75</v>
      </c>
      <c r="J1188" s="17">
        <v>417949.76</v>
      </c>
    </row>
    <row r="1189" spans="1:10" x14ac:dyDescent="0.25">
      <c r="A1189" s="16" t="s">
        <v>1226</v>
      </c>
      <c r="B1189" s="16" t="s">
        <v>1228</v>
      </c>
      <c r="C1189" s="16" t="s">
        <v>747</v>
      </c>
      <c r="D1189" s="19"/>
      <c r="E1189" s="17">
        <v>136132.41</v>
      </c>
      <c r="F1189" s="19"/>
      <c r="G1189" s="19"/>
      <c r="H1189" s="19"/>
      <c r="I1189" s="19"/>
      <c r="J1189" s="19"/>
    </row>
    <row r="1190" spans="1:10" x14ac:dyDescent="0.25">
      <c r="A1190" s="16" t="s">
        <v>1226</v>
      </c>
      <c r="B1190" s="16" t="s">
        <v>723</v>
      </c>
      <c r="C1190" s="16"/>
      <c r="D1190" s="17">
        <v>49369.29</v>
      </c>
      <c r="E1190" s="19"/>
      <c r="F1190" s="19"/>
      <c r="G1190" s="17">
        <v>25108.240000000002</v>
      </c>
      <c r="H1190" s="19"/>
      <c r="I1190" s="17">
        <v>51828.79</v>
      </c>
      <c r="J1190" s="19"/>
    </row>
    <row r="1191" spans="1:10" x14ac:dyDescent="0.25">
      <c r="A1191" s="16" t="s">
        <v>1226</v>
      </c>
      <c r="B1191" s="16" t="s">
        <v>1333</v>
      </c>
      <c r="C1191" s="16"/>
      <c r="D1191" s="19"/>
      <c r="E1191" s="19"/>
      <c r="F1191" s="19"/>
      <c r="G1191" s="17">
        <v>1508736.16</v>
      </c>
      <c r="H1191" s="19"/>
      <c r="I1191" s="19"/>
      <c r="J1191" s="19"/>
    </row>
    <row r="1192" spans="1:10" x14ac:dyDescent="0.25">
      <c r="A1192" s="16" t="s">
        <v>1226</v>
      </c>
      <c r="B1192" s="16" t="s">
        <v>1112</v>
      </c>
      <c r="C1192" s="16" t="s">
        <v>733</v>
      </c>
      <c r="D1192" s="19"/>
      <c r="E1192" s="19"/>
      <c r="F1192" s="19"/>
      <c r="G1192" s="19"/>
      <c r="H1192" s="17">
        <v>4011214.66</v>
      </c>
      <c r="I1192" s="19"/>
      <c r="J1192" s="19"/>
    </row>
    <row r="1193" spans="1:10" x14ac:dyDescent="0.25">
      <c r="A1193" s="16" t="s">
        <v>1226</v>
      </c>
      <c r="B1193" s="16" t="s">
        <v>1530</v>
      </c>
      <c r="C1193" s="16" t="s">
        <v>747</v>
      </c>
      <c r="D1193" s="19"/>
      <c r="E1193" s="19"/>
      <c r="F1193" s="19"/>
      <c r="G1193" s="19"/>
      <c r="H1193" s="19"/>
      <c r="I1193" s="19"/>
      <c r="J1193" s="17">
        <v>210486.2</v>
      </c>
    </row>
    <row r="1194" spans="1:10" x14ac:dyDescent="0.25">
      <c r="A1194" s="16" t="s">
        <v>1226</v>
      </c>
      <c r="B1194" s="16" t="s">
        <v>1113</v>
      </c>
      <c r="C1194" s="16" t="s">
        <v>735</v>
      </c>
      <c r="D1194" s="17">
        <v>477133.31</v>
      </c>
      <c r="E1194" s="19"/>
      <c r="F1194" s="19"/>
      <c r="G1194" s="19"/>
      <c r="H1194" s="19"/>
      <c r="I1194" s="19"/>
      <c r="J1194" s="17">
        <v>495000</v>
      </c>
    </row>
    <row r="1195" spans="1:10" x14ac:dyDescent="0.25">
      <c r="A1195" s="16" t="s">
        <v>1226</v>
      </c>
      <c r="B1195" s="16" t="s">
        <v>724</v>
      </c>
      <c r="C1195" s="16"/>
      <c r="D1195" s="19"/>
      <c r="E1195" s="19"/>
      <c r="F1195" s="17">
        <v>2646.45</v>
      </c>
      <c r="G1195" s="19"/>
      <c r="H1195" s="19"/>
      <c r="I1195" s="19"/>
      <c r="J1195" s="19"/>
    </row>
    <row r="1196" spans="1:10" x14ac:dyDescent="0.25">
      <c r="A1196" s="16" t="s">
        <v>1226</v>
      </c>
      <c r="B1196" s="16" t="s">
        <v>725</v>
      </c>
      <c r="C1196" s="16"/>
      <c r="D1196" s="17">
        <v>179219.03</v>
      </c>
      <c r="E1196" s="19"/>
      <c r="F1196" s="19"/>
      <c r="G1196" s="19"/>
      <c r="H1196" s="19"/>
      <c r="I1196" s="19"/>
      <c r="J1196" s="19"/>
    </row>
    <row r="1197" spans="1:10" x14ac:dyDescent="0.25">
      <c r="A1197" s="16" t="s">
        <v>1226</v>
      </c>
      <c r="B1197" s="16" t="s">
        <v>726</v>
      </c>
      <c r="C1197" s="16"/>
      <c r="D1197" s="17">
        <v>148900</v>
      </c>
      <c r="E1197" s="17">
        <v>284400</v>
      </c>
      <c r="F1197" s="17">
        <v>261600</v>
      </c>
      <c r="G1197" s="17">
        <v>148400</v>
      </c>
      <c r="H1197" s="17">
        <v>259900</v>
      </c>
      <c r="I1197" s="17">
        <v>360354</v>
      </c>
      <c r="J1197" s="17">
        <v>215700</v>
      </c>
    </row>
    <row r="1198" spans="1:10" x14ac:dyDescent="0.25">
      <c r="A1198" s="16" t="s">
        <v>1226</v>
      </c>
      <c r="B1198" s="16" t="s">
        <v>775</v>
      </c>
      <c r="C1198" s="16"/>
      <c r="D1198" s="19"/>
      <c r="E1198" s="19"/>
      <c r="F1198" s="19"/>
      <c r="G1198" s="19"/>
      <c r="H1198" s="17">
        <v>18641.150000000001</v>
      </c>
      <c r="I1198" s="19"/>
      <c r="J1198" s="19"/>
    </row>
    <row r="1199" spans="1:10" x14ac:dyDescent="0.25">
      <c r="A1199" s="16" t="s">
        <v>1226</v>
      </c>
      <c r="B1199" s="16" t="s">
        <v>1531</v>
      </c>
      <c r="C1199" s="16"/>
      <c r="D1199" s="19"/>
      <c r="E1199" s="19"/>
      <c r="F1199" s="19"/>
      <c r="G1199" s="19"/>
      <c r="H1199" s="19"/>
      <c r="I1199" s="19"/>
      <c r="J1199" s="17">
        <v>393621.72</v>
      </c>
    </row>
    <row r="1200" spans="1:10" x14ac:dyDescent="0.25">
      <c r="A1200" s="16" t="s">
        <v>1226</v>
      </c>
      <c r="B1200" s="16" t="s">
        <v>1334</v>
      </c>
      <c r="C1200" s="16"/>
      <c r="D1200" s="19"/>
      <c r="E1200" s="19"/>
      <c r="F1200" s="19"/>
      <c r="G1200" s="17">
        <v>169731.11</v>
      </c>
      <c r="H1200" s="19"/>
      <c r="I1200" s="19"/>
      <c r="J1200" s="19"/>
    </row>
    <row r="1201" spans="1:10" x14ac:dyDescent="0.25">
      <c r="A1201" s="16" t="s">
        <v>1226</v>
      </c>
      <c r="B1201" s="16" t="s">
        <v>728</v>
      </c>
      <c r="C1201" s="16"/>
      <c r="D1201" s="17">
        <v>240400</v>
      </c>
      <c r="E1201" s="17">
        <v>208800</v>
      </c>
      <c r="F1201" s="17">
        <v>399823.3</v>
      </c>
      <c r="G1201" s="17">
        <v>281700</v>
      </c>
      <c r="H1201" s="19"/>
      <c r="I1201" s="17">
        <v>752600</v>
      </c>
      <c r="J1201" s="17">
        <v>149700</v>
      </c>
    </row>
    <row r="1202" spans="1:10" x14ac:dyDescent="0.25">
      <c r="A1202" s="16" t="s">
        <v>1226</v>
      </c>
      <c r="B1202" s="16" t="s">
        <v>1389</v>
      </c>
      <c r="C1202" s="16" t="s">
        <v>747</v>
      </c>
      <c r="D1202" s="19"/>
      <c r="E1202" s="19"/>
      <c r="F1202" s="19"/>
      <c r="G1202" s="19"/>
      <c r="H1202" s="17">
        <v>469848.02</v>
      </c>
      <c r="I1202" s="19"/>
      <c r="J1202" s="19"/>
    </row>
    <row r="1203" spans="1:10" x14ac:dyDescent="0.25">
      <c r="A1203" s="16" t="s">
        <v>1226</v>
      </c>
      <c r="B1203" s="16" t="s">
        <v>1114</v>
      </c>
      <c r="C1203" s="16" t="s">
        <v>752</v>
      </c>
      <c r="D1203" s="19"/>
      <c r="E1203" s="19"/>
      <c r="F1203" s="19"/>
      <c r="G1203" s="19"/>
      <c r="H1203" s="17">
        <v>31362.86</v>
      </c>
      <c r="I1203" s="19"/>
      <c r="J1203" s="19"/>
    </row>
    <row r="1204" spans="1:10" x14ac:dyDescent="0.25">
      <c r="A1204" s="16" t="s">
        <v>1226</v>
      </c>
      <c r="B1204" s="16" t="s">
        <v>1455</v>
      </c>
      <c r="C1204" s="16"/>
      <c r="D1204" s="19"/>
      <c r="E1204" s="19"/>
      <c r="F1204" s="19"/>
      <c r="G1204" s="19"/>
      <c r="H1204" s="19"/>
      <c r="I1204" s="17">
        <v>66445.02</v>
      </c>
      <c r="J1204" s="19"/>
    </row>
    <row r="1205" spans="1:10" x14ac:dyDescent="0.25">
      <c r="A1205" s="16" t="s">
        <v>1226</v>
      </c>
      <c r="B1205" s="16" t="s">
        <v>729</v>
      </c>
      <c r="C1205" s="16"/>
      <c r="D1205" s="17">
        <v>122055.24</v>
      </c>
      <c r="E1205" s="17">
        <v>20154.13</v>
      </c>
      <c r="F1205" s="19"/>
      <c r="G1205" s="19"/>
      <c r="H1205" s="17">
        <v>64252.07</v>
      </c>
      <c r="I1205" s="19"/>
      <c r="J1205" s="19"/>
    </row>
    <row r="1206" spans="1:10" x14ac:dyDescent="0.25">
      <c r="A1206" s="16" t="s">
        <v>1226</v>
      </c>
      <c r="B1206" s="16" t="s">
        <v>1115</v>
      </c>
      <c r="C1206" s="16" t="s">
        <v>727</v>
      </c>
      <c r="D1206" s="17">
        <v>41048.879999999997</v>
      </c>
      <c r="E1206" s="19"/>
      <c r="F1206" s="17">
        <v>95795.78</v>
      </c>
      <c r="G1206" s="17">
        <v>108301.25</v>
      </c>
      <c r="H1206" s="19"/>
      <c r="I1206" s="17">
        <v>47066.05</v>
      </c>
      <c r="J1206" s="17">
        <v>116496.01</v>
      </c>
    </row>
    <row r="1207" spans="1:10" x14ac:dyDescent="0.25">
      <c r="A1207" s="16" t="s">
        <v>1226</v>
      </c>
      <c r="B1207" s="16" t="s">
        <v>1532</v>
      </c>
      <c r="C1207" s="16" t="s">
        <v>733</v>
      </c>
      <c r="D1207" s="19"/>
      <c r="E1207" s="19"/>
      <c r="F1207" s="19"/>
      <c r="G1207" s="19"/>
      <c r="H1207" s="19"/>
      <c r="I1207" s="19"/>
      <c r="J1207" s="17">
        <v>5025068.68</v>
      </c>
    </row>
    <row r="1208" spans="1:10" x14ac:dyDescent="0.25">
      <c r="A1208" s="16" t="s">
        <v>1226</v>
      </c>
      <c r="B1208" s="16" t="s">
        <v>776</v>
      </c>
      <c r="C1208" s="16"/>
      <c r="D1208" s="17">
        <v>104926.25</v>
      </c>
      <c r="E1208" s="17">
        <v>94330.21</v>
      </c>
      <c r="F1208" s="19"/>
      <c r="G1208" s="19"/>
      <c r="H1208" s="19"/>
      <c r="I1208" s="19"/>
      <c r="J1208" s="19"/>
    </row>
    <row r="1209" spans="1:10" x14ac:dyDescent="0.25">
      <c r="A1209" s="16" t="s">
        <v>1226</v>
      </c>
      <c r="B1209" s="16" t="s">
        <v>730</v>
      </c>
      <c r="C1209" s="16"/>
      <c r="D1209" s="17">
        <v>117154.35</v>
      </c>
      <c r="E1209" s="19"/>
      <c r="F1209" s="17">
        <v>66753.33</v>
      </c>
      <c r="G1209" s="17">
        <v>102983.14</v>
      </c>
      <c r="H1209" s="19"/>
      <c r="I1209" s="17">
        <v>131723.31</v>
      </c>
      <c r="J1209" s="17">
        <v>150735.57999999999</v>
      </c>
    </row>
    <row r="1210" spans="1:10" x14ac:dyDescent="0.25">
      <c r="A1210" s="16" t="s">
        <v>1226</v>
      </c>
      <c r="B1210" s="16" t="s">
        <v>731</v>
      </c>
      <c r="C1210" s="16"/>
      <c r="D1210" s="17">
        <v>143023.92000000001</v>
      </c>
      <c r="E1210" s="19"/>
      <c r="F1210" s="17">
        <v>87464.74</v>
      </c>
      <c r="G1210" s="17">
        <v>155919.10999999999</v>
      </c>
      <c r="H1210" s="17">
        <v>211167.15</v>
      </c>
      <c r="I1210" s="17">
        <v>145579.51999999999</v>
      </c>
      <c r="J1210" s="17">
        <v>157546.89000000001</v>
      </c>
    </row>
    <row r="1211" spans="1:10" ht="22.5" x14ac:dyDescent="0.25">
      <c r="A1211" s="16" t="s">
        <v>1226</v>
      </c>
      <c r="B1211" s="16" t="s">
        <v>732</v>
      </c>
      <c r="C1211" s="16"/>
      <c r="D1211" s="17">
        <v>102340.67</v>
      </c>
      <c r="E1211" s="19"/>
      <c r="F1211" s="19"/>
      <c r="G1211" s="19"/>
      <c r="H1211" s="19"/>
      <c r="I1211" s="19"/>
      <c r="J1211" s="19"/>
    </row>
    <row r="1212" spans="1:10" x14ac:dyDescent="0.25">
      <c r="A1212" s="16" t="s">
        <v>1226</v>
      </c>
      <c r="B1212" s="16" t="s">
        <v>1456</v>
      </c>
      <c r="C1212" s="16"/>
      <c r="D1212" s="19"/>
      <c r="E1212" s="19"/>
      <c r="F1212" s="19"/>
      <c r="G1212" s="19"/>
      <c r="H1212" s="19"/>
      <c r="I1212" s="17">
        <v>173511.33</v>
      </c>
      <c r="J1212" s="19"/>
    </row>
    <row r="1213" spans="1:10" x14ac:dyDescent="0.25">
      <c r="A1213" s="16" t="s">
        <v>1226</v>
      </c>
      <c r="B1213" s="16" t="s">
        <v>733</v>
      </c>
      <c r="C1213" s="16"/>
      <c r="D1213" s="17">
        <v>1014042.2</v>
      </c>
      <c r="E1213" s="19"/>
      <c r="F1213" s="17">
        <v>1142221.23</v>
      </c>
      <c r="G1213" s="17">
        <v>2079873.61</v>
      </c>
      <c r="H1213" s="17">
        <v>1012184.4</v>
      </c>
      <c r="I1213" s="19"/>
      <c r="J1213" s="17">
        <v>1963708.84</v>
      </c>
    </row>
    <row r="1214" spans="1:10" x14ac:dyDescent="0.25">
      <c r="A1214" s="16" t="s">
        <v>1226</v>
      </c>
      <c r="B1214" s="16" t="s">
        <v>1116</v>
      </c>
      <c r="C1214" s="16" t="s">
        <v>733</v>
      </c>
      <c r="D1214" s="17">
        <v>170404.54</v>
      </c>
      <c r="E1214" s="17">
        <v>210009.86</v>
      </c>
      <c r="F1214" s="17">
        <v>370862.17</v>
      </c>
      <c r="G1214" s="17">
        <v>486048.89</v>
      </c>
      <c r="H1214" s="17">
        <v>414184.7</v>
      </c>
      <c r="I1214" s="19"/>
      <c r="J1214" s="17">
        <v>662122.06000000006</v>
      </c>
    </row>
    <row r="1215" spans="1:10" x14ac:dyDescent="0.25">
      <c r="A1215" s="16" t="s">
        <v>1226</v>
      </c>
      <c r="B1215" s="16" t="s">
        <v>1117</v>
      </c>
      <c r="C1215" s="16" t="s">
        <v>733</v>
      </c>
      <c r="D1215" s="17">
        <v>468346.03</v>
      </c>
      <c r="E1215" s="19"/>
      <c r="F1215" s="19"/>
      <c r="G1215" s="17">
        <v>539032.52</v>
      </c>
      <c r="H1215" s="17">
        <v>394917.37</v>
      </c>
      <c r="I1215" s="19"/>
      <c r="J1215" s="17">
        <v>472477.49</v>
      </c>
    </row>
    <row r="1216" spans="1:10" x14ac:dyDescent="0.25">
      <c r="A1216" s="16" t="s">
        <v>1226</v>
      </c>
      <c r="B1216" s="16" t="s">
        <v>1335</v>
      </c>
      <c r="C1216" s="16"/>
      <c r="D1216" s="19"/>
      <c r="E1216" s="19"/>
      <c r="F1216" s="19"/>
      <c r="G1216" s="17">
        <v>52600</v>
      </c>
      <c r="H1216" s="19"/>
      <c r="I1216" s="19"/>
      <c r="J1216" s="19"/>
    </row>
    <row r="1217" spans="1:10" x14ac:dyDescent="0.25">
      <c r="A1217" s="16" t="s">
        <v>1226</v>
      </c>
      <c r="B1217" s="16" t="s">
        <v>737</v>
      </c>
      <c r="C1217" s="16"/>
      <c r="D1217" s="19"/>
      <c r="E1217" s="19"/>
      <c r="F1217" s="19"/>
      <c r="G1217" s="19"/>
      <c r="H1217" s="17">
        <v>403400</v>
      </c>
      <c r="I1217" s="17">
        <v>318800</v>
      </c>
      <c r="J1217" s="19"/>
    </row>
    <row r="1218" spans="1:10" x14ac:dyDescent="0.25">
      <c r="A1218" s="16" t="s">
        <v>1226</v>
      </c>
      <c r="B1218" s="16" t="s">
        <v>1390</v>
      </c>
      <c r="C1218" s="16" t="s">
        <v>744</v>
      </c>
      <c r="D1218" s="19"/>
      <c r="E1218" s="19"/>
      <c r="F1218" s="19"/>
      <c r="G1218" s="19"/>
      <c r="H1218" s="17">
        <v>1528733.41</v>
      </c>
      <c r="I1218" s="19"/>
      <c r="J1218" s="17">
        <v>1351519.48</v>
      </c>
    </row>
    <row r="1219" spans="1:10" x14ac:dyDescent="0.25">
      <c r="A1219" s="16" t="s">
        <v>1226</v>
      </c>
      <c r="B1219" s="16" t="s">
        <v>1229</v>
      </c>
      <c r="C1219" s="16" t="s">
        <v>734</v>
      </c>
      <c r="D1219" s="19"/>
      <c r="E1219" s="17">
        <v>365121.42</v>
      </c>
      <c r="F1219" s="19"/>
      <c r="G1219" s="19"/>
      <c r="H1219" s="19"/>
      <c r="I1219" s="17">
        <v>486210.34</v>
      </c>
      <c r="J1219" s="17">
        <v>280583.39</v>
      </c>
    </row>
    <row r="1220" spans="1:10" x14ac:dyDescent="0.25">
      <c r="A1220" s="16" t="s">
        <v>1226</v>
      </c>
      <c r="B1220" s="16" t="s">
        <v>740</v>
      </c>
      <c r="C1220" s="16"/>
      <c r="D1220" s="19"/>
      <c r="E1220" s="19"/>
      <c r="F1220" s="19"/>
      <c r="G1220" s="17">
        <v>391611.1</v>
      </c>
      <c r="H1220" s="19"/>
      <c r="I1220" s="19"/>
      <c r="J1220" s="19"/>
    </row>
    <row r="1221" spans="1:10" x14ac:dyDescent="0.25">
      <c r="A1221" s="16" t="s">
        <v>1226</v>
      </c>
      <c r="B1221" s="16" t="s">
        <v>1230</v>
      </c>
      <c r="C1221" s="16" t="s">
        <v>738</v>
      </c>
      <c r="D1221" s="19"/>
      <c r="E1221" s="17">
        <v>103100.85</v>
      </c>
      <c r="F1221" s="17">
        <v>238102.11</v>
      </c>
      <c r="G1221" s="17">
        <v>299128.32000000001</v>
      </c>
      <c r="H1221" s="17">
        <v>151529.54999999999</v>
      </c>
      <c r="I1221" s="17">
        <v>550983.94999999995</v>
      </c>
      <c r="J1221" s="17">
        <v>121629.39</v>
      </c>
    </row>
    <row r="1222" spans="1:10" x14ac:dyDescent="0.25">
      <c r="A1222" s="16" t="s">
        <v>1226</v>
      </c>
      <c r="B1222" s="16" t="s">
        <v>1118</v>
      </c>
      <c r="C1222" s="16" t="s">
        <v>760</v>
      </c>
      <c r="D1222" s="19"/>
      <c r="E1222" s="17">
        <v>180161.38</v>
      </c>
      <c r="F1222" s="19"/>
      <c r="G1222" s="19"/>
      <c r="H1222" s="19"/>
      <c r="I1222" s="19"/>
      <c r="J1222" s="19"/>
    </row>
    <row r="1223" spans="1:10" x14ac:dyDescent="0.25">
      <c r="A1223" s="16" t="s">
        <v>1226</v>
      </c>
      <c r="B1223" s="16" t="s">
        <v>1533</v>
      </c>
      <c r="C1223" s="16" t="s">
        <v>747</v>
      </c>
      <c r="D1223" s="19"/>
      <c r="E1223" s="19"/>
      <c r="F1223" s="19"/>
      <c r="G1223" s="19"/>
      <c r="H1223" s="19"/>
      <c r="I1223" s="19"/>
      <c r="J1223" s="17">
        <v>439880.99</v>
      </c>
    </row>
    <row r="1224" spans="1:10" x14ac:dyDescent="0.25">
      <c r="A1224" s="16" t="s">
        <v>1226</v>
      </c>
      <c r="B1224" s="16" t="s">
        <v>1391</v>
      </c>
      <c r="C1224" s="16"/>
      <c r="D1224" s="19"/>
      <c r="E1224" s="19"/>
      <c r="F1224" s="19"/>
      <c r="G1224" s="19"/>
      <c r="H1224" s="17">
        <v>196600</v>
      </c>
      <c r="I1224" s="17">
        <v>300000</v>
      </c>
      <c r="J1224" s="19"/>
    </row>
    <row r="1225" spans="1:10" x14ac:dyDescent="0.25">
      <c r="A1225" s="16" t="s">
        <v>1226</v>
      </c>
      <c r="B1225" s="16" t="s">
        <v>742</v>
      </c>
      <c r="C1225" s="16"/>
      <c r="D1225" s="17">
        <v>238470.53</v>
      </c>
      <c r="E1225" s="17">
        <v>93246.49</v>
      </c>
      <c r="F1225" s="17">
        <v>560792.51</v>
      </c>
      <c r="G1225" s="17">
        <v>67629.919999999998</v>
      </c>
      <c r="H1225" s="17">
        <v>485975.51</v>
      </c>
      <c r="I1225" s="17">
        <v>415105.06</v>
      </c>
      <c r="J1225" s="17">
        <v>192874.3</v>
      </c>
    </row>
    <row r="1226" spans="1:10" x14ac:dyDescent="0.25">
      <c r="A1226" s="16" t="s">
        <v>1226</v>
      </c>
      <c r="B1226" s="16" t="s">
        <v>743</v>
      </c>
      <c r="C1226" s="16"/>
      <c r="D1226" s="19"/>
      <c r="E1226" s="19"/>
      <c r="F1226" s="19"/>
      <c r="G1226" s="19"/>
      <c r="H1226" s="19"/>
      <c r="I1226" s="19"/>
      <c r="J1226" s="17">
        <v>697200</v>
      </c>
    </row>
    <row r="1227" spans="1:10" x14ac:dyDescent="0.25">
      <c r="A1227" s="16" t="s">
        <v>1226</v>
      </c>
      <c r="B1227" s="16" t="s">
        <v>1457</v>
      </c>
      <c r="C1227" s="16" t="s">
        <v>735</v>
      </c>
      <c r="D1227" s="19"/>
      <c r="E1227" s="19"/>
      <c r="F1227" s="19"/>
      <c r="G1227" s="19"/>
      <c r="H1227" s="19"/>
      <c r="I1227" s="17">
        <v>691920.53</v>
      </c>
      <c r="J1227" s="19"/>
    </row>
    <row r="1228" spans="1:10" x14ac:dyDescent="0.25">
      <c r="A1228" s="16" t="s">
        <v>1226</v>
      </c>
      <c r="B1228" s="16" t="s">
        <v>1534</v>
      </c>
      <c r="C1228" s="16"/>
      <c r="D1228" s="19"/>
      <c r="E1228" s="19"/>
      <c r="F1228" s="19"/>
      <c r="G1228" s="19"/>
      <c r="H1228" s="19"/>
      <c r="I1228" s="19"/>
      <c r="J1228" s="17">
        <v>230162.41</v>
      </c>
    </row>
    <row r="1229" spans="1:10" x14ac:dyDescent="0.25">
      <c r="A1229" s="16" t="s">
        <v>1226</v>
      </c>
      <c r="B1229" s="16" t="s">
        <v>745</v>
      </c>
      <c r="C1229" s="16"/>
      <c r="D1229" s="17">
        <v>375324.96</v>
      </c>
      <c r="E1229" s="17">
        <v>432942.18</v>
      </c>
      <c r="F1229" s="17">
        <v>202027.94</v>
      </c>
      <c r="G1229" s="17">
        <v>136907.56</v>
      </c>
      <c r="H1229" s="17">
        <v>129903.59</v>
      </c>
      <c r="I1229" s="17">
        <v>278105.46000000002</v>
      </c>
      <c r="J1229" s="17">
        <v>164310.66</v>
      </c>
    </row>
    <row r="1230" spans="1:10" x14ac:dyDescent="0.25">
      <c r="A1230" s="16" t="s">
        <v>1226</v>
      </c>
      <c r="B1230" s="16" t="s">
        <v>1119</v>
      </c>
      <c r="C1230" s="16" t="s">
        <v>746</v>
      </c>
      <c r="D1230" s="17">
        <v>67158.44</v>
      </c>
      <c r="E1230" s="17">
        <v>59172.3</v>
      </c>
      <c r="F1230" s="17">
        <v>138125.04</v>
      </c>
      <c r="G1230" s="17">
        <v>98539.29</v>
      </c>
      <c r="H1230" s="19"/>
      <c r="I1230" s="17">
        <v>286759.89</v>
      </c>
      <c r="J1230" s="17">
        <v>92857.13</v>
      </c>
    </row>
    <row r="1231" spans="1:10" x14ac:dyDescent="0.25">
      <c r="A1231" s="16" t="s">
        <v>1226</v>
      </c>
      <c r="B1231" s="16" t="s">
        <v>1392</v>
      </c>
      <c r="C1231" s="16"/>
      <c r="D1231" s="19"/>
      <c r="E1231" s="19"/>
      <c r="F1231" s="19"/>
      <c r="G1231" s="19"/>
      <c r="H1231" s="17">
        <v>103308.03</v>
      </c>
      <c r="I1231" s="19"/>
      <c r="J1231" s="19"/>
    </row>
    <row r="1232" spans="1:10" x14ac:dyDescent="0.25">
      <c r="A1232" s="16" t="s">
        <v>1226</v>
      </c>
      <c r="B1232" s="16" t="s">
        <v>1393</v>
      </c>
      <c r="C1232" s="16" t="s">
        <v>747</v>
      </c>
      <c r="D1232" s="19"/>
      <c r="E1232" s="19"/>
      <c r="F1232" s="19"/>
      <c r="G1232" s="19"/>
      <c r="H1232" s="17">
        <v>545228.56999999995</v>
      </c>
      <c r="I1232" s="19"/>
      <c r="J1232" s="19"/>
    </row>
    <row r="1233" spans="1:10" x14ac:dyDescent="0.25">
      <c r="A1233" s="16" t="s">
        <v>1226</v>
      </c>
      <c r="B1233" s="16" t="s">
        <v>1120</v>
      </c>
      <c r="C1233" s="16" t="s">
        <v>741</v>
      </c>
      <c r="D1233" s="19"/>
      <c r="E1233" s="19"/>
      <c r="F1233" s="19"/>
      <c r="G1233" s="19"/>
      <c r="H1233" s="19"/>
      <c r="I1233" s="17">
        <v>750581.77</v>
      </c>
      <c r="J1233" s="19"/>
    </row>
    <row r="1234" spans="1:10" x14ac:dyDescent="0.25">
      <c r="A1234" s="16" t="s">
        <v>1226</v>
      </c>
      <c r="B1234" s="16" t="s">
        <v>1121</v>
      </c>
      <c r="C1234" s="16" t="s">
        <v>733</v>
      </c>
      <c r="D1234" s="17">
        <v>3997719.91</v>
      </c>
      <c r="E1234" s="19"/>
      <c r="F1234" s="17">
        <v>4166338.5</v>
      </c>
      <c r="G1234" s="17">
        <v>3452393.64</v>
      </c>
      <c r="H1234" s="19"/>
      <c r="I1234" s="19"/>
      <c r="J1234" s="19"/>
    </row>
    <row r="1235" spans="1:10" x14ac:dyDescent="0.25">
      <c r="A1235" s="16" t="s">
        <v>1226</v>
      </c>
      <c r="B1235" s="16" t="s">
        <v>748</v>
      </c>
      <c r="C1235" s="16"/>
      <c r="D1235" s="17">
        <v>660782.34</v>
      </c>
      <c r="E1235" s="17">
        <v>374580.69</v>
      </c>
      <c r="F1235" s="17">
        <v>866904.8</v>
      </c>
      <c r="G1235" s="17">
        <v>180108.68</v>
      </c>
      <c r="H1235" s="17">
        <v>935949.82</v>
      </c>
      <c r="I1235" s="17">
        <v>842404.19</v>
      </c>
      <c r="J1235" s="17">
        <v>1376357.53</v>
      </c>
    </row>
    <row r="1236" spans="1:10" x14ac:dyDescent="0.25">
      <c r="A1236" s="16" t="s">
        <v>1226</v>
      </c>
      <c r="B1236" s="16" t="s">
        <v>1336</v>
      </c>
      <c r="C1236" s="16"/>
      <c r="D1236" s="19"/>
      <c r="E1236" s="19"/>
      <c r="F1236" s="19"/>
      <c r="G1236" s="17">
        <v>824054.43</v>
      </c>
      <c r="H1236" s="19"/>
      <c r="I1236" s="19"/>
      <c r="J1236" s="19"/>
    </row>
    <row r="1237" spans="1:10" x14ac:dyDescent="0.25">
      <c r="A1237" s="16" t="s">
        <v>1226</v>
      </c>
      <c r="B1237" s="16" t="s">
        <v>749</v>
      </c>
      <c r="C1237" s="16"/>
      <c r="D1237" s="17">
        <v>191267.12</v>
      </c>
      <c r="E1237" s="17">
        <v>54995.86</v>
      </c>
      <c r="F1237" s="17">
        <v>267489.48</v>
      </c>
      <c r="G1237" s="17">
        <v>580624.92000000004</v>
      </c>
      <c r="H1237" s="17">
        <v>254521.33</v>
      </c>
      <c r="I1237" s="17">
        <v>1921622.35</v>
      </c>
      <c r="J1237" s="17">
        <v>472739.11</v>
      </c>
    </row>
    <row r="1238" spans="1:10" x14ac:dyDescent="0.25">
      <c r="A1238" s="16" t="s">
        <v>1226</v>
      </c>
      <c r="B1238" s="16" t="s">
        <v>750</v>
      </c>
      <c r="C1238" s="16"/>
      <c r="D1238" s="17">
        <v>101084.35</v>
      </c>
      <c r="E1238" s="19"/>
      <c r="F1238" s="19"/>
      <c r="G1238" s="19"/>
      <c r="H1238" s="19"/>
      <c r="I1238" s="19"/>
      <c r="J1238" s="19"/>
    </row>
    <row r="1239" spans="1:10" x14ac:dyDescent="0.25">
      <c r="A1239" s="16" t="s">
        <v>1226</v>
      </c>
      <c r="B1239" s="16" t="s">
        <v>1122</v>
      </c>
      <c r="C1239" s="16" t="s">
        <v>735</v>
      </c>
      <c r="D1239" s="19"/>
      <c r="E1239" s="19"/>
      <c r="F1239" s="19"/>
      <c r="G1239" s="19"/>
      <c r="H1239" s="17">
        <v>783179.79</v>
      </c>
      <c r="I1239" s="19"/>
      <c r="J1239" s="19"/>
    </row>
    <row r="1240" spans="1:10" x14ac:dyDescent="0.25">
      <c r="A1240" s="16" t="s">
        <v>1226</v>
      </c>
      <c r="B1240" s="16" t="s">
        <v>1123</v>
      </c>
      <c r="C1240" s="16" t="s">
        <v>751</v>
      </c>
      <c r="D1240" s="19"/>
      <c r="E1240" s="19"/>
      <c r="F1240" s="19"/>
      <c r="G1240" s="19"/>
      <c r="H1240" s="17">
        <v>40724.589999999997</v>
      </c>
      <c r="I1240" s="17">
        <v>41253.15</v>
      </c>
      <c r="J1240" s="17">
        <v>48667.83</v>
      </c>
    </row>
    <row r="1241" spans="1:10" x14ac:dyDescent="0.25">
      <c r="A1241" s="16" t="s">
        <v>1226</v>
      </c>
      <c r="B1241" s="16" t="s">
        <v>752</v>
      </c>
      <c r="C1241" s="16"/>
      <c r="D1241" s="17">
        <v>44643.95</v>
      </c>
      <c r="E1241" s="19"/>
      <c r="F1241" s="19"/>
      <c r="G1241" s="19"/>
      <c r="H1241" s="17">
        <v>31362.86</v>
      </c>
      <c r="I1241" s="19"/>
      <c r="J1241" s="17">
        <v>82745.3</v>
      </c>
    </row>
    <row r="1242" spans="1:10" ht="22.5" x14ac:dyDescent="0.25">
      <c r="A1242" s="16" t="s">
        <v>1226</v>
      </c>
      <c r="B1242" s="16" t="s">
        <v>1124</v>
      </c>
      <c r="C1242" s="16"/>
      <c r="D1242" s="19"/>
      <c r="E1242" s="19"/>
      <c r="F1242" s="17">
        <v>-38249.31</v>
      </c>
      <c r="G1242" s="19"/>
      <c r="H1242" s="19"/>
      <c r="I1242" s="19"/>
      <c r="J1242" s="19"/>
    </row>
    <row r="1243" spans="1:10" x14ac:dyDescent="0.25">
      <c r="A1243" s="16" t="s">
        <v>1226</v>
      </c>
      <c r="B1243" s="16" t="s">
        <v>753</v>
      </c>
      <c r="C1243" s="16"/>
      <c r="D1243" s="17">
        <v>99896.38</v>
      </c>
      <c r="E1243" s="19"/>
      <c r="F1243" s="19"/>
      <c r="G1243" s="19"/>
      <c r="H1243" s="17">
        <v>41356.83</v>
      </c>
      <c r="I1243" s="19"/>
      <c r="J1243" s="19"/>
    </row>
    <row r="1244" spans="1:10" x14ac:dyDescent="0.25">
      <c r="A1244" s="16" t="s">
        <v>1226</v>
      </c>
      <c r="B1244" s="16" t="s">
        <v>754</v>
      </c>
      <c r="C1244" s="16"/>
      <c r="D1244" s="17">
        <v>50912.03</v>
      </c>
      <c r="E1244" s="19"/>
      <c r="F1244" s="17">
        <v>71775.240000000005</v>
      </c>
      <c r="G1244" s="19"/>
      <c r="H1244" s="19"/>
      <c r="I1244" s="17">
        <v>45657.81</v>
      </c>
      <c r="J1244" s="19"/>
    </row>
    <row r="1245" spans="1:10" x14ac:dyDescent="0.25">
      <c r="A1245" s="16" t="s">
        <v>1226</v>
      </c>
      <c r="B1245" s="16" t="s">
        <v>1281</v>
      </c>
      <c r="C1245" s="16" t="s">
        <v>747</v>
      </c>
      <c r="D1245" s="19"/>
      <c r="E1245" s="19"/>
      <c r="F1245" s="17">
        <v>285971.36</v>
      </c>
      <c r="G1245" s="19"/>
      <c r="H1245" s="19"/>
      <c r="I1245" s="19"/>
      <c r="J1245" s="19"/>
    </row>
    <row r="1246" spans="1:10" x14ac:dyDescent="0.25">
      <c r="A1246" s="16" t="s">
        <v>1226</v>
      </c>
      <c r="B1246" s="16" t="s">
        <v>755</v>
      </c>
      <c r="C1246" s="16"/>
      <c r="D1246" s="17">
        <v>208846.9</v>
      </c>
      <c r="E1246" s="17">
        <v>302429.56</v>
      </c>
      <c r="F1246" s="17">
        <v>285577.84999999998</v>
      </c>
      <c r="G1246" s="17">
        <v>252948.08</v>
      </c>
      <c r="H1246" s="17">
        <v>494080.96</v>
      </c>
      <c r="I1246" s="17">
        <v>464092.34</v>
      </c>
      <c r="J1246" s="17">
        <v>297075.27</v>
      </c>
    </row>
    <row r="1247" spans="1:10" x14ac:dyDescent="0.25">
      <c r="A1247" s="16" t="s">
        <v>1226</v>
      </c>
      <c r="B1247" s="16" t="s">
        <v>1125</v>
      </c>
      <c r="C1247" s="16" t="s">
        <v>743</v>
      </c>
      <c r="D1247" s="17">
        <v>120119.79</v>
      </c>
      <c r="E1247" s="17">
        <v>147806.79999999999</v>
      </c>
      <c r="F1247" s="17">
        <v>461144.21</v>
      </c>
      <c r="G1247" s="17">
        <v>10110.49</v>
      </c>
      <c r="H1247" s="19"/>
      <c r="I1247" s="17">
        <v>438102.13</v>
      </c>
      <c r="J1247" s="19"/>
    </row>
    <row r="1248" spans="1:10" x14ac:dyDescent="0.25">
      <c r="A1248" s="16" t="s">
        <v>1226</v>
      </c>
      <c r="B1248" s="16" t="s">
        <v>756</v>
      </c>
      <c r="C1248" s="16" t="s">
        <v>735</v>
      </c>
      <c r="D1248" s="19"/>
      <c r="E1248" s="19"/>
      <c r="F1248" s="19"/>
      <c r="G1248" s="19"/>
      <c r="H1248" s="19"/>
      <c r="I1248" s="17">
        <v>153160.62</v>
      </c>
      <c r="J1248" s="19"/>
    </row>
    <row r="1249" spans="1:10" x14ac:dyDescent="0.25">
      <c r="A1249" s="16" t="s">
        <v>1226</v>
      </c>
      <c r="B1249" s="16" t="s">
        <v>1458</v>
      </c>
      <c r="C1249" s="16" t="s">
        <v>747</v>
      </c>
      <c r="D1249" s="19"/>
      <c r="E1249" s="19"/>
      <c r="F1249" s="19"/>
      <c r="G1249" s="19"/>
      <c r="H1249" s="19"/>
      <c r="I1249" s="17">
        <v>405823.4</v>
      </c>
      <c r="J1249" s="17">
        <v>528017.98</v>
      </c>
    </row>
    <row r="1250" spans="1:10" x14ac:dyDescent="0.25">
      <c r="A1250" s="16" t="s">
        <v>1226</v>
      </c>
      <c r="B1250" s="16" t="s">
        <v>1126</v>
      </c>
      <c r="C1250" s="16" t="s">
        <v>747</v>
      </c>
      <c r="D1250" s="17">
        <v>541001.94999999995</v>
      </c>
      <c r="E1250" s="17">
        <v>425378</v>
      </c>
      <c r="F1250" s="19"/>
      <c r="G1250" s="17">
        <v>435042.4</v>
      </c>
      <c r="H1250" s="19"/>
      <c r="I1250" s="19"/>
      <c r="J1250" s="19"/>
    </row>
    <row r="1251" spans="1:10" x14ac:dyDescent="0.25">
      <c r="A1251" s="16" t="s">
        <v>1226</v>
      </c>
      <c r="B1251" s="16" t="s">
        <v>1127</v>
      </c>
      <c r="C1251" s="16" t="s">
        <v>738</v>
      </c>
      <c r="D1251" s="17">
        <v>173600</v>
      </c>
      <c r="E1251" s="19"/>
      <c r="F1251" s="17">
        <v>90800</v>
      </c>
      <c r="G1251" s="19"/>
      <c r="H1251" s="19"/>
      <c r="I1251" s="19"/>
      <c r="J1251" s="19"/>
    </row>
    <row r="1252" spans="1:10" x14ac:dyDescent="0.25">
      <c r="A1252" s="16" t="s">
        <v>1226</v>
      </c>
      <c r="B1252" s="16" t="s">
        <v>1459</v>
      </c>
      <c r="C1252" s="16" t="s">
        <v>759</v>
      </c>
      <c r="D1252" s="19"/>
      <c r="E1252" s="19"/>
      <c r="F1252" s="19"/>
      <c r="G1252" s="19"/>
      <c r="H1252" s="19"/>
      <c r="I1252" s="17">
        <v>395265.19</v>
      </c>
      <c r="J1252" s="17">
        <v>50722.3</v>
      </c>
    </row>
    <row r="1253" spans="1:10" x14ac:dyDescent="0.25">
      <c r="A1253" s="16" t="s">
        <v>1226</v>
      </c>
      <c r="B1253" s="16" t="s">
        <v>1282</v>
      </c>
      <c r="C1253" s="16"/>
      <c r="D1253" s="19"/>
      <c r="E1253" s="19"/>
      <c r="F1253" s="17">
        <v>38810.339999999997</v>
      </c>
      <c r="G1253" s="19"/>
      <c r="H1253" s="19"/>
      <c r="I1253" s="19"/>
      <c r="J1253" s="19"/>
    </row>
    <row r="1254" spans="1:10" x14ac:dyDescent="0.25">
      <c r="A1254" s="16" t="s">
        <v>1226</v>
      </c>
      <c r="B1254" s="16" t="s">
        <v>757</v>
      </c>
      <c r="C1254" s="16"/>
      <c r="D1254" s="17">
        <v>70332.009999999995</v>
      </c>
      <c r="E1254" s="17">
        <v>124012.95</v>
      </c>
      <c r="F1254" s="17">
        <v>152643.93</v>
      </c>
      <c r="G1254" s="17">
        <v>282871.08</v>
      </c>
      <c r="H1254" s="17">
        <v>637884.57999999996</v>
      </c>
      <c r="I1254" s="17">
        <v>243247.02</v>
      </c>
      <c r="J1254" s="17">
        <v>184447.51</v>
      </c>
    </row>
    <row r="1255" spans="1:10" x14ac:dyDescent="0.25">
      <c r="A1255" s="16" t="s">
        <v>1226</v>
      </c>
      <c r="B1255" s="16" t="s">
        <v>1128</v>
      </c>
      <c r="C1255" s="16" t="s">
        <v>724</v>
      </c>
      <c r="D1255" s="19"/>
      <c r="E1255" s="19"/>
      <c r="F1255" s="17">
        <v>34842.080000000002</v>
      </c>
      <c r="G1255" s="19"/>
      <c r="H1255" s="19"/>
      <c r="I1255" s="19"/>
      <c r="J1255" s="19"/>
    </row>
    <row r="1256" spans="1:10" x14ac:dyDescent="0.25">
      <c r="A1256" s="16" t="s">
        <v>1226</v>
      </c>
      <c r="B1256" s="16" t="s">
        <v>758</v>
      </c>
      <c r="C1256" s="16"/>
      <c r="D1256" s="19"/>
      <c r="E1256" s="19"/>
      <c r="F1256" s="17">
        <v>110590.42</v>
      </c>
      <c r="G1256" s="19"/>
      <c r="H1256" s="17">
        <v>98089.02</v>
      </c>
      <c r="I1256" s="19"/>
      <c r="J1256" s="17">
        <v>98447.61</v>
      </c>
    </row>
    <row r="1257" spans="1:10" x14ac:dyDescent="0.25">
      <c r="A1257" s="16" t="s">
        <v>1226</v>
      </c>
      <c r="B1257" s="16" t="s">
        <v>1283</v>
      </c>
      <c r="C1257" s="16" t="s">
        <v>733</v>
      </c>
      <c r="D1257" s="19"/>
      <c r="E1257" s="19"/>
      <c r="F1257" s="17">
        <v>223475.95</v>
      </c>
      <c r="G1257" s="19"/>
      <c r="H1257" s="19"/>
      <c r="I1257" s="19"/>
      <c r="J1257" s="19"/>
    </row>
    <row r="1258" spans="1:10" x14ac:dyDescent="0.25">
      <c r="A1258" s="16" t="s">
        <v>1226</v>
      </c>
      <c r="B1258" s="16" t="s">
        <v>1129</v>
      </c>
      <c r="C1258" s="16" t="s">
        <v>739</v>
      </c>
      <c r="D1258" s="19"/>
      <c r="E1258" s="17">
        <v>35600</v>
      </c>
      <c r="F1258" s="19"/>
      <c r="G1258" s="19"/>
      <c r="H1258" s="17">
        <v>40800</v>
      </c>
      <c r="I1258" s="19"/>
      <c r="J1258" s="19"/>
    </row>
    <row r="1259" spans="1:10" x14ac:dyDescent="0.25">
      <c r="A1259" s="16" t="s">
        <v>1226</v>
      </c>
      <c r="B1259" s="16" t="s">
        <v>1535</v>
      </c>
      <c r="C1259" s="16"/>
      <c r="D1259" s="19"/>
      <c r="E1259" s="19"/>
      <c r="F1259" s="19"/>
      <c r="G1259" s="19"/>
      <c r="H1259" s="19"/>
      <c r="I1259" s="19"/>
      <c r="J1259" s="17">
        <v>525715.71</v>
      </c>
    </row>
    <row r="1260" spans="1:10" ht="22.5" x14ac:dyDescent="0.25">
      <c r="A1260" s="16" t="s">
        <v>1226</v>
      </c>
      <c r="B1260" s="16" t="s">
        <v>1284</v>
      </c>
      <c r="C1260" s="16" t="s">
        <v>737</v>
      </c>
      <c r="D1260" s="19"/>
      <c r="E1260" s="19"/>
      <c r="F1260" s="17">
        <v>393609.51</v>
      </c>
      <c r="G1260" s="19"/>
      <c r="H1260" s="19"/>
      <c r="I1260" s="19"/>
      <c r="J1260" s="19"/>
    </row>
    <row r="1261" spans="1:10" x14ac:dyDescent="0.25">
      <c r="A1261" s="16" t="s">
        <v>1226</v>
      </c>
      <c r="B1261" s="16" t="s">
        <v>1130</v>
      </c>
      <c r="C1261" s="16" t="s">
        <v>735</v>
      </c>
      <c r="D1261" s="19"/>
      <c r="E1261" s="19"/>
      <c r="F1261" s="17">
        <v>585865.49</v>
      </c>
      <c r="G1261" s="19"/>
      <c r="H1261" s="19"/>
      <c r="I1261" s="19"/>
      <c r="J1261" s="19"/>
    </row>
    <row r="1262" spans="1:10" x14ac:dyDescent="0.25">
      <c r="A1262" s="16" t="s">
        <v>1226</v>
      </c>
      <c r="B1262" s="16" t="s">
        <v>1131</v>
      </c>
      <c r="C1262" s="16" t="s">
        <v>737</v>
      </c>
      <c r="D1262" s="17">
        <v>625064.29</v>
      </c>
      <c r="E1262" s="19"/>
      <c r="F1262" s="19"/>
      <c r="G1262" s="19"/>
      <c r="H1262" s="19"/>
      <c r="I1262" s="19"/>
      <c r="J1262" s="19"/>
    </row>
    <row r="1263" spans="1:10" x14ac:dyDescent="0.25">
      <c r="A1263" s="16" t="s">
        <v>1226</v>
      </c>
      <c r="B1263" s="16" t="s">
        <v>1460</v>
      </c>
      <c r="C1263" s="16" t="s">
        <v>747</v>
      </c>
      <c r="D1263" s="19"/>
      <c r="E1263" s="19"/>
      <c r="F1263" s="19"/>
      <c r="G1263" s="19"/>
      <c r="H1263" s="19"/>
      <c r="I1263" s="17">
        <v>505961.48</v>
      </c>
      <c r="J1263" s="19"/>
    </row>
    <row r="1264" spans="1:10" x14ac:dyDescent="0.25">
      <c r="A1264" s="16" t="s">
        <v>1226</v>
      </c>
      <c r="B1264" s="16" t="s">
        <v>1285</v>
      </c>
      <c r="C1264" s="16" t="s">
        <v>747</v>
      </c>
      <c r="D1264" s="19"/>
      <c r="E1264" s="19"/>
      <c r="F1264" s="17">
        <v>347135.64</v>
      </c>
      <c r="G1264" s="19"/>
      <c r="H1264" s="19"/>
      <c r="I1264" s="19"/>
      <c r="J1264" s="19"/>
    </row>
    <row r="1265" spans="1:10" x14ac:dyDescent="0.25">
      <c r="A1265" s="16" t="s">
        <v>1226</v>
      </c>
      <c r="B1265" s="16" t="s">
        <v>1286</v>
      </c>
      <c r="C1265" s="16" t="s">
        <v>747</v>
      </c>
      <c r="D1265" s="19"/>
      <c r="E1265" s="19"/>
      <c r="F1265" s="17">
        <v>352596.13</v>
      </c>
      <c r="G1265" s="19"/>
      <c r="H1265" s="19"/>
      <c r="I1265" s="19"/>
      <c r="J1265" s="19"/>
    </row>
    <row r="1266" spans="1:10" x14ac:dyDescent="0.25">
      <c r="A1266" s="16" t="s">
        <v>1226</v>
      </c>
      <c r="B1266" s="16" t="s">
        <v>1337</v>
      </c>
      <c r="C1266" s="16" t="s">
        <v>747</v>
      </c>
      <c r="D1266" s="19"/>
      <c r="E1266" s="19"/>
      <c r="F1266" s="19"/>
      <c r="G1266" s="17">
        <v>495267.17</v>
      </c>
      <c r="H1266" s="19"/>
      <c r="I1266" s="19"/>
      <c r="J1266" s="19"/>
    </row>
    <row r="1267" spans="1:10" x14ac:dyDescent="0.25">
      <c r="A1267" s="16" t="s">
        <v>1226</v>
      </c>
      <c r="B1267" s="16" t="s">
        <v>1132</v>
      </c>
      <c r="C1267" s="16" t="s">
        <v>730</v>
      </c>
      <c r="D1267" s="19"/>
      <c r="E1267" s="19"/>
      <c r="F1267" s="17">
        <v>104172.77</v>
      </c>
      <c r="G1267" s="19"/>
      <c r="H1267" s="19"/>
      <c r="I1267" s="19"/>
      <c r="J1267" s="19"/>
    </row>
    <row r="1268" spans="1:10" x14ac:dyDescent="0.25">
      <c r="A1268" s="16" t="s">
        <v>1226</v>
      </c>
      <c r="B1268" s="16" t="s">
        <v>761</v>
      </c>
      <c r="C1268" s="16"/>
      <c r="D1268" s="17">
        <v>89785.12</v>
      </c>
      <c r="E1268" s="17">
        <v>134472.69</v>
      </c>
      <c r="F1268" s="17">
        <v>114920.12</v>
      </c>
      <c r="G1268" s="17">
        <v>177660.54</v>
      </c>
      <c r="H1268" s="17">
        <v>126303.78</v>
      </c>
      <c r="I1268" s="17">
        <v>202934.28</v>
      </c>
      <c r="J1268" s="17">
        <v>117134.9</v>
      </c>
    </row>
    <row r="1269" spans="1:10" x14ac:dyDescent="0.25">
      <c r="A1269" s="16" t="s">
        <v>1226</v>
      </c>
      <c r="B1269" s="16" t="s">
        <v>762</v>
      </c>
      <c r="C1269" s="16"/>
      <c r="D1269" s="19"/>
      <c r="E1269" s="17">
        <v>77066.8</v>
      </c>
      <c r="F1269" s="19"/>
      <c r="G1269" s="19"/>
      <c r="H1269" s="19"/>
      <c r="I1269" s="19"/>
      <c r="J1269" s="17">
        <v>111948.01</v>
      </c>
    </row>
  </sheetData>
  <autoFilter ref="A2:J1269" xr:uid="{2A92A415-8476-4033-BF51-609F7ED7AC74}"/>
  <mergeCells count="3">
    <mergeCell ref="A1:A2"/>
    <mergeCell ref="B1:B2"/>
    <mergeCell ref="C1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46F1-3712-403A-82C5-0648320F5580}">
  <sheetPr codeName="Лист4"/>
  <dimension ref="A1:C274"/>
  <sheetViews>
    <sheetView workbookViewId="0">
      <selection activeCell="B13" sqref="B13"/>
    </sheetView>
  </sheetViews>
  <sheetFormatPr defaultRowHeight="15" x14ac:dyDescent="0.25"/>
  <cols>
    <col min="1" max="1" width="18.85546875" customWidth="1"/>
    <col min="2" max="2" width="40.5703125" customWidth="1"/>
    <col min="3" max="3" width="16.42578125" style="10" customWidth="1"/>
  </cols>
  <sheetData>
    <row r="1" spans="1:3" x14ac:dyDescent="0.25">
      <c r="A1" s="33" t="s">
        <v>1538</v>
      </c>
      <c r="B1" s="33" t="s">
        <v>779</v>
      </c>
      <c r="C1" s="44" t="s">
        <v>778</v>
      </c>
    </row>
    <row r="2" spans="1:3" x14ac:dyDescent="0.25">
      <c r="A2" s="43" t="s">
        <v>1138</v>
      </c>
      <c r="B2" s="43" t="s">
        <v>1545</v>
      </c>
      <c r="C2" s="45">
        <v>142483.4</v>
      </c>
    </row>
    <row r="3" spans="1:3" x14ac:dyDescent="0.25">
      <c r="A3" s="43" t="s">
        <v>1138</v>
      </c>
      <c r="B3" s="43" t="s">
        <v>1546</v>
      </c>
      <c r="C3" s="45">
        <v>338093.44</v>
      </c>
    </row>
    <row r="4" spans="1:3" x14ac:dyDescent="0.25">
      <c r="A4" s="43" t="s">
        <v>1145</v>
      </c>
      <c r="B4" s="43" t="s">
        <v>1410</v>
      </c>
      <c r="C4" s="45">
        <v>121921.71999999999</v>
      </c>
    </row>
    <row r="5" spans="1:3" x14ac:dyDescent="0.25">
      <c r="A5" s="43" t="s">
        <v>1145</v>
      </c>
      <c r="B5" s="43" t="s">
        <v>140</v>
      </c>
      <c r="C5" s="45">
        <v>101340</v>
      </c>
    </row>
    <row r="6" spans="1:3" x14ac:dyDescent="0.25">
      <c r="A6" s="43" t="s">
        <v>1153</v>
      </c>
      <c r="B6" s="43" t="s">
        <v>1547</v>
      </c>
      <c r="C6" s="45">
        <v>190030.37</v>
      </c>
    </row>
    <row r="7" spans="1:3" x14ac:dyDescent="0.25">
      <c r="A7" s="43" t="s">
        <v>1164</v>
      </c>
      <c r="B7" s="43" t="s">
        <v>340</v>
      </c>
      <c r="C7" s="45">
        <v>277083.49000000005</v>
      </c>
    </row>
    <row r="8" spans="1:3" x14ac:dyDescent="0.25">
      <c r="A8" s="43" t="s">
        <v>1171</v>
      </c>
      <c r="B8" s="43" t="s">
        <v>1548</v>
      </c>
      <c r="C8" s="45">
        <v>200958.41999999998</v>
      </c>
    </row>
    <row r="9" spans="1:3" x14ac:dyDescent="0.25">
      <c r="A9" s="43" t="s">
        <v>1308</v>
      </c>
      <c r="B9" s="43" t="s">
        <v>1549</v>
      </c>
      <c r="C9" s="45">
        <v>144828.31000000003</v>
      </c>
    </row>
    <row r="10" spans="1:3" x14ac:dyDescent="0.25">
      <c r="A10" s="43" t="s">
        <v>1308</v>
      </c>
      <c r="B10" s="43" t="s">
        <v>1550</v>
      </c>
      <c r="C10" s="45">
        <v>100140.09</v>
      </c>
    </row>
    <row r="11" spans="1:3" x14ac:dyDescent="0.25">
      <c r="A11" s="43" t="s">
        <v>1427</v>
      </c>
      <c r="B11" s="43" t="s">
        <v>1551</v>
      </c>
      <c r="C11" s="45">
        <v>173870.39999999997</v>
      </c>
    </row>
    <row r="12" spans="1:3" x14ac:dyDescent="0.25">
      <c r="A12" s="43" t="s">
        <v>1427</v>
      </c>
      <c r="B12" s="43" t="s">
        <v>1552</v>
      </c>
      <c r="C12" s="45">
        <v>193629.77999999997</v>
      </c>
    </row>
    <row r="13" spans="1:3" x14ac:dyDescent="0.25">
      <c r="A13" s="43" t="s">
        <v>1427</v>
      </c>
      <c r="B13" s="43" t="s">
        <v>1553</v>
      </c>
      <c r="C13" s="45">
        <v>160820.25000000009</v>
      </c>
    </row>
    <row r="14" spans="1:3" x14ac:dyDescent="0.25">
      <c r="A14" s="43" t="s">
        <v>1427</v>
      </c>
      <c r="B14" s="43" t="s">
        <v>1554</v>
      </c>
      <c r="C14" s="45">
        <v>127426.04999999996</v>
      </c>
    </row>
    <row r="15" spans="1:3" x14ac:dyDescent="0.25">
      <c r="A15" s="43" t="s">
        <v>1427</v>
      </c>
      <c r="B15" s="43" t="s">
        <v>1555</v>
      </c>
      <c r="C15" s="45">
        <v>125668.13</v>
      </c>
    </row>
    <row r="16" spans="1:3" x14ac:dyDescent="0.25">
      <c r="A16" s="43" t="s">
        <v>1182</v>
      </c>
      <c r="B16" s="43" t="s">
        <v>1313</v>
      </c>
      <c r="C16" s="45">
        <v>174280.81000000003</v>
      </c>
    </row>
    <row r="17" spans="1:3" x14ac:dyDescent="0.25">
      <c r="A17" s="43" t="s">
        <v>1182</v>
      </c>
      <c r="B17" s="43" t="s">
        <v>1543</v>
      </c>
      <c r="C17" s="45">
        <v>711364.47999999975</v>
      </c>
    </row>
    <row r="18" spans="1:3" x14ac:dyDescent="0.25">
      <c r="A18" s="43" t="s">
        <v>1182</v>
      </c>
      <c r="B18" s="43" t="s">
        <v>1474</v>
      </c>
      <c r="C18" s="45">
        <v>119917.72</v>
      </c>
    </row>
    <row r="19" spans="1:3" x14ac:dyDescent="0.25">
      <c r="A19" s="43" t="s">
        <v>1182</v>
      </c>
      <c r="B19" s="43" t="s">
        <v>1489</v>
      </c>
      <c r="C19" s="45">
        <v>121748.45999999999</v>
      </c>
    </row>
    <row r="20" spans="1:3" x14ac:dyDescent="0.25">
      <c r="A20" s="43" t="s">
        <v>1182</v>
      </c>
      <c r="B20" s="43" t="s">
        <v>1544</v>
      </c>
      <c r="C20" s="45">
        <v>499999.99999999994</v>
      </c>
    </row>
    <row r="21" spans="1:3" x14ac:dyDescent="0.25">
      <c r="A21" s="43" t="s">
        <v>1182</v>
      </c>
      <c r="B21" s="43" t="s">
        <v>412</v>
      </c>
      <c r="C21" s="45">
        <v>251132.01</v>
      </c>
    </row>
    <row r="22" spans="1:3" x14ac:dyDescent="0.25">
      <c r="A22" s="43" t="s">
        <v>1197</v>
      </c>
      <c r="B22" s="43" t="s">
        <v>1556</v>
      </c>
      <c r="C22" s="45">
        <v>103845.94999999997</v>
      </c>
    </row>
    <row r="23" spans="1:3" x14ac:dyDescent="0.25">
      <c r="A23" s="43" t="s">
        <v>1197</v>
      </c>
      <c r="B23" s="43" t="s">
        <v>1557</v>
      </c>
      <c r="C23" s="45">
        <v>405381.54999999981</v>
      </c>
    </row>
    <row r="24" spans="1:3" x14ac:dyDescent="0.25">
      <c r="A24" s="43" t="s">
        <v>1197</v>
      </c>
      <c r="B24" s="43" t="s">
        <v>1201</v>
      </c>
      <c r="C24" s="45">
        <v>100506.18000000002</v>
      </c>
    </row>
    <row r="25" spans="1:3" x14ac:dyDescent="0.25">
      <c r="A25" s="43" t="s">
        <v>1399</v>
      </c>
      <c r="B25" s="43" t="s">
        <v>1558</v>
      </c>
      <c r="C25" s="45">
        <v>129317.71</v>
      </c>
    </row>
    <row r="26" spans="1:3" x14ac:dyDescent="0.25">
      <c r="A26" s="43" t="s">
        <v>1376</v>
      </c>
      <c r="B26" s="43" t="s">
        <v>1559</v>
      </c>
      <c r="C26" s="46">
        <v>107623.08</v>
      </c>
    </row>
    <row r="27" spans="1:3" x14ac:dyDescent="0.25">
      <c r="A27" s="43" t="s">
        <v>1205</v>
      </c>
      <c r="B27" s="43" t="s">
        <v>1560</v>
      </c>
      <c r="C27" s="46">
        <v>120104.16000000002</v>
      </c>
    </row>
    <row r="28" spans="1:3" x14ac:dyDescent="0.25">
      <c r="A28" s="43" t="s">
        <v>1205</v>
      </c>
      <c r="B28" s="43" t="s">
        <v>596</v>
      </c>
      <c r="C28" s="46">
        <v>129270.30000000002</v>
      </c>
    </row>
    <row r="29" spans="1:3" x14ac:dyDescent="0.25">
      <c r="A29" s="43" t="s">
        <v>1205</v>
      </c>
      <c r="B29" s="43" t="s">
        <v>1561</v>
      </c>
      <c r="C29" s="46">
        <v>210482.52</v>
      </c>
    </row>
    <row r="30" spans="1:3" x14ac:dyDescent="0.25">
      <c r="A30" s="43" t="s">
        <v>1277</v>
      </c>
      <c r="B30" s="43" t="s">
        <v>1562</v>
      </c>
      <c r="C30" s="46">
        <v>247836</v>
      </c>
    </row>
    <row r="31" spans="1:3" x14ac:dyDescent="0.25">
      <c r="A31" s="43" t="s">
        <v>1277</v>
      </c>
      <c r="B31" s="43" t="s">
        <v>1563</v>
      </c>
      <c r="C31" s="46">
        <v>159801.97000000003</v>
      </c>
    </row>
    <row r="32" spans="1:3" x14ac:dyDescent="0.25">
      <c r="A32" s="43"/>
      <c r="B32" s="43"/>
      <c r="C32" s="46"/>
    </row>
    <row r="33" spans="1:3" x14ac:dyDescent="0.25">
      <c r="A33" s="43"/>
      <c r="B33" s="43"/>
      <c r="C33" s="46"/>
    </row>
    <row r="34" spans="1:3" x14ac:dyDescent="0.25">
      <c r="A34" s="43"/>
      <c r="B34" s="43"/>
      <c r="C34" s="46"/>
    </row>
    <row r="35" spans="1:3" x14ac:dyDescent="0.25">
      <c r="A35" s="43"/>
      <c r="B35" s="43"/>
      <c r="C35" s="46"/>
    </row>
    <row r="36" spans="1:3" x14ac:dyDescent="0.25">
      <c r="A36" s="43"/>
      <c r="B36" s="43"/>
      <c r="C36" s="46"/>
    </row>
    <row r="37" spans="1:3" x14ac:dyDescent="0.25">
      <c r="A37" s="43"/>
      <c r="B37" s="43"/>
      <c r="C37" s="46"/>
    </row>
    <row r="38" spans="1:3" x14ac:dyDescent="0.25">
      <c r="A38" s="43"/>
      <c r="B38" s="43"/>
      <c r="C38" s="46"/>
    </row>
    <row r="39" spans="1:3" x14ac:dyDescent="0.25">
      <c r="A39" s="43"/>
      <c r="B39" s="43"/>
      <c r="C39" s="46"/>
    </row>
    <row r="40" spans="1:3" x14ac:dyDescent="0.25">
      <c r="A40" s="43"/>
      <c r="B40" s="43"/>
      <c r="C40" s="46"/>
    </row>
    <row r="41" spans="1:3" x14ac:dyDescent="0.25">
      <c r="A41" s="43"/>
      <c r="B41" s="43"/>
      <c r="C41" s="46"/>
    </row>
    <row r="42" spans="1:3" x14ac:dyDescent="0.25">
      <c r="A42" s="43"/>
      <c r="B42" s="43"/>
      <c r="C42" s="46"/>
    </row>
    <row r="43" spans="1:3" x14ac:dyDescent="0.25">
      <c r="A43" s="43"/>
      <c r="B43" s="43"/>
      <c r="C43" s="46"/>
    </row>
    <row r="44" spans="1:3" x14ac:dyDescent="0.25">
      <c r="A44" s="43"/>
      <c r="B44" s="43"/>
      <c r="C44" s="46"/>
    </row>
    <row r="45" spans="1:3" x14ac:dyDescent="0.25">
      <c r="A45" s="43"/>
      <c r="B45" s="43"/>
      <c r="C45" s="46"/>
    </row>
    <row r="46" spans="1:3" x14ac:dyDescent="0.25">
      <c r="A46" s="43"/>
      <c r="B46" s="43"/>
      <c r="C46" s="46"/>
    </row>
    <row r="47" spans="1:3" x14ac:dyDescent="0.25">
      <c r="A47" s="43"/>
      <c r="B47" s="43"/>
      <c r="C47" s="46"/>
    </row>
    <row r="48" spans="1:3" x14ac:dyDescent="0.25">
      <c r="A48" s="43"/>
      <c r="B48" s="43"/>
      <c r="C48" s="46"/>
    </row>
    <row r="49" spans="1:3" x14ac:dyDescent="0.25">
      <c r="A49" s="43"/>
      <c r="B49" s="43"/>
      <c r="C49" s="46"/>
    </row>
    <row r="50" spans="1:3" x14ac:dyDescent="0.25">
      <c r="A50" s="43"/>
      <c r="B50" s="43"/>
      <c r="C50" s="46"/>
    </row>
    <row r="51" spans="1:3" x14ac:dyDescent="0.25">
      <c r="A51" s="43"/>
      <c r="B51" s="43"/>
      <c r="C51" s="46"/>
    </row>
    <row r="52" spans="1:3" x14ac:dyDescent="0.25">
      <c r="A52" s="43"/>
      <c r="B52" s="43"/>
      <c r="C52" s="46"/>
    </row>
    <row r="53" spans="1:3" x14ac:dyDescent="0.25">
      <c r="A53" s="43"/>
      <c r="B53" s="43"/>
      <c r="C53" s="46"/>
    </row>
    <row r="54" spans="1:3" x14ac:dyDescent="0.25">
      <c r="A54" s="43"/>
      <c r="B54" s="43"/>
      <c r="C54" s="46"/>
    </row>
    <row r="55" spans="1:3" x14ac:dyDescent="0.25">
      <c r="A55" s="43"/>
      <c r="B55" s="43"/>
      <c r="C55" s="46"/>
    </row>
    <row r="56" spans="1:3" x14ac:dyDescent="0.25">
      <c r="A56" s="43"/>
      <c r="B56" s="43"/>
      <c r="C56" s="46"/>
    </row>
    <row r="57" spans="1:3" x14ac:dyDescent="0.25">
      <c r="A57" s="43"/>
      <c r="B57" s="43"/>
      <c r="C57" s="46"/>
    </row>
    <row r="58" spans="1:3" x14ac:dyDescent="0.25">
      <c r="A58" s="43"/>
      <c r="B58" s="43"/>
      <c r="C58" s="46"/>
    </row>
    <row r="59" spans="1:3" x14ac:dyDescent="0.25">
      <c r="A59" s="43"/>
      <c r="B59" s="43"/>
      <c r="C59" s="46"/>
    </row>
    <row r="60" spans="1:3" x14ac:dyDescent="0.25">
      <c r="A60" s="43"/>
      <c r="B60" s="43"/>
      <c r="C60" s="46"/>
    </row>
    <row r="61" spans="1:3" x14ac:dyDescent="0.25">
      <c r="A61" s="43"/>
      <c r="B61" s="43"/>
      <c r="C61" s="46"/>
    </row>
    <row r="62" spans="1:3" x14ac:dyDescent="0.25">
      <c r="A62" s="43"/>
      <c r="B62" s="43"/>
      <c r="C62" s="46"/>
    </row>
    <row r="63" spans="1:3" x14ac:dyDescent="0.25">
      <c r="A63" s="43"/>
      <c r="B63" s="43"/>
      <c r="C63" s="46"/>
    </row>
    <row r="64" spans="1:3" x14ac:dyDescent="0.25">
      <c r="A64" s="43"/>
      <c r="B64" s="43"/>
      <c r="C64" s="46"/>
    </row>
    <row r="65" spans="1:3" x14ac:dyDescent="0.25">
      <c r="A65" s="43"/>
      <c r="B65" s="43"/>
      <c r="C65" s="46"/>
    </row>
    <row r="66" spans="1:3" x14ac:dyDescent="0.25">
      <c r="A66" s="43"/>
      <c r="B66" s="43"/>
      <c r="C66" s="46"/>
    </row>
    <row r="67" spans="1:3" x14ac:dyDescent="0.25">
      <c r="A67" s="43"/>
      <c r="B67" s="43"/>
      <c r="C67" s="46"/>
    </row>
    <row r="68" spans="1:3" x14ac:dyDescent="0.25">
      <c r="A68" s="43"/>
      <c r="B68" s="43"/>
      <c r="C68" s="46"/>
    </row>
    <row r="69" spans="1:3" x14ac:dyDescent="0.25">
      <c r="A69" s="43"/>
      <c r="B69" s="43"/>
      <c r="C69" s="46"/>
    </row>
    <row r="70" spans="1:3" x14ac:dyDescent="0.25">
      <c r="A70" s="43"/>
      <c r="B70" s="43"/>
      <c r="C70" s="46"/>
    </row>
    <row r="71" spans="1:3" x14ac:dyDescent="0.25">
      <c r="A71" s="43"/>
      <c r="B71" s="43"/>
      <c r="C71" s="46"/>
    </row>
    <row r="72" spans="1:3" x14ac:dyDescent="0.25">
      <c r="A72" s="43"/>
      <c r="B72" s="43"/>
      <c r="C72" s="46"/>
    </row>
    <row r="73" spans="1:3" x14ac:dyDescent="0.25">
      <c r="A73" s="43"/>
      <c r="B73" s="43"/>
      <c r="C73" s="46"/>
    </row>
    <row r="74" spans="1:3" x14ac:dyDescent="0.25">
      <c r="A74" s="43"/>
      <c r="B74" s="43"/>
      <c r="C74" s="46"/>
    </row>
    <row r="75" spans="1:3" x14ac:dyDescent="0.25">
      <c r="A75" s="43"/>
      <c r="B75" s="43"/>
      <c r="C75" s="46"/>
    </row>
    <row r="76" spans="1:3" x14ac:dyDescent="0.25">
      <c r="A76" s="43"/>
      <c r="B76" s="43"/>
      <c r="C76" s="46"/>
    </row>
    <row r="77" spans="1:3" x14ac:dyDescent="0.25">
      <c r="A77" s="43"/>
      <c r="B77" s="43"/>
      <c r="C77" s="46"/>
    </row>
    <row r="78" spans="1:3" x14ac:dyDescent="0.25">
      <c r="A78" s="43"/>
      <c r="B78" s="43"/>
      <c r="C78" s="46"/>
    </row>
    <row r="79" spans="1:3" x14ac:dyDescent="0.25">
      <c r="A79" s="42"/>
      <c r="B79" s="42"/>
      <c r="C79" s="47"/>
    </row>
    <row r="80" spans="1:3" x14ac:dyDescent="0.25">
      <c r="A80" s="42"/>
      <c r="B80" s="42"/>
      <c r="C80" s="47"/>
    </row>
    <row r="81" spans="1:3" x14ac:dyDescent="0.25">
      <c r="A81" s="42"/>
      <c r="B81" s="42"/>
      <c r="C81" s="47"/>
    </row>
    <row r="82" spans="1:3" x14ac:dyDescent="0.25">
      <c r="A82" s="42"/>
      <c r="B82" s="42"/>
      <c r="C82" s="47"/>
    </row>
    <row r="83" spans="1:3" x14ac:dyDescent="0.25">
      <c r="A83" s="42"/>
      <c r="B83" s="42"/>
      <c r="C83" s="47"/>
    </row>
    <row r="84" spans="1:3" x14ac:dyDescent="0.25">
      <c r="A84" s="42"/>
      <c r="B84" s="42"/>
      <c r="C84" s="47"/>
    </row>
    <row r="85" spans="1:3" x14ac:dyDescent="0.25">
      <c r="A85" s="42"/>
      <c r="B85" s="42"/>
      <c r="C85" s="47"/>
    </row>
    <row r="86" spans="1:3" x14ac:dyDescent="0.25">
      <c r="A86" s="42"/>
      <c r="B86" s="42"/>
      <c r="C86" s="47"/>
    </row>
    <row r="87" spans="1:3" x14ac:dyDescent="0.25">
      <c r="A87" s="42"/>
      <c r="B87" s="42"/>
      <c r="C87" s="47"/>
    </row>
    <row r="88" spans="1:3" x14ac:dyDescent="0.25">
      <c r="A88" s="42"/>
      <c r="B88" s="42"/>
      <c r="C88" s="47"/>
    </row>
    <row r="89" spans="1:3" x14ac:dyDescent="0.25">
      <c r="A89" s="42"/>
      <c r="B89" s="42"/>
      <c r="C89" s="47"/>
    </row>
    <row r="90" spans="1:3" x14ac:dyDescent="0.25">
      <c r="A90" s="42"/>
      <c r="B90" s="42"/>
      <c r="C90" s="47"/>
    </row>
    <row r="91" spans="1:3" x14ac:dyDescent="0.25">
      <c r="A91" s="42"/>
      <c r="B91" s="42"/>
      <c r="C91" s="47"/>
    </row>
    <row r="92" spans="1:3" x14ac:dyDescent="0.25">
      <c r="A92" s="42"/>
      <c r="B92" s="42"/>
      <c r="C92" s="47"/>
    </row>
    <row r="93" spans="1:3" x14ac:dyDescent="0.25">
      <c r="A93" s="42"/>
      <c r="B93" s="42"/>
      <c r="C93" s="47"/>
    </row>
    <row r="94" spans="1:3" x14ac:dyDescent="0.25">
      <c r="A94" s="42"/>
      <c r="B94" s="42"/>
      <c r="C94" s="47"/>
    </row>
    <row r="95" spans="1:3" x14ac:dyDescent="0.25">
      <c r="A95" s="42"/>
      <c r="B95" s="42"/>
      <c r="C95" s="47"/>
    </row>
    <row r="96" spans="1:3" x14ac:dyDescent="0.25">
      <c r="A96" s="42"/>
      <c r="B96" s="42"/>
      <c r="C96" s="47"/>
    </row>
    <row r="97" spans="1:3" x14ac:dyDescent="0.25">
      <c r="A97" s="42"/>
      <c r="B97" s="42"/>
      <c r="C97" s="47"/>
    </row>
    <row r="98" spans="1:3" x14ac:dyDescent="0.25">
      <c r="A98" s="42"/>
      <c r="B98" s="42"/>
      <c r="C98" s="47"/>
    </row>
    <row r="99" spans="1:3" x14ac:dyDescent="0.25">
      <c r="A99" s="42"/>
      <c r="B99" s="42"/>
      <c r="C99" s="47"/>
    </row>
    <row r="100" spans="1:3" x14ac:dyDescent="0.25">
      <c r="A100" s="42"/>
      <c r="B100" s="42"/>
      <c r="C100" s="47"/>
    </row>
    <row r="101" spans="1:3" x14ac:dyDescent="0.25">
      <c r="A101" s="42"/>
      <c r="B101" s="42"/>
      <c r="C101" s="47"/>
    </row>
    <row r="102" spans="1:3" x14ac:dyDescent="0.25">
      <c r="A102" s="42"/>
      <c r="B102" s="42"/>
      <c r="C102" s="47"/>
    </row>
    <row r="103" spans="1:3" x14ac:dyDescent="0.25">
      <c r="A103" s="42"/>
      <c r="B103" s="42"/>
      <c r="C103" s="47"/>
    </row>
    <row r="104" spans="1:3" x14ac:dyDescent="0.25">
      <c r="A104" s="42"/>
      <c r="B104" s="42"/>
      <c r="C104" s="47"/>
    </row>
    <row r="105" spans="1:3" x14ac:dyDescent="0.25">
      <c r="A105" s="42"/>
      <c r="B105" s="42"/>
      <c r="C105" s="47"/>
    </row>
    <row r="106" spans="1:3" x14ac:dyDescent="0.25">
      <c r="A106" s="42"/>
      <c r="B106" s="42"/>
      <c r="C106" s="47"/>
    </row>
    <row r="107" spans="1:3" x14ac:dyDescent="0.25">
      <c r="A107" s="42"/>
      <c r="B107" s="42"/>
      <c r="C107" s="47"/>
    </row>
    <row r="108" spans="1:3" x14ac:dyDescent="0.25">
      <c r="A108" s="42"/>
      <c r="B108" s="42"/>
      <c r="C108" s="47"/>
    </row>
    <row r="109" spans="1:3" x14ac:dyDescent="0.25">
      <c r="A109" s="42"/>
      <c r="B109" s="42"/>
      <c r="C109" s="47"/>
    </row>
    <row r="110" spans="1:3" x14ac:dyDescent="0.25">
      <c r="A110" s="42"/>
      <c r="B110" s="42"/>
      <c r="C110" s="47"/>
    </row>
    <row r="111" spans="1:3" x14ac:dyDescent="0.25">
      <c r="A111" s="42"/>
      <c r="B111" s="42"/>
      <c r="C111" s="47"/>
    </row>
    <row r="112" spans="1:3" x14ac:dyDescent="0.25">
      <c r="A112" s="42"/>
      <c r="B112" s="42"/>
      <c r="C112" s="47"/>
    </row>
    <row r="113" spans="1:3" x14ac:dyDescent="0.25">
      <c r="A113" s="42"/>
      <c r="B113" s="42"/>
      <c r="C113" s="47"/>
    </row>
    <row r="114" spans="1:3" x14ac:dyDescent="0.25">
      <c r="A114" s="42"/>
      <c r="B114" s="42"/>
      <c r="C114" s="47"/>
    </row>
    <row r="115" spans="1:3" x14ac:dyDescent="0.25">
      <c r="A115" s="42"/>
      <c r="B115" s="42"/>
      <c r="C115" s="47"/>
    </row>
    <row r="116" spans="1:3" x14ac:dyDescent="0.25">
      <c r="A116" s="42"/>
      <c r="B116" s="42"/>
      <c r="C116" s="47"/>
    </row>
    <row r="117" spans="1:3" x14ac:dyDescent="0.25">
      <c r="A117" s="42"/>
      <c r="B117" s="42"/>
      <c r="C117" s="47"/>
    </row>
    <row r="118" spans="1:3" x14ac:dyDescent="0.25">
      <c r="A118" s="42"/>
      <c r="B118" s="42"/>
      <c r="C118" s="47"/>
    </row>
    <row r="119" spans="1:3" x14ac:dyDescent="0.25">
      <c r="A119" s="42"/>
      <c r="B119" s="42"/>
      <c r="C119" s="47"/>
    </row>
    <row r="120" spans="1:3" x14ac:dyDescent="0.25">
      <c r="A120" s="42"/>
      <c r="B120" s="42"/>
      <c r="C120" s="47"/>
    </row>
    <row r="121" spans="1:3" x14ac:dyDescent="0.25">
      <c r="A121" s="42"/>
      <c r="B121" s="42"/>
      <c r="C121" s="47"/>
    </row>
    <row r="122" spans="1:3" x14ac:dyDescent="0.25">
      <c r="A122" s="42"/>
      <c r="B122" s="42"/>
      <c r="C122" s="47"/>
    </row>
    <row r="123" spans="1:3" x14ac:dyDescent="0.25">
      <c r="A123" s="42"/>
      <c r="B123" s="42"/>
      <c r="C123" s="47"/>
    </row>
    <row r="124" spans="1:3" x14ac:dyDescent="0.25">
      <c r="A124" s="42"/>
      <c r="B124" s="42"/>
      <c r="C124" s="47"/>
    </row>
    <row r="125" spans="1:3" x14ac:dyDescent="0.25">
      <c r="A125" s="42"/>
      <c r="B125" s="42"/>
      <c r="C125" s="47"/>
    </row>
    <row r="126" spans="1:3" x14ac:dyDescent="0.25">
      <c r="A126" s="42"/>
      <c r="B126" s="42"/>
      <c r="C126" s="47"/>
    </row>
    <row r="127" spans="1:3" x14ac:dyDescent="0.25">
      <c r="A127" s="42"/>
      <c r="B127" s="42"/>
      <c r="C127" s="47"/>
    </row>
    <row r="128" spans="1:3" x14ac:dyDescent="0.25">
      <c r="A128" s="42"/>
      <c r="B128" s="42"/>
      <c r="C128" s="47"/>
    </row>
    <row r="129" spans="1:3" x14ac:dyDescent="0.25">
      <c r="A129" s="42"/>
      <c r="B129" s="42"/>
      <c r="C129" s="47"/>
    </row>
    <row r="130" spans="1:3" x14ac:dyDescent="0.25">
      <c r="A130" s="42"/>
      <c r="B130" s="42"/>
      <c r="C130" s="47"/>
    </row>
    <row r="131" spans="1:3" x14ac:dyDescent="0.25">
      <c r="A131" s="42"/>
      <c r="B131" s="42"/>
      <c r="C131" s="47"/>
    </row>
    <row r="132" spans="1:3" x14ac:dyDescent="0.25">
      <c r="A132" s="42"/>
      <c r="B132" s="42"/>
      <c r="C132" s="47"/>
    </row>
    <row r="133" spans="1:3" x14ac:dyDescent="0.25">
      <c r="A133" s="42"/>
      <c r="B133" s="42"/>
      <c r="C133" s="47"/>
    </row>
    <row r="134" spans="1:3" x14ac:dyDescent="0.25">
      <c r="A134" s="42"/>
      <c r="B134" s="42"/>
      <c r="C134" s="47"/>
    </row>
    <row r="135" spans="1:3" x14ac:dyDescent="0.25">
      <c r="A135" s="42"/>
      <c r="B135" s="42"/>
      <c r="C135" s="47"/>
    </row>
    <row r="136" spans="1:3" x14ac:dyDescent="0.25">
      <c r="A136" s="42"/>
      <c r="B136" s="42"/>
      <c r="C136" s="47"/>
    </row>
    <row r="137" spans="1:3" x14ac:dyDescent="0.25">
      <c r="A137" s="42"/>
      <c r="B137" s="42"/>
      <c r="C137" s="47"/>
    </row>
    <row r="138" spans="1:3" x14ac:dyDescent="0.25">
      <c r="A138" s="42"/>
      <c r="B138" s="42"/>
      <c r="C138" s="47"/>
    </row>
    <row r="139" spans="1:3" x14ac:dyDescent="0.25">
      <c r="A139" s="42"/>
      <c r="B139" s="42"/>
      <c r="C139" s="47"/>
    </row>
    <row r="140" spans="1:3" x14ac:dyDescent="0.25">
      <c r="A140" s="34"/>
      <c r="B140" s="34"/>
      <c r="C140" s="48"/>
    </row>
    <row r="141" spans="1:3" x14ac:dyDescent="0.25">
      <c r="A141" s="34"/>
      <c r="B141" s="34"/>
      <c r="C141" s="48"/>
    </row>
    <row r="142" spans="1:3" x14ac:dyDescent="0.25">
      <c r="A142" s="34"/>
      <c r="B142" s="34"/>
      <c r="C142" s="48"/>
    </row>
    <row r="143" spans="1:3" x14ac:dyDescent="0.25">
      <c r="A143" s="34"/>
      <c r="B143" s="34"/>
      <c r="C143" s="48"/>
    </row>
    <row r="144" spans="1:3" x14ac:dyDescent="0.25">
      <c r="A144" s="34"/>
      <c r="B144" s="34"/>
      <c r="C144" s="48"/>
    </row>
    <row r="145" spans="1:3" x14ac:dyDescent="0.25">
      <c r="A145" s="34"/>
      <c r="B145" s="34"/>
      <c r="C145" s="48"/>
    </row>
    <row r="146" spans="1:3" x14ac:dyDescent="0.25">
      <c r="A146" s="34"/>
      <c r="B146" s="34"/>
      <c r="C146" s="48"/>
    </row>
    <row r="147" spans="1:3" x14ac:dyDescent="0.25">
      <c r="A147" s="34"/>
      <c r="B147" s="34"/>
      <c r="C147" s="48"/>
    </row>
    <row r="148" spans="1:3" x14ac:dyDescent="0.25">
      <c r="A148" s="34"/>
      <c r="B148" s="34"/>
      <c r="C148" s="48"/>
    </row>
    <row r="149" spans="1:3" x14ac:dyDescent="0.25">
      <c r="A149" s="34"/>
      <c r="B149" s="34"/>
      <c r="C149" s="48"/>
    </row>
    <row r="150" spans="1:3" x14ac:dyDescent="0.25">
      <c r="A150" s="34"/>
      <c r="B150" s="34"/>
      <c r="C150" s="48"/>
    </row>
    <row r="151" spans="1:3" x14ac:dyDescent="0.25">
      <c r="A151" s="34"/>
      <c r="B151" s="34"/>
      <c r="C151" s="48"/>
    </row>
    <row r="152" spans="1:3" x14ac:dyDescent="0.25">
      <c r="A152" s="34"/>
      <c r="B152" s="34"/>
      <c r="C152" s="48"/>
    </row>
    <row r="153" spans="1:3" x14ac:dyDescent="0.25">
      <c r="A153" s="34"/>
      <c r="B153" s="34"/>
      <c r="C153" s="48"/>
    </row>
    <row r="154" spans="1:3" x14ac:dyDescent="0.25">
      <c r="A154" s="34"/>
      <c r="B154" s="34"/>
      <c r="C154" s="48"/>
    </row>
    <row r="155" spans="1:3" x14ac:dyDescent="0.25">
      <c r="A155" s="34"/>
      <c r="B155" s="34"/>
      <c r="C155" s="48"/>
    </row>
    <row r="156" spans="1:3" x14ac:dyDescent="0.25">
      <c r="A156" s="34"/>
      <c r="B156" s="34"/>
      <c r="C156" s="48"/>
    </row>
    <row r="157" spans="1:3" x14ac:dyDescent="0.25">
      <c r="A157" s="34"/>
      <c r="B157" s="34"/>
      <c r="C157" s="48"/>
    </row>
    <row r="158" spans="1:3" x14ac:dyDescent="0.25">
      <c r="A158" s="34"/>
      <c r="B158" s="34"/>
      <c r="C158" s="48"/>
    </row>
    <row r="159" spans="1:3" x14ac:dyDescent="0.25">
      <c r="A159" s="34"/>
      <c r="B159" s="34"/>
      <c r="C159" s="48"/>
    </row>
    <row r="160" spans="1:3" x14ac:dyDescent="0.25">
      <c r="A160" s="34"/>
      <c r="B160" s="34"/>
      <c r="C160" s="48"/>
    </row>
    <row r="161" spans="1:3" x14ac:dyDescent="0.25">
      <c r="A161" s="34"/>
      <c r="B161" s="34"/>
      <c r="C161" s="48"/>
    </row>
    <row r="162" spans="1:3" x14ac:dyDescent="0.25">
      <c r="A162" s="34"/>
      <c r="B162" s="34"/>
      <c r="C162" s="48"/>
    </row>
    <row r="163" spans="1:3" x14ac:dyDescent="0.25">
      <c r="A163" s="34"/>
      <c r="B163" s="34"/>
      <c r="C163" s="48"/>
    </row>
    <row r="164" spans="1:3" x14ac:dyDescent="0.25">
      <c r="A164" s="34"/>
      <c r="B164" s="34"/>
      <c r="C164" s="48"/>
    </row>
    <row r="165" spans="1:3" x14ac:dyDescent="0.25">
      <c r="A165" s="34"/>
      <c r="B165" s="34"/>
      <c r="C165" s="48"/>
    </row>
    <row r="166" spans="1:3" x14ac:dyDescent="0.25">
      <c r="A166" s="34"/>
      <c r="B166" s="34"/>
      <c r="C166" s="48"/>
    </row>
    <row r="167" spans="1:3" x14ac:dyDescent="0.25">
      <c r="A167" s="34"/>
      <c r="B167" s="34"/>
      <c r="C167" s="48"/>
    </row>
    <row r="168" spans="1:3" x14ac:dyDescent="0.25">
      <c r="A168" s="34"/>
      <c r="B168" s="34"/>
      <c r="C168" s="48"/>
    </row>
    <row r="169" spans="1:3" x14ac:dyDescent="0.25">
      <c r="A169" s="34"/>
      <c r="B169" s="34"/>
      <c r="C169" s="48"/>
    </row>
    <row r="170" spans="1:3" x14ac:dyDescent="0.25">
      <c r="A170" s="34"/>
      <c r="B170" s="34"/>
      <c r="C170" s="48"/>
    </row>
    <row r="171" spans="1:3" x14ac:dyDescent="0.25">
      <c r="A171" s="34"/>
      <c r="B171" s="34"/>
      <c r="C171" s="48"/>
    </row>
    <row r="172" spans="1:3" x14ac:dyDescent="0.25">
      <c r="A172" s="34"/>
      <c r="B172" s="34"/>
      <c r="C172" s="48"/>
    </row>
    <row r="173" spans="1:3" x14ac:dyDescent="0.25">
      <c r="A173" s="34"/>
      <c r="B173" s="34"/>
      <c r="C173" s="48"/>
    </row>
    <row r="174" spans="1:3" x14ac:dyDescent="0.25">
      <c r="A174" s="34"/>
      <c r="B174" s="34"/>
      <c r="C174" s="48"/>
    </row>
    <row r="175" spans="1:3" x14ac:dyDescent="0.25">
      <c r="A175" s="34"/>
      <c r="B175" s="34"/>
      <c r="C175" s="48"/>
    </row>
    <row r="176" spans="1:3" x14ac:dyDescent="0.25">
      <c r="A176" s="34"/>
      <c r="B176" s="34"/>
      <c r="C176" s="48"/>
    </row>
    <row r="177" spans="1:3" x14ac:dyDescent="0.25">
      <c r="A177" s="34"/>
      <c r="B177" s="34"/>
      <c r="C177" s="48"/>
    </row>
    <row r="178" spans="1:3" x14ac:dyDescent="0.25">
      <c r="A178" s="34"/>
      <c r="B178" s="34"/>
      <c r="C178" s="48"/>
    </row>
    <row r="179" spans="1:3" x14ac:dyDescent="0.25">
      <c r="A179" s="34"/>
      <c r="B179" s="34"/>
      <c r="C179" s="48"/>
    </row>
    <row r="180" spans="1:3" x14ac:dyDescent="0.25">
      <c r="A180" s="34"/>
      <c r="B180" s="34"/>
      <c r="C180" s="48"/>
    </row>
    <row r="181" spans="1:3" x14ac:dyDescent="0.25">
      <c r="A181" s="34"/>
      <c r="B181" s="34"/>
      <c r="C181" s="48"/>
    </row>
    <row r="182" spans="1:3" x14ac:dyDescent="0.25">
      <c r="A182" s="34"/>
      <c r="B182" s="34"/>
      <c r="C182" s="48"/>
    </row>
    <row r="183" spans="1:3" x14ac:dyDescent="0.25">
      <c r="A183" s="34"/>
      <c r="B183" s="34"/>
      <c r="C183" s="48"/>
    </row>
    <row r="184" spans="1:3" x14ac:dyDescent="0.25">
      <c r="A184" s="34"/>
      <c r="B184" s="34"/>
      <c r="C184" s="48"/>
    </row>
    <row r="185" spans="1:3" x14ac:dyDescent="0.25">
      <c r="A185" s="34"/>
      <c r="B185" s="34"/>
      <c r="C185" s="48"/>
    </row>
    <row r="186" spans="1:3" x14ac:dyDescent="0.25">
      <c r="A186" s="34"/>
      <c r="B186" s="34"/>
      <c r="C186" s="48"/>
    </row>
    <row r="187" spans="1:3" x14ac:dyDescent="0.25">
      <c r="A187" s="34"/>
      <c r="B187" s="34"/>
      <c r="C187" s="48"/>
    </row>
    <row r="188" spans="1:3" x14ac:dyDescent="0.25">
      <c r="A188" s="34"/>
      <c r="B188" s="34"/>
      <c r="C188" s="48"/>
    </row>
    <row r="189" spans="1:3" x14ac:dyDescent="0.25">
      <c r="A189" s="34"/>
      <c r="B189" s="34"/>
      <c r="C189" s="48"/>
    </row>
    <row r="190" spans="1:3" x14ac:dyDescent="0.25">
      <c r="A190" s="34"/>
      <c r="B190" s="34"/>
      <c r="C190" s="48"/>
    </row>
    <row r="191" spans="1:3" x14ac:dyDescent="0.25">
      <c r="A191" s="34"/>
      <c r="B191" s="34"/>
      <c r="C191" s="48"/>
    </row>
    <row r="192" spans="1:3" x14ac:dyDescent="0.25">
      <c r="A192" s="34"/>
      <c r="B192" s="34"/>
      <c r="C192" s="48"/>
    </row>
    <row r="193" spans="1:3" x14ac:dyDescent="0.25">
      <c r="A193" s="34"/>
      <c r="B193" s="34"/>
      <c r="C193" s="48"/>
    </row>
    <row r="194" spans="1:3" x14ac:dyDescent="0.25">
      <c r="A194" s="34"/>
      <c r="B194" s="34"/>
      <c r="C194" s="48"/>
    </row>
    <row r="195" spans="1:3" x14ac:dyDescent="0.25">
      <c r="A195" s="34"/>
      <c r="B195" s="34"/>
      <c r="C195" s="48"/>
    </row>
    <row r="196" spans="1:3" x14ac:dyDescent="0.25">
      <c r="A196" s="34"/>
      <c r="B196" s="34"/>
      <c r="C196" s="48"/>
    </row>
    <row r="197" spans="1:3" x14ac:dyDescent="0.25">
      <c r="A197" s="34"/>
      <c r="B197" s="34"/>
      <c r="C197" s="48"/>
    </row>
    <row r="198" spans="1:3" x14ac:dyDescent="0.25">
      <c r="A198" s="34"/>
      <c r="B198" s="34"/>
      <c r="C198" s="48"/>
    </row>
    <row r="199" spans="1:3" x14ac:dyDescent="0.25">
      <c r="A199" s="34"/>
      <c r="B199" s="34"/>
      <c r="C199" s="48"/>
    </row>
    <row r="200" spans="1:3" x14ac:dyDescent="0.25">
      <c r="A200" s="34"/>
      <c r="B200" s="34"/>
      <c r="C200" s="48"/>
    </row>
    <row r="201" spans="1:3" x14ac:dyDescent="0.25">
      <c r="A201" s="34"/>
      <c r="B201" s="34"/>
      <c r="C201" s="48"/>
    </row>
    <row r="202" spans="1:3" x14ac:dyDescent="0.25">
      <c r="A202" s="34"/>
      <c r="B202" s="34"/>
      <c r="C202" s="48"/>
    </row>
    <row r="203" spans="1:3" x14ac:dyDescent="0.25">
      <c r="A203" s="34"/>
      <c r="B203" s="34"/>
      <c r="C203" s="48"/>
    </row>
    <row r="204" spans="1:3" x14ac:dyDescent="0.25">
      <c r="A204" s="34"/>
      <c r="B204" s="34"/>
      <c r="C204" s="48"/>
    </row>
    <row r="205" spans="1:3" x14ac:dyDescent="0.25">
      <c r="A205" s="34"/>
      <c r="B205" s="34"/>
      <c r="C205" s="48"/>
    </row>
    <row r="206" spans="1:3" x14ac:dyDescent="0.25">
      <c r="A206" s="34"/>
      <c r="B206" s="34"/>
      <c r="C206" s="48"/>
    </row>
    <row r="207" spans="1:3" x14ac:dyDescent="0.25">
      <c r="A207" s="34"/>
      <c r="B207" s="34"/>
      <c r="C207" s="48"/>
    </row>
    <row r="208" spans="1:3" x14ac:dyDescent="0.25">
      <c r="A208" s="34"/>
      <c r="B208" s="34"/>
      <c r="C208" s="48"/>
    </row>
    <row r="209" spans="1:3" x14ac:dyDescent="0.25">
      <c r="A209" s="34"/>
      <c r="B209" s="34"/>
      <c r="C209" s="48"/>
    </row>
    <row r="210" spans="1:3" x14ac:dyDescent="0.25">
      <c r="A210" s="34"/>
      <c r="B210" s="34"/>
      <c r="C210" s="48"/>
    </row>
    <row r="211" spans="1:3" x14ac:dyDescent="0.25">
      <c r="A211" s="34"/>
      <c r="B211" s="34"/>
      <c r="C211" s="48"/>
    </row>
    <row r="212" spans="1:3" x14ac:dyDescent="0.25">
      <c r="A212" s="34"/>
      <c r="B212" s="34"/>
      <c r="C212" s="48"/>
    </row>
    <row r="213" spans="1:3" x14ac:dyDescent="0.25">
      <c r="A213" s="34"/>
      <c r="B213" s="34"/>
      <c r="C213" s="48"/>
    </row>
    <row r="214" spans="1:3" x14ac:dyDescent="0.25">
      <c r="A214" s="34"/>
      <c r="B214" s="34"/>
      <c r="C214" s="48"/>
    </row>
    <row r="215" spans="1:3" x14ac:dyDescent="0.25">
      <c r="A215" s="34"/>
      <c r="B215" s="34"/>
      <c r="C215" s="48"/>
    </row>
    <row r="216" spans="1:3" x14ac:dyDescent="0.25">
      <c r="A216" s="34"/>
      <c r="B216" s="34"/>
      <c r="C216" s="48"/>
    </row>
    <row r="217" spans="1:3" x14ac:dyDescent="0.25">
      <c r="A217" s="34"/>
      <c r="B217" s="34"/>
      <c r="C217" s="48"/>
    </row>
    <row r="218" spans="1:3" x14ac:dyDescent="0.25">
      <c r="A218" s="34"/>
      <c r="B218" s="34"/>
      <c r="C218" s="48"/>
    </row>
    <row r="219" spans="1:3" x14ac:dyDescent="0.25">
      <c r="A219" s="34"/>
      <c r="B219" s="34"/>
      <c r="C219" s="48"/>
    </row>
    <row r="220" spans="1:3" x14ac:dyDescent="0.25">
      <c r="A220" s="34"/>
      <c r="B220" s="34"/>
      <c r="C220" s="48"/>
    </row>
    <row r="221" spans="1:3" x14ac:dyDescent="0.25">
      <c r="A221" s="34"/>
      <c r="B221" s="34"/>
      <c r="C221" s="48"/>
    </row>
    <row r="222" spans="1:3" x14ac:dyDescent="0.25">
      <c r="A222" s="34"/>
      <c r="B222" s="34"/>
      <c r="C222" s="48"/>
    </row>
    <row r="223" spans="1:3" x14ac:dyDescent="0.25">
      <c r="A223" s="34"/>
      <c r="B223" s="34"/>
      <c r="C223" s="48"/>
    </row>
    <row r="224" spans="1:3" x14ac:dyDescent="0.25">
      <c r="A224" s="34"/>
      <c r="B224" s="34"/>
      <c r="C224" s="48"/>
    </row>
    <row r="225" spans="1:3" x14ac:dyDescent="0.25">
      <c r="A225" s="34"/>
      <c r="B225" s="34"/>
      <c r="C225" s="48"/>
    </row>
    <row r="226" spans="1:3" x14ac:dyDescent="0.25">
      <c r="A226" s="34"/>
      <c r="B226" s="34"/>
      <c r="C226" s="48"/>
    </row>
    <row r="227" spans="1:3" x14ac:dyDescent="0.25">
      <c r="A227" s="34"/>
      <c r="B227" s="34"/>
      <c r="C227" s="48"/>
    </row>
    <row r="228" spans="1:3" x14ac:dyDescent="0.25">
      <c r="A228" s="34"/>
      <c r="B228" s="34"/>
      <c r="C228" s="48"/>
    </row>
    <row r="229" spans="1:3" x14ac:dyDescent="0.25">
      <c r="A229" s="34"/>
      <c r="B229" s="34"/>
      <c r="C229" s="48"/>
    </row>
    <row r="230" spans="1:3" x14ac:dyDescent="0.25">
      <c r="A230" s="34"/>
      <c r="B230" s="34"/>
      <c r="C230" s="48"/>
    </row>
    <row r="231" spans="1:3" x14ac:dyDescent="0.25">
      <c r="A231" s="34"/>
      <c r="B231" s="34"/>
      <c r="C231" s="48"/>
    </row>
    <row r="232" spans="1:3" x14ac:dyDescent="0.25">
      <c r="A232" s="34"/>
      <c r="B232" s="34"/>
      <c r="C232" s="48"/>
    </row>
    <row r="233" spans="1:3" x14ac:dyDescent="0.25">
      <c r="A233" s="34"/>
      <c r="B233" s="34"/>
      <c r="C233" s="48"/>
    </row>
    <row r="234" spans="1:3" x14ac:dyDescent="0.25">
      <c r="A234" s="34"/>
      <c r="B234" s="34"/>
      <c r="C234" s="48"/>
    </row>
    <row r="235" spans="1:3" x14ac:dyDescent="0.25">
      <c r="A235" s="34"/>
      <c r="B235" s="34"/>
      <c r="C235" s="48"/>
    </row>
    <row r="236" spans="1:3" x14ac:dyDescent="0.25">
      <c r="A236" s="34"/>
      <c r="B236" s="34"/>
      <c r="C236" s="48"/>
    </row>
    <row r="237" spans="1:3" x14ac:dyDescent="0.25">
      <c r="A237" s="34"/>
      <c r="B237" s="34"/>
      <c r="C237" s="48"/>
    </row>
    <row r="238" spans="1:3" x14ac:dyDescent="0.25">
      <c r="A238" s="34"/>
      <c r="B238" s="34"/>
      <c r="C238" s="48"/>
    </row>
    <row r="239" spans="1:3" x14ac:dyDescent="0.25">
      <c r="A239" s="34"/>
      <c r="B239" s="34"/>
      <c r="C239" s="48"/>
    </row>
    <row r="240" spans="1:3" x14ac:dyDescent="0.25">
      <c r="A240" s="34"/>
      <c r="B240" s="34"/>
      <c r="C240" s="48"/>
    </row>
    <row r="241" spans="1:3" x14ac:dyDescent="0.25">
      <c r="A241" s="34"/>
      <c r="B241" s="34"/>
      <c r="C241" s="48"/>
    </row>
    <row r="242" spans="1:3" x14ac:dyDescent="0.25">
      <c r="A242" s="34"/>
      <c r="B242" s="34"/>
      <c r="C242" s="48"/>
    </row>
    <row r="243" spans="1:3" x14ac:dyDescent="0.25">
      <c r="A243" s="34"/>
      <c r="B243" s="34"/>
      <c r="C243" s="48"/>
    </row>
    <row r="244" spans="1:3" x14ac:dyDescent="0.25">
      <c r="A244" s="34"/>
      <c r="B244" s="34"/>
      <c r="C244" s="48"/>
    </row>
    <row r="245" spans="1:3" x14ac:dyDescent="0.25">
      <c r="A245" s="34"/>
      <c r="B245" s="34"/>
      <c r="C245" s="48"/>
    </row>
    <row r="246" spans="1:3" x14ac:dyDescent="0.25">
      <c r="A246" s="34"/>
      <c r="B246" s="34"/>
      <c r="C246" s="48"/>
    </row>
    <row r="247" spans="1:3" x14ac:dyDescent="0.25">
      <c r="A247" s="34"/>
      <c r="B247" s="34"/>
      <c r="C247" s="48"/>
    </row>
    <row r="248" spans="1:3" x14ac:dyDescent="0.25">
      <c r="A248" s="34"/>
      <c r="B248" s="34"/>
      <c r="C248" s="48"/>
    </row>
    <row r="249" spans="1:3" x14ac:dyDescent="0.25">
      <c r="A249" s="34"/>
      <c r="B249" s="34"/>
      <c r="C249" s="48"/>
    </row>
    <row r="250" spans="1:3" x14ac:dyDescent="0.25">
      <c r="A250" s="34"/>
      <c r="B250" s="34"/>
      <c r="C250" s="48"/>
    </row>
    <row r="251" spans="1:3" x14ac:dyDescent="0.25">
      <c r="A251" s="34"/>
      <c r="B251" s="34"/>
      <c r="C251" s="48"/>
    </row>
    <row r="252" spans="1:3" x14ac:dyDescent="0.25">
      <c r="A252" s="34"/>
      <c r="B252" s="34"/>
      <c r="C252" s="48"/>
    </row>
    <row r="253" spans="1:3" x14ac:dyDescent="0.25">
      <c r="A253" s="34"/>
      <c r="B253" s="34"/>
      <c r="C253" s="48"/>
    </row>
    <row r="254" spans="1:3" x14ac:dyDescent="0.25">
      <c r="A254" s="34"/>
      <c r="B254" s="34"/>
      <c r="C254" s="48"/>
    </row>
    <row r="255" spans="1:3" x14ac:dyDescent="0.25">
      <c r="A255" s="34"/>
      <c r="B255" s="34"/>
      <c r="C255" s="48"/>
    </row>
    <row r="256" spans="1:3" x14ac:dyDescent="0.25">
      <c r="A256" s="34"/>
      <c r="B256" s="34"/>
      <c r="C256" s="48"/>
    </row>
    <row r="257" spans="1:3" x14ac:dyDescent="0.25">
      <c r="A257" s="34"/>
      <c r="B257" s="34"/>
      <c r="C257" s="48"/>
    </row>
    <row r="258" spans="1:3" x14ac:dyDescent="0.25">
      <c r="A258" s="34"/>
      <c r="B258" s="34"/>
      <c r="C258" s="48"/>
    </row>
    <row r="259" spans="1:3" x14ac:dyDescent="0.25">
      <c r="A259" s="34"/>
      <c r="B259" s="34"/>
      <c r="C259" s="48"/>
    </row>
    <row r="260" spans="1:3" x14ac:dyDescent="0.25">
      <c r="A260" s="34"/>
      <c r="B260" s="34"/>
      <c r="C260" s="48"/>
    </row>
    <row r="261" spans="1:3" x14ac:dyDescent="0.25">
      <c r="A261" s="34"/>
      <c r="B261" s="34"/>
      <c r="C261" s="48"/>
    </row>
    <row r="262" spans="1:3" x14ac:dyDescent="0.25">
      <c r="A262" s="34"/>
      <c r="B262" s="34"/>
      <c r="C262" s="48"/>
    </row>
    <row r="263" spans="1:3" x14ac:dyDescent="0.25">
      <c r="A263" s="34"/>
      <c r="B263" s="34"/>
      <c r="C263" s="48"/>
    </row>
    <row r="264" spans="1:3" x14ac:dyDescent="0.25">
      <c r="A264" s="34"/>
      <c r="B264" s="34"/>
      <c r="C264" s="48"/>
    </row>
    <row r="265" spans="1:3" x14ac:dyDescent="0.25">
      <c r="A265" s="34"/>
      <c r="B265" s="34"/>
      <c r="C265" s="48"/>
    </row>
    <row r="266" spans="1:3" x14ac:dyDescent="0.25">
      <c r="A266" s="34"/>
      <c r="B266" s="34"/>
      <c r="C266" s="48"/>
    </row>
    <row r="267" spans="1:3" x14ac:dyDescent="0.25">
      <c r="A267" s="34"/>
      <c r="B267" s="34"/>
      <c r="C267" s="48"/>
    </row>
    <row r="268" spans="1:3" x14ac:dyDescent="0.25">
      <c r="A268" s="34"/>
      <c r="B268" s="34"/>
      <c r="C268" s="48"/>
    </row>
    <row r="269" spans="1:3" x14ac:dyDescent="0.25">
      <c r="A269" s="34"/>
      <c r="B269" s="34"/>
      <c r="C269" s="48"/>
    </row>
    <row r="270" spans="1:3" x14ac:dyDescent="0.25">
      <c r="A270" s="34"/>
      <c r="B270" s="34"/>
      <c r="C270" s="48"/>
    </row>
    <row r="271" spans="1:3" x14ac:dyDescent="0.25">
      <c r="A271" s="34"/>
      <c r="B271" s="34"/>
      <c r="C271" s="48"/>
    </row>
    <row r="272" spans="1:3" x14ac:dyDescent="0.25">
      <c r="A272" s="34"/>
      <c r="B272" s="34"/>
      <c r="C272" s="48"/>
    </row>
    <row r="273" spans="1:3" x14ac:dyDescent="0.25">
      <c r="A273" s="34"/>
      <c r="B273" s="34"/>
      <c r="C273" s="48"/>
    </row>
    <row r="274" spans="1:3" x14ac:dyDescent="0.25">
      <c r="A274" s="34"/>
      <c r="B274" s="34"/>
      <c r="C274" s="48"/>
    </row>
  </sheetData>
  <autoFilter ref="A1:C31" xr:uid="{51CB46F1-3712-403A-82C5-0648320F5580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FBBA-B6D9-4CAE-AAD7-2793CF59830B}">
  <sheetPr codeName="Лист1">
    <outlinePr summaryBelow="0" summaryRight="0"/>
  </sheetPr>
  <dimension ref="A1:AZ1021"/>
  <sheetViews>
    <sheetView workbookViewId="0">
      <pane xSplit="2" ySplit="6" topLeftCell="AA271" activePane="bottomRight" state="frozen"/>
      <selection pane="topRight" activeCell="C1" sqref="C1"/>
      <selection pane="bottomLeft" activeCell="A7" sqref="A7"/>
      <selection pane="bottomRight" activeCell="AF279" sqref="AF279"/>
    </sheetView>
  </sheetViews>
  <sheetFormatPr defaultRowHeight="15" x14ac:dyDescent="0.25"/>
  <cols>
    <col min="1" max="1" width="28.5703125" customWidth="1"/>
    <col min="2" max="2" width="72.85546875" bestFit="1" customWidth="1"/>
    <col min="3" max="3" width="17" customWidth="1"/>
    <col min="4" max="4" width="13.42578125" bestFit="1" customWidth="1"/>
    <col min="5" max="10" width="13.140625" bestFit="1" customWidth="1"/>
    <col min="11" max="11" width="14.140625" bestFit="1" customWidth="1"/>
    <col min="12" max="13" width="13.140625" bestFit="1" customWidth="1"/>
    <col min="14" max="14" width="13.42578125" bestFit="1" customWidth="1"/>
    <col min="15" max="15" width="13.140625" bestFit="1" customWidth="1"/>
    <col min="16" max="16" width="13.42578125" bestFit="1" customWidth="1"/>
    <col min="17" max="22" width="13.140625" bestFit="1" customWidth="1"/>
    <col min="23" max="23" width="14.140625" bestFit="1" customWidth="1"/>
    <col min="24" max="25" width="13.140625" bestFit="1" customWidth="1"/>
    <col min="26" max="26" width="13.42578125" bestFit="1" customWidth="1"/>
    <col min="27" max="27" width="13.140625" bestFit="1" customWidth="1"/>
    <col min="28" max="28" width="13.42578125" bestFit="1" customWidth="1"/>
    <col min="29" max="29" width="13.85546875" bestFit="1" customWidth="1"/>
    <col min="30" max="34" width="13.140625" bestFit="1" customWidth="1"/>
    <col min="35" max="35" width="14.140625" bestFit="1" customWidth="1"/>
    <col min="36" max="36" width="12" bestFit="1" customWidth="1"/>
  </cols>
  <sheetData>
    <row r="1" spans="1:52" x14ac:dyDescent="0.25">
      <c r="C1" t="str">
        <f>IF(C$6="","",_xlfn.XLOOKUP(MONTH(C$6),ВСП!$B$2:$B$13,ВСП!$A$2:$A$13,""))</f>
        <v>Январь</v>
      </c>
      <c r="D1" t="str">
        <f>IF(D$6="","",_xlfn.XLOOKUP(MONTH(D$6),ВСП!$B$2:$B$13,ВСП!$A$2:$A$13,""))</f>
        <v>Февраль</v>
      </c>
      <c r="E1" t="str">
        <f>IF(E$6="","",_xlfn.XLOOKUP(MONTH(E$6),ВСП!$B$2:$B$13,ВСП!$A$2:$A$13,""))</f>
        <v>Март</v>
      </c>
      <c r="F1" t="str">
        <f>IF(F$6="","",_xlfn.XLOOKUP(MONTH(F$6),ВСП!$B$2:$B$13,ВСП!$A$2:$A$13,""))</f>
        <v>Апрель</v>
      </c>
      <c r="G1" t="str">
        <f>IF(G$6="","",_xlfn.XLOOKUP(MONTH(G$6),ВСП!$B$2:$B$13,ВСП!$A$2:$A$13,""))</f>
        <v>Май</v>
      </c>
      <c r="H1" t="str">
        <f>IF(H$6="","",_xlfn.XLOOKUP(MONTH(H$6),ВСП!$B$2:$B$13,ВСП!$A$2:$A$13,""))</f>
        <v>Июнь</v>
      </c>
      <c r="I1" t="str">
        <f>IF(I$6="","",_xlfn.XLOOKUP(MONTH(I$6),ВСП!$B$2:$B$13,ВСП!$A$2:$A$13,""))</f>
        <v>Июль</v>
      </c>
      <c r="J1" t="str">
        <f>IF(J$6="","",_xlfn.XLOOKUP(MONTH(J$6),ВСП!$B$2:$B$13,ВСП!$A$2:$A$13,""))</f>
        <v>Август</v>
      </c>
      <c r="K1" t="str">
        <f>IF(K$6="","",_xlfn.XLOOKUP(MONTH(K$6),ВСП!$B$2:$B$13,ВСП!$A$2:$A$13,""))</f>
        <v>Сентябрь</v>
      </c>
      <c r="L1" t="str">
        <f>IF(L$6="","",_xlfn.XLOOKUP(MONTH(L$6),ВСП!$B$2:$B$13,ВСП!$A$2:$A$13,""))</f>
        <v>Октябрь</v>
      </c>
      <c r="M1" t="str">
        <f>IF(M$6="","",_xlfn.XLOOKUP(MONTH(M$6),ВСП!$B$2:$B$13,ВСП!$A$2:$A$13,""))</f>
        <v>Ноябрь</v>
      </c>
      <c r="N1" t="str">
        <f>IF(N$6="","",_xlfn.XLOOKUP(MONTH(N$6),ВСП!$B$2:$B$13,ВСП!$A$2:$A$13,""))</f>
        <v>Декабрь</v>
      </c>
      <c r="O1" t="str">
        <f>IF(O$6="","",_xlfn.XLOOKUP(MONTH(O$6),ВСП!$B$2:$B$13,ВСП!$A$2:$A$13,""))</f>
        <v>Январь</v>
      </c>
      <c r="P1" t="str">
        <f>IF(P$6="","",_xlfn.XLOOKUP(MONTH(P$6),ВСП!$B$2:$B$13,ВСП!$A$2:$A$13,""))</f>
        <v>Февраль</v>
      </c>
      <c r="Q1" t="str">
        <f>IF(Q$6="","",_xlfn.XLOOKUP(MONTH(Q$6),ВСП!$B$2:$B$13,ВСП!$A$2:$A$13,""))</f>
        <v>Март</v>
      </c>
      <c r="R1" t="str">
        <f>IF(R$6="","",_xlfn.XLOOKUP(MONTH(R$6),ВСП!$B$2:$B$13,ВСП!$A$2:$A$13,""))</f>
        <v>Апрель</v>
      </c>
      <c r="S1" t="str">
        <f>IF(S$6="","",_xlfn.XLOOKUP(MONTH(S$6),ВСП!$B$2:$B$13,ВСП!$A$2:$A$13,""))</f>
        <v>Май</v>
      </c>
      <c r="T1" t="str">
        <f>IF(T$6="","",_xlfn.XLOOKUP(MONTH(T$6),ВСП!$B$2:$B$13,ВСП!$A$2:$A$13,""))</f>
        <v>Июнь</v>
      </c>
      <c r="U1" t="str">
        <f>IF(U$6="","",_xlfn.XLOOKUP(MONTH(U$6),ВСП!$B$2:$B$13,ВСП!$A$2:$A$13,""))</f>
        <v>Июль</v>
      </c>
      <c r="V1" t="str">
        <f>IF(V$6="","",_xlfn.XLOOKUP(MONTH(V$6),ВСП!$B$2:$B$13,ВСП!$A$2:$A$13,""))</f>
        <v>Август</v>
      </c>
      <c r="W1" t="str">
        <f>IF(W$6="","",_xlfn.XLOOKUP(MONTH(W$6),ВСП!$B$2:$B$13,ВСП!$A$2:$A$13,""))</f>
        <v>Сентябрь</v>
      </c>
      <c r="X1" t="str">
        <f>IF(X$6="","",_xlfn.XLOOKUP(MONTH(X$6),ВСП!$B$2:$B$13,ВСП!$A$2:$A$13,""))</f>
        <v>Октябрь</v>
      </c>
      <c r="Y1" t="str">
        <f>IF(Y$6="","",_xlfn.XLOOKUP(MONTH(Y$6),ВСП!$B$2:$B$13,ВСП!$A$2:$A$13,""))</f>
        <v>Ноябрь</v>
      </c>
      <c r="Z1" t="str">
        <f>IF(Z$6="","",_xlfn.XLOOKUP(MONTH(Z$6),ВСП!$B$2:$B$13,ВСП!$A$2:$A$13,""))</f>
        <v>Декабрь</v>
      </c>
      <c r="AA1" t="str">
        <f>IF(AA$6="","",_xlfn.XLOOKUP(MONTH(AA$6),ВСП!$B$2:$B$13,ВСП!$A$2:$A$13,""))</f>
        <v>Январь</v>
      </c>
      <c r="AB1" t="str">
        <f>IF(AB$6="","",_xlfn.XLOOKUP(MONTH(AB$6),ВСП!$B$2:$B$13,ВСП!$A$2:$A$13,""))</f>
        <v>Февраль</v>
      </c>
      <c r="AC1" t="str">
        <f>IF(AC$6="","",_xlfn.XLOOKUP(MONTH(AC$6),ВСП!$B$2:$B$13,ВСП!$A$2:$A$13,""))</f>
        <v>Март</v>
      </c>
      <c r="AD1" t="str">
        <f>IF(AD$6="","",_xlfn.XLOOKUP(MONTH(AD$6),ВСП!$B$2:$B$13,ВСП!$A$2:$A$13,""))</f>
        <v>Апрель</v>
      </c>
      <c r="AE1" t="str">
        <f>IF(AE$6="","",_xlfn.XLOOKUP(MONTH(AE$6),ВСП!$B$2:$B$13,ВСП!$A$2:$A$13,""))</f>
        <v>Май</v>
      </c>
      <c r="AF1" t="str">
        <f>IF(AF$6="","",_xlfn.XLOOKUP(MONTH(AF$6),ВСП!$B$2:$B$13,ВСП!$A$2:$A$13,""))</f>
        <v>Июнь</v>
      </c>
      <c r="AG1" t="str">
        <f>IF(AG$6="","",_xlfn.XLOOKUP(MONTH(AG$6),ВСП!$B$2:$B$13,ВСП!$A$2:$A$13,""))</f>
        <v>Июль</v>
      </c>
      <c r="AH1" t="str">
        <f>IF(AH$6="","",_xlfn.XLOOKUP(MONTH(AH$6),ВСП!$B$2:$B$13,ВСП!$A$2:$A$13,""))</f>
        <v>Август</v>
      </c>
      <c r="AI1" t="str">
        <f>IF(AI$6="","",_xlfn.XLOOKUP(MONTH(AI$6),ВСП!$B$2:$B$13,ВСП!$A$2:$A$13,""))</f>
        <v/>
      </c>
      <c r="AJ1" t="str">
        <f>IF(AJ$6="","",_xlfn.XLOOKUP(MONTH(AJ$6),ВСП!$B$2:$B$13,ВСП!$A$2:$A$13,""))</f>
        <v/>
      </c>
      <c r="AK1" t="str">
        <f>IF(AK$6="","",_xlfn.XLOOKUP(MONTH(AK$6),ВСП!$B$2:$B$13,ВСП!$A$2:$A$13,""))</f>
        <v/>
      </c>
      <c r="AL1" t="str">
        <f>IF(AL$6="","",_xlfn.XLOOKUP(MONTH(AL$6),ВСП!$B$2:$B$13,ВСП!$A$2:$A$13,""))</f>
        <v/>
      </c>
      <c r="AM1" t="str">
        <f>IF(AM$6="","",_xlfn.XLOOKUP(MONTH(AM$6),ВСП!$B$2:$B$13,ВСП!$A$2:$A$13,""))</f>
        <v/>
      </c>
      <c r="AN1" t="str">
        <f>IF(AN$6="","",_xlfn.XLOOKUP(MONTH(AN$6),ВСП!$B$2:$B$13,ВСП!$A$2:$A$13,""))</f>
        <v/>
      </c>
      <c r="AO1" t="str">
        <f>IF(AO$6="","",_xlfn.XLOOKUP(MONTH(AO$6),ВСП!$B$2:$B$13,ВСП!$A$2:$A$13,""))</f>
        <v/>
      </c>
      <c r="AP1" t="str">
        <f>IF(AP$6="","",_xlfn.XLOOKUP(MONTH(AP$6),ВСП!$B$2:$B$13,ВСП!$A$2:$A$13,""))</f>
        <v/>
      </c>
      <c r="AQ1" t="str">
        <f>IF(AQ$6="","",_xlfn.XLOOKUP(MONTH(AQ$6),ВСП!$B$2:$B$13,ВСП!$A$2:$A$13,""))</f>
        <v/>
      </c>
      <c r="AR1" t="str">
        <f>IF(AR$6="","",_xlfn.XLOOKUP(MONTH(AR$6),ВСП!$B$2:$B$13,ВСП!$A$2:$A$13,""))</f>
        <v/>
      </c>
      <c r="AS1" t="str">
        <f>IF(AS$6="","",_xlfn.XLOOKUP(MONTH(AS$6),ВСП!$B$2:$B$13,ВСП!$A$2:$A$13,""))</f>
        <v/>
      </c>
      <c r="AT1" t="str">
        <f>IF(AT$6="","",_xlfn.XLOOKUP(MONTH(AT$6),ВСП!$B$2:$B$13,ВСП!$A$2:$A$13,""))</f>
        <v/>
      </c>
      <c r="AU1" t="str">
        <f>IF(AU$6="","",_xlfn.XLOOKUP(MONTH(AU$6),ВСП!$B$2:$B$13,ВСП!$A$2:$A$13,""))</f>
        <v/>
      </c>
      <c r="AV1" t="str">
        <f>IF(AV$6="","",_xlfn.XLOOKUP(MONTH(AV$6),ВСП!$B$2:$B$13,ВСП!$A$2:$A$13,""))</f>
        <v/>
      </c>
      <c r="AW1" t="str">
        <f>IF(AW$6="","",_xlfn.XLOOKUP(MONTH(AW$6),ВСП!$B$2:$B$13,ВСП!$A$2:$A$13,""))</f>
        <v/>
      </c>
      <c r="AX1" t="str">
        <f>IF(AX$6="","",_xlfn.XLOOKUP(MONTH(AX$6),ВСП!$B$2:$B$13,ВСП!$A$2:$A$13,""))</f>
        <v/>
      </c>
      <c r="AY1" t="str">
        <f>IF(AY$6="","",_xlfn.XLOOKUP(MONTH(AY$6),ВСП!$B$2:$B$13,ВСП!$A$2:$A$13,""))</f>
        <v/>
      </c>
      <c r="AZ1" t="str">
        <f>IF(AZ$6="","",_xlfn.XLOOKUP(MONTH(AZ$6),ВСП!$B$2:$B$13,ВСП!$A$2:$A$13,""))</f>
        <v/>
      </c>
    </row>
    <row r="5" spans="1:52" x14ac:dyDescent="0.25">
      <c r="A5" s="1" t="s">
        <v>1498</v>
      </c>
      <c r="C5" s="1" t="s">
        <v>781</v>
      </c>
    </row>
    <row r="6" spans="1:52" x14ac:dyDescent="0.25">
      <c r="A6" s="1" t="s">
        <v>0</v>
      </c>
      <c r="B6" s="1" t="s">
        <v>1466</v>
      </c>
      <c r="C6" s="8">
        <v>44197</v>
      </c>
      <c r="D6" s="8">
        <v>44228</v>
      </c>
      <c r="E6" s="8">
        <v>44256</v>
      </c>
      <c r="F6" s="8">
        <v>44287</v>
      </c>
      <c r="G6" s="8">
        <v>44317</v>
      </c>
      <c r="H6" s="8">
        <v>44348</v>
      </c>
      <c r="I6" s="8">
        <v>44378</v>
      </c>
      <c r="J6" s="8">
        <v>44409</v>
      </c>
      <c r="K6" s="8">
        <v>44440</v>
      </c>
      <c r="L6" s="8">
        <v>44470</v>
      </c>
      <c r="M6" s="8">
        <v>44501</v>
      </c>
      <c r="N6" s="8">
        <v>44531</v>
      </c>
      <c r="O6" s="8">
        <v>44562</v>
      </c>
      <c r="P6" s="8">
        <v>44593</v>
      </c>
      <c r="Q6" s="8">
        <v>44621</v>
      </c>
      <c r="R6" s="8">
        <v>44652</v>
      </c>
      <c r="S6" s="8">
        <v>44682</v>
      </c>
      <c r="T6" s="8">
        <v>44713</v>
      </c>
      <c r="U6" s="8">
        <v>44743</v>
      </c>
      <c r="V6" s="8">
        <v>44774</v>
      </c>
      <c r="W6" s="8">
        <v>44805</v>
      </c>
      <c r="X6" s="8">
        <v>44835</v>
      </c>
      <c r="Y6" s="8">
        <v>44866</v>
      </c>
      <c r="Z6" s="8">
        <v>44896</v>
      </c>
      <c r="AA6" s="8">
        <v>44927</v>
      </c>
      <c r="AB6" s="8">
        <v>44958</v>
      </c>
      <c r="AC6" s="8">
        <v>44986</v>
      </c>
      <c r="AD6" s="8">
        <v>45017</v>
      </c>
      <c r="AE6" s="8">
        <v>45047</v>
      </c>
      <c r="AF6" s="8">
        <v>45078</v>
      </c>
      <c r="AG6" s="8">
        <v>45108</v>
      </c>
      <c r="AH6" s="8">
        <v>45139</v>
      </c>
    </row>
    <row r="7" spans="1:52" x14ac:dyDescent="0.25">
      <c r="A7" t="s">
        <v>1138</v>
      </c>
      <c r="B7" t="s">
        <v>1615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>
        <v>311886.98</v>
      </c>
      <c r="AG7" s="10"/>
      <c r="AH7" s="10"/>
    </row>
    <row r="8" spans="1:52" x14ac:dyDescent="0.25">
      <c r="A8" t="s">
        <v>1138</v>
      </c>
      <c r="B8" t="s">
        <v>1616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>
        <v>36672.06</v>
      </c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>
        <v>32079.510000000002</v>
      </c>
      <c r="AE8" s="10">
        <v>48872.91</v>
      </c>
      <c r="AF8" s="10">
        <v>16198.09</v>
      </c>
      <c r="AG8" s="10"/>
      <c r="AH8" s="10"/>
    </row>
    <row r="9" spans="1:52" x14ac:dyDescent="0.25">
      <c r="A9" t="s">
        <v>1138</v>
      </c>
      <c r="B9" t="s">
        <v>1617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>
        <v>53442.609999999993</v>
      </c>
      <c r="AG9" s="10"/>
      <c r="AH9" s="10"/>
    </row>
    <row r="10" spans="1:52" x14ac:dyDescent="0.25">
      <c r="A10" t="s">
        <v>1138</v>
      </c>
      <c r="B10" t="s">
        <v>1618</v>
      </c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>
        <v>24301.33</v>
      </c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52" x14ac:dyDescent="0.25">
      <c r="A11" t="s">
        <v>1138</v>
      </c>
      <c r="B11" t="s">
        <v>57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>
        <v>159408.94999999998</v>
      </c>
      <c r="S11" s="10">
        <v>138996.85</v>
      </c>
      <c r="T11" s="10">
        <v>250930.14999999997</v>
      </c>
      <c r="U11" s="10"/>
      <c r="V11" s="10">
        <v>68607.070000000007</v>
      </c>
      <c r="W11" s="10"/>
      <c r="X11" s="10">
        <v>25141.79</v>
      </c>
      <c r="Y11" s="10"/>
      <c r="Z11" s="10"/>
      <c r="AA11" s="10"/>
      <c r="AB11" s="10"/>
      <c r="AC11" s="10"/>
      <c r="AD11" s="10">
        <v>103696.78000000001</v>
      </c>
      <c r="AE11" s="10">
        <v>41249.43</v>
      </c>
      <c r="AF11" s="10"/>
      <c r="AG11" s="10"/>
      <c r="AH11" s="10"/>
    </row>
    <row r="12" spans="1:52" x14ac:dyDescent="0.25">
      <c r="A12" t="s">
        <v>1138</v>
      </c>
      <c r="B12" t="s">
        <v>58</v>
      </c>
      <c r="C12" s="10"/>
      <c r="D12" s="10"/>
      <c r="E12" s="10"/>
      <c r="F12" s="10"/>
      <c r="G12" s="10"/>
      <c r="H12" s="10"/>
      <c r="I12" s="10"/>
      <c r="J12" s="10">
        <v>733713.78</v>
      </c>
      <c r="K12" s="10"/>
      <c r="L12" s="10">
        <v>434011.86999999994</v>
      </c>
      <c r="M12" s="10">
        <v>853805.16999999993</v>
      </c>
      <c r="N12" s="10">
        <v>345937.93999999994</v>
      </c>
      <c r="O12" s="10">
        <v>56922.290000000008</v>
      </c>
      <c r="P12" s="10">
        <v>620631.17000000004</v>
      </c>
      <c r="Q12" s="10">
        <v>116052.53</v>
      </c>
      <c r="R12" s="10">
        <v>447812.68</v>
      </c>
      <c r="S12" s="10">
        <v>163429.75999999995</v>
      </c>
      <c r="T12" s="10">
        <v>66297.12000000001</v>
      </c>
      <c r="U12" s="10">
        <v>685237.8</v>
      </c>
      <c r="V12" s="10">
        <v>208528.56999999998</v>
      </c>
      <c r="W12" s="10">
        <v>506394.43000000005</v>
      </c>
      <c r="X12" s="10">
        <v>81249.23</v>
      </c>
      <c r="Y12" s="10">
        <v>613013.76000000001</v>
      </c>
      <c r="Z12" s="10">
        <v>262507.07</v>
      </c>
      <c r="AA12" s="10"/>
      <c r="AB12" s="10">
        <v>119014.80999999998</v>
      </c>
      <c r="AC12" s="10">
        <v>140102.83000000002</v>
      </c>
      <c r="AD12" s="10">
        <v>365461.15000000008</v>
      </c>
      <c r="AE12" s="10">
        <v>590679.99</v>
      </c>
      <c r="AF12" s="10">
        <v>121846.36000000002</v>
      </c>
      <c r="AG12" s="10">
        <v>187743.91</v>
      </c>
      <c r="AH12" s="10">
        <v>387662.23</v>
      </c>
    </row>
    <row r="13" spans="1:52" x14ac:dyDescent="0.25">
      <c r="A13" t="s">
        <v>1138</v>
      </c>
      <c r="B13" t="s">
        <v>59</v>
      </c>
      <c r="C13" s="10">
        <v>10697.23</v>
      </c>
      <c r="D13" s="10"/>
      <c r="E13" s="10">
        <v>18605.149999999998</v>
      </c>
      <c r="F13" s="10">
        <v>70225.250000000015</v>
      </c>
      <c r="G13" s="10">
        <v>19776.150000000001</v>
      </c>
      <c r="H13" s="10"/>
      <c r="I13" s="10"/>
      <c r="J13" s="10"/>
      <c r="K13" s="10">
        <v>11361.45</v>
      </c>
      <c r="L13" s="10">
        <v>26189.560000000005</v>
      </c>
      <c r="M13" s="10">
        <v>39713.659999999996</v>
      </c>
      <c r="N13" s="10">
        <v>35800.030000000006</v>
      </c>
      <c r="O13" s="10"/>
      <c r="P13" s="10"/>
      <c r="Q13" s="10"/>
      <c r="R13" s="10">
        <v>25522.3</v>
      </c>
      <c r="S13" s="10">
        <v>64553.8</v>
      </c>
      <c r="T13" s="10"/>
      <c r="U13" s="10"/>
      <c r="V13" s="10">
        <v>31652.6</v>
      </c>
      <c r="W13" s="10">
        <v>16205.93</v>
      </c>
      <c r="X13" s="10">
        <v>379173.54</v>
      </c>
      <c r="Y13" s="10"/>
      <c r="Z13" s="10">
        <v>22592.25</v>
      </c>
      <c r="AA13" s="10"/>
      <c r="AB13" s="10"/>
      <c r="AC13" s="10"/>
      <c r="AD13" s="10">
        <v>38596.459999999992</v>
      </c>
      <c r="AE13" s="10">
        <v>-63.74</v>
      </c>
      <c r="AF13" s="10"/>
      <c r="AG13" s="10"/>
      <c r="AH13" s="10"/>
    </row>
    <row r="14" spans="1:52" x14ac:dyDescent="0.25">
      <c r="A14" t="s">
        <v>1138</v>
      </c>
      <c r="B14" t="s">
        <v>1619</v>
      </c>
      <c r="C14" s="10"/>
      <c r="D14" s="10"/>
      <c r="E14" s="10"/>
      <c r="F14" s="10">
        <v>14430.8</v>
      </c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</row>
    <row r="15" spans="1:52" x14ac:dyDescent="0.25">
      <c r="A15" t="s">
        <v>1138</v>
      </c>
      <c r="B15" t="s">
        <v>1620</v>
      </c>
      <c r="C15" s="10"/>
      <c r="D15" s="10"/>
      <c r="E15" s="10"/>
      <c r="F15" s="10">
        <v>17161.599999999999</v>
      </c>
      <c r="G15" s="10">
        <v>33233.980000000003</v>
      </c>
      <c r="H15" s="10"/>
      <c r="I15" s="10"/>
      <c r="J15" s="10"/>
      <c r="K15" s="10">
        <v>11733.380000000001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</row>
    <row r="16" spans="1:52" x14ac:dyDescent="0.25">
      <c r="A16" t="s">
        <v>1138</v>
      </c>
      <c r="B16" t="s">
        <v>1621</v>
      </c>
      <c r="C16" s="10"/>
      <c r="D16" s="10"/>
      <c r="E16" s="10"/>
      <c r="F16" s="10"/>
      <c r="G16" s="10"/>
      <c r="H16" s="10"/>
      <c r="I16" s="10">
        <v>68732.76999999999</v>
      </c>
      <c r="J16" s="10"/>
      <c r="K16" s="10"/>
      <c r="L16" s="10"/>
      <c r="M16" s="10">
        <v>41387.800000000003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</row>
    <row r="17" spans="1:34" x14ac:dyDescent="0.25">
      <c r="A17" t="s">
        <v>1138</v>
      </c>
      <c r="B17" t="s">
        <v>1622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>
        <v>12715.68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</row>
    <row r="18" spans="1:34" x14ac:dyDescent="0.25">
      <c r="A18" t="s">
        <v>1138</v>
      </c>
      <c r="B18" t="s">
        <v>1405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>
        <v>27298.98</v>
      </c>
      <c r="AG18" s="10"/>
      <c r="AH18" s="10"/>
    </row>
    <row r="19" spans="1:34" x14ac:dyDescent="0.25">
      <c r="A19" t="s">
        <v>1138</v>
      </c>
      <c r="B19" t="s">
        <v>60</v>
      </c>
      <c r="C19" s="10">
        <v>34112.400000000001</v>
      </c>
      <c r="D19" s="10"/>
      <c r="E19" s="10"/>
      <c r="F19" s="10"/>
      <c r="G19" s="10">
        <v>47159.839999999997</v>
      </c>
      <c r="H19" s="10"/>
      <c r="I19" s="10">
        <v>13351.46</v>
      </c>
      <c r="J19" s="10">
        <v>61100.380000000005</v>
      </c>
      <c r="K19" s="10">
        <v>28316.3</v>
      </c>
      <c r="L19" s="10"/>
      <c r="M19" s="10">
        <v>1441.67</v>
      </c>
      <c r="N19" s="10">
        <v>54472.770000000004</v>
      </c>
      <c r="O19" s="10"/>
      <c r="P19" s="10"/>
      <c r="Q19" s="10">
        <v>86273.75</v>
      </c>
      <c r="R19" s="10"/>
      <c r="S19" s="10">
        <v>154670.32999999999</v>
      </c>
      <c r="T19" s="10">
        <v>13070.59</v>
      </c>
      <c r="U19" s="10"/>
      <c r="V19" s="10"/>
      <c r="W19" s="10">
        <v>47852.22</v>
      </c>
      <c r="X19" s="10">
        <v>45968.81</v>
      </c>
      <c r="Y19" s="10">
        <v>48349.03</v>
      </c>
      <c r="Z19" s="10"/>
      <c r="AA19" s="10"/>
      <c r="AB19" s="10"/>
      <c r="AC19" s="10"/>
      <c r="AD19" s="10"/>
      <c r="AE19" s="10">
        <v>10587.78</v>
      </c>
      <c r="AF19" s="10"/>
      <c r="AG19" s="10"/>
      <c r="AH19" s="10">
        <v>282280.96000000002</v>
      </c>
    </row>
    <row r="20" spans="1:34" x14ac:dyDescent="0.25">
      <c r="A20" t="s">
        <v>1138</v>
      </c>
      <c r="B20" t="s">
        <v>61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>
        <v>681671.26000000013</v>
      </c>
      <c r="Q20" s="10"/>
      <c r="R20" s="10">
        <v>110797.79000000002</v>
      </c>
      <c r="S20" s="10">
        <v>84943.65</v>
      </c>
      <c r="T20" s="10">
        <v>44840.24</v>
      </c>
      <c r="U20" s="10">
        <v>23717.59</v>
      </c>
      <c r="V20" s="10"/>
      <c r="W20" s="10">
        <v>69404.270000000019</v>
      </c>
      <c r="X20" s="10"/>
      <c r="Y20" s="10">
        <v>20635.849999999999</v>
      </c>
      <c r="Z20" s="10"/>
      <c r="AA20" s="10"/>
      <c r="AB20" s="10">
        <v>193584.69999999998</v>
      </c>
      <c r="AC20" s="10">
        <v>15629.55</v>
      </c>
      <c r="AD20" s="10">
        <v>31893.19</v>
      </c>
      <c r="AE20" s="10"/>
      <c r="AF20" s="10">
        <v>50882.64</v>
      </c>
      <c r="AG20" s="10">
        <v>252046.63</v>
      </c>
      <c r="AH20" s="10"/>
    </row>
    <row r="21" spans="1:34" x14ac:dyDescent="0.25">
      <c r="A21" t="s">
        <v>1138</v>
      </c>
      <c r="B21" t="s">
        <v>1623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>
        <v>22000.010000000002</v>
      </c>
      <c r="S21" s="10">
        <v>22434.81</v>
      </c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x14ac:dyDescent="0.25">
      <c r="A22" t="s">
        <v>1138</v>
      </c>
      <c r="B22" t="s">
        <v>1624</v>
      </c>
      <c r="C22" s="10"/>
      <c r="D22" s="10"/>
      <c r="E22" s="10"/>
      <c r="F22" s="10"/>
      <c r="G22" s="10"/>
      <c r="H22" s="10">
        <v>24001.360000000001</v>
      </c>
      <c r="I22" s="10"/>
      <c r="J22" s="10">
        <v>35829.22</v>
      </c>
      <c r="K22" s="10">
        <v>30485.19</v>
      </c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>
        <v>262224.95999999996</v>
      </c>
      <c r="Y22" s="10">
        <v>65313.82</v>
      </c>
      <c r="Z22" s="10">
        <v>57286.89</v>
      </c>
      <c r="AA22" s="10"/>
      <c r="AB22" s="10"/>
      <c r="AC22" s="10"/>
      <c r="AD22" s="10"/>
      <c r="AE22" s="10"/>
      <c r="AF22" s="10"/>
      <c r="AG22" s="10"/>
      <c r="AH22" s="10"/>
    </row>
    <row r="23" spans="1:34" x14ac:dyDescent="0.25">
      <c r="A23" t="s">
        <v>1138</v>
      </c>
      <c r="B23" t="s">
        <v>62</v>
      </c>
      <c r="C23" s="10"/>
      <c r="D23" s="10"/>
      <c r="E23" s="10"/>
      <c r="F23" s="10"/>
      <c r="G23" s="10">
        <v>166200.24000000002</v>
      </c>
      <c r="H23" s="10">
        <v>467057.96999999986</v>
      </c>
      <c r="I23" s="10">
        <v>870182.49</v>
      </c>
      <c r="J23" s="10">
        <v>106469.5</v>
      </c>
      <c r="K23" s="10"/>
      <c r="L23" s="10"/>
      <c r="M23" s="10">
        <v>12116.41</v>
      </c>
      <c r="N23" s="10"/>
      <c r="O23" s="10"/>
      <c r="P23" s="10"/>
      <c r="Q23" s="10">
        <v>179886.87</v>
      </c>
      <c r="R23" s="10">
        <v>203214.28</v>
      </c>
      <c r="S23" s="10">
        <v>176280.96000000002</v>
      </c>
      <c r="T23" s="10">
        <v>405958.11</v>
      </c>
      <c r="U23" s="10"/>
      <c r="V23" s="10">
        <v>222574.96</v>
      </c>
      <c r="W23" s="10">
        <v>121896.25000000001</v>
      </c>
      <c r="X23" s="10"/>
      <c r="Y23" s="10"/>
      <c r="Z23" s="10">
        <v>104828.89</v>
      </c>
      <c r="AA23" s="10"/>
      <c r="AB23" s="10"/>
      <c r="AC23" s="10">
        <v>145837.68</v>
      </c>
      <c r="AD23" s="10"/>
      <c r="AE23" s="10">
        <v>52675.439999999995</v>
      </c>
      <c r="AF23" s="10">
        <v>48768.340000000004</v>
      </c>
      <c r="AG23" s="10">
        <v>100035.79</v>
      </c>
      <c r="AH23" s="10">
        <v>383220.64</v>
      </c>
    </row>
    <row r="24" spans="1:34" x14ac:dyDescent="0.25">
      <c r="A24" t="s">
        <v>1138</v>
      </c>
      <c r="B24" t="s">
        <v>1339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>
        <v>101090.27999999997</v>
      </c>
      <c r="AF24" s="10"/>
      <c r="AG24" s="10"/>
      <c r="AH24" s="10"/>
    </row>
    <row r="25" spans="1:34" x14ac:dyDescent="0.25">
      <c r="A25" t="s">
        <v>1138</v>
      </c>
      <c r="B25" t="s">
        <v>63</v>
      </c>
      <c r="C25" s="10"/>
      <c r="D25" s="10"/>
      <c r="E25" s="10"/>
      <c r="F25" s="10"/>
      <c r="G25" s="10">
        <v>190434.77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>
        <v>17833.93</v>
      </c>
      <c r="W25" s="10"/>
      <c r="X25" s="10"/>
      <c r="Y25" s="10"/>
      <c r="Z25" s="10">
        <v>17978.240000000002</v>
      </c>
      <c r="AA25" s="10"/>
      <c r="AB25" s="10"/>
      <c r="AC25" s="10"/>
      <c r="AD25" s="10"/>
      <c r="AE25" s="10">
        <v>40114.839999999997</v>
      </c>
      <c r="AF25" s="10"/>
      <c r="AG25" s="10"/>
      <c r="AH25" s="10"/>
    </row>
    <row r="26" spans="1:34" x14ac:dyDescent="0.25">
      <c r="A26" t="s">
        <v>1138</v>
      </c>
      <c r="B26" t="s">
        <v>64</v>
      </c>
      <c r="C26" s="10"/>
      <c r="D26" s="10"/>
      <c r="E26" s="10"/>
      <c r="F26" s="10">
        <v>38779.800000000003</v>
      </c>
      <c r="G26" s="10"/>
      <c r="H26" s="10"/>
      <c r="I26" s="10"/>
      <c r="J26" s="10">
        <v>22797.02</v>
      </c>
      <c r="K26" s="10"/>
      <c r="L26" s="10">
        <v>40435.589999999997</v>
      </c>
      <c r="M26" s="10"/>
      <c r="N26" s="10">
        <v>20319.3</v>
      </c>
      <c r="O26" s="10"/>
      <c r="P26" s="10"/>
      <c r="Q26" s="10"/>
      <c r="R26" s="10"/>
      <c r="S26" s="10"/>
      <c r="T26" s="10">
        <v>32972.97</v>
      </c>
      <c r="U26" s="10">
        <v>22264.199999999997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>
        <v>16644.580000000002</v>
      </c>
      <c r="AH26" s="10"/>
    </row>
    <row r="27" spans="1:34" x14ac:dyDescent="0.25">
      <c r="A27" t="s">
        <v>1138</v>
      </c>
      <c r="B27" t="s">
        <v>1625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>
        <v>37244.639999999999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x14ac:dyDescent="0.25">
      <c r="A28" t="s">
        <v>1138</v>
      </c>
      <c r="B28" t="s">
        <v>1626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>
        <v>147722.4</v>
      </c>
      <c r="S28" s="10">
        <v>559872.24</v>
      </c>
      <c r="T28" s="10">
        <v>433616.95999999996</v>
      </c>
      <c r="U28" s="10"/>
      <c r="V28" s="10">
        <v>73879.8</v>
      </c>
      <c r="W28" s="10"/>
      <c r="X28" s="10"/>
      <c r="Y28" s="10"/>
      <c r="Z28" s="10"/>
      <c r="AA28" s="10"/>
      <c r="AB28" s="10">
        <v>187443</v>
      </c>
      <c r="AC28" s="10"/>
      <c r="AD28" s="10">
        <v>1100095.71</v>
      </c>
      <c r="AE28" s="10">
        <v>519733.5</v>
      </c>
      <c r="AF28" s="10"/>
      <c r="AG28" s="10"/>
      <c r="AH28" s="10"/>
    </row>
    <row r="29" spans="1:34" x14ac:dyDescent="0.25">
      <c r="A29" t="s">
        <v>1138</v>
      </c>
      <c r="B29" t="s">
        <v>1627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>
        <v>35042.46</v>
      </c>
      <c r="R29" s="10">
        <v>146801.95000000001</v>
      </c>
      <c r="S29" s="10">
        <v>124856.68000000001</v>
      </c>
      <c r="T29" s="10">
        <v>142084.14000000004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x14ac:dyDescent="0.25">
      <c r="A30" t="s">
        <v>1138</v>
      </c>
      <c r="B30" t="s">
        <v>1628</v>
      </c>
      <c r="C30" s="10">
        <v>42231.810000000005</v>
      </c>
      <c r="D30" s="10"/>
      <c r="E30" s="10">
        <v>36604.6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x14ac:dyDescent="0.25">
      <c r="A31" t="s">
        <v>1138</v>
      </c>
      <c r="B31" t="s">
        <v>65</v>
      </c>
      <c r="C31" s="10"/>
      <c r="D31" s="10">
        <v>45093.970000000008</v>
      </c>
      <c r="E31" s="10">
        <v>126475.71000000002</v>
      </c>
      <c r="F31" s="10">
        <v>81167.870000000024</v>
      </c>
      <c r="G31" s="10">
        <v>120910.17</v>
      </c>
      <c r="H31" s="10">
        <v>187209.81</v>
      </c>
      <c r="I31" s="10">
        <v>155350.63999999996</v>
      </c>
      <c r="J31" s="10">
        <v>47392.01</v>
      </c>
      <c r="K31" s="10">
        <v>289622.41000000015</v>
      </c>
      <c r="L31" s="10">
        <v>73331.33</v>
      </c>
      <c r="M31" s="10"/>
      <c r="N31" s="10"/>
      <c r="O31" s="10"/>
      <c r="P31" s="10">
        <v>32567.7</v>
      </c>
      <c r="Q31" s="10">
        <v>36937.390000000007</v>
      </c>
      <c r="R31" s="10">
        <v>31442.39</v>
      </c>
      <c r="S31" s="10">
        <v>24217.85</v>
      </c>
      <c r="T31" s="10">
        <v>75804.72</v>
      </c>
      <c r="U31" s="10">
        <v>21101.94</v>
      </c>
      <c r="V31" s="10">
        <v>41397.269999999997</v>
      </c>
      <c r="W31" s="10"/>
      <c r="X31" s="10">
        <v>58807.67</v>
      </c>
      <c r="Y31" s="10"/>
      <c r="Z31" s="10"/>
      <c r="AA31" s="10"/>
      <c r="AB31" s="10"/>
      <c r="AC31" s="10"/>
      <c r="AD31" s="10"/>
      <c r="AE31" s="10">
        <v>30850.359999999997</v>
      </c>
      <c r="AF31" s="10">
        <v>7185.08</v>
      </c>
      <c r="AG31" s="10"/>
      <c r="AH31" s="10"/>
    </row>
    <row r="32" spans="1:34" x14ac:dyDescent="0.25">
      <c r="A32" t="s">
        <v>1138</v>
      </c>
      <c r="B32" t="s">
        <v>66</v>
      </c>
      <c r="C32" s="10"/>
      <c r="D32" s="10"/>
      <c r="E32" s="10"/>
      <c r="F32" s="10"/>
      <c r="G32" s="10"/>
      <c r="H32" s="10"/>
      <c r="I32" s="10"/>
      <c r="J32" s="10">
        <v>338547.3299999999</v>
      </c>
      <c r="K32" s="10">
        <v>816727.13000000012</v>
      </c>
      <c r="L32" s="10">
        <v>396329.44</v>
      </c>
      <c r="M32" s="10">
        <v>166806.96000000005</v>
      </c>
      <c r="N32" s="10">
        <v>118473.06</v>
      </c>
      <c r="O32" s="10">
        <v>125677.64000000001</v>
      </c>
      <c r="P32" s="10">
        <v>100190.09</v>
      </c>
      <c r="Q32" s="10"/>
      <c r="R32" s="10">
        <v>403329.10000000003</v>
      </c>
      <c r="S32" s="10">
        <v>48868.99</v>
      </c>
      <c r="T32" s="10">
        <v>127412.67999999998</v>
      </c>
      <c r="U32" s="10">
        <v>197612.96000000002</v>
      </c>
      <c r="V32" s="10">
        <v>102980.23999999999</v>
      </c>
      <c r="W32" s="10">
        <v>170173.56000000003</v>
      </c>
      <c r="X32" s="10">
        <v>41962.099999999991</v>
      </c>
      <c r="Y32" s="10">
        <v>175455.09</v>
      </c>
      <c r="Z32" s="10">
        <v>185087.12</v>
      </c>
      <c r="AA32" s="10">
        <v>33196.460000000006</v>
      </c>
      <c r="AB32" s="10"/>
      <c r="AC32" s="10">
        <v>64641.400000000009</v>
      </c>
      <c r="AD32" s="10">
        <v>333288.52</v>
      </c>
      <c r="AE32" s="10">
        <v>229779.47</v>
      </c>
      <c r="AF32" s="10">
        <v>69845.179999999993</v>
      </c>
      <c r="AG32" s="10">
        <v>98554.01</v>
      </c>
      <c r="AH32" s="10">
        <v>113808.62</v>
      </c>
    </row>
    <row r="33" spans="1:34" x14ac:dyDescent="0.25">
      <c r="A33" t="s">
        <v>1138</v>
      </c>
      <c r="B33" t="s">
        <v>67</v>
      </c>
      <c r="C33" s="10"/>
      <c r="D33" s="10"/>
      <c r="E33" s="10"/>
      <c r="F33" s="10">
        <v>21643.100000000002</v>
      </c>
      <c r="G33" s="10">
        <v>148793.74</v>
      </c>
      <c r="H33" s="10">
        <v>224214.56999999998</v>
      </c>
      <c r="I33" s="10">
        <v>249333.94000000003</v>
      </c>
      <c r="J33" s="10"/>
      <c r="K33" s="10">
        <v>16849.98</v>
      </c>
      <c r="L33" s="10">
        <v>223311.88000000003</v>
      </c>
      <c r="M33" s="10">
        <v>51909.47</v>
      </c>
      <c r="N33" s="10">
        <v>10126.9</v>
      </c>
      <c r="O33" s="10">
        <v>14380.22</v>
      </c>
      <c r="P33" s="10">
        <v>61595.28</v>
      </c>
      <c r="Q33" s="10">
        <v>217707.01</v>
      </c>
      <c r="R33" s="10">
        <v>15724.119999999999</v>
      </c>
      <c r="S33" s="10">
        <v>121135.15999999999</v>
      </c>
      <c r="T33" s="10">
        <v>306166.54999999993</v>
      </c>
      <c r="U33" s="10">
        <v>442704.13</v>
      </c>
      <c r="V33" s="10">
        <v>47057.470000000008</v>
      </c>
      <c r="W33" s="10">
        <v>95083.869999999981</v>
      </c>
      <c r="X33" s="10">
        <v>246129.13000000006</v>
      </c>
      <c r="Y33" s="10">
        <v>118236.14999999997</v>
      </c>
      <c r="Z33" s="10">
        <v>137864.49</v>
      </c>
      <c r="AA33" s="10">
        <v>100919.77</v>
      </c>
      <c r="AB33" s="10">
        <v>115777.75999999998</v>
      </c>
      <c r="AC33" s="10">
        <v>121501.57999999999</v>
      </c>
      <c r="AD33" s="10">
        <v>224807.18</v>
      </c>
      <c r="AE33" s="10">
        <v>218123.85</v>
      </c>
      <c r="AF33" s="10">
        <v>879304.6399999999</v>
      </c>
      <c r="AG33" s="10">
        <v>390908.29999999993</v>
      </c>
      <c r="AH33" s="10">
        <v>304654.38999999996</v>
      </c>
    </row>
    <row r="34" spans="1:34" x14ac:dyDescent="0.25">
      <c r="A34" t="s">
        <v>1138</v>
      </c>
      <c r="B34" t="s">
        <v>68</v>
      </c>
      <c r="C34" s="10"/>
      <c r="D34" s="10"/>
      <c r="E34" s="10"/>
      <c r="F34" s="10"/>
      <c r="G34" s="10"/>
      <c r="H34" s="10">
        <v>136626.35999999999</v>
      </c>
      <c r="I34" s="10">
        <v>167688.49000000002</v>
      </c>
      <c r="J34" s="10">
        <v>161614.09</v>
      </c>
      <c r="K34" s="10"/>
      <c r="L34" s="10">
        <v>178556.36000000004</v>
      </c>
      <c r="M34" s="10">
        <v>204723.91999999998</v>
      </c>
      <c r="N34" s="10">
        <v>180796.46</v>
      </c>
      <c r="O34" s="10">
        <v>88909.37999999999</v>
      </c>
      <c r="P34" s="10">
        <v>60916.359999999993</v>
      </c>
      <c r="Q34" s="10"/>
      <c r="R34" s="10">
        <v>150018.90000000002</v>
      </c>
      <c r="S34" s="10">
        <v>92622.97</v>
      </c>
      <c r="T34" s="10">
        <v>309612.06</v>
      </c>
      <c r="U34" s="10">
        <v>41326.720000000001</v>
      </c>
      <c r="V34" s="10">
        <v>80838.02</v>
      </c>
      <c r="W34" s="10">
        <v>145338.84</v>
      </c>
      <c r="X34" s="10"/>
      <c r="Y34" s="10">
        <v>239890</v>
      </c>
      <c r="Z34" s="10">
        <v>86895.3</v>
      </c>
      <c r="AA34" s="10"/>
      <c r="AB34" s="10">
        <v>147619.21000000002</v>
      </c>
      <c r="AC34" s="10">
        <v>61377.93</v>
      </c>
      <c r="AD34" s="10">
        <v>91457.790000000008</v>
      </c>
      <c r="AE34" s="10">
        <v>129006.09</v>
      </c>
      <c r="AF34" s="10">
        <v>115849.99</v>
      </c>
      <c r="AG34" s="10">
        <v>119691.43000000001</v>
      </c>
      <c r="AH34" s="10"/>
    </row>
    <row r="35" spans="1:34" x14ac:dyDescent="0.25">
      <c r="A35" t="s">
        <v>1138</v>
      </c>
      <c r="B35" t="s">
        <v>1629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>
        <v>52417.530000000006</v>
      </c>
      <c r="U35" s="10"/>
      <c r="V35" s="10"/>
      <c r="W35" s="10">
        <v>36308.25</v>
      </c>
      <c r="X35" s="10"/>
      <c r="Y35" s="10"/>
      <c r="Z35" s="10"/>
      <c r="AA35" s="10"/>
      <c r="AB35" s="10"/>
      <c r="AC35" s="10">
        <v>58446.999999999993</v>
      </c>
      <c r="AD35" s="10"/>
      <c r="AE35" s="10">
        <v>63702.000000000015</v>
      </c>
      <c r="AF35" s="10">
        <v>62077.000000000007</v>
      </c>
      <c r="AG35" s="10">
        <v>49927.349999999991</v>
      </c>
      <c r="AH35" s="10"/>
    </row>
    <row r="36" spans="1:34" x14ac:dyDescent="0.25">
      <c r="A36" t="s">
        <v>1138</v>
      </c>
      <c r="B36" t="s">
        <v>69</v>
      </c>
      <c r="C36" s="10"/>
      <c r="D36" s="10">
        <v>30042.420000000002</v>
      </c>
      <c r="E36" s="10"/>
      <c r="F36" s="10">
        <v>46003.51</v>
      </c>
      <c r="G36" s="10"/>
      <c r="H36" s="10">
        <v>68705.539999999994</v>
      </c>
      <c r="I36" s="10">
        <v>78335.319999999992</v>
      </c>
      <c r="J36" s="10">
        <v>74241.209999999977</v>
      </c>
      <c r="K36" s="10">
        <v>47237.160000000011</v>
      </c>
      <c r="L36" s="10">
        <v>52876.459999999992</v>
      </c>
      <c r="M36" s="10"/>
      <c r="N36" s="10">
        <v>66693.940000000017</v>
      </c>
      <c r="O36" s="10"/>
      <c r="P36" s="10"/>
      <c r="Q36" s="10"/>
      <c r="R36" s="10"/>
      <c r="S36" s="10">
        <v>99342.11</v>
      </c>
      <c r="T36" s="10"/>
      <c r="U36" s="10"/>
      <c r="V36" s="10">
        <v>68599.44</v>
      </c>
      <c r="W36" s="10">
        <v>68945.39</v>
      </c>
      <c r="X36" s="10"/>
      <c r="Y36" s="10"/>
      <c r="Z36" s="10">
        <v>71468.159999999989</v>
      </c>
      <c r="AA36" s="10"/>
      <c r="AB36" s="10">
        <v>63025.020000000004</v>
      </c>
      <c r="AC36" s="10">
        <v>122635.07</v>
      </c>
      <c r="AD36" s="10">
        <v>75182.5</v>
      </c>
      <c r="AE36" s="10">
        <v>47406.770000000004</v>
      </c>
      <c r="AF36" s="10">
        <v>134406.29</v>
      </c>
      <c r="AG36" s="10">
        <v>53635.789999999994</v>
      </c>
      <c r="AH36" s="10">
        <v>55684.1</v>
      </c>
    </row>
    <row r="37" spans="1:34" x14ac:dyDescent="0.25">
      <c r="A37" t="s">
        <v>1138</v>
      </c>
      <c r="B37" t="s">
        <v>70</v>
      </c>
      <c r="C37" s="10">
        <v>466746.39000000007</v>
      </c>
      <c r="D37" s="10">
        <v>300989.5500000001</v>
      </c>
      <c r="E37" s="10">
        <v>260985.15</v>
      </c>
      <c r="F37" s="10">
        <v>763322.29000000015</v>
      </c>
      <c r="G37" s="10">
        <v>258942.57999999996</v>
      </c>
      <c r="H37" s="10">
        <v>410272.6</v>
      </c>
      <c r="I37" s="10">
        <v>575352.35999999987</v>
      </c>
      <c r="J37" s="10">
        <v>800151.81999999983</v>
      </c>
      <c r="K37" s="10">
        <v>1471889.8200000005</v>
      </c>
      <c r="L37" s="10">
        <v>954523.43000000028</v>
      </c>
      <c r="M37" s="10">
        <v>829889.84</v>
      </c>
      <c r="N37" s="10">
        <v>955029.12000000034</v>
      </c>
      <c r="O37" s="10">
        <v>448968.04999999987</v>
      </c>
      <c r="P37" s="10">
        <v>522427.49999999994</v>
      </c>
      <c r="Q37" s="10">
        <v>558399.44000000018</v>
      </c>
      <c r="R37" s="10">
        <v>678001.62999999989</v>
      </c>
      <c r="S37" s="10">
        <v>429854.80000000005</v>
      </c>
      <c r="T37" s="10">
        <v>644528.89999999967</v>
      </c>
      <c r="U37" s="10">
        <v>795608.49999999965</v>
      </c>
      <c r="V37" s="10">
        <v>591023.09000000008</v>
      </c>
      <c r="W37" s="10">
        <v>1179166.9500000002</v>
      </c>
      <c r="X37" s="10">
        <v>587393.19999999984</v>
      </c>
      <c r="Y37" s="10">
        <v>401488.02000000008</v>
      </c>
      <c r="Z37" s="10">
        <v>698919.93999999983</v>
      </c>
      <c r="AA37" s="10">
        <v>277898.17000000004</v>
      </c>
      <c r="AB37" s="10">
        <v>388303.66999999987</v>
      </c>
      <c r="AC37" s="10">
        <v>556817.1799999997</v>
      </c>
      <c r="AD37" s="10">
        <v>710665.38000000024</v>
      </c>
      <c r="AE37" s="10">
        <v>517533.20000000024</v>
      </c>
      <c r="AF37" s="10">
        <v>1094162.1999999997</v>
      </c>
      <c r="AG37" s="10">
        <v>536027.03999999992</v>
      </c>
      <c r="AH37" s="10">
        <v>924715.78999999992</v>
      </c>
    </row>
    <row r="38" spans="1:34" x14ac:dyDescent="0.25">
      <c r="A38" t="s">
        <v>1138</v>
      </c>
      <c r="B38" t="s">
        <v>1630</v>
      </c>
      <c r="C38" s="10"/>
      <c r="D38" s="10"/>
      <c r="E38" s="10">
        <v>6272.93</v>
      </c>
      <c r="F38" s="10"/>
      <c r="G38" s="10"/>
      <c r="H38" s="10"/>
      <c r="I38" s="10"/>
      <c r="J38" s="10">
        <v>15648.630000000001</v>
      </c>
      <c r="K38" s="10">
        <v>5502.15</v>
      </c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</row>
    <row r="39" spans="1:34" x14ac:dyDescent="0.25">
      <c r="A39" t="s">
        <v>1138</v>
      </c>
      <c r="B39" t="s">
        <v>1631</v>
      </c>
      <c r="C39" s="10"/>
      <c r="D39" s="10"/>
      <c r="E39" s="10"/>
      <c r="F39" s="10"/>
      <c r="G39" s="10"/>
      <c r="H39" s="10">
        <v>40140.97</v>
      </c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</row>
    <row r="40" spans="1:34" x14ac:dyDescent="0.25">
      <c r="A40" t="s">
        <v>1138</v>
      </c>
      <c r="B40" t="s">
        <v>1632</v>
      </c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>
        <v>47227.960000000006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</row>
    <row r="41" spans="1:34" x14ac:dyDescent="0.25">
      <c r="A41" t="s">
        <v>1138</v>
      </c>
      <c r="B41" t="s">
        <v>71</v>
      </c>
      <c r="C41" s="10"/>
      <c r="D41" s="10"/>
      <c r="E41" s="10"/>
      <c r="F41" s="10"/>
      <c r="G41" s="10"/>
      <c r="H41" s="10"/>
      <c r="I41" s="10">
        <v>30893.62</v>
      </c>
      <c r="J41" s="10"/>
      <c r="K41" s="10">
        <v>32289.869999999995</v>
      </c>
      <c r="L41" s="10"/>
      <c r="M41" s="10"/>
      <c r="N41" s="10"/>
      <c r="O41" s="10"/>
      <c r="P41" s="10"/>
      <c r="Q41" s="10">
        <v>42328.220000000008</v>
      </c>
      <c r="R41" s="10"/>
      <c r="S41" s="10"/>
      <c r="T41" s="10"/>
      <c r="U41" s="10"/>
      <c r="V41" s="10">
        <v>46605.45</v>
      </c>
      <c r="W41" s="10">
        <v>20556.349999999999</v>
      </c>
      <c r="X41" s="10">
        <v>23475.030000000002</v>
      </c>
      <c r="Y41" s="10"/>
      <c r="Z41" s="10"/>
      <c r="AA41" s="10"/>
      <c r="AB41" s="10">
        <v>19167.43</v>
      </c>
      <c r="AC41" s="10">
        <v>13195.21</v>
      </c>
      <c r="AD41" s="10">
        <v>29700.110000000004</v>
      </c>
      <c r="AE41" s="10">
        <v>11724.7</v>
      </c>
      <c r="AF41" s="10">
        <v>21959.02</v>
      </c>
      <c r="AG41" s="10"/>
      <c r="AH41" s="10">
        <v>34238.559999999998</v>
      </c>
    </row>
    <row r="42" spans="1:34" x14ac:dyDescent="0.25">
      <c r="A42" t="s">
        <v>1138</v>
      </c>
      <c r="B42" t="s">
        <v>72</v>
      </c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>
        <v>81189.899999999994</v>
      </c>
      <c r="S42" s="10"/>
      <c r="T42" s="10"/>
      <c r="U42" s="10"/>
      <c r="V42" s="10"/>
      <c r="W42" s="10"/>
      <c r="X42" s="10"/>
      <c r="Y42" s="10"/>
      <c r="Z42" s="10">
        <v>31634.15</v>
      </c>
      <c r="AA42" s="10"/>
      <c r="AB42" s="10"/>
      <c r="AC42" s="10"/>
      <c r="AD42" s="10"/>
      <c r="AE42" s="10"/>
      <c r="AF42" s="10"/>
      <c r="AG42" s="10">
        <v>289138.82</v>
      </c>
      <c r="AH42" s="10"/>
    </row>
    <row r="43" spans="1:34" x14ac:dyDescent="0.25">
      <c r="A43" t="s">
        <v>1138</v>
      </c>
      <c r="B43" t="s">
        <v>1633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>
        <v>41374.339999999997</v>
      </c>
      <c r="T43" s="10"/>
      <c r="U43" s="10"/>
      <c r="V43" s="10">
        <v>20798.68</v>
      </c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</row>
    <row r="44" spans="1:34" x14ac:dyDescent="0.25">
      <c r="A44" t="s">
        <v>1138</v>
      </c>
      <c r="B44" t="s">
        <v>73</v>
      </c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>
        <v>256880.99999999997</v>
      </c>
      <c r="T44" s="10"/>
      <c r="U44" s="10">
        <v>350578.48</v>
      </c>
      <c r="V44" s="10">
        <v>157318.91999999998</v>
      </c>
      <c r="W44" s="10">
        <v>269423.90000000002</v>
      </c>
      <c r="X44" s="10">
        <v>192673</v>
      </c>
      <c r="Y44" s="10">
        <v>21396.39</v>
      </c>
      <c r="Z44" s="10">
        <v>62759.81</v>
      </c>
      <c r="AA44" s="10"/>
      <c r="AB44" s="10"/>
      <c r="AC44" s="10">
        <v>88232.76</v>
      </c>
      <c r="AD44" s="10"/>
      <c r="AE44" s="10"/>
      <c r="AF44" s="10"/>
      <c r="AG44" s="10">
        <v>74531</v>
      </c>
      <c r="AH44" s="10"/>
    </row>
    <row r="45" spans="1:34" x14ac:dyDescent="0.25">
      <c r="A45" t="s">
        <v>1138</v>
      </c>
      <c r="B45" t="s">
        <v>1634</v>
      </c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>
        <v>52620.950000000004</v>
      </c>
      <c r="U45" s="10"/>
      <c r="V45" s="10">
        <v>26209.1</v>
      </c>
      <c r="W45" s="10">
        <v>35819</v>
      </c>
      <c r="X45" s="10">
        <v>10153.369999999999</v>
      </c>
      <c r="Y45" s="10">
        <v>100562.2</v>
      </c>
      <c r="Z45" s="10"/>
      <c r="AA45" s="10"/>
      <c r="AB45" s="10"/>
      <c r="AC45" s="10"/>
      <c r="AD45" s="10"/>
      <c r="AE45" s="10"/>
      <c r="AF45" s="10"/>
      <c r="AG45" s="10"/>
      <c r="AH45" s="10"/>
    </row>
    <row r="46" spans="1:34" x14ac:dyDescent="0.25">
      <c r="A46" t="s">
        <v>1138</v>
      </c>
      <c r="B46" t="s">
        <v>1635</v>
      </c>
      <c r="C46" s="10"/>
      <c r="D46" s="10"/>
      <c r="E46" s="10"/>
      <c r="F46" s="10"/>
      <c r="G46" s="10"/>
      <c r="H46" s="10"/>
      <c r="I46" s="10"/>
      <c r="J46" s="10"/>
      <c r="K46" s="10">
        <v>256248.49000000005</v>
      </c>
      <c r="L46" s="10"/>
      <c r="M46" s="10">
        <v>71616.320000000007</v>
      </c>
      <c r="N46" s="10">
        <v>114982.84</v>
      </c>
      <c r="O46" s="10">
        <v>43699.82</v>
      </c>
      <c r="P46" s="10">
        <v>117856.21</v>
      </c>
      <c r="Q46" s="10"/>
      <c r="R46" s="10">
        <v>112838.20000000001</v>
      </c>
      <c r="S46" s="10">
        <v>266255.28999999998</v>
      </c>
      <c r="T46" s="10">
        <v>18577.919999999998</v>
      </c>
      <c r="U46" s="10">
        <v>13395.36</v>
      </c>
      <c r="V46" s="10">
        <v>45382.8</v>
      </c>
      <c r="W46" s="10"/>
      <c r="X46" s="10">
        <v>148298.77000000002</v>
      </c>
      <c r="Y46" s="10">
        <v>59346.770000000004</v>
      </c>
      <c r="Z46" s="10">
        <v>10785.76</v>
      </c>
      <c r="AA46" s="10">
        <v>30598.38</v>
      </c>
      <c r="AB46" s="10">
        <v>66419.889999999985</v>
      </c>
      <c r="AC46" s="10">
        <v>91489.209999999992</v>
      </c>
      <c r="AD46" s="10">
        <v>336167.22</v>
      </c>
      <c r="AE46" s="10">
        <v>88864.74</v>
      </c>
      <c r="AF46" s="10">
        <v>322318.15000000002</v>
      </c>
      <c r="AG46" s="10">
        <v>463908.91</v>
      </c>
      <c r="AH46" s="10">
        <v>103809.48999999999</v>
      </c>
    </row>
    <row r="47" spans="1:34" x14ac:dyDescent="0.25">
      <c r="A47" t="s">
        <v>1138</v>
      </c>
      <c r="B47" t="s">
        <v>74</v>
      </c>
      <c r="C47" s="10"/>
      <c r="D47" s="10"/>
      <c r="E47" s="10"/>
      <c r="F47" s="10">
        <v>54160.22</v>
      </c>
      <c r="G47" s="10">
        <v>92260.420000000013</v>
      </c>
      <c r="H47" s="10">
        <v>147534.83000000002</v>
      </c>
      <c r="I47" s="10">
        <v>135999.17000000001</v>
      </c>
      <c r="J47" s="10"/>
      <c r="K47" s="10">
        <v>21505.510000000002</v>
      </c>
      <c r="L47" s="10"/>
      <c r="M47" s="10"/>
      <c r="N47" s="10"/>
      <c r="O47" s="10">
        <v>92594.76999999999</v>
      </c>
      <c r="P47" s="10"/>
      <c r="Q47" s="10"/>
      <c r="R47" s="10"/>
      <c r="S47" s="10"/>
      <c r="T47" s="10">
        <v>496166.93</v>
      </c>
      <c r="U47" s="10">
        <v>36950.57</v>
      </c>
      <c r="V47" s="10"/>
      <c r="W47" s="10"/>
      <c r="X47" s="10"/>
      <c r="Y47" s="10"/>
      <c r="Z47" s="10">
        <v>43664.22</v>
      </c>
      <c r="AA47" s="10"/>
      <c r="AB47" s="10"/>
      <c r="AC47" s="10"/>
      <c r="AD47" s="10">
        <v>59290.900000000009</v>
      </c>
      <c r="AE47" s="10"/>
      <c r="AF47" s="10">
        <v>15763.380000000001</v>
      </c>
      <c r="AG47" s="10"/>
      <c r="AH47" s="10"/>
    </row>
    <row r="48" spans="1:34" x14ac:dyDescent="0.25">
      <c r="A48" t="s">
        <v>1138</v>
      </c>
      <c r="B48" t="s">
        <v>1636</v>
      </c>
      <c r="C48" s="10"/>
      <c r="D48" s="10"/>
      <c r="E48" s="10"/>
      <c r="F48" s="10"/>
      <c r="G48" s="10"/>
      <c r="H48" s="10">
        <v>27492.43</v>
      </c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>
        <v>67516.790000000008</v>
      </c>
      <c r="Z48" s="10">
        <v>104732.48</v>
      </c>
      <c r="AA48" s="10"/>
      <c r="AB48" s="10"/>
      <c r="AC48" s="10"/>
      <c r="AD48" s="10"/>
      <c r="AE48" s="10"/>
      <c r="AF48" s="10"/>
      <c r="AG48" s="10"/>
      <c r="AH48" s="10"/>
    </row>
    <row r="49" spans="1:34" x14ac:dyDescent="0.25">
      <c r="A49" t="s">
        <v>1138</v>
      </c>
      <c r="B49" t="s">
        <v>75</v>
      </c>
      <c r="C49" s="10"/>
      <c r="D49" s="10"/>
      <c r="E49" s="10"/>
      <c r="F49" s="10">
        <v>139701.71000000002</v>
      </c>
      <c r="G49" s="10">
        <v>30676.22</v>
      </c>
      <c r="H49" s="10">
        <v>175057.32</v>
      </c>
      <c r="I49" s="10">
        <v>156530.04999999999</v>
      </c>
      <c r="J49" s="10">
        <v>84835.790000000008</v>
      </c>
      <c r="K49" s="10">
        <v>212349.00999999992</v>
      </c>
      <c r="L49" s="10">
        <v>80085.11</v>
      </c>
      <c r="M49" s="10">
        <v>61696.82</v>
      </c>
      <c r="N49" s="10">
        <v>93171.319999999992</v>
      </c>
      <c r="O49" s="10">
        <v>41663.729999999996</v>
      </c>
      <c r="P49" s="10">
        <v>76689.5</v>
      </c>
      <c r="Q49" s="10"/>
      <c r="R49" s="10">
        <v>53398.54</v>
      </c>
      <c r="S49" s="10"/>
      <c r="T49" s="10">
        <v>136721.63999999998</v>
      </c>
      <c r="U49" s="10">
        <v>85733.23</v>
      </c>
      <c r="V49" s="10">
        <v>53497.839999999989</v>
      </c>
      <c r="W49" s="10">
        <v>184138.03999999989</v>
      </c>
      <c r="X49" s="10">
        <v>63297.300000000017</v>
      </c>
      <c r="Y49" s="10">
        <v>110417.86000000002</v>
      </c>
      <c r="Z49" s="10">
        <v>173580.29999999996</v>
      </c>
      <c r="AA49" s="10">
        <v>17632.72</v>
      </c>
      <c r="AB49" s="10">
        <v>88423.11</v>
      </c>
      <c r="AC49" s="10">
        <v>182982.49999999997</v>
      </c>
      <c r="AD49" s="10">
        <v>35993.910000000003</v>
      </c>
      <c r="AE49" s="10">
        <v>129899.15999999997</v>
      </c>
      <c r="AF49" s="10">
        <v>187811.08000000005</v>
      </c>
      <c r="AG49" s="10">
        <v>138567.10999999999</v>
      </c>
      <c r="AH49" s="10">
        <v>192145.66999999998</v>
      </c>
    </row>
    <row r="50" spans="1:34" x14ac:dyDescent="0.25">
      <c r="A50" t="s">
        <v>1138</v>
      </c>
      <c r="B50" t="s">
        <v>1637</v>
      </c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>
        <v>303160</v>
      </c>
      <c r="U50" s="10">
        <v>309674.54999999987</v>
      </c>
      <c r="V50" s="10">
        <v>175790</v>
      </c>
      <c r="W50" s="10">
        <v>274394.48</v>
      </c>
      <c r="X50" s="10">
        <v>357454.20999999996</v>
      </c>
      <c r="Y50" s="10">
        <v>72848</v>
      </c>
      <c r="Z50" s="10">
        <v>74622</v>
      </c>
      <c r="AA50" s="10">
        <v>94103.209999999992</v>
      </c>
      <c r="AB50" s="10">
        <v>141030.17000000001</v>
      </c>
      <c r="AC50" s="10">
        <v>217249.76</v>
      </c>
      <c r="AD50" s="10">
        <v>344209.54000000004</v>
      </c>
      <c r="AE50" s="10">
        <v>494188.37999999995</v>
      </c>
      <c r="AF50" s="10">
        <v>242464.72</v>
      </c>
      <c r="AG50" s="10">
        <v>807754.82</v>
      </c>
      <c r="AH50" s="10">
        <v>1247998.3600000001</v>
      </c>
    </row>
    <row r="51" spans="1:34" x14ac:dyDescent="0.25">
      <c r="A51" t="s">
        <v>1138</v>
      </c>
      <c r="B51" t="s">
        <v>1638</v>
      </c>
      <c r="C51" s="10"/>
      <c r="D51" s="10"/>
      <c r="E51" s="10">
        <v>3349.61</v>
      </c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</row>
    <row r="52" spans="1:34" x14ac:dyDescent="0.25">
      <c r="A52" t="s">
        <v>1138</v>
      </c>
      <c r="B52" t="s">
        <v>1639</v>
      </c>
      <c r="C52" s="10"/>
      <c r="D52" s="10">
        <v>38359.4</v>
      </c>
      <c r="E52" s="10">
        <v>38359.4</v>
      </c>
      <c r="F52" s="10"/>
      <c r="G52" s="10"/>
      <c r="H52" s="10"/>
      <c r="I52" s="10"/>
      <c r="J52" s="10"/>
      <c r="K52" s="10"/>
      <c r="L52" s="10"/>
      <c r="M52" s="10"/>
      <c r="N52" s="10">
        <v>23120.789999999997</v>
      </c>
      <c r="O52" s="10"/>
      <c r="P52" s="10"/>
      <c r="Q52" s="10"/>
      <c r="R52" s="10"/>
      <c r="S52" s="10"/>
      <c r="T52" s="10"/>
      <c r="U52" s="10"/>
      <c r="V52" s="10">
        <v>61509.95</v>
      </c>
      <c r="W52" s="10">
        <v>73140.28</v>
      </c>
      <c r="X52" s="10"/>
      <c r="Y52" s="10"/>
      <c r="Z52" s="10">
        <v>21082.949999999997</v>
      </c>
      <c r="AA52" s="10"/>
      <c r="AB52" s="10"/>
      <c r="AC52" s="10"/>
      <c r="AD52" s="10"/>
      <c r="AE52" s="10"/>
      <c r="AF52" s="10"/>
      <c r="AG52" s="10"/>
      <c r="AH52" s="10"/>
    </row>
    <row r="53" spans="1:34" x14ac:dyDescent="0.25">
      <c r="A53" t="s">
        <v>1138</v>
      </c>
      <c r="B53" t="s">
        <v>1640</v>
      </c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>
        <v>77757.55</v>
      </c>
      <c r="Y53" s="10">
        <v>1595</v>
      </c>
      <c r="Z53" s="10">
        <v>94483.450000000012</v>
      </c>
      <c r="AA53" s="10">
        <v>58368.61</v>
      </c>
      <c r="AB53" s="10"/>
      <c r="AC53" s="10"/>
      <c r="AD53" s="10"/>
      <c r="AE53" s="10">
        <v>43864.67</v>
      </c>
      <c r="AF53" s="10">
        <v>14052.999999999998</v>
      </c>
      <c r="AG53" s="10"/>
      <c r="AH53" s="10">
        <v>21266.000000000004</v>
      </c>
    </row>
    <row r="54" spans="1:34" x14ac:dyDescent="0.25">
      <c r="A54" t="s">
        <v>1138</v>
      </c>
      <c r="B54" t="s">
        <v>76</v>
      </c>
      <c r="C54" s="10"/>
      <c r="D54" s="10"/>
      <c r="E54" s="10"/>
      <c r="F54" s="10"/>
      <c r="G54" s="10">
        <v>121023.01999999999</v>
      </c>
      <c r="H54" s="10">
        <v>129387.3</v>
      </c>
      <c r="I54" s="10">
        <v>42926.1</v>
      </c>
      <c r="J54" s="10">
        <v>106248.56999999999</v>
      </c>
      <c r="K54" s="10">
        <v>145152.26</v>
      </c>
      <c r="L54" s="10">
        <v>551797.15</v>
      </c>
      <c r="M54" s="10">
        <v>15260.79</v>
      </c>
      <c r="N54" s="10">
        <v>13750.86</v>
      </c>
      <c r="O54" s="10">
        <v>20116.120000000003</v>
      </c>
      <c r="P54" s="10"/>
      <c r="Q54" s="10">
        <v>33052.140000000007</v>
      </c>
      <c r="R54" s="10"/>
      <c r="S54" s="10"/>
      <c r="T54" s="10">
        <v>60340.43</v>
      </c>
      <c r="U54" s="10">
        <v>82626.450000000012</v>
      </c>
      <c r="V54" s="10">
        <v>59510.180000000008</v>
      </c>
      <c r="W54" s="10">
        <v>136292.72000000006</v>
      </c>
      <c r="X54" s="10"/>
      <c r="Y54" s="10">
        <v>24021.560000000005</v>
      </c>
      <c r="Z54" s="10">
        <v>64429.83</v>
      </c>
      <c r="AA54" s="10"/>
      <c r="AB54" s="10">
        <v>30615.839999999997</v>
      </c>
      <c r="AC54" s="10">
        <v>13097.289999999999</v>
      </c>
      <c r="AD54" s="10"/>
      <c r="AE54" s="10">
        <v>43525.590000000004</v>
      </c>
      <c r="AF54" s="10"/>
      <c r="AG54" s="10">
        <v>77316.31</v>
      </c>
      <c r="AH54" s="10">
        <v>310065.70000000007</v>
      </c>
    </row>
    <row r="55" spans="1:34" x14ac:dyDescent="0.25">
      <c r="A55" t="s">
        <v>1138</v>
      </c>
      <c r="B55" t="s">
        <v>77</v>
      </c>
      <c r="C55" s="10">
        <v>12398.25</v>
      </c>
      <c r="D55" s="10"/>
      <c r="E55" s="10">
        <v>11346.32</v>
      </c>
      <c r="F55" s="10">
        <v>64736.409999999989</v>
      </c>
      <c r="G55" s="10"/>
      <c r="H55" s="10">
        <v>31961.569999999992</v>
      </c>
      <c r="I55" s="10"/>
      <c r="J55" s="10">
        <v>32451.149999999994</v>
      </c>
      <c r="K55" s="10"/>
      <c r="L55" s="10">
        <v>31031.93</v>
      </c>
      <c r="M55" s="10"/>
      <c r="N55" s="10">
        <v>46922.07</v>
      </c>
      <c r="O55" s="10"/>
      <c r="P55" s="10">
        <v>39825.550000000003</v>
      </c>
      <c r="Q55" s="10"/>
      <c r="R55" s="10"/>
      <c r="S55" s="10"/>
      <c r="T55" s="10">
        <v>33412.399999999994</v>
      </c>
      <c r="U55" s="10">
        <v>17907.340000000004</v>
      </c>
      <c r="V55" s="10"/>
      <c r="W55" s="10">
        <v>13332.58</v>
      </c>
      <c r="X55" s="10"/>
      <c r="Y55" s="10">
        <v>27104.370000000003</v>
      </c>
      <c r="Z55" s="10"/>
      <c r="AA55" s="10">
        <v>10416.049999999999</v>
      </c>
      <c r="AB55" s="10">
        <v>23133.43</v>
      </c>
      <c r="AC55" s="10"/>
      <c r="AD55" s="10">
        <v>18131.060000000001</v>
      </c>
      <c r="AE55" s="10">
        <v>21485.619999999995</v>
      </c>
      <c r="AF55" s="10"/>
      <c r="AG55" s="10">
        <v>32885.080000000009</v>
      </c>
      <c r="AH55" s="10">
        <v>48610.65</v>
      </c>
    </row>
    <row r="56" spans="1:34" x14ac:dyDescent="0.25">
      <c r="A56" t="s">
        <v>1138</v>
      </c>
      <c r="B56" t="s">
        <v>1641</v>
      </c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>
        <v>34332.370000000003</v>
      </c>
      <c r="S56" s="10"/>
      <c r="T56" s="10"/>
      <c r="U56" s="10"/>
      <c r="V56" s="10">
        <v>35055.660000000003</v>
      </c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</row>
    <row r="57" spans="1:34" x14ac:dyDescent="0.25">
      <c r="A57" t="s">
        <v>1138</v>
      </c>
      <c r="B57" t="s">
        <v>1245</v>
      </c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>
        <v>58869.630000000005</v>
      </c>
      <c r="AD57" s="10"/>
      <c r="AE57" s="10">
        <v>56115.75</v>
      </c>
      <c r="AF57" s="10">
        <v>18660.87</v>
      </c>
      <c r="AG57" s="10">
        <v>50995.000000000007</v>
      </c>
      <c r="AH57" s="10">
        <v>60235.090000000004</v>
      </c>
    </row>
    <row r="58" spans="1:34" x14ac:dyDescent="0.25">
      <c r="A58" t="s">
        <v>1138</v>
      </c>
      <c r="B58" t="s">
        <v>1341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>
        <v>161363.62</v>
      </c>
      <c r="AF58" s="10">
        <v>128140.16000000002</v>
      </c>
      <c r="AG58" s="10">
        <v>29984.69</v>
      </c>
      <c r="AH58" s="10">
        <v>41175.82</v>
      </c>
    </row>
    <row r="59" spans="1:34" x14ac:dyDescent="0.25">
      <c r="A59" t="s">
        <v>1138</v>
      </c>
      <c r="B59" t="s">
        <v>78</v>
      </c>
      <c r="C59" s="10"/>
      <c r="D59" s="10"/>
      <c r="E59" s="10">
        <v>58802.139999999992</v>
      </c>
      <c r="F59" s="10"/>
      <c r="G59" s="10">
        <v>63934.83</v>
      </c>
      <c r="H59" s="10"/>
      <c r="I59" s="10">
        <v>38637.839999999997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>
        <v>88800.849999999977</v>
      </c>
      <c r="U59" s="10"/>
      <c r="V59" s="10"/>
      <c r="W59" s="10"/>
      <c r="X59" s="10"/>
      <c r="Y59" s="10"/>
      <c r="Z59" s="10"/>
      <c r="AA59" s="10"/>
      <c r="AB59" s="10">
        <v>32761.610000000004</v>
      </c>
      <c r="AC59" s="10">
        <v>49522.540000000008</v>
      </c>
      <c r="AD59" s="10"/>
      <c r="AE59" s="10">
        <v>47455.739999999991</v>
      </c>
      <c r="AF59" s="10"/>
      <c r="AG59" s="10"/>
      <c r="AH59" s="10"/>
    </row>
    <row r="60" spans="1:34" x14ac:dyDescent="0.25">
      <c r="A60" t="s">
        <v>1138</v>
      </c>
      <c r="B60" t="s">
        <v>1289</v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>
        <v>58802</v>
      </c>
      <c r="AE60" s="10">
        <v>138933.99999999997</v>
      </c>
      <c r="AF60" s="10">
        <v>262912.16000000015</v>
      </c>
      <c r="AG60" s="10">
        <v>163380.15999999997</v>
      </c>
      <c r="AH60" s="10">
        <v>144634.70999999993</v>
      </c>
    </row>
    <row r="61" spans="1:34" x14ac:dyDescent="0.25">
      <c r="A61" t="s">
        <v>1138</v>
      </c>
      <c r="B61" t="s">
        <v>79</v>
      </c>
      <c r="C61" s="10"/>
      <c r="D61" s="10"/>
      <c r="E61" s="10"/>
      <c r="F61" s="10"/>
      <c r="G61" s="10"/>
      <c r="H61" s="10"/>
      <c r="I61" s="10">
        <v>381144.22999999992</v>
      </c>
      <c r="J61" s="10">
        <v>80155.009999999995</v>
      </c>
      <c r="K61" s="10">
        <v>101770.10999999999</v>
      </c>
      <c r="L61" s="10">
        <v>232044.00000000006</v>
      </c>
      <c r="M61" s="10">
        <v>164369.00000000003</v>
      </c>
      <c r="N61" s="10">
        <v>88525.159999999974</v>
      </c>
      <c r="O61" s="10">
        <v>105439.52999999997</v>
      </c>
      <c r="P61" s="10">
        <v>315968.89</v>
      </c>
      <c r="Q61" s="10">
        <v>117439.5</v>
      </c>
      <c r="R61" s="10">
        <v>163879.09</v>
      </c>
      <c r="S61" s="10">
        <v>155239.44999999998</v>
      </c>
      <c r="T61" s="10">
        <v>533332.04</v>
      </c>
      <c r="U61" s="10">
        <v>228103.20000000004</v>
      </c>
      <c r="V61" s="10">
        <v>221390.39</v>
      </c>
      <c r="W61" s="10">
        <v>261191.69000000003</v>
      </c>
      <c r="X61" s="10">
        <v>274918.55</v>
      </c>
      <c r="Y61" s="10">
        <v>245990.68</v>
      </c>
      <c r="Z61" s="10">
        <v>114343.80999999997</v>
      </c>
      <c r="AA61" s="10">
        <v>321205.10000000003</v>
      </c>
      <c r="AB61" s="10">
        <v>150106.18999999997</v>
      </c>
      <c r="AC61" s="10"/>
      <c r="AD61" s="10"/>
      <c r="AE61" s="10"/>
      <c r="AF61" s="10"/>
      <c r="AG61" s="10"/>
      <c r="AH61" s="10"/>
    </row>
    <row r="62" spans="1:34" x14ac:dyDescent="0.25">
      <c r="A62" t="s">
        <v>1138</v>
      </c>
      <c r="B62" t="s">
        <v>1642</v>
      </c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>
        <v>236681.45</v>
      </c>
      <c r="R62" s="10"/>
      <c r="S62" s="10">
        <v>70517.799999999988</v>
      </c>
      <c r="T62" s="10">
        <v>167984.89</v>
      </c>
      <c r="U62" s="10">
        <v>72894.850000000006</v>
      </c>
      <c r="V62" s="10">
        <v>74432.33</v>
      </c>
      <c r="W62" s="10">
        <v>132153.79</v>
      </c>
      <c r="X62" s="10">
        <v>126464.82</v>
      </c>
      <c r="Y62" s="10">
        <v>38639.9</v>
      </c>
      <c r="Z62" s="10">
        <v>52497.69</v>
      </c>
      <c r="AA62" s="10">
        <v>36057.279999999999</v>
      </c>
      <c r="AB62" s="10"/>
      <c r="AC62" s="10"/>
      <c r="AD62" s="10"/>
      <c r="AE62" s="10">
        <v>50454.73</v>
      </c>
      <c r="AF62" s="10"/>
      <c r="AG62" s="10">
        <v>29577.13</v>
      </c>
      <c r="AH62" s="10"/>
    </row>
    <row r="63" spans="1:34" x14ac:dyDescent="0.25">
      <c r="A63" t="s">
        <v>1138</v>
      </c>
      <c r="B63" t="s">
        <v>1643</v>
      </c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>
        <v>21286.690000000002</v>
      </c>
      <c r="S63" s="10"/>
      <c r="T63" s="10">
        <v>40288.180000000008</v>
      </c>
      <c r="U63" s="10"/>
      <c r="V63" s="10">
        <v>17127.320000000003</v>
      </c>
      <c r="W63" s="10"/>
      <c r="X63" s="10">
        <v>10210.390000000001</v>
      </c>
      <c r="Y63" s="10"/>
      <c r="Z63" s="10"/>
      <c r="AA63" s="10"/>
      <c r="AB63" s="10"/>
      <c r="AC63" s="10"/>
      <c r="AD63" s="10"/>
      <c r="AE63" s="10"/>
      <c r="AF63" s="10"/>
      <c r="AG63" s="10"/>
      <c r="AH63" s="10"/>
    </row>
    <row r="64" spans="1:34" x14ac:dyDescent="0.25">
      <c r="A64" t="s">
        <v>1138</v>
      </c>
      <c r="B64" t="s">
        <v>1644</v>
      </c>
      <c r="C64" s="10"/>
      <c r="D64" s="10"/>
      <c r="E64" s="10"/>
      <c r="F64" s="10"/>
      <c r="G64" s="10">
        <v>49807.369999999995</v>
      </c>
      <c r="H64" s="10"/>
      <c r="I64" s="10">
        <v>26876.899999999998</v>
      </c>
      <c r="J64" s="10"/>
      <c r="K64" s="10"/>
      <c r="L64" s="10"/>
      <c r="M64" s="10"/>
      <c r="N64" s="10"/>
      <c r="O64" s="10"/>
      <c r="P64" s="10">
        <v>60199.51</v>
      </c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</row>
    <row r="65" spans="1:34" x14ac:dyDescent="0.25">
      <c r="A65" t="s">
        <v>1138</v>
      </c>
      <c r="B65" t="s">
        <v>1545</v>
      </c>
      <c r="C65" s="10"/>
      <c r="D65" s="10"/>
      <c r="E65" s="10"/>
      <c r="F65" s="10"/>
      <c r="G65" s="10"/>
      <c r="H65" s="10"/>
      <c r="I65" s="10"/>
      <c r="J65" s="10">
        <v>91287.61</v>
      </c>
      <c r="K65" s="10">
        <v>166869.84000000003</v>
      </c>
      <c r="L65" s="10"/>
      <c r="M65" s="10"/>
      <c r="N65" s="10"/>
      <c r="O65" s="10">
        <v>72920.399999999994</v>
      </c>
      <c r="P65" s="10"/>
      <c r="Q65" s="10">
        <v>205240.66</v>
      </c>
      <c r="R65" s="10"/>
      <c r="S65" s="10"/>
      <c r="T65" s="10"/>
      <c r="U65" s="10"/>
      <c r="V65" s="10"/>
      <c r="W65" s="10"/>
      <c r="X65" s="10"/>
      <c r="Y65" s="10">
        <v>138833.60000000001</v>
      </c>
      <c r="Z65" s="10"/>
      <c r="AA65" s="10"/>
      <c r="AB65" s="10"/>
      <c r="AC65" s="10"/>
      <c r="AD65" s="10"/>
      <c r="AE65" s="10"/>
      <c r="AF65" s="10"/>
      <c r="AG65" s="10"/>
      <c r="AH65" s="10">
        <v>142483.4</v>
      </c>
    </row>
    <row r="66" spans="1:34" x14ac:dyDescent="0.25">
      <c r="A66" t="s">
        <v>1138</v>
      </c>
      <c r="B66" t="s">
        <v>1645</v>
      </c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>
        <v>43656.619999999995</v>
      </c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</row>
    <row r="67" spans="1:34" x14ac:dyDescent="0.25">
      <c r="A67" t="s">
        <v>1138</v>
      </c>
      <c r="B67" t="s">
        <v>80</v>
      </c>
      <c r="C67" s="10"/>
      <c r="D67" s="10"/>
      <c r="E67" s="10"/>
      <c r="F67" s="10"/>
      <c r="G67" s="10"/>
      <c r="H67" s="10"/>
      <c r="I67" s="10"/>
      <c r="J67" s="10"/>
      <c r="K67" s="10"/>
      <c r="L67" s="10">
        <v>26575.139999999996</v>
      </c>
      <c r="M67" s="10">
        <v>76999.149999999994</v>
      </c>
      <c r="N67" s="10"/>
      <c r="O67" s="10">
        <v>12367.51</v>
      </c>
      <c r="P67" s="10"/>
      <c r="Q67" s="10">
        <v>48631.35</v>
      </c>
      <c r="R67" s="10"/>
      <c r="S67" s="10">
        <v>10194</v>
      </c>
      <c r="T67" s="10"/>
      <c r="U67" s="10"/>
      <c r="V67" s="10"/>
      <c r="W67" s="10"/>
      <c r="X67" s="10">
        <v>19235.739999999998</v>
      </c>
      <c r="Y67" s="10"/>
      <c r="Z67" s="10">
        <v>48913.08</v>
      </c>
      <c r="AA67" s="10"/>
      <c r="AB67" s="10">
        <v>10201.07</v>
      </c>
      <c r="AC67" s="10">
        <v>28533.34</v>
      </c>
      <c r="AD67" s="10"/>
      <c r="AE67" s="10"/>
      <c r="AF67" s="10"/>
      <c r="AG67" s="10"/>
      <c r="AH67" s="10">
        <v>11175.43</v>
      </c>
    </row>
    <row r="68" spans="1:34" x14ac:dyDescent="0.25">
      <c r="A68" t="s">
        <v>1138</v>
      </c>
      <c r="B68" t="s">
        <v>81</v>
      </c>
      <c r="C68" s="10"/>
      <c r="D68" s="10"/>
      <c r="E68" s="10"/>
      <c r="F68" s="10"/>
      <c r="G68" s="10">
        <v>121848.64</v>
      </c>
      <c r="H68" s="10"/>
      <c r="I68" s="10">
        <v>47547.680000000022</v>
      </c>
      <c r="J68" s="10"/>
      <c r="K68" s="10"/>
      <c r="L68" s="10">
        <v>69171.819999999992</v>
      </c>
      <c r="M68" s="10"/>
      <c r="N68" s="10"/>
      <c r="O68" s="10"/>
      <c r="P68" s="10"/>
      <c r="Q68" s="10"/>
      <c r="R68" s="10"/>
      <c r="S68" s="10"/>
      <c r="T68" s="10">
        <v>60715.30000000001</v>
      </c>
      <c r="U68" s="10"/>
      <c r="V68" s="10"/>
      <c r="W68" s="10"/>
      <c r="X68" s="10">
        <v>63156.000000000007</v>
      </c>
      <c r="Y68" s="10"/>
      <c r="Z68" s="10"/>
      <c r="AA68" s="10">
        <v>55179</v>
      </c>
      <c r="AB68" s="10"/>
      <c r="AC68" s="10"/>
      <c r="AD68" s="10"/>
      <c r="AE68" s="10"/>
      <c r="AF68" s="10"/>
      <c r="AG68" s="10"/>
      <c r="AH68" s="10"/>
    </row>
    <row r="69" spans="1:34" x14ac:dyDescent="0.25">
      <c r="A69" t="s">
        <v>1138</v>
      </c>
      <c r="B69" t="s">
        <v>82</v>
      </c>
      <c r="C69" s="10"/>
      <c r="D69" s="10">
        <v>89060.159999999989</v>
      </c>
      <c r="E69" s="10">
        <v>11231.529999999999</v>
      </c>
      <c r="F69" s="10">
        <v>16855.149999999998</v>
      </c>
      <c r="G69" s="10">
        <v>134511.63999999998</v>
      </c>
      <c r="H69" s="10">
        <v>15462.460000000001</v>
      </c>
      <c r="I69" s="10">
        <v>46832.32</v>
      </c>
      <c r="J69" s="10"/>
      <c r="K69" s="10">
        <v>119230.04999999999</v>
      </c>
      <c r="L69" s="10">
        <v>121842.68000000002</v>
      </c>
      <c r="M69" s="10">
        <v>39347.25</v>
      </c>
      <c r="N69" s="10"/>
      <c r="O69" s="10">
        <v>34385.550000000003</v>
      </c>
      <c r="P69" s="10">
        <v>28624.440000000002</v>
      </c>
      <c r="Q69" s="10">
        <v>119340.79000000002</v>
      </c>
      <c r="R69" s="10">
        <v>174570.68</v>
      </c>
      <c r="S69" s="10">
        <v>23306.410000000003</v>
      </c>
      <c r="T69" s="10">
        <v>28015.99</v>
      </c>
      <c r="U69" s="10">
        <v>26728.880000000005</v>
      </c>
      <c r="V69" s="10"/>
      <c r="W69" s="10">
        <v>77060.78</v>
      </c>
      <c r="X69" s="10">
        <v>21209.94</v>
      </c>
      <c r="Y69" s="10"/>
      <c r="Z69" s="10"/>
      <c r="AA69" s="10">
        <v>12213.440000000002</v>
      </c>
      <c r="AB69" s="10"/>
      <c r="AC69" s="10">
        <v>30277.37</v>
      </c>
      <c r="AD69" s="10"/>
      <c r="AE69" s="10"/>
      <c r="AF69" s="10">
        <v>41317.839999999997</v>
      </c>
      <c r="AG69" s="10"/>
      <c r="AH69" s="10">
        <v>41958.040000000008</v>
      </c>
    </row>
    <row r="70" spans="1:34" x14ac:dyDescent="0.25">
      <c r="A70" t="s">
        <v>1138</v>
      </c>
      <c r="B70" t="s">
        <v>1646</v>
      </c>
      <c r="C70" s="10"/>
      <c r="D70" s="10"/>
      <c r="E70" s="10"/>
      <c r="F70" s="10">
        <v>71652.51999999999</v>
      </c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</row>
    <row r="71" spans="1:34" x14ac:dyDescent="0.25">
      <c r="A71" t="s">
        <v>1138</v>
      </c>
      <c r="B71" t="s">
        <v>83</v>
      </c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>
        <v>36908</v>
      </c>
      <c r="X71" s="10"/>
      <c r="Y71" s="10"/>
      <c r="Z71" s="10">
        <v>24072.130000000005</v>
      </c>
      <c r="AA71" s="10"/>
      <c r="AB71" s="10"/>
      <c r="AC71" s="10"/>
      <c r="AD71" s="10">
        <v>19672</v>
      </c>
      <c r="AE71" s="10">
        <v>30003</v>
      </c>
      <c r="AF71" s="10"/>
      <c r="AG71" s="10"/>
      <c r="AH71" s="10"/>
    </row>
    <row r="72" spans="1:34" x14ac:dyDescent="0.25">
      <c r="A72" t="s">
        <v>1138</v>
      </c>
      <c r="B72" t="s">
        <v>1647</v>
      </c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>
        <v>167839.11000000002</v>
      </c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</row>
    <row r="73" spans="1:34" x14ac:dyDescent="0.25">
      <c r="A73" t="s">
        <v>1138</v>
      </c>
      <c r="B73" t="s">
        <v>84</v>
      </c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>
        <v>17370.98</v>
      </c>
      <c r="X73" s="10"/>
      <c r="Y73" s="10">
        <v>13350.149999999998</v>
      </c>
      <c r="Z73" s="10">
        <v>13108.78</v>
      </c>
      <c r="AA73" s="10"/>
      <c r="AB73" s="10">
        <v>61517.939999999995</v>
      </c>
      <c r="AC73" s="10"/>
      <c r="AD73" s="10"/>
      <c r="AE73" s="10"/>
      <c r="AF73" s="10"/>
      <c r="AG73" s="10"/>
      <c r="AH73" s="10">
        <v>22539.57</v>
      </c>
    </row>
    <row r="74" spans="1:34" x14ac:dyDescent="0.25">
      <c r="A74" t="s">
        <v>1138</v>
      </c>
      <c r="B74" t="s">
        <v>1648</v>
      </c>
      <c r="C74" s="10"/>
      <c r="D74" s="10"/>
      <c r="E74" s="10"/>
      <c r="F74" s="10">
        <v>5600.5300000000007</v>
      </c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>
        <v>24211</v>
      </c>
      <c r="Z74" s="10">
        <v>157924.92000000001</v>
      </c>
      <c r="AA74" s="10"/>
      <c r="AB74" s="10"/>
      <c r="AC74" s="10"/>
      <c r="AD74" s="10"/>
      <c r="AE74" s="10"/>
      <c r="AF74" s="10"/>
      <c r="AG74" s="10"/>
      <c r="AH74" s="10"/>
    </row>
    <row r="75" spans="1:34" x14ac:dyDescent="0.25">
      <c r="A75" t="s">
        <v>1138</v>
      </c>
      <c r="B75" t="s">
        <v>85</v>
      </c>
      <c r="C75" s="10"/>
      <c r="D75" s="10"/>
      <c r="E75" s="10"/>
      <c r="F75" s="10"/>
      <c r="G75" s="10"/>
      <c r="H75" s="10"/>
      <c r="I75" s="10">
        <v>21687.879999999997</v>
      </c>
      <c r="J75" s="10"/>
      <c r="K75" s="10"/>
      <c r="L75" s="10">
        <v>20985.200000000001</v>
      </c>
      <c r="M75" s="10"/>
      <c r="N75" s="10"/>
      <c r="O75" s="10"/>
      <c r="P75" s="10">
        <v>21603.93</v>
      </c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>
        <v>11414.689999999999</v>
      </c>
      <c r="AH75" s="10"/>
    </row>
    <row r="76" spans="1:34" x14ac:dyDescent="0.25">
      <c r="A76" t="s">
        <v>1138</v>
      </c>
      <c r="B76" t="s">
        <v>1649</v>
      </c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>
        <v>123920.31000000001</v>
      </c>
      <c r="AE76" s="10"/>
      <c r="AF76" s="10">
        <v>84732.56</v>
      </c>
      <c r="AG76" s="10">
        <v>24941.620000000006</v>
      </c>
      <c r="AH76" s="10"/>
    </row>
    <row r="77" spans="1:34" x14ac:dyDescent="0.25">
      <c r="A77" t="s">
        <v>1138</v>
      </c>
      <c r="B77" t="s">
        <v>86</v>
      </c>
      <c r="C77" s="10"/>
      <c r="D77" s="10"/>
      <c r="E77" s="10">
        <v>65946.33</v>
      </c>
      <c r="F77" s="10">
        <v>161800.58000000002</v>
      </c>
      <c r="G77" s="10">
        <v>68810.490000000005</v>
      </c>
      <c r="H77" s="10">
        <v>222089.55000000002</v>
      </c>
      <c r="I77" s="10">
        <v>45828.17</v>
      </c>
      <c r="J77" s="10">
        <v>103511.03</v>
      </c>
      <c r="K77" s="10">
        <v>216447.12</v>
      </c>
      <c r="L77" s="10">
        <v>178856.84</v>
      </c>
      <c r="M77" s="10">
        <v>70295.55</v>
      </c>
      <c r="N77" s="10">
        <v>39200.85</v>
      </c>
      <c r="O77" s="10"/>
      <c r="P77" s="10">
        <v>51791.89</v>
      </c>
      <c r="Q77" s="10">
        <v>157621.58000000002</v>
      </c>
      <c r="R77" s="10">
        <v>79502.740000000005</v>
      </c>
      <c r="S77" s="10">
        <v>72045.149999999994</v>
      </c>
      <c r="T77" s="10">
        <v>160983</v>
      </c>
      <c r="U77" s="10">
        <v>38863.83</v>
      </c>
      <c r="V77" s="10">
        <v>73575</v>
      </c>
      <c r="W77" s="10">
        <v>185259.99000000002</v>
      </c>
      <c r="X77" s="10">
        <v>114199</v>
      </c>
      <c r="Y77" s="10">
        <v>40438.47</v>
      </c>
      <c r="Z77" s="10">
        <v>23576</v>
      </c>
      <c r="AA77" s="10">
        <v>45586</v>
      </c>
      <c r="AB77" s="10">
        <v>52944</v>
      </c>
      <c r="AC77" s="10">
        <v>58580</v>
      </c>
      <c r="AD77" s="10">
        <v>59930</v>
      </c>
      <c r="AE77" s="10">
        <v>78720</v>
      </c>
      <c r="AF77" s="10">
        <v>43126</v>
      </c>
      <c r="AG77" s="10">
        <v>140876.00000000003</v>
      </c>
      <c r="AH77" s="10">
        <v>107989</v>
      </c>
    </row>
    <row r="78" spans="1:34" x14ac:dyDescent="0.25">
      <c r="A78" t="s">
        <v>1138</v>
      </c>
      <c r="B78" t="s">
        <v>87</v>
      </c>
      <c r="C78" s="10"/>
      <c r="D78" s="10"/>
      <c r="E78" s="10"/>
      <c r="F78" s="10">
        <v>85684</v>
      </c>
      <c r="G78" s="10"/>
      <c r="H78" s="10">
        <v>142392.69999999998</v>
      </c>
      <c r="I78" s="10"/>
      <c r="J78" s="10">
        <v>320019.56</v>
      </c>
      <c r="K78" s="10"/>
      <c r="L78" s="10"/>
      <c r="M78" s="10">
        <v>50266.82</v>
      </c>
      <c r="N78" s="10">
        <v>148797.57</v>
      </c>
      <c r="O78" s="10"/>
      <c r="P78" s="10"/>
      <c r="Q78" s="10"/>
      <c r="R78" s="10"/>
      <c r="S78" s="10">
        <v>160468.23000000001</v>
      </c>
      <c r="T78" s="10">
        <v>450165.40000000008</v>
      </c>
      <c r="U78" s="10">
        <v>155053.41999999998</v>
      </c>
      <c r="V78" s="10">
        <v>435936.01000000007</v>
      </c>
      <c r="W78" s="10">
        <v>455424.81</v>
      </c>
      <c r="X78" s="10">
        <v>353801.40000000008</v>
      </c>
      <c r="Y78" s="10">
        <v>395670.35000000015</v>
      </c>
      <c r="Z78" s="10">
        <v>77541.159999999989</v>
      </c>
      <c r="AA78" s="10">
        <v>127702.83000000002</v>
      </c>
      <c r="AB78" s="10">
        <v>333206.86999999988</v>
      </c>
      <c r="AC78" s="10">
        <v>553553.64000000013</v>
      </c>
      <c r="AD78" s="10">
        <v>568075.79999999993</v>
      </c>
      <c r="AE78" s="10">
        <v>350362.10000000015</v>
      </c>
      <c r="AF78" s="10">
        <v>741289.71000000008</v>
      </c>
      <c r="AG78" s="10">
        <v>419834.52999999997</v>
      </c>
      <c r="AH78" s="10">
        <v>1195127.3099999998</v>
      </c>
    </row>
    <row r="79" spans="1:34" x14ac:dyDescent="0.25">
      <c r="A79" t="s">
        <v>1138</v>
      </c>
      <c r="B79" t="s">
        <v>1461</v>
      </c>
      <c r="C79" s="10"/>
      <c r="D79" s="10">
        <v>10341.85</v>
      </c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>
        <v>125093.08000000002</v>
      </c>
      <c r="AH79" s="10">
        <v>150058.29</v>
      </c>
    </row>
    <row r="80" spans="1:34" x14ac:dyDescent="0.25">
      <c r="A80" t="s">
        <v>1138</v>
      </c>
      <c r="B80" t="s">
        <v>1480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>
        <v>43953.99</v>
      </c>
      <c r="AH80" s="10"/>
    </row>
    <row r="81" spans="1:34" x14ac:dyDescent="0.25">
      <c r="A81" t="s">
        <v>1138</v>
      </c>
      <c r="B81" t="s">
        <v>1650</v>
      </c>
      <c r="C81" s="10">
        <v>24716.92</v>
      </c>
      <c r="D81" s="10"/>
      <c r="E81" s="10"/>
      <c r="F81" s="10"/>
      <c r="G81" s="10"/>
      <c r="H81" s="10"/>
      <c r="I81" s="10"/>
      <c r="J81" s="10"/>
      <c r="K81" s="10">
        <v>3967.01</v>
      </c>
      <c r="L81" s="10"/>
      <c r="M81" s="10"/>
      <c r="N81" s="10"/>
      <c r="O81" s="10">
        <v>16815.95</v>
      </c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>
        <v>44583.27</v>
      </c>
      <c r="AA81" s="10"/>
      <c r="AB81" s="10"/>
      <c r="AC81" s="10"/>
      <c r="AD81" s="10"/>
      <c r="AE81" s="10"/>
      <c r="AF81" s="10"/>
      <c r="AG81" s="10"/>
      <c r="AH81" s="10"/>
    </row>
    <row r="82" spans="1:34" x14ac:dyDescent="0.25">
      <c r="A82" t="s">
        <v>1138</v>
      </c>
      <c r="B82" t="s">
        <v>1651</v>
      </c>
      <c r="C82" s="10"/>
      <c r="D82" s="10"/>
      <c r="E82" s="10"/>
      <c r="F82" s="10"/>
      <c r="G82" s="10">
        <v>7762.34</v>
      </c>
      <c r="H82" s="10"/>
      <c r="I82" s="10"/>
      <c r="J82" s="10"/>
      <c r="K82" s="10">
        <v>14888.64</v>
      </c>
      <c r="L82" s="10">
        <v>14292.15</v>
      </c>
      <c r="M82" s="10"/>
      <c r="N82" s="10"/>
      <c r="O82" s="10"/>
      <c r="P82" s="10"/>
      <c r="Q82" s="10"/>
      <c r="R82" s="10"/>
      <c r="S82" s="10"/>
      <c r="T82" s="10"/>
      <c r="U82" s="10"/>
      <c r="V82" s="10">
        <v>21566.95</v>
      </c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</row>
    <row r="83" spans="1:34" x14ac:dyDescent="0.25">
      <c r="A83" t="s">
        <v>1138</v>
      </c>
      <c r="B83" t="s">
        <v>88</v>
      </c>
      <c r="C83" s="10"/>
      <c r="D83" s="10"/>
      <c r="E83" s="10">
        <v>69316.38</v>
      </c>
      <c r="F83" s="10">
        <v>37065.360000000001</v>
      </c>
      <c r="G83" s="10"/>
      <c r="H83" s="10">
        <v>125571.28</v>
      </c>
      <c r="I83" s="10">
        <v>186526.02999999997</v>
      </c>
      <c r="J83" s="10"/>
      <c r="K83" s="10">
        <v>229575.59999999998</v>
      </c>
      <c r="L83" s="10"/>
      <c r="M83" s="10">
        <v>108177.92000000001</v>
      </c>
      <c r="N83" s="10"/>
      <c r="O83" s="10">
        <v>166831.60999999999</v>
      </c>
      <c r="P83" s="10"/>
      <c r="Q83" s="10"/>
      <c r="R83" s="10"/>
      <c r="S83" s="10">
        <v>212583.46</v>
      </c>
      <c r="T83" s="10">
        <v>103112.40000000001</v>
      </c>
      <c r="U83" s="10"/>
      <c r="V83" s="10">
        <v>239145.60000000001</v>
      </c>
      <c r="W83" s="10"/>
      <c r="X83" s="10"/>
      <c r="Y83" s="10"/>
      <c r="Z83" s="10">
        <v>48330.41</v>
      </c>
      <c r="AA83" s="10"/>
      <c r="AB83" s="10"/>
      <c r="AC83" s="10"/>
      <c r="AD83" s="10"/>
      <c r="AE83" s="10"/>
      <c r="AF83" s="10"/>
      <c r="AG83" s="10">
        <v>50971.56</v>
      </c>
      <c r="AH83" s="10"/>
    </row>
    <row r="84" spans="1:34" x14ac:dyDescent="0.25">
      <c r="A84" t="s">
        <v>1138</v>
      </c>
      <c r="B84" t="s">
        <v>1652</v>
      </c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>
        <v>160973.51</v>
      </c>
      <c r="S84" s="10"/>
      <c r="T84" s="10"/>
      <c r="U84" s="10"/>
      <c r="V84" s="10"/>
      <c r="W84" s="10"/>
      <c r="X84" s="10"/>
      <c r="Y84" s="10"/>
      <c r="Z84" s="10">
        <v>232969.15999999997</v>
      </c>
      <c r="AA84" s="10"/>
      <c r="AB84" s="10"/>
      <c r="AC84" s="10"/>
      <c r="AD84" s="10"/>
      <c r="AE84" s="10"/>
      <c r="AF84" s="10"/>
      <c r="AG84" s="10"/>
      <c r="AH84" s="10"/>
    </row>
    <row r="85" spans="1:34" x14ac:dyDescent="0.25">
      <c r="A85" t="s">
        <v>1138</v>
      </c>
      <c r="B85" t="s">
        <v>1653</v>
      </c>
      <c r="C85" s="10"/>
      <c r="D85" s="10"/>
      <c r="E85" s="10"/>
      <c r="F85" s="10"/>
      <c r="G85" s="10"/>
      <c r="H85" s="10"/>
      <c r="I85" s="10"/>
      <c r="J85" s="10">
        <v>244304.58</v>
      </c>
      <c r="K85" s="10">
        <v>493462.75</v>
      </c>
      <c r="L85" s="10"/>
      <c r="M85" s="10">
        <v>100146.05999999998</v>
      </c>
      <c r="N85" s="10">
        <v>67772.950000000012</v>
      </c>
      <c r="O85" s="10"/>
      <c r="P85" s="10"/>
      <c r="Q85" s="10"/>
      <c r="R85" s="10"/>
      <c r="S85" s="10"/>
      <c r="T85" s="10"/>
      <c r="U85" s="10"/>
      <c r="V85" s="10">
        <v>121235.57</v>
      </c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>
        <v>59855.790000000008</v>
      </c>
    </row>
    <row r="86" spans="1:34" x14ac:dyDescent="0.25">
      <c r="A86" t="s">
        <v>1138</v>
      </c>
      <c r="B86" t="s">
        <v>1141</v>
      </c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>
        <v>43222.570000000007</v>
      </c>
      <c r="AC86" s="10"/>
      <c r="AD86" s="10"/>
      <c r="AE86" s="10"/>
      <c r="AF86" s="10">
        <v>44098.369999999995</v>
      </c>
      <c r="AG86" s="10">
        <v>52800.7</v>
      </c>
      <c r="AH86" s="10">
        <v>57468.369999999995</v>
      </c>
    </row>
    <row r="87" spans="1:34" x14ac:dyDescent="0.25">
      <c r="A87" t="s">
        <v>1138</v>
      </c>
      <c r="B87" t="s">
        <v>1462</v>
      </c>
      <c r="C87" s="10"/>
      <c r="D87" s="10">
        <v>163784.56000000006</v>
      </c>
      <c r="E87" s="10"/>
      <c r="F87" s="10">
        <v>17103.439999999999</v>
      </c>
      <c r="G87" s="10"/>
      <c r="H87" s="10"/>
      <c r="I87" s="10"/>
      <c r="J87" s="10"/>
      <c r="K87" s="10"/>
      <c r="L87" s="10"/>
      <c r="M87" s="10">
        <v>15918.060000000001</v>
      </c>
      <c r="N87" s="10"/>
      <c r="O87" s="10">
        <v>96607.84</v>
      </c>
      <c r="P87" s="10"/>
      <c r="Q87" s="10"/>
      <c r="R87" s="10"/>
      <c r="S87" s="10"/>
      <c r="T87" s="10"/>
      <c r="U87" s="10"/>
      <c r="V87" s="10"/>
      <c r="W87" s="10"/>
      <c r="X87" s="10"/>
      <c r="Y87" s="10">
        <v>169317.86</v>
      </c>
      <c r="Z87" s="10">
        <v>179937.42</v>
      </c>
      <c r="AA87" s="10">
        <v>138434.53999999998</v>
      </c>
      <c r="AB87" s="10">
        <v>33326.619999999995</v>
      </c>
      <c r="AC87" s="10"/>
      <c r="AD87" s="10"/>
      <c r="AE87" s="10"/>
      <c r="AF87" s="10">
        <v>78028.62000000001</v>
      </c>
      <c r="AG87" s="10">
        <v>137489.26</v>
      </c>
      <c r="AH87" s="10">
        <v>171816.22</v>
      </c>
    </row>
    <row r="88" spans="1:34" x14ac:dyDescent="0.25">
      <c r="A88" t="s">
        <v>1138</v>
      </c>
      <c r="B88" t="s">
        <v>89</v>
      </c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>
        <v>402959.20000000013</v>
      </c>
      <c r="R88" s="10"/>
      <c r="S88" s="10"/>
      <c r="T88" s="10"/>
      <c r="U88" s="10"/>
      <c r="V88" s="10"/>
      <c r="W88" s="10"/>
      <c r="X88" s="10"/>
      <c r="Y88" s="10"/>
      <c r="Z88" s="10">
        <v>265261.01</v>
      </c>
      <c r="AA88" s="10">
        <v>36301.18</v>
      </c>
      <c r="AB88" s="10">
        <v>198764.81</v>
      </c>
      <c r="AC88" s="10">
        <v>33063.599999999999</v>
      </c>
      <c r="AD88" s="10">
        <v>102912.6</v>
      </c>
      <c r="AE88" s="10"/>
      <c r="AF88" s="10"/>
      <c r="AG88" s="10"/>
      <c r="AH88" s="10"/>
    </row>
    <row r="89" spans="1:34" x14ac:dyDescent="0.25">
      <c r="A89" t="s">
        <v>1138</v>
      </c>
      <c r="B89" t="s">
        <v>90</v>
      </c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>
        <v>124870.67</v>
      </c>
      <c r="U89" s="10"/>
      <c r="V89" s="10"/>
      <c r="W89" s="10">
        <v>31919.46</v>
      </c>
      <c r="X89" s="10"/>
      <c r="Y89" s="10"/>
      <c r="Z89" s="10"/>
      <c r="AA89" s="10"/>
      <c r="AB89" s="10">
        <v>138849.66999999998</v>
      </c>
      <c r="AC89" s="10">
        <v>174939.18999999997</v>
      </c>
      <c r="AD89" s="10">
        <v>84569.239999999991</v>
      </c>
      <c r="AE89" s="10">
        <v>95487.37000000001</v>
      </c>
      <c r="AF89" s="10">
        <v>173757.14</v>
      </c>
      <c r="AG89" s="10"/>
      <c r="AH89" s="10">
        <v>-168727.99</v>
      </c>
    </row>
    <row r="90" spans="1:34" x14ac:dyDescent="0.25">
      <c r="A90" t="s">
        <v>1138</v>
      </c>
      <c r="B90" t="s">
        <v>91</v>
      </c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>
        <v>45492.380000000005</v>
      </c>
      <c r="S90" s="10">
        <v>34920.089999999997</v>
      </c>
      <c r="T90" s="10">
        <v>67898.64</v>
      </c>
      <c r="U90" s="10">
        <v>43865.06</v>
      </c>
      <c r="V90" s="10">
        <v>124704.43</v>
      </c>
      <c r="W90" s="10">
        <v>170993.37</v>
      </c>
      <c r="X90" s="10">
        <v>125530.62000000001</v>
      </c>
      <c r="Y90" s="10">
        <v>83615.069999999992</v>
      </c>
      <c r="Z90" s="10">
        <v>27126.999999999996</v>
      </c>
      <c r="AA90" s="10">
        <v>41991.61</v>
      </c>
      <c r="AB90" s="10">
        <v>17929.349999999999</v>
      </c>
      <c r="AC90" s="10">
        <v>73886.48</v>
      </c>
      <c r="AD90" s="10">
        <v>84996.54</v>
      </c>
      <c r="AE90" s="10">
        <v>251396.58000000005</v>
      </c>
      <c r="AF90" s="10">
        <v>241839.33000000002</v>
      </c>
      <c r="AG90" s="10">
        <v>105019.61999999998</v>
      </c>
      <c r="AH90" s="10">
        <v>672868.49999999988</v>
      </c>
    </row>
    <row r="91" spans="1:34" x14ac:dyDescent="0.25">
      <c r="A91" t="s">
        <v>1138</v>
      </c>
      <c r="B91" t="s">
        <v>1654</v>
      </c>
      <c r="C91" s="10"/>
      <c r="D91" s="10"/>
      <c r="E91" s="10"/>
      <c r="F91" s="10"/>
      <c r="G91" s="10"/>
      <c r="H91" s="10"/>
      <c r="I91" s="10"/>
      <c r="J91" s="10"/>
      <c r="K91" s="10"/>
      <c r="L91" s="10">
        <v>11747.35</v>
      </c>
      <c r="M91" s="10">
        <v>2659.27</v>
      </c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</row>
    <row r="92" spans="1:34" x14ac:dyDescent="0.25">
      <c r="A92" t="s">
        <v>1138</v>
      </c>
      <c r="B92" t="s">
        <v>1655</v>
      </c>
      <c r="C92" s="10"/>
      <c r="D92" s="10">
        <v>35572.29</v>
      </c>
      <c r="E92" s="10">
        <v>70530.570000000007</v>
      </c>
      <c r="F92" s="10">
        <v>59212.5</v>
      </c>
      <c r="G92" s="10">
        <v>16106.6</v>
      </c>
      <c r="H92" s="10"/>
      <c r="I92" s="10">
        <v>15336.12</v>
      </c>
      <c r="J92" s="10">
        <v>26625.55</v>
      </c>
      <c r="K92" s="10">
        <v>22521.759999999998</v>
      </c>
      <c r="L92" s="10">
        <v>29823.79</v>
      </c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</row>
    <row r="93" spans="1:34" x14ac:dyDescent="0.25">
      <c r="A93" t="s">
        <v>1138</v>
      </c>
      <c r="B93" t="s">
        <v>1656</v>
      </c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>
        <v>70073.249999999985</v>
      </c>
      <c r="AG93" s="10">
        <v>14264.140000000001</v>
      </c>
      <c r="AH93" s="10"/>
    </row>
    <row r="94" spans="1:34" x14ac:dyDescent="0.25">
      <c r="A94" t="s">
        <v>1138</v>
      </c>
      <c r="B94" t="s">
        <v>92</v>
      </c>
      <c r="C94" s="10"/>
      <c r="D94" s="10"/>
      <c r="E94" s="10"/>
      <c r="F94" s="10"/>
      <c r="G94" s="10"/>
      <c r="H94" s="10">
        <v>41288.089999999997</v>
      </c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>
        <v>231719.92</v>
      </c>
      <c r="Y94" s="10">
        <v>28072.68</v>
      </c>
      <c r="Z94" s="10"/>
      <c r="AA94" s="10"/>
      <c r="AB94" s="10"/>
      <c r="AC94" s="10"/>
      <c r="AD94" s="10"/>
      <c r="AE94" s="10"/>
      <c r="AF94" s="10">
        <v>72930.97</v>
      </c>
      <c r="AG94" s="10"/>
      <c r="AH94" s="10"/>
    </row>
    <row r="95" spans="1:34" x14ac:dyDescent="0.25">
      <c r="A95" t="s">
        <v>1138</v>
      </c>
      <c r="B95" t="s">
        <v>93</v>
      </c>
      <c r="C95" s="10"/>
      <c r="D95" s="10"/>
      <c r="E95" s="10"/>
      <c r="F95" s="10"/>
      <c r="G95" s="10"/>
      <c r="H95" s="10"/>
      <c r="I95" s="10">
        <v>33096.280000000006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>
        <v>709288.42</v>
      </c>
      <c r="V95" s="10">
        <v>328103.52999999991</v>
      </c>
      <c r="W95" s="10">
        <v>351588.13000000006</v>
      </c>
      <c r="X95" s="10">
        <v>250960.25999999995</v>
      </c>
      <c r="Y95" s="10">
        <v>76145.27</v>
      </c>
      <c r="Z95" s="10">
        <v>83419.48</v>
      </c>
      <c r="AA95" s="10">
        <v>50056.790000000008</v>
      </c>
      <c r="AB95" s="10">
        <v>32663.980000000003</v>
      </c>
      <c r="AC95" s="10">
        <v>11016.369999999999</v>
      </c>
      <c r="AD95" s="10">
        <v>122822.69999999998</v>
      </c>
      <c r="AE95" s="10">
        <v>79521.679999999993</v>
      </c>
      <c r="AF95" s="10">
        <v>73877.599999999991</v>
      </c>
      <c r="AG95" s="10">
        <v>158106.73000000001</v>
      </c>
      <c r="AH95" s="10">
        <v>103522.91999999998</v>
      </c>
    </row>
    <row r="96" spans="1:34" x14ac:dyDescent="0.25">
      <c r="A96" t="s">
        <v>1138</v>
      </c>
      <c r="B96" t="s">
        <v>1657</v>
      </c>
      <c r="C96" s="10"/>
      <c r="D96" s="10">
        <v>9964.6499999999978</v>
      </c>
      <c r="E96" s="10"/>
      <c r="F96" s="10"/>
      <c r="G96" s="10"/>
      <c r="H96" s="10"/>
      <c r="I96" s="10"/>
      <c r="J96" s="10"/>
      <c r="K96" s="10"/>
      <c r="L96" s="10">
        <v>16644.38</v>
      </c>
      <c r="M96" s="10"/>
      <c r="N96" s="10">
        <v>12123.1</v>
      </c>
      <c r="O96" s="10"/>
      <c r="P96" s="10"/>
      <c r="Q96" s="10">
        <v>13595.380000000001</v>
      </c>
      <c r="R96" s="10"/>
      <c r="S96" s="10"/>
      <c r="T96" s="10"/>
      <c r="U96" s="10"/>
      <c r="V96" s="10"/>
      <c r="W96" s="10"/>
      <c r="X96" s="10">
        <v>53639.920000000006</v>
      </c>
      <c r="Y96" s="10"/>
      <c r="Z96" s="10"/>
      <c r="AA96" s="10"/>
      <c r="AB96" s="10"/>
      <c r="AC96" s="10"/>
      <c r="AD96" s="10"/>
      <c r="AE96" s="10"/>
      <c r="AF96" s="10"/>
      <c r="AG96" s="10"/>
      <c r="AH96" s="10">
        <v>27938.49</v>
      </c>
    </row>
    <row r="97" spans="1:34" x14ac:dyDescent="0.25">
      <c r="A97" t="s">
        <v>1138</v>
      </c>
      <c r="B97" t="s">
        <v>1546</v>
      </c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>
        <v>455471.28</v>
      </c>
      <c r="S97" s="10"/>
      <c r="T97" s="10">
        <v>132588.57999999999</v>
      </c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>
        <v>338093.44</v>
      </c>
    </row>
    <row r="98" spans="1:34" x14ac:dyDescent="0.25">
      <c r="A98" t="s">
        <v>1138</v>
      </c>
      <c r="B98" t="s">
        <v>94</v>
      </c>
      <c r="C98" s="10">
        <v>223974.59000000005</v>
      </c>
      <c r="D98" s="10">
        <v>154923.61000000002</v>
      </c>
      <c r="E98" s="10">
        <v>634909.38</v>
      </c>
      <c r="F98" s="10">
        <v>673002.7699999992</v>
      </c>
      <c r="G98" s="10">
        <v>779278.14999999991</v>
      </c>
      <c r="H98" s="10">
        <v>627539.55000000005</v>
      </c>
      <c r="I98" s="10">
        <v>147004.12000000002</v>
      </c>
      <c r="J98" s="10">
        <v>738564.26000000013</v>
      </c>
      <c r="K98" s="10">
        <v>633560.60999999987</v>
      </c>
      <c r="L98" s="10">
        <v>277506.64999999997</v>
      </c>
      <c r="M98" s="10">
        <v>485889.60999999964</v>
      </c>
      <c r="N98" s="10"/>
      <c r="O98" s="10">
        <v>240795.87</v>
      </c>
      <c r="P98" s="10">
        <v>719426.32000000007</v>
      </c>
      <c r="Q98" s="10">
        <v>35415.58</v>
      </c>
      <c r="R98" s="10">
        <v>666516.44999999995</v>
      </c>
      <c r="S98" s="10">
        <v>156489.51999999999</v>
      </c>
      <c r="T98" s="10">
        <v>282727.33</v>
      </c>
      <c r="U98" s="10">
        <v>336908.11</v>
      </c>
      <c r="V98" s="10">
        <v>249967.36000000004</v>
      </c>
      <c r="W98" s="10">
        <v>690750.07</v>
      </c>
      <c r="X98" s="10">
        <v>427604.49000000011</v>
      </c>
      <c r="Y98" s="10">
        <v>267839.1100000001</v>
      </c>
      <c r="Z98" s="10">
        <v>432399.44000000006</v>
      </c>
      <c r="AA98" s="10">
        <v>252619.40999999995</v>
      </c>
      <c r="AB98" s="10">
        <v>282639.17</v>
      </c>
      <c r="AC98" s="10">
        <v>176220.08</v>
      </c>
      <c r="AD98" s="10">
        <v>272145.90999999992</v>
      </c>
      <c r="AE98" s="10">
        <v>137834.11000000004</v>
      </c>
      <c r="AF98" s="10">
        <v>373135.30999999988</v>
      </c>
      <c r="AG98" s="10">
        <v>1491230.6600000004</v>
      </c>
      <c r="AH98" s="10">
        <v>157187.53</v>
      </c>
    </row>
    <row r="99" spans="1:34" x14ac:dyDescent="0.25">
      <c r="A99" t="s">
        <v>1138</v>
      </c>
      <c r="B99" t="s">
        <v>95</v>
      </c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>
        <v>182291.57</v>
      </c>
      <c r="Q99" s="10">
        <v>884942.11</v>
      </c>
      <c r="R99" s="10"/>
      <c r="S99" s="10"/>
      <c r="T99" s="10"/>
      <c r="U99" s="10"/>
      <c r="V99" s="10"/>
      <c r="W99" s="10"/>
      <c r="X99" s="10">
        <v>70353.960000000006</v>
      </c>
      <c r="Y99" s="10">
        <v>225676.59</v>
      </c>
      <c r="Z99" s="10"/>
      <c r="AA99" s="10"/>
      <c r="AB99" s="10"/>
      <c r="AC99" s="10">
        <v>49438.22</v>
      </c>
      <c r="AD99" s="10">
        <v>33483.68</v>
      </c>
      <c r="AE99" s="10"/>
      <c r="AF99" s="10"/>
      <c r="AG99" s="10">
        <v>25693.32</v>
      </c>
      <c r="AH99" s="10"/>
    </row>
    <row r="100" spans="1:34" x14ac:dyDescent="0.25">
      <c r="A100" t="s">
        <v>1138</v>
      </c>
      <c r="B100" t="s">
        <v>1658</v>
      </c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>
        <v>337688.64999999997</v>
      </c>
      <c r="AB100" s="10">
        <v>40518.449999999997</v>
      </c>
      <c r="AC100" s="10">
        <v>66504.98</v>
      </c>
      <c r="AD100" s="10">
        <v>256163.58000000002</v>
      </c>
      <c r="AE100" s="10">
        <v>478084.72999999992</v>
      </c>
      <c r="AF100" s="10">
        <v>613206.10000000021</v>
      </c>
      <c r="AG100" s="10"/>
      <c r="AH100" s="10">
        <v>372659.23000000004</v>
      </c>
    </row>
    <row r="101" spans="1:34" x14ac:dyDescent="0.25">
      <c r="A101" t="s">
        <v>1138</v>
      </c>
      <c r="B101" t="s">
        <v>96</v>
      </c>
      <c r="C101" s="10">
        <v>61498.239999999991</v>
      </c>
      <c r="D101" s="10"/>
      <c r="E101" s="10"/>
      <c r="F101" s="10">
        <v>96893.8</v>
      </c>
      <c r="G101" s="10">
        <v>79961.220000000016</v>
      </c>
      <c r="H101" s="10">
        <v>85182.550000000032</v>
      </c>
      <c r="I101" s="10">
        <v>137313.32999999999</v>
      </c>
      <c r="J101" s="10">
        <v>221471.58</v>
      </c>
      <c r="K101" s="10">
        <v>320846.24999999994</v>
      </c>
      <c r="L101" s="10">
        <v>68321.52</v>
      </c>
      <c r="M101" s="10">
        <v>56259.77</v>
      </c>
      <c r="N101" s="10">
        <v>19860.920000000002</v>
      </c>
      <c r="O101" s="10">
        <v>27268.66</v>
      </c>
      <c r="P101" s="10">
        <v>95596.599999999977</v>
      </c>
      <c r="Q101" s="10">
        <v>241106.53000000006</v>
      </c>
      <c r="R101" s="10">
        <v>72869.19</v>
      </c>
      <c r="S101" s="10"/>
      <c r="T101" s="10">
        <v>43693.049999999996</v>
      </c>
      <c r="U101" s="10">
        <v>133439.71</v>
      </c>
      <c r="V101" s="10">
        <v>54073.279999999999</v>
      </c>
      <c r="W101" s="10">
        <v>-19777.549999999992</v>
      </c>
      <c r="X101" s="10">
        <v>25502.11</v>
      </c>
      <c r="Y101" s="10">
        <v>23347.82</v>
      </c>
      <c r="Z101" s="10">
        <v>29030.379999999997</v>
      </c>
      <c r="AA101" s="10"/>
      <c r="AB101" s="10"/>
      <c r="AC101" s="10">
        <v>115647.76000000001</v>
      </c>
      <c r="AD101" s="10">
        <v>76365.280000000013</v>
      </c>
      <c r="AE101" s="10"/>
      <c r="AF101" s="10">
        <v>72749.33</v>
      </c>
      <c r="AG101" s="10"/>
      <c r="AH101" s="10"/>
    </row>
    <row r="102" spans="1:34" x14ac:dyDescent="0.25">
      <c r="A102" t="s">
        <v>1138</v>
      </c>
      <c r="B102" t="s">
        <v>1659</v>
      </c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>
        <v>56978.420000000013</v>
      </c>
      <c r="AB102" s="10"/>
      <c r="AC102" s="10"/>
      <c r="AD102" s="10"/>
      <c r="AE102" s="10"/>
      <c r="AF102" s="10"/>
      <c r="AG102" s="10"/>
      <c r="AH102" s="10"/>
    </row>
    <row r="103" spans="1:34" x14ac:dyDescent="0.25">
      <c r="A103" t="s">
        <v>1138</v>
      </c>
      <c r="B103" t="s">
        <v>1660</v>
      </c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>
        <v>20768.96</v>
      </c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</row>
    <row r="104" spans="1:34" x14ac:dyDescent="0.25">
      <c r="A104" t="s">
        <v>1138</v>
      </c>
      <c r="B104" t="s">
        <v>97</v>
      </c>
      <c r="C104" s="10"/>
      <c r="D104" s="10"/>
      <c r="E104" s="10"/>
      <c r="F104" s="10"/>
      <c r="G104" s="10"/>
      <c r="H104" s="10"/>
      <c r="I104" s="10"/>
      <c r="J104" s="10"/>
      <c r="K104" s="10">
        <v>21330.98</v>
      </c>
      <c r="L104" s="10">
        <v>25396.66</v>
      </c>
      <c r="M104" s="10"/>
      <c r="N104" s="10"/>
      <c r="O104" s="10"/>
      <c r="P104" s="10"/>
      <c r="Q104" s="10">
        <v>23814.2</v>
      </c>
      <c r="R104" s="10"/>
      <c r="S104" s="10"/>
      <c r="T104" s="10">
        <v>38277.85</v>
      </c>
      <c r="U104" s="10"/>
      <c r="V104" s="10"/>
      <c r="W104" s="10"/>
      <c r="X104" s="10"/>
      <c r="Y104" s="10"/>
      <c r="Z104" s="10"/>
      <c r="AA104" s="10">
        <v>21700.62</v>
      </c>
      <c r="AB104" s="10"/>
      <c r="AC104" s="10"/>
      <c r="AD104" s="10"/>
      <c r="AE104" s="10">
        <v>26349.379999999997</v>
      </c>
      <c r="AF104" s="10"/>
      <c r="AG104" s="10"/>
      <c r="AH104" s="10">
        <v>18401.599999999999</v>
      </c>
    </row>
    <row r="105" spans="1:34" x14ac:dyDescent="0.25">
      <c r="A105" t="s">
        <v>1138</v>
      </c>
      <c r="B105" t="s">
        <v>1661</v>
      </c>
      <c r="C105" s="10"/>
      <c r="D105" s="10"/>
      <c r="E105" s="10"/>
      <c r="F105" s="10"/>
      <c r="G105" s="10">
        <v>37797.94</v>
      </c>
      <c r="H105" s="10">
        <v>132571.24</v>
      </c>
      <c r="I105" s="10">
        <v>129730.79999999999</v>
      </c>
      <c r="J105" s="10">
        <v>30211.79</v>
      </c>
      <c r="K105" s="10"/>
      <c r="L105" s="10">
        <v>104425.17000000001</v>
      </c>
      <c r="M105" s="10"/>
      <c r="N105" s="10">
        <v>15462.8</v>
      </c>
      <c r="O105" s="10"/>
      <c r="P105" s="10"/>
      <c r="Q105" s="10">
        <v>9633.31</v>
      </c>
      <c r="R105" s="10"/>
      <c r="S105" s="10"/>
      <c r="T105" s="10">
        <v>82446.150000000023</v>
      </c>
      <c r="U105" s="10"/>
      <c r="V105" s="10"/>
      <c r="W105" s="10">
        <v>41387.980000000003</v>
      </c>
      <c r="X105" s="10">
        <v>40135.33</v>
      </c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</row>
    <row r="106" spans="1:34" x14ac:dyDescent="0.25">
      <c r="A106" t="s">
        <v>1138</v>
      </c>
      <c r="B106" t="s">
        <v>1662</v>
      </c>
      <c r="C106" s="10">
        <v>27488.770000000004</v>
      </c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>
        <v>10292.049999999999</v>
      </c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</row>
    <row r="107" spans="1:34" x14ac:dyDescent="0.25">
      <c r="A107" t="s">
        <v>1138</v>
      </c>
      <c r="B107" t="s">
        <v>98</v>
      </c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>
        <v>58398.289999999994</v>
      </c>
      <c r="O107" s="10"/>
      <c r="P107" s="10">
        <v>8440.18</v>
      </c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>
        <v>182937.22</v>
      </c>
      <c r="AD107" s="10">
        <v>186533.03999999998</v>
      </c>
      <c r="AE107" s="10">
        <v>11839.83</v>
      </c>
      <c r="AF107" s="10"/>
      <c r="AG107" s="10">
        <v>168114.30999999997</v>
      </c>
      <c r="AH107" s="10"/>
    </row>
    <row r="108" spans="1:34" x14ac:dyDescent="0.25">
      <c r="A108" t="s">
        <v>1138</v>
      </c>
      <c r="B108" t="s">
        <v>1663</v>
      </c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>
        <v>58267.959999999992</v>
      </c>
      <c r="Y108" s="10"/>
      <c r="Z108" s="10">
        <v>41627.57</v>
      </c>
      <c r="AA108" s="10"/>
      <c r="AB108" s="10"/>
      <c r="AC108" s="10"/>
      <c r="AD108" s="10"/>
      <c r="AE108" s="10"/>
      <c r="AF108" s="10"/>
      <c r="AG108" s="10"/>
      <c r="AH108" s="10"/>
    </row>
    <row r="109" spans="1:34" x14ac:dyDescent="0.25">
      <c r="A109" t="s">
        <v>1138</v>
      </c>
      <c r="B109" t="s">
        <v>1664</v>
      </c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>
        <v>97473.919999999998</v>
      </c>
      <c r="U109" s="10"/>
      <c r="V109" s="10">
        <v>32014.32</v>
      </c>
      <c r="W109" s="10"/>
      <c r="X109" s="10"/>
      <c r="Y109" s="10"/>
      <c r="Z109" s="10"/>
      <c r="AA109" s="10"/>
      <c r="AB109" s="10"/>
      <c r="AC109" s="10"/>
      <c r="AD109" s="10"/>
      <c r="AE109" s="10">
        <v>34744.800000000003</v>
      </c>
      <c r="AF109" s="10">
        <v>28048.799999999996</v>
      </c>
      <c r="AG109" s="10"/>
      <c r="AH109" s="10"/>
    </row>
    <row r="110" spans="1:34" x14ac:dyDescent="0.25">
      <c r="A110" t="s">
        <v>1138</v>
      </c>
      <c r="B110" t="s">
        <v>99</v>
      </c>
      <c r="C110" s="10"/>
      <c r="D110" s="10"/>
      <c r="E110" s="10"/>
      <c r="F110" s="10"/>
      <c r="G110" s="10"/>
      <c r="H110" s="10"/>
      <c r="I110" s="10"/>
      <c r="J110" s="10"/>
      <c r="K110" s="10">
        <v>117025.28</v>
      </c>
      <c r="L110" s="10"/>
      <c r="M110" s="10"/>
      <c r="N110" s="10">
        <v>96157.55</v>
      </c>
      <c r="O110" s="10"/>
      <c r="P110" s="10"/>
      <c r="Q110" s="10"/>
      <c r="R110" s="10"/>
      <c r="S110" s="10">
        <v>86389.999999999985</v>
      </c>
      <c r="T110" s="10">
        <v>97086</v>
      </c>
      <c r="U110" s="10"/>
      <c r="V110" s="10">
        <v>59914.000000000007</v>
      </c>
      <c r="W110" s="10">
        <v>128418.98999999996</v>
      </c>
      <c r="X110" s="10">
        <v>387563.44000000006</v>
      </c>
      <c r="Y110" s="10">
        <v>132247.10999999996</v>
      </c>
      <c r="Z110" s="10">
        <v>201846.53999999995</v>
      </c>
      <c r="AA110" s="10">
        <v>55807.790000000008</v>
      </c>
      <c r="AB110" s="10">
        <v>51732.339999999989</v>
      </c>
      <c r="AC110" s="10">
        <v>118187</v>
      </c>
      <c r="AD110" s="10">
        <v>82029.48</v>
      </c>
      <c r="AE110" s="10">
        <v>218550.27000000002</v>
      </c>
      <c r="AF110" s="10">
        <v>240063.99999999997</v>
      </c>
      <c r="AG110" s="10">
        <v>293430.15999999997</v>
      </c>
      <c r="AH110" s="10">
        <v>147109.00000000003</v>
      </c>
    </row>
    <row r="111" spans="1:34" x14ac:dyDescent="0.25">
      <c r="A111" t="s">
        <v>1138</v>
      </c>
      <c r="B111" t="s">
        <v>100</v>
      </c>
      <c r="C111" s="10"/>
      <c r="D111" s="10"/>
      <c r="E111" s="10"/>
      <c r="F111" s="10"/>
      <c r="G111" s="10">
        <v>131902.58000000002</v>
      </c>
      <c r="H111" s="10"/>
      <c r="I111" s="10"/>
      <c r="J111" s="10">
        <v>31719.03</v>
      </c>
      <c r="K111" s="10"/>
      <c r="L111" s="10">
        <v>48934.799999999996</v>
      </c>
      <c r="M111" s="10"/>
      <c r="N111" s="10">
        <v>26713.4</v>
      </c>
      <c r="O111" s="10">
        <v>23195.090000000004</v>
      </c>
      <c r="P111" s="10"/>
      <c r="Q111" s="10"/>
      <c r="R111" s="10"/>
      <c r="S111" s="10">
        <v>17339.000000000004</v>
      </c>
      <c r="T111" s="10"/>
      <c r="U111" s="10">
        <v>35235</v>
      </c>
      <c r="V111" s="10"/>
      <c r="W111" s="10"/>
      <c r="X111" s="10">
        <v>45561.999999999993</v>
      </c>
      <c r="Y111" s="10"/>
      <c r="Z111" s="10">
        <v>41245.000000000007</v>
      </c>
      <c r="AA111" s="10"/>
      <c r="AB111" s="10"/>
      <c r="AC111" s="10"/>
      <c r="AD111" s="10"/>
      <c r="AE111" s="10"/>
      <c r="AF111" s="10">
        <v>71955</v>
      </c>
      <c r="AG111" s="10"/>
      <c r="AH111" s="10">
        <v>47260</v>
      </c>
    </row>
    <row r="112" spans="1:34" x14ac:dyDescent="0.25">
      <c r="A112" t="s">
        <v>1138</v>
      </c>
      <c r="B112" t="s">
        <v>101</v>
      </c>
      <c r="C112" s="10"/>
      <c r="D112" s="10"/>
      <c r="E112" s="10"/>
      <c r="F112" s="10"/>
      <c r="G112" s="10"/>
      <c r="H112" s="10"/>
      <c r="I112" s="10">
        <v>75439.969999999987</v>
      </c>
      <c r="J112" s="10"/>
      <c r="K112" s="10">
        <v>82647.310000000012</v>
      </c>
      <c r="L112" s="10">
        <v>25526.53</v>
      </c>
      <c r="M112" s="10"/>
      <c r="N112" s="10">
        <v>60360.87</v>
      </c>
      <c r="O112" s="10">
        <v>47835.80999999999</v>
      </c>
      <c r="P112" s="10">
        <v>75596.66</v>
      </c>
      <c r="Q112" s="10"/>
      <c r="R112" s="10"/>
      <c r="S112" s="10">
        <v>40143.419999999991</v>
      </c>
      <c r="T112" s="10"/>
      <c r="U112" s="10">
        <v>138058.71</v>
      </c>
      <c r="V112" s="10">
        <v>45296.040000000008</v>
      </c>
      <c r="W112" s="10">
        <v>203204.88</v>
      </c>
      <c r="X112" s="10">
        <v>55817.58</v>
      </c>
      <c r="Y112" s="10">
        <v>46787.020000000019</v>
      </c>
      <c r="Z112" s="10"/>
      <c r="AA112" s="10">
        <v>70292.699999999968</v>
      </c>
      <c r="AB112" s="10"/>
      <c r="AC112" s="10">
        <v>85000.38</v>
      </c>
      <c r="AD112" s="10">
        <v>98414.09</v>
      </c>
      <c r="AE112" s="10">
        <v>125236.29999999996</v>
      </c>
      <c r="AF112" s="10">
        <v>135191.59000000005</v>
      </c>
      <c r="AG112" s="10">
        <v>286613.94999999995</v>
      </c>
      <c r="AH112" s="10">
        <v>85380.279999999984</v>
      </c>
    </row>
    <row r="113" spans="1:34" x14ac:dyDescent="0.25">
      <c r="A113" t="s">
        <v>1138</v>
      </c>
      <c r="B113" t="s">
        <v>102</v>
      </c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>
        <v>279318.43</v>
      </c>
      <c r="N113" s="10"/>
      <c r="O113" s="10"/>
      <c r="P113" s="10"/>
      <c r="Q113" s="10"/>
      <c r="R113" s="10"/>
      <c r="S113" s="10"/>
      <c r="T113" s="10">
        <v>840611.49</v>
      </c>
      <c r="U113" s="10">
        <v>594917.92000000004</v>
      </c>
      <c r="V113" s="10">
        <v>243845.11000000002</v>
      </c>
      <c r="W113" s="10">
        <v>207478.46999999997</v>
      </c>
      <c r="X113" s="10">
        <v>595477.9099999998</v>
      </c>
      <c r="Y113" s="10">
        <v>234779.54999999993</v>
      </c>
      <c r="Z113" s="10">
        <v>233223.57</v>
      </c>
      <c r="AA113" s="10"/>
      <c r="AB113" s="10">
        <v>263098.44999999995</v>
      </c>
      <c r="AC113" s="10">
        <v>299918.7</v>
      </c>
      <c r="AD113" s="10">
        <v>194385.30999999997</v>
      </c>
      <c r="AE113" s="10">
        <v>158320.90000000002</v>
      </c>
      <c r="AF113" s="10">
        <v>220717.99</v>
      </c>
      <c r="AG113" s="10">
        <v>212652.17999999996</v>
      </c>
      <c r="AH113" s="10">
        <v>288459.82999999996</v>
      </c>
    </row>
    <row r="114" spans="1:34" x14ac:dyDescent="0.25">
      <c r="A114" t="s">
        <v>1138</v>
      </c>
      <c r="B114" t="s">
        <v>103</v>
      </c>
      <c r="C114" s="10"/>
      <c r="D114" s="10"/>
      <c r="E114" s="10">
        <v>29722.799999999999</v>
      </c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>
        <v>2816.78</v>
      </c>
      <c r="T114" s="10"/>
      <c r="U114" s="10"/>
      <c r="V114" s="10"/>
      <c r="W114" s="10"/>
      <c r="X114" s="10">
        <v>862.73</v>
      </c>
      <c r="Y114" s="10">
        <v>661.91</v>
      </c>
      <c r="Z114" s="10">
        <v>911.52</v>
      </c>
      <c r="AA114" s="10"/>
      <c r="AB114" s="10">
        <v>1138.01</v>
      </c>
      <c r="AC114" s="10"/>
      <c r="AD114" s="10"/>
      <c r="AE114" s="10"/>
      <c r="AF114" s="10"/>
      <c r="AG114" s="10"/>
      <c r="AH114" s="10">
        <v>2187.9</v>
      </c>
    </row>
    <row r="115" spans="1:34" x14ac:dyDescent="0.25">
      <c r="A115" t="s">
        <v>1138</v>
      </c>
      <c r="B115" t="s">
        <v>1665</v>
      </c>
      <c r="C115" s="10">
        <v>157170.10000000006</v>
      </c>
      <c r="D115" s="10"/>
      <c r="E115" s="10">
        <v>172373.74000000008</v>
      </c>
      <c r="F115" s="10">
        <v>124997.85000000002</v>
      </c>
      <c r="G115" s="10"/>
      <c r="H115" s="10">
        <v>61131.029999999992</v>
      </c>
      <c r="I115" s="10"/>
      <c r="J115" s="10"/>
      <c r="K115" s="10"/>
      <c r="L115" s="10"/>
      <c r="M115" s="10"/>
      <c r="N115" s="10"/>
      <c r="O115" s="10"/>
      <c r="P115" s="10"/>
      <c r="Q115" s="10"/>
      <c r="R115" s="10">
        <v>147046.66</v>
      </c>
      <c r="S115" s="10">
        <v>14080.550000000001</v>
      </c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</row>
    <row r="116" spans="1:34" x14ac:dyDescent="0.25">
      <c r="A116" t="s">
        <v>1138</v>
      </c>
      <c r="B116" t="s">
        <v>1666</v>
      </c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>
        <v>627013.72</v>
      </c>
      <c r="S116" s="10">
        <v>176564.95</v>
      </c>
      <c r="T116" s="10">
        <v>359191.06000000011</v>
      </c>
      <c r="U116" s="10">
        <v>222964.16000000006</v>
      </c>
      <c r="V116" s="10">
        <v>205036.5800000001</v>
      </c>
      <c r="W116" s="10">
        <v>341830.31000000006</v>
      </c>
      <c r="X116" s="10">
        <v>254129.09999999989</v>
      </c>
      <c r="Y116" s="10">
        <v>198417.4</v>
      </c>
      <c r="Z116" s="10">
        <v>315781.73</v>
      </c>
      <c r="AA116" s="10">
        <v>335656.33000000013</v>
      </c>
      <c r="AB116" s="10">
        <v>405157.98999999982</v>
      </c>
      <c r="AC116" s="10">
        <v>500313.80999999988</v>
      </c>
      <c r="AD116" s="10">
        <v>506069.00000000017</v>
      </c>
      <c r="AE116" s="10">
        <v>470033.81999999983</v>
      </c>
      <c r="AF116" s="10">
        <v>623045.36999999988</v>
      </c>
      <c r="AG116" s="10">
        <v>510966.58000000013</v>
      </c>
      <c r="AH116" s="10">
        <v>694979.77000000014</v>
      </c>
    </row>
    <row r="117" spans="1:34" x14ac:dyDescent="0.25">
      <c r="A117" t="s">
        <v>1138</v>
      </c>
      <c r="B117" t="s">
        <v>1479</v>
      </c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>
        <v>17259.87</v>
      </c>
      <c r="AH117" s="10"/>
    </row>
    <row r="118" spans="1:34" x14ac:dyDescent="0.25">
      <c r="A118" t="s">
        <v>1138</v>
      </c>
      <c r="B118" t="s">
        <v>104</v>
      </c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>
        <v>29288.920000000002</v>
      </c>
      <c r="N118" s="10"/>
      <c r="O118" s="10"/>
      <c r="P118" s="10"/>
      <c r="Q118" s="10"/>
      <c r="R118" s="10"/>
      <c r="S118" s="10"/>
      <c r="T118" s="10"/>
      <c r="U118" s="10"/>
      <c r="V118" s="10"/>
      <c r="W118" s="10">
        <v>214132.94999999998</v>
      </c>
      <c r="X118" s="10">
        <v>129735.23999999999</v>
      </c>
      <c r="Y118" s="10">
        <v>37259.97</v>
      </c>
      <c r="Z118" s="10">
        <v>56762.14</v>
      </c>
      <c r="AA118" s="10"/>
      <c r="AB118" s="10">
        <v>89161.59</v>
      </c>
      <c r="AC118" s="10">
        <v>123305.28999999998</v>
      </c>
      <c r="AD118" s="10">
        <v>338598.22000000003</v>
      </c>
      <c r="AE118" s="10">
        <v>83274.850000000006</v>
      </c>
      <c r="AF118" s="10">
        <v>356071.21</v>
      </c>
      <c r="AG118" s="10">
        <v>319319</v>
      </c>
      <c r="AH118" s="10">
        <v>403201.97</v>
      </c>
    </row>
    <row r="119" spans="1:34" x14ac:dyDescent="0.25">
      <c r="A119" t="s">
        <v>1138</v>
      </c>
      <c r="B119" t="s">
        <v>105</v>
      </c>
      <c r="C119" s="10"/>
      <c r="D119" s="10"/>
      <c r="E119" s="10"/>
      <c r="F119" s="10">
        <v>46269.04</v>
      </c>
      <c r="G119" s="10"/>
      <c r="H119" s="10">
        <v>62690.410000000011</v>
      </c>
      <c r="I119" s="10">
        <v>82000.709999999992</v>
      </c>
      <c r="J119" s="10"/>
      <c r="K119" s="10"/>
      <c r="L119" s="10">
        <v>62095.13</v>
      </c>
      <c r="M119" s="10"/>
      <c r="N119" s="10">
        <v>82797.640000000014</v>
      </c>
      <c r="O119" s="10"/>
      <c r="P119" s="10">
        <v>42875.439999999988</v>
      </c>
      <c r="Q119" s="10"/>
      <c r="R119" s="10"/>
      <c r="S119" s="10">
        <v>42579.74</v>
      </c>
      <c r="T119" s="10"/>
      <c r="U119" s="10"/>
      <c r="V119" s="10">
        <v>60399.100000000006</v>
      </c>
      <c r="W119" s="10">
        <v>131465.53000000003</v>
      </c>
      <c r="X119" s="10"/>
      <c r="Y119" s="10">
        <v>59887.559999999983</v>
      </c>
      <c r="Z119" s="10"/>
      <c r="AA119" s="10"/>
      <c r="AB119" s="10">
        <v>56661.83</v>
      </c>
      <c r="AC119" s="10">
        <v>34324.969999999987</v>
      </c>
      <c r="AD119" s="10">
        <v>57111.899999999994</v>
      </c>
      <c r="AE119" s="10">
        <v>55212.98000000001</v>
      </c>
      <c r="AF119" s="10">
        <v>105383.82</v>
      </c>
      <c r="AG119" s="10"/>
      <c r="AH119" s="10">
        <v>122973.32000000004</v>
      </c>
    </row>
    <row r="120" spans="1:34" x14ac:dyDescent="0.25">
      <c r="A120" t="s">
        <v>1138</v>
      </c>
      <c r="B120" t="s">
        <v>1667</v>
      </c>
      <c r="C120" s="10"/>
      <c r="D120" s="10"/>
      <c r="E120" s="10"/>
      <c r="F120" s="10"/>
      <c r="G120" s="10"/>
      <c r="H120" s="10"/>
      <c r="I120" s="10">
        <v>124235.8</v>
      </c>
      <c r="J120" s="10">
        <v>33324.85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</row>
    <row r="121" spans="1:34" x14ac:dyDescent="0.25">
      <c r="A121" t="s">
        <v>1145</v>
      </c>
      <c r="B121" t="s">
        <v>106</v>
      </c>
      <c r="C121" s="10"/>
      <c r="D121" s="10">
        <v>31926.779999999995</v>
      </c>
      <c r="E121" s="10">
        <v>30929.26</v>
      </c>
      <c r="F121" s="10">
        <v>30090.05999999999</v>
      </c>
      <c r="G121" s="10">
        <v>47180.13</v>
      </c>
      <c r="H121" s="10">
        <v>46429.94</v>
      </c>
      <c r="I121" s="10">
        <v>-4548.16</v>
      </c>
      <c r="J121" s="10">
        <v>37335.200000000004</v>
      </c>
      <c r="K121" s="10">
        <v>30995.209999999992</v>
      </c>
      <c r="L121" s="10">
        <v>30412.82</v>
      </c>
      <c r="M121" s="10">
        <v>32584.410000000003</v>
      </c>
      <c r="N121" s="10">
        <v>59836.160000000011</v>
      </c>
      <c r="O121" s="10"/>
      <c r="P121" s="10"/>
      <c r="Q121" s="10"/>
      <c r="R121" s="10"/>
      <c r="S121" s="10">
        <v>89664.189999999973</v>
      </c>
      <c r="T121" s="10">
        <v>57382.629999999983</v>
      </c>
      <c r="U121" s="10">
        <v>31766.629999999994</v>
      </c>
      <c r="V121" s="10">
        <v>59534.74</v>
      </c>
      <c r="W121" s="10">
        <v>131892.80000000002</v>
      </c>
      <c r="X121" s="10">
        <v>66774.040000000008</v>
      </c>
      <c r="Y121" s="10">
        <v>13238.819999999998</v>
      </c>
      <c r="Z121" s="10">
        <v>22872.719999999998</v>
      </c>
      <c r="AA121" s="10"/>
      <c r="AB121" s="10">
        <v>29325.129999999997</v>
      </c>
      <c r="AC121" s="10">
        <v>47728.440000000017</v>
      </c>
      <c r="AD121" s="10">
        <v>35741.420000000006</v>
      </c>
      <c r="AE121" s="10">
        <v>74046.499999999971</v>
      </c>
      <c r="AF121" s="10">
        <v>74336.310000000012</v>
      </c>
      <c r="AG121" s="10">
        <v>114973.26</v>
      </c>
      <c r="AH121" s="10">
        <v>152131.80999999997</v>
      </c>
    </row>
    <row r="122" spans="1:34" x14ac:dyDescent="0.25">
      <c r="A122" t="s">
        <v>1145</v>
      </c>
      <c r="B122" t="s">
        <v>1668</v>
      </c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>
        <v>247455.03000000003</v>
      </c>
      <c r="Q122" s="10">
        <v>261608.61000000002</v>
      </c>
      <c r="R122" s="10">
        <v>541691.91000000015</v>
      </c>
      <c r="S122" s="10">
        <v>339582</v>
      </c>
      <c r="T122" s="10">
        <v>828380.99999999988</v>
      </c>
      <c r="U122" s="10"/>
      <c r="V122" s="10"/>
      <c r="W122" s="10">
        <v>191368.00000000003</v>
      </c>
      <c r="X122" s="10">
        <v>342416.99999999994</v>
      </c>
      <c r="Y122" s="10">
        <v>241193</v>
      </c>
      <c r="Z122" s="10"/>
      <c r="AA122" s="10"/>
      <c r="AB122" s="10"/>
      <c r="AC122" s="10"/>
      <c r="AD122" s="10"/>
      <c r="AE122" s="10"/>
      <c r="AF122" s="10"/>
      <c r="AG122" s="10"/>
      <c r="AH122" s="10"/>
    </row>
    <row r="123" spans="1:34" x14ac:dyDescent="0.25">
      <c r="A123" t="s">
        <v>1145</v>
      </c>
      <c r="B123" t="s">
        <v>1669</v>
      </c>
      <c r="C123" s="10"/>
      <c r="D123" s="10"/>
      <c r="E123" s="10"/>
      <c r="F123" s="10"/>
      <c r="G123" s="10"/>
      <c r="H123" s="10"/>
      <c r="I123" s="10"/>
      <c r="J123" s="10">
        <v>23405.550000000003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</row>
    <row r="124" spans="1:34" x14ac:dyDescent="0.25">
      <c r="A124" t="s">
        <v>1145</v>
      </c>
      <c r="B124" t="s">
        <v>107</v>
      </c>
      <c r="C124" s="10"/>
      <c r="D124" s="10"/>
      <c r="E124" s="10"/>
      <c r="F124" s="10"/>
      <c r="G124" s="10">
        <v>27086.259999999995</v>
      </c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>
        <v>25457.91</v>
      </c>
      <c r="W124" s="10"/>
      <c r="X124" s="10"/>
      <c r="Y124" s="10"/>
      <c r="Z124" s="10"/>
      <c r="AA124" s="10"/>
      <c r="AB124" s="10"/>
      <c r="AC124" s="10">
        <v>26796.979999999996</v>
      </c>
      <c r="AD124" s="10"/>
      <c r="AE124" s="10"/>
      <c r="AF124" s="10"/>
      <c r="AG124" s="10"/>
      <c r="AH124" s="10"/>
    </row>
    <row r="125" spans="1:34" x14ac:dyDescent="0.25">
      <c r="A125" t="s">
        <v>1145</v>
      </c>
      <c r="B125" t="s">
        <v>764</v>
      </c>
      <c r="C125" s="10">
        <v>151575.85</v>
      </c>
      <c r="D125" s="10">
        <v>66990.240000000005</v>
      </c>
      <c r="E125" s="10">
        <v>58831.14</v>
      </c>
      <c r="F125" s="10">
        <v>101697.51000000001</v>
      </c>
      <c r="G125" s="10">
        <v>93442.26999999999</v>
      </c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</row>
    <row r="126" spans="1:34" x14ac:dyDescent="0.25">
      <c r="A126" t="s">
        <v>1145</v>
      </c>
      <c r="B126" t="s">
        <v>108</v>
      </c>
      <c r="C126" s="10">
        <v>13240.73</v>
      </c>
      <c r="D126" s="10">
        <v>14165.989999999998</v>
      </c>
      <c r="E126" s="10">
        <v>11500.689999999999</v>
      </c>
      <c r="F126" s="10">
        <v>26256.989999999998</v>
      </c>
      <c r="G126" s="10"/>
      <c r="H126" s="10">
        <v>69415.059999999983</v>
      </c>
      <c r="I126" s="10"/>
      <c r="J126" s="10">
        <v>51356.61</v>
      </c>
      <c r="K126" s="10"/>
      <c r="L126" s="10"/>
      <c r="M126" s="10">
        <v>57253.539999999986</v>
      </c>
      <c r="N126" s="10"/>
      <c r="O126" s="10"/>
      <c r="P126" s="10"/>
      <c r="Q126" s="10"/>
      <c r="R126" s="10">
        <v>47418.78</v>
      </c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>
        <v>18410</v>
      </c>
      <c r="AD126" s="10">
        <v>10415</v>
      </c>
      <c r="AE126" s="10">
        <v>14707.000000000002</v>
      </c>
      <c r="AF126" s="10"/>
      <c r="AG126" s="10">
        <v>18355.000000000004</v>
      </c>
      <c r="AH126" s="10"/>
    </row>
    <row r="127" spans="1:34" x14ac:dyDescent="0.25">
      <c r="A127" t="s">
        <v>1145</v>
      </c>
      <c r="B127" t="s">
        <v>1670</v>
      </c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>
        <v>156607.34000000003</v>
      </c>
      <c r="R127" s="10"/>
      <c r="S127" s="10">
        <v>37035.590000000004</v>
      </c>
      <c r="T127" s="10">
        <v>71587.899999999994</v>
      </c>
      <c r="U127" s="10"/>
      <c r="V127" s="10"/>
      <c r="W127" s="10">
        <v>55256.57</v>
      </c>
      <c r="X127" s="10">
        <v>107452.88000000002</v>
      </c>
      <c r="Y127" s="10"/>
      <c r="Z127" s="10">
        <v>112235.56</v>
      </c>
      <c r="AA127" s="10"/>
      <c r="AB127" s="10"/>
      <c r="AC127" s="10"/>
      <c r="AD127" s="10"/>
      <c r="AE127" s="10"/>
      <c r="AF127" s="10"/>
      <c r="AG127" s="10"/>
      <c r="AH127" s="10"/>
    </row>
    <row r="128" spans="1:34" x14ac:dyDescent="0.25">
      <c r="A128" t="s">
        <v>1145</v>
      </c>
      <c r="B128" t="s">
        <v>109</v>
      </c>
      <c r="C128" s="10"/>
      <c r="D128" s="10">
        <v>52938.16</v>
      </c>
      <c r="E128" s="10">
        <v>29415.4</v>
      </c>
      <c r="F128" s="10">
        <v>93570.300000000017</v>
      </c>
      <c r="G128" s="10"/>
      <c r="H128" s="10">
        <v>94545.12</v>
      </c>
      <c r="I128" s="10">
        <v>21711.940000000002</v>
      </c>
      <c r="J128" s="10">
        <v>36473.61</v>
      </c>
      <c r="K128" s="10">
        <v>55776.42</v>
      </c>
      <c r="L128" s="10">
        <v>25332.960000000003</v>
      </c>
      <c r="M128" s="10">
        <v>24946.449999999997</v>
      </c>
      <c r="N128" s="10">
        <v>65603.209999999992</v>
      </c>
      <c r="O128" s="10">
        <v>71849.159999999989</v>
      </c>
      <c r="P128" s="10"/>
      <c r="Q128" s="10">
        <v>52983.46</v>
      </c>
      <c r="R128" s="10">
        <v>55691.119999999988</v>
      </c>
      <c r="S128" s="10">
        <v>51150.750000000007</v>
      </c>
      <c r="T128" s="10">
        <v>37324.26</v>
      </c>
      <c r="U128" s="10">
        <v>30182.22</v>
      </c>
      <c r="V128" s="10">
        <v>50117.55</v>
      </c>
      <c r="W128" s="10">
        <v>66100.56</v>
      </c>
      <c r="X128" s="10">
        <v>31822.720000000001</v>
      </c>
      <c r="Y128" s="10">
        <v>69103.849999999991</v>
      </c>
      <c r="Z128" s="10"/>
      <c r="AA128" s="10">
        <v>47085.58</v>
      </c>
      <c r="AB128" s="10">
        <v>66830.150000000009</v>
      </c>
      <c r="AC128" s="10">
        <v>36568.53</v>
      </c>
      <c r="AD128" s="10">
        <v>52773.03</v>
      </c>
      <c r="AE128" s="10">
        <v>67043.280000000013</v>
      </c>
      <c r="AF128" s="10">
        <v>39151.339999999997</v>
      </c>
      <c r="AG128" s="10">
        <v>51269.75</v>
      </c>
      <c r="AH128" s="10">
        <v>44494.7</v>
      </c>
    </row>
    <row r="129" spans="1:34" x14ac:dyDescent="0.25">
      <c r="A129" t="s">
        <v>1145</v>
      </c>
      <c r="B129" t="s">
        <v>110</v>
      </c>
      <c r="C129" s="10">
        <v>18567.2</v>
      </c>
      <c r="D129" s="10">
        <v>15421.640000000003</v>
      </c>
      <c r="E129" s="10">
        <v>61937.420000000013</v>
      </c>
      <c r="F129" s="10">
        <v>87882.63</v>
      </c>
      <c r="G129" s="10">
        <v>67225.220000000016</v>
      </c>
      <c r="H129" s="10">
        <v>45725.229999999996</v>
      </c>
      <c r="I129" s="10">
        <v>34691.81</v>
      </c>
      <c r="J129" s="10">
        <v>69722.009999999995</v>
      </c>
      <c r="K129" s="10">
        <v>73138.38</v>
      </c>
      <c r="L129" s="10">
        <v>62324.630000000012</v>
      </c>
      <c r="M129" s="10">
        <v>62524.330000000009</v>
      </c>
      <c r="N129" s="10"/>
      <c r="O129" s="10">
        <v>63984.749999999993</v>
      </c>
      <c r="P129" s="10"/>
      <c r="Q129" s="10">
        <v>62093.560000000012</v>
      </c>
      <c r="R129" s="10">
        <v>96995.680000000022</v>
      </c>
      <c r="S129" s="10">
        <v>43059.719999999994</v>
      </c>
      <c r="T129" s="10">
        <v>61575.820000000007</v>
      </c>
      <c r="U129" s="10"/>
      <c r="V129" s="10">
        <v>64760.450000000012</v>
      </c>
      <c r="W129" s="10"/>
      <c r="X129" s="10">
        <v>44700.700000000012</v>
      </c>
      <c r="Y129" s="10">
        <v>20898.12</v>
      </c>
      <c r="Z129" s="10">
        <v>19690.43</v>
      </c>
      <c r="AA129" s="10">
        <v>25384.379999999997</v>
      </c>
      <c r="AB129" s="10">
        <v>31494.91</v>
      </c>
      <c r="AC129" s="10">
        <v>34386.860000000008</v>
      </c>
      <c r="AD129" s="10">
        <v>41435.340000000004</v>
      </c>
      <c r="AE129" s="10">
        <v>30370.89</v>
      </c>
      <c r="AF129" s="10">
        <v>83847.3</v>
      </c>
      <c r="AG129" s="10">
        <v>34754.26</v>
      </c>
      <c r="AH129" s="10">
        <v>132722.1</v>
      </c>
    </row>
    <row r="130" spans="1:34" x14ac:dyDescent="0.25">
      <c r="A130" t="s">
        <v>1145</v>
      </c>
      <c r="B130" t="s">
        <v>1671</v>
      </c>
      <c r="C130" s="10"/>
      <c r="D130" s="10"/>
      <c r="E130" s="10"/>
      <c r="F130" s="10">
        <v>10701.380000000001</v>
      </c>
      <c r="G130" s="10"/>
      <c r="H130" s="10">
        <v>12570.25</v>
      </c>
      <c r="I130" s="10"/>
      <c r="J130" s="10"/>
      <c r="K130" s="10">
        <v>14002.64</v>
      </c>
      <c r="L130" s="10"/>
      <c r="M130" s="10"/>
      <c r="N130" s="10"/>
      <c r="O130" s="10"/>
      <c r="P130" s="10"/>
      <c r="Q130" s="10"/>
      <c r="R130" s="10"/>
      <c r="S130" s="10"/>
      <c r="T130" s="10"/>
      <c r="U130" s="10">
        <v>31050.84</v>
      </c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</row>
    <row r="131" spans="1:34" x14ac:dyDescent="0.25">
      <c r="A131" t="s">
        <v>1145</v>
      </c>
      <c r="B131" t="s">
        <v>1672</v>
      </c>
      <c r="C131" s="10"/>
      <c r="D131" s="10"/>
      <c r="E131" s="10">
        <v>30575.85</v>
      </c>
      <c r="F131" s="10">
        <v>132847.94</v>
      </c>
      <c r="G131" s="10">
        <v>57509.000000000007</v>
      </c>
      <c r="H131" s="10">
        <v>20772.14</v>
      </c>
      <c r="I131" s="10"/>
      <c r="J131" s="10"/>
      <c r="K131" s="10"/>
      <c r="L131" s="10"/>
      <c r="M131" s="10"/>
      <c r="N131" s="10"/>
      <c r="O131" s="10">
        <v>20336.769999999997</v>
      </c>
      <c r="P131" s="10"/>
      <c r="Q131" s="10">
        <v>15400.8</v>
      </c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</row>
    <row r="132" spans="1:34" x14ac:dyDescent="0.25">
      <c r="A132" t="s">
        <v>1145</v>
      </c>
      <c r="B132" t="s">
        <v>1673</v>
      </c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>
        <v>56644.920000000006</v>
      </c>
      <c r="AB132" s="10"/>
      <c r="AC132" s="10"/>
      <c r="AD132" s="10"/>
      <c r="AE132" s="10"/>
      <c r="AF132" s="10">
        <v>194312.06</v>
      </c>
      <c r="AG132" s="10">
        <v>159905.43000000002</v>
      </c>
      <c r="AH132" s="10">
        <v>81537.47</v>
      </c>
    </row>
    <row r="133" spans="1:34" x14ac:dyDescent="0.25">
      <c r="A133" t="s">
        <v>1145</v>
      </c>
      <c r="B133" t="s">
        <v>111</v>
      </c>
      <c r="C133" s="10"/>
      <c r="D133" s="10"/>
      <c r="E133" s="10"/>
      <c r="F133" s="10"/>
      <c r="G133" s="10"/>
      <c r="H133" s="10">
        <v>24910.240000000002</v>
      </c>
      <c r="I133" s="10">
        <v>24922.49</v>
      </c>
      <c r="J133" s="10">
        <v>10654.31</v>
      </c>
      <c r="K133" s="10">
        <v>23039.600000000009</v>
      </c>
      <c r="L133" s="10"/>
      <c r="M133" s="10">
        <v>13718</v>
      </c>
      <c r="N133" s="10"/>
      <c r="O133" s="10"/>
      <c r="P133" s="10"/>
      <c r="Q133" s="10"/>
      <c r="R133" s="10"/>
      <c r="S133" s="10"/>
      <c r="T133" s="10"/>
      <c r="U133" s="10"/>
      <c r="V133" s="10">
        <v>73110.340000000011</v>
      </c>
      <c r="W133" s="10"/>
      <c r="X133" s="10">
        <v>29002.619999999995</v>
      </c>
      <c r="Y133" s="10"/>
      <c r="Z133" s="10">
        <v>39885.61</v>
      </c>
      <c r="AA133" s="10"/>
      <c r="AB133" s="10">
        <v>10990.99</v>
      </c>
      <c r="AC133" s="10"/>
      <c r="AD133" s="10">
        <v>20126.189999999999</v>
      </c>
      <c r="AE133" s="10"/>
      <c r="AF133" s="10">
        <v>121558.79000000001</v>
      </c>
      <c r="AG133" s="10"/>
      <c r="AH133" s="10">
        <v>93168.67</v>
      </c>
    </row>
    <row r="134" spans="1:34" x14ac:dyDescent="0.25">
      <c r="A134" t="s">
        <v>1145</v>
      </c>
      <c r="B134" t="s">
        <v>112</v>
      </c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>
        <v>15646.369999999999</v>
      </c>
      <c r="W134" s="10">
        <v>18502.63</v>
      </c>
      <c r="X134" s="10">
        <v>75819.509999999995</v>
      </c>
      <c r="Y134" s="10">
        <v>16109.050000000001</v>
      </c>
      <c r="Z134" s="10">
        <v>122852.91000000002</v>
      </c>
      <c r="AA134" s="10"/>
      <c r="AB134" s="10"/>
      <c r="AC134" s="10">
        <v>16273.15</v>
      </c>
      <c r="AD134" s="10"/>
      <c r="AE134" s="10">
        <v>89975.05</v>
      </c>
      <c r="AF134" s="10">
        <v>20708.099999999999</v>
      </c>
      <c r="AG134" s="10">
        <v>47612.899999999994</v>
      </c>
      <c r="AH134" s="10">
        <v>26778.920000000002</v>
      </c>
    </row>
    <row r="135" spans="1:34" x14ac:dyDescent="0.25">
      <c r="A135" t="s">
        <v>1145</v>
      </c>
      <c r="B135" t="s">
        <v>1674</v>
      </c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>
        <v>124262.75999999998</v>
      </c>
      <c r="AE135" s="10">
        <v>57728.75999999998</v>
      </c>
      <c r="AF135" s="10">
        <v>78601.580000000016</v>
      </c>
      <c r="AG135" s="10">
        <v>49077.30999999999</v>
      </c>
      <c r="AH135" s="10">
        <v>159224.09000000005</v>
      </c>
    </row>
    <row r="136" spans="1:34" x14ac:dyDescent="0.25">
      <c r="A136" t="s">
        <v>1145</v>
      </c>
      <c r="B136" t="s">
        <v>1394</v>
      </c>
      <c r="C136" s="10">
        <v>21829.27</v>
      </c>
      <c r="D136" s="10"/>
      <c r="E136" s="10"/>
      <c r="F136" s="10"/>
      <c r="G136" s="10">
        <v>47328.03</v>
      </c>
      <c r="H136" s="10"/>
      <c r="I136" s="10"/>
      <c r="J136" s="10"/>
      <c r="K136" s="10">
        <v>26061.39</v>
      </c>
      <c r="L136" s="10"/>
      <c r="M136" s="10"/>
      <c r="N136" s="10"/>
      <c r="O136" s="10"/>
      <c r="P136" s="10">
        <v>101398.90000000001</v>
      </c>
      <c r="Q136" s="10"/>
      <c r="R136" s="10">
        <v>45913.3</v>
      </c>
      <c r="S136" s="10">
        <v>35554.660000000003</v>
      </c>
      <c r="T136" s="10">
        <v>79143.839999999997</v>
      </c>
      <c r="U136" s="10"/>
      <c r="V136" s="10">
        <v>14937.1</v>
      </c>
      <c r="W136" s="10">
        <v>192517</v>
      </c>
      <c r="X136" s="10"/>
      <c r="Y136" s="10"/>
      <c r="Z136" s="10"/>
      <c r="AA136" s="10"/>
      <c r="AB136" s="10">
        <v>103490.31</v>
      </c>
      <c r="AC136" s="10">
        <v>48728.03</v>
      </c>
      <c r="AD136" s="10">
        <v>126267.4</v>
      </c>
      <c r="AE136" s="10"/>
      <c r="AF136" s="10">
        <v>51941.64</v>
      </c>
      <c r="AG136" s="10"/>
      <c r="AH136" s="10"/>
    </row>
    <row r="137" spans="1:34" x14ac:dyDescent="0.25">
      <c r="A137" t="s">
        <v>1145</v>
      </c>
      <c r="B137" t="s">
        <v>113</v>
      </c>
      <c r="C137" s="10"/>
      <c r="D137" s="10"/>
      <c r="E137" s="10">
        <v>30549.33</v>
      </c>
      <c r="F137" s="10">
        <v>31821.569999999996</v>
      </c>
      <c r="G137" s="10">
        <v>27654.650000000005</v>
      </c>
      <c r="H137" s="10">
        <v>15117.05</v>
      </c>
      <c r="I137" s="10"/>
      <c r="J137" s="10"/>
      <c r="K137" s="10"/>
      <c r="L137" s="10">
        <v>30725.75</v>
      </c>
      <c r="M137" s="10"/>
      <c r="N137" s="10"/>
      <c r="O137" s="10"/>
      <c r="P137" s="10"/>
      <c r="Q137" s="10"/>
      <c r="R137" s="10"/>
      <c r="S137" s="10">
        <v>62972.75</v>
      </c>
      <c r="T137" s="10"/>
      <c r="U137" s="10"/>
      <c r="V137" s="10">
        <v>15992.16</v>
      </c>
      <c r="W137" s="10"/>
      <c r="X137" s="10"/>
      <c r="Y137" s="10"/>
      <c r="Z137" s="10"/>
      <c r="AA137" s="10"/>
      <c r="AB137" s="10"/>
      <c r="AC137" s="10"/>
      <c r="AD137" s="10">
        <v>41239.42</v>
      </c>
      <c r="AE137" s="10"/>
      <c r="AF137" s="10"/>
      <c r="AG137" s="10"/>
      <c r="AH137" s="10"/>
    </row>
    <row r="138" spans="1:34" x14ac:dyDescent="0.25">
      <c r="A138" t="s">
        <v>1145</v>
      </c>
      <c r="B138" t="s">
        <v>114</v>
      </c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>
        <v>33486.950000000004</v>
      </c>
      <c r="S138" s="10">
        <v>46433.100000000013</v>
      </c>
      <c r="T138" s="10">
        <v>94780.719999999972</v>
      </c>
      <c r="U138" s="10"/>
      <c r="V138" s="10">
        <v>36074.889999999992</v>
      </c>
      <c r="W138" s="10">
        <v>126599.88999999997</v>
      </c>
      <c r="X138" s="10">
        <v>81636.940000000046</v>
      </c>
      <c r="Y138" s="10"/>
      <c r="Z138" s="10">
        <v>41186.11</v>
      </c>
      <c r="AA138" s="10">
        <v>78360.209999999963</v>
      </c>
      <c r="AB138" s="10"/>
      <c r="AC138" s="10">
        <v>42722.13</v>
      </c>
      <c r="AD138" s="10"/>
      <c r="AE138" s="10">
        <v>27031.94</v>
      </c>
      <c r="AF138" s="10">
        <v>66732.609999999986</v>
      </c>
      <c r="AG138" s="10"/>
      <c r="AH138" s="10">
        <v>30714.410000000003</v>
      </c>
    </row>
    <row r="139" spans="1:34" x14ac:dyDescent="0.25">
      <c r="A139" t="s">
        <v>1145</v>
      </c>
      <c r="B139" t="s">
        <v>1675</v>
      </c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>
        <v>62166.05999999999</v>
      </c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</row>
    <row r="140" spans="1:34" x14ac:dyDescent="0.25">
      <c r="A140" t="s">
        <v>1145</v>
      </c>
      <c r="B140" t="s">
        <v>115</v>
      </c>
      <c r="C140" s="10"/>
      <c r="D140" s="10"/>
      <c r="E140" s="10"/>
      <c r="F140" s="10"/>
      <c r="G140" s="10"/>
      <c r="H140" s="10">
        <v>197264.46</v>
      </c>
      <c r="I140" s="10"/>
      <c r="J140" s="10"/>
      <c r="K140" s="10"/>
      <c r="L140" s="10"/>
      <c r="M140" s="10"/>
      <c r="N140" s="10"/>
      <c r="O140" s="10"/>
      <c r="P140" s="10"/>
      <c r="Q140" s="10"/>
      <c r="R140" s="10">
        <v>33564.67</v>
      </c>
      <c r="S140" s="10"/>
      <c r="T140" s="10"/>
      <c r="U140" s="10">
        <v>128350.63</v>
      </c>
      <c r="V140" s="10"/>
      <c r="W140" s="10"/>
      <c r="X140" s="10">
        <v>159746.24999999994</v>
      </c>
      <c r="Y140" s="10"/>
      <c r="Z140" s="10"/>
      <c r="AA140" s="10"/>
      <c r="AB140" s="10"/>
      <c r="AC140" s="10">
        <v>115590.63000000005</v>
      </c>
      <c r="AD140" s="10">
        <v>58817.230000000025</v>
      </c>
      <c r="AE140" s="10">
        <v>90613.26</v>
      </c>
      <c r="AF140" s="10">
        <v>164709.64000000001</v>
      </c>
      <c r="AG140" s="10"/>
      <c r="AH140" s="10"/>
    </row>
    <row r="141" spans="1:34" x14ac:dyDescent="0.25">
      <c r="A141" t="s">
        <v>1145</v>
      </c>
      <c r="B141" t="s">
        <v>1676</v>
      </c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>
        <v>204800.33</v>
      </c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</row>
    <row r="142" spans="1:34" x14ac:dyDescent="0.25">
      <c r="A142" t="s">
        <v>1145</v>
      </c>
      <c r="B142" t="s">
        <v>116</v>
      </c>
      <c r="C142" s="10">
        <v>23475.089999999997</v>
      </c>
      <c r="D142" s="10">
        <v>41596.049999999996</v>
      </c>
      <c r="E142" s="10">
        <v>113340.76</v>
      </c>
      <c r="F142" s="10">
        <v>103027.40999999999</v>
      </c>
      <c r="G142" s="10">
        <v>30358.69</v>
      </c>
      <c r="H142" s="10">
        <v>100730.65</v>
      </c>
      <c r="I142" s="10">
        <v>75727.929999999993</v>
      </c>
      <c r="J142" s="10">
        <v>111158.89000000001</v>
      </c>
      <c r="K142" s="10">
        <v>137782.74</v>
      </c>
      <c r="L142" s="10">
        <v>59237.049999999996</v>
      </c>
      <c r="M142" s="10"/>
      <c r="N142" s="10"/>
      <c r="O142" s="10">
        <v>48095.840000000004</v>
      </c>
      <c r="P142" s="10"/>
      <c r="Q142" s="10">
        <v>82979.359999999986</v>
      </c>
      <c r="R142" s="10">
        <v>66707.199999999997</v>
      </c>
      <c r="S142" s="10">
        <v>71467.409999999989</v>
      </c>
      <c r="T142" s="10">
        <v>65969.460000000021</v>
      </c>
      <c r="U142" s="10">
        <v>38469.200000000004</v>
      </c>
      <c r="V142" s="10"/>
      <c r="W142" s="10"/>
      <c r="X142" s="10"/>
      <c r="Y142" s="10">
        <v>11572.76</v>
      </c>
      <c r="Z142" s="10">
        <v>10786.84</v>
      </c>
      <c r="AA142" s="10"/>
      <c r="AB142" s="10"/>
      <c r="AC142" s="10">
        <v>11059.82</v>
      </c>
      <c r="AD142" s="10">
        <v>12955.66</v>
      </c>
      <c r="AE142" s="10"/>
      <c r="AF142" s="10">
        <v>20094.16</v>
      </c>
      <c r="AG142" s="10">
        <v>9713.82</v>
      </c>
      <c r="AH142" s="10"/>
    </row>
    <row r="143" spans="1:34" x14ac:dyDescent="0.25">
      <c r="A143" t="s">
        <v>1145</v>
      </c>
      <c r="B143" t="s">
        <v>1677</v>
      </c>
      <c r="C143" s="10"/>
      <c r="D143" s="10"/>
      <c r="E143" s="10"/>
      <c r="F143" s="10">
        <v>11321.77</v>
      </c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</row>
    <row r="144" spans="1:34" x14ac:dyDescent="0.25">
      <c r="A144" t="s">
        <v>1145</v>
      </c>
      <c r="B144" t="s">
        <v>117</v>
      </c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>
        <v>19579.080000000002</v>
      </c>
      <c r="P144" s="10"/>
      <c r="Q144" s="10"/>
      <c r="R144" s="10"/>
      <c r="S144" s="10">
        <v>114996.96</v>
      </c>
      <c r="T144" s="10"/>
      <c r="U144" s="10">
        <v>25918.190000000002</v>
      </c>
      <c r="V144" s="10">
        <v>92656.72</v>
      </c>
      <c r="W144" s="10">
        <v>72577.77</v>
      </c>
      <c r="X144" s="10"/>
      <c r="Y144" s="10">
        <v>247102.54</v>
      </c>
      <c r="Z144" s="10">
        <v>81337.919999999998</v>
      </c>
      <c r="AA144" s="10">
        <v>38843.329999999994</v>
      </c>
      <c r="AB144" s="10"/>
      <c r="AC144" s="10"/>
      <c r="AD144" s="10">
        <v>18141.2</v>
      </c>
      <c r="AE144" s="10"/>
      <c r="AF144" s="10">
        <v>38490.949999999997</v>
      </c>
      <c r="AG144" s="10"/>
      <c r="AH144" s="10"/>
    </row>
    <row r="145" spans="1:34" x14ac:dyDescent="0.25">
      <c r="A145" t="s">
        <v>1145</v>
      </c>
      <c r="B145" t="s">
        <v>1247</v>
      </c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>
        <v>139866.98000000004</v>
      </c>
      <c r="AD145" s="10"/>
      <c r="AE145" s="10"/>
      <c r="AF145" s="10"/>
      <c r="AG145" s="10"/>
      <c r="AH145" s="10"/>
    </row>
    <row r="146" spans="1:34" x14ac:dyDescent="0.25">
      <c r="A146" t="s">
        <v>1145</v>
      </c>
      <c r="B146" t="s">
        <v>1413</v>
      </c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>
        <v>294952.97000000009</v>
      </c>
      <c r="AG146" s="10"/>
      <c r="AH146" s="10"/>
    </row>
    <row r="147" spans="1:34" x14ac:dyDescent="0.25">
      <c r="A147" t="s">
        <v>1145</v>
      </c>
      <c r="B147" t="s">
        <v>118</v>
      </c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>
        <v>460601.00999999995</v>
      </c>
      <c r="S147" s="10">
        <v>487342.99999999994</v>
      </c>
      <c r="T147" s="10">
        <v>623310.81999999983</v>
      </c>
      <c r="U147" s="10">
        <v>400955.93000000005</v>
      </c>
      <c r="V147" s="10">
        <v>528019.07999999984</v>
      </c>
      <c r="W147" s="10">
        <v>533513.77</v>
      </c>
      <c r="X147" s="10">
        <v>431113.27</v>
      </c>
      <c r="Y147" s="10">
        <v>608323</v>
      </c>
      <c r="Z147" s="10">
        <v>610690.80000000005</v>
      </c>
      <c r="AA147" s="10">
        <v>695336.95</v>
      </c>
      <c r="AB147" s="10">
        <v>205147.42000000004</v>
      </c>
      <c r="AC147" s="10">
        <v>102884.48000000001</v>
      </c>
      <c r="AD147" s="10">
        <v>190860.50999999998</v>
      </c>
      <c r="AE147" s="10">
        <v>613346.97999999986</v>
      </c>
      <c r="AF147" s="10">
        <v>463443.14</v>
      </c>
      <c r="AG147" s="10">
        <v>509852.64000000013</v>
      </c>
      <c r="AH147" s="10">
        <v>941622.19999999984</v>
      </c>
    </row>
    <row r="148" spans="1:34" x14ac:dyDescent="0.25">
      <c r="A148" t="s">
        <v>1145</v>
      </c>
      <c r="B148" t="s">
        <v>119</v>
      </c>
      <c r="C148" s="10">
        <v>70707.739999999991</v>
      </c>
      <c r="D148" s="10">
        <v>22407.540000000005</v>
      </c>
      <c r="E148" s="10">
        <v>118078.03</v>
      </c>
      <c r="F148" s="10">
        <v>185739.33999999997</v>
      </c>
      <c r="G148" s="10">
        <v>424294.96</v>
      </c>
      <c r="H148" s="10"/>
      <c r="I148" s="10">
        <v>48108.369999999995</v>
      </c>
      <c r="J148" s="10">
        <v>288369.82</v>
      </c>
      <c r="K148" s="10">
        <v>992682.71999999986</v>
      </c>
      <c r="L148" s="10"/>
      <c r="M148" s="10"/>
      <c r="N148" s="10">
        <v>96608.389999999985</v>
      </c>
      <c r="O148" s="10"/>
      <c r="P148" s="10"/>
      <c r="Q148" s="10"/>
      <c r="R148" s="10">
        <v>80068.27</v>
      </c>
      <c r="S148" s="10"/>
      <c r="T148" s="10">
        <v>14824.519999999999</v>
      </c>
      <c r="U148" s="10">
        <v>68987.399999999994</v>
      </c>
      <c r="V148" s="10">
        <v>15754.2</v>
      </c>
      <c r="W148" s="10"/>
      <c r="X148" s="10">
        <v>256774.14</v>
      </c>
      <c r="Y148" s="10">
        <v>55368.790000000008</v>
      </c>
      <c r="Z148" s="10">
        <v>11879.75</v>
      </c>
      <c r="AA148" s="10"/>
      <c r="AB148" s="10"/>
      <c r="AC148" s="10">
        <v>24451.620000000003</v>
      </c>
      <c r="AD148" s="10"/>
      <c r="AE148" s="10"/>
      <c r="AF148" s="10"/>
      <c r="AG148" s="10"/>
      <c r="AH148" s="10">
        <v>21253.450000000004</v>
      </c>
    </row>
    <row r="149" spans="1:34" x14ac:dyDescent="0.25">
      <c r="A149" t="s">
        <v>1145</v>
      </c>
      <c r="B149" t="s">
        <v>120</v>
      </c>
      <c r="C149" s="10"/>
      <c r="D149" s="10">
        <v>150089.90999999997</v>
      </c>
      <c r="E149" s="10"/>
      <c r="F149" s="10">
        <v>646653.67000000016</v>
      </c>
      <c r="G149" s="10"/>
      <c r="H149" s="10">
        <v>325635.05000000005</v>
      </c>
      <c r="I149" s="10">
        <v>323243.65000000002</v>
      </c>
      <c r="J149" s="10"/>
      <c r="K149" s="10">
        <v>336322.8</v>
      </c>
      <c r="L149" s="10">
        <v>631324.98</v>
      </c>
      <c r="M149" s="10">
        <v>29361.200000000001</v>
      </c>
      <c r="N149" s="10"/>
      <c r="O149" s="10"/>
      <c r="P149" s="10">
        <v>584118.44000000006</v>
      </c>
      <c r="Q149" s="10">
        <v>231904.5</v>
      </c>
      <c r="R149" s="10">
        <v>324362.38</v>
      </c>
      <c r="S149" s="10">
        <v>1064367.1799999995</v>
      </c>
      <c r="T149" s="10">
        <v>515421.69000000006</v>
      </c>
      <c r="U149" s="10">
        <v>46841.279999999999</v>
      </c>
      <c r="V149" s="10">
        <v>290897.48</v>
      </c>
      <c r="W149" s="10">
        <v>532963.04</v>
      </c>
      <c r="X149" s="10">
        <v>203812.80000000002</v>
      </c>
      <c r="Y149" s="10">
        <v>208994.19</v>
      </c>
      <c r="Z149" s="10">
        <v>26806.319999999996</v>
      </c>
      <c r="AA149" s="10">
        <v>159056.35000000003</v>
      </c>
      <c r="AB149" s="10">
        <v>378998.69</v>
      </c>
      <c r="AC149" s="10">
        <v>494108.27</v>
      </c>
      <c r="AD149" s="10">
        <v>721033.74999999988</v>
      </c>
      <c r="AE149" s="10">
        <v>405145.81</v>
      </c>
      <c r="AF149" s="10">
        <v>369007.75</v>
      </c>
      <c r="AG149" s="10">
        <v>534952.92000000004</v>
      </c>
      <c r="AH149" s="10">
        <v>619486.68999999994</v>
      </c>
    </row>
    <row r="150" spans="1:34" x14ac:dyDescent="0.25">
      <c r="A150" t="s">
        <v>1145</v>
      </c>
      <c r="B150" t="s">
        <v>121</v>
      </c>
      <c r="C150" s="10"/>
      <c r="D150" s="10">
        <v>14787.119999999999</v>
      </c>
      <c r="E150" s="10">
        <v>19110.330000000002</v>
      </c>
      <c r="F150" s="10">
        <v>19656.919999999998</v>
      </c>
      <c r="G150" s="10">
        <v>45562.31</v>
      </c>
      <c r="H150" s="10">
        <v>45106.16</v>
      </c>
      <c r="I150" s="10">
        <v>76947.579999999973</v>
      </c>
      <c r="J150" s="10">
        <v>9084.6299999999992</v>
      </c>
      <c r="K150" s="10">
        <v>45910.99</v>
      </c>
      <c r="L150" s="10">
        <v>15709.259999999998</v>
      </c>
      <c r="M150" s="10">
        <v>31250.37</v>
      </c>
      <c r="N150" s="10">
        <v>24985.279999999999</v>
      </c>
      <c r="O150" s="10">
        <v>24120.449999999997</v>
      </c>
      <c r="P150" s="10"/>
      <c r="Q150" s="10"/>
      <c r="R150" s="10">
        <v>33890.259999999995</v>
      </c>
      <c r="S150" s="10">
        <v>29630.890000000003</v>
      </c>
      <c r="T150" s="10">
        <v>66946.099999999977</v>
      </c>
      <c r="U150" s="10">
        <v>60905.089999999989</v>
      </c>
      <c r="V150" s="10">
        <v>29569.83</v>
      </c>
      <c r="W150" s="10">
        <v>49669.919999999998</v>
      </c>
      <c r="X150" s="10">
        <v>37175.67</v>
      </c>
      <c r="Y150" s="10">
        <v>25006.02</v>
      </c>
      <c r="Z150" s="10">
        <v>55580.35</v>
      </c>
      <c r="AA150" s="10">
        <v>23177.100000000002</v>
      </c>
      <c r="AB150" s="10"/>
      <c r="AC150" s="10">
        <v>45762.540000000008</v>
      </c>
      <c r="AD150" s="10">
        <v>26755.059999999994</v>
      </c>
      <c r="AE150" s="10">
        <v>16516.09</v>
      </c>
      <c r="AF150" s="10">
        <v>40423.31</v>
      </c>
      <c r="AG150" s="10"/>
      <c r="AH150" s="10">
        <v>53080.640000000007</v>
      </c>
    </row>
    <row r="151" spans="1:34" x14ac:dyDescent="0.25">
      <c r="A151" t="s">
        <v>1145</v>
      </c>
      <c r="B151" t="s">
        <v>1482</v>
      </c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>
        <v>35395.43</v>
      </c>
      <c r="AH151" s="10"/>
    </row>
    <row r="152" spans="1:34" x14ac:dyDescent="0.25">
      <c r="A152" t="s">
        <v>1145</v>
      </c>
      <c r="B152" t="s">
        <v>1678</v>
      </c>
      <c r="C152" s="10"/>
      <c r="D152" s="10"/>
      <c r="E152" s="10"/>
      <c r="F152" s="10">
        <v>39280.75</v>
      </c>
      <c r="G152" s="10">
        <v>245622.10999999993</v>
      </c>
      <c r="H152" s="10">
        <v>109949.93000000002</v>
      </c>
      <c r="I152" s="10"/>
      <c r="J152" s="10">
        <v>47625.279999999992</v>
      </c>
      <c r="K152" s="10"/>
      <c r="L152" s="10"/>
      <c r="M152" s="10"/>
      <c r="N152" s="10"/>
      <c r="O152" s="10"/>
      <c r="P152" s="10"/>
      <c r="Q152" s="10">
        <v>84174.669999999984</v>
      </c>
      <c r="R152" s="10">
        <v>70857.459999999992</v>
      </c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</row>
    <row r="153" spans="1:34" x14ac:dyDescent="0.25">
      <c r="A153" t="s">
        <v>1145</v>
      </c>
      <c r="B153" t="s">
        <v>765</v>
      </c>
      <c r="C153" s="10">
        <v>258132.17</v>
      </c>
      <c r="D153" s="10">
        <v>113883.93</v>
      </c>
      <c r="E153" s="10">
        <v>94436.93</v>
      </c>
      <c r="F153" s="10">
        <v>108097.74</v>
      </c>
      <c r="G153" s="10">
        <v>137942.95000000001</v>
      </c>
      <c r="H153" s="10">
        <v>206329.39</v>
      </c>
      <c r="I153" s="10">
        <v>444772.6</v>
      </c>
      <c r="J153" s="10">
        <v>892842.66000000038</v>
      </c>
      <c r="K153" s="10">
        <v>303239.22999999992</v>
      </c>
      <c r="L153" s="10">
        <v>209051.97000000003</v>
      </c>
      <c r="M153" s="10">
        <v>98477.56</v>
      </c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>
        <v>135307.03</v>
      </c>
      <c r="AD153" s="10">
        <v>11966.08</v>
      </c>
      <c r="AE153" s="10">
        <v>27821.439999999999</v>
      </c>
      <c r="AF153" s="10"/>
      <c r="AG153" s="10">
        <v>49726.83</v>
      </c>
      <c r="AH153" s="10"/>
    </row>
    <row r="154" spans="1:34" x14ac:dyDescent="0.25">
      <c r="A154" t="s">
        <v>1145</v>
      </c>
      <c r="B154" t="s">
        <v>1679</v>
      </c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>
        <v>58431.409999999989</v>
      </c>
      <c r="O154" s="10"/>
      <c r="P154" s="10"/>
      <c r="Q154" s="10">
        <v>26592.300000000003</v>
      </c>
      <c r="R154" s="10"/>
      <c r="S154" s="10"/>
      <c r="T154" s="10"/>
      <c r="U154" s="10"/>
      <c r="V154" s="10">
        <v>138072.69</v>
      </c>
      <c r="W154" s="10">
        <v>104140.29000000001</v>
      </c>
      <c r="X154" s="10"/>
      <c r="Y154" s="10">
        <v>122187.32000000002</v>
      </c>
      <c r="Z154" s="10">
        <v>44553.83</v>
      </c>
      <c r="AA154" s="10"/>
      <c r="AB154" s="10"/>
      <c r="AC154" s="10">
        <v>76657.78</v>
      </c>
      <c r="AD154" s="10"/>
      <c r="AE154" s="10">
        <v>20131.230000000003</v>
      </c>
      <c r="AF154" s="10"/>
      <c r="AG154" s="10"/>
      <c r="AH154" s="10"/>
    </row>
    <row r="155" spans="1:34" x14ac:dyDescent="0.25">
      <c r="A155" t="s">
        <v>1145</v>
      </c>
      <c r="B155" t="s">
        <v>122</v>
      </c>
      <c r="C155" s="10"/>
      <c r="D155" s="10"/>
      <c r="E155" s="10"/>
      <c r="F155" s="10"/>
      <c r="G155" s="10"/>
      <c r="H155" s="10">
        <v>335212.94</v>
      </c>
      <c r="I155" s="10">
        <v>271721.31</v>
      </c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>
        <v>122056.03000000004</v>
      </c>
      <c r="W155" s="10"/>
      <c r="X155" s="10">
        <v>120622.70999999999</v>
      </c>
      <c r="Y155" s="10">
        <v>59906.060000000005</v>
      </c>
      <c r="Z155" s="10">
        <v>189687.45</v>
      </c>
      <c r="AA155" s="10">
        <v>129093.09000000001</v>
      </c>
      <c r="AB155" s="10">
        <v>49030.51</v>
      </c>
      <c r="AC155" s="10">
        <v>91429.699999999983</v>
      </c>
      <c r="AD155" s="10">
        <v>21951.439999999999</v>
      </c>
      <c r="AE155" s="10">
        <v>174988.07999999993</v>
      </c>
      <c r="AF155" s="10">
        <v>117163.16999999998</v>
      </c>
      <c r="AG155" s="10">
        <v>65954.240000000005</v>
      </c>
      <c r="AH155" s="10">
        <v>164749.61000000002</v>
      </c>
    </row>
    <row r="156" spans="1:34" x14ac:dyDescent="0.25">
      <c r="A156" t="s">
        <v>1145</v>
      </c>
      <c r="B156" t="s">
        <v>123</v>
      </c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>
        <v>29945.540000000005</v>
      </c>
      <c r="S156" s="10">
        <v>63392.31</v>
      </c>
      <c r="T156" s="10">
        <v>38163.19999999999</v>
      </c>
      <c r="U156" s="10">
        <v>35692.910000000003</v>
      </c>
      <c r="V156" s="10">
        <v>47058.73000000001</v>
      </c>
      <c r="W156" s="10">
        <v>29704.319999999992</v>
      </c>
      <c r="X156" s="10">
        <v>54441.040000000008</v>
      </c>
      <c r="Y156" s="10"/>
      <c r="Z156" s="10">
        <v>21081.010000000002</v>
      </c>
      <c r="AA156" s="10"/>
      <c r="AB156" s="10">
        <v>24197.55</v>
      </c>
      <c r="AC156" s="10"/>
      <c r="AD156" s="10">
        <v>12031.130000000001</v>
      </c>
      <c r="AE156" s="10">
        <v>58384.87999999999</v>
      </c>
      <c r="AF156" s="10">
        <v>12749.17</v>
      </c>
      <c r="AG156" s="10">
        <v>-897.38</v>
      </c>
      <c r="AH156" s="10"/>
    </row>
    <row r="157" spans="1:34" x14ac:dyDescent="0.25">
      <c r="A157" t="s">
        <v>1145</v>
      </c>
      <c r="B157" t="s">
        <v>1680</v>
      </c>
      <c r="C157" s="10"/>
      <c r="D157" s="10"/>
      <c r="E157" s="10"/>
      <c r="F157" s="10"/>
      <c r="G157" s="10">
        <v>32863.120000000003</v>
      </c>
      <c r="H157" s="10">
        <v>55498.450000000012</v>
      </c>
      <c r="I157" s="10">
        <v>13107.62</v>
      </c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</row>
    <row r="158" spans="1:34" x14ac:dyDescent="0.25">
      <c r="A158" t="s">
        <v>1145</v>
      </c>
      <c r="B158" t="s">
        <v>124</v>
      </c>
      <c r="C158" s="10"/>
      <c r="D158" s="10">
        <v>33384.099999999991</v>
      </c>
      <c r="E158" s="10"/>
      <c r="F158" s="10"/>
      <c r="G158" s="10"/>
      <c r="H158" s="10"/>
      <c r="I158" s="10"/>
      <c r="J158" s="10">
        <v>34954.720000000001</v>
      </c>
      <c r="K158" s="10">
        <v>78866.36</v>
      </c>
      <c r="L158" s="10">
        <v>32936.730000000003</v>
      </c>
      <c r="M158" s="10">
        <v>23792.07</v>
      </c>
      <c r="N158" s="10">
        <v>16996.280000000002</v>
      </c>
      <c r="O158" s="10"/>
      <c r="P158" s="10">
        <v>43892.01999999999</v>
      </c>
      <c r="Q158" s="10"/>
      <c r="R158" s="10"/>
      <c r="S158" s="10">
        <v>71944.81</v>
      </c>
      <c r="T158" s="10">
        <v>144861.59000000003</v>
      </c>
      <c r="U158" s="10">
        <v>111602.59000000003</v>
      </c>
      <c r="V158" s="10">
        <v>89797.16</v>
      </c>
      <c r="W158" s="10">
        <v>116504.49000000003</v>
      </c>
      <c r="X158" s="10">
        <v>60395.950000000012</v>
      </c>
      <c r="Y158" s="10">
        <v>45463.61</v>
      </c>
      <c r="Z158" s="10">
        <v>36395.859999999993</v>
      </c>
      <c r="AA158" s="10">
        <v>98799.99</v>
      </c>
      <c r="AB158" s="10">
        <v>77588.829999999987</v>
      </c>
      <c r="AC158" s="10">
        <v>69157.52</v>
      </c>
      <c r="AD158" s="10">
        <v>36932.170000000006</v>
      </c>
      <c r="AE158" s="10">
        <v>82429.48</v>
      </c>
      <c r="AF158" s="10">
        <v>63687.580000000009</v>
      </c>
      <c r="AG158" s="10">
        <v>70896.789999999979</v>
      </c>
      <c r="AH158" s="10">
        <v>194936.88999999998</v>
      </c>
    </row>
    <row r="159" spans="1:34" x14ac:dyDescent="0.25">
      <c r="A159" t="s">
        <v>1145</v>
      </c>
      <c r="B159" t="s">
        <v>125</v>
      </c>
      <c r="C159" s="10"/>
      <c r="D159" s="10"/>
      <c r="E159" s="10">
        <v>63478.87000000001</v>
      </c>
      <c r="F159" s="10">
        <v>61383.109999999993</v>
      </c>
      <c r="G159" s="10">
        <v>145217.74</v>
      </c>
      <c r="H159" s="10">
        <v>72643.899999999994</v>
      </c>
      <c r="I159" s="10">
        <v>63561.209999999992</v>
      </c>
      <c r="J159" s="10">
        <v>82857.929999999978</v>
      </c>
      <c r="K159" s="10">
        <v>131828.70999999993</v>
      </c>
      <c r="L159" s="10">
        <v>107312.90999999999</v>
      </c>
      <c r="M159" s="10">
        <v>60658.26</v>
      </c>
      <c r="N159" s="10">
        <v>73135.029999999984</v>
      </c>
      <c r="O159" s="10">
        <v>37000.300000000003</v>
      </c>
      <c r="P159" s="10"/>
      <c r="Q159" s="10">
        <v>34865.269999999997</v>
      </c>
      <c r="R159" s="10">
        <v>62722.76999999999</v>
      </c>
      <c r="S159" s="10">
        <v>56422.250000000015</v>
      </c>
      <c r="T159" s="10">
        <v>72456.179999999993</v>
      </c>
      <c r="U159" s="10">
        <v>80257.52</v>
      </c>
      <c r="V159" s="10">
        <v>46564.63</v>
      </c>
      <c r="W159" s="10">
        <v>53978.270000000019</v>
      </c>
      <c r="X159" s="10">
        <v>105463.47999999995</v>
      </c>
      <c r="Y159" s="10">
        <v>83715.679999999993</v>
      </c>
      <c r="Z159" s="10">
        <v>49930.12999999999</v>
      </c>
      <c r="AA159" s="10">
        <v>31885.690000000002</v>
      </c>
      <c r="AB159" s="10">
        <v>18504.830000000002</v>
      </c>
      <c r="AC159" s="10">
        <v>36149.74</v>
      </c>
      <c r="AD159" s="10">
        <v>53138.409999999996</v>
      </c>
      <c r="AE159" s="10">
        <v>38016.009999999995</v>
      </c>
      <c r="AF159" s="10">
        <v>33399.79</v>
      </c>
      <c r="AG159" s="10">
        <v>41696.030000000006</v>
      </c>
      <c r="AH159" s="10"/>
    </row>
    <row r="160" spans="1:34" x14ac:dyDescent="0.25">
      <c r="A160" t="s">
        <v>1145</v>
      </c>
      <c r="B160" t="s">
        <v>1681</v>
      </c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>
        <v>149687.56999999998</v>
      </c>
      <c r="U160" s="10"/>
      <c r="V160" s="10">
        <v>169527.80999999997</v>
      </c>
      <c r="W160" s="10">
        <v>78054.97</v>
      </c>
      <c r="X160" s="10"/>
      <c r="Y160" s="10">
        <v>43211.499999999993</v>
      </c>
      <c r="Z160" s="10"/>
      <c r="AA160" s="10"/>
      <c r="AB160" s="10"/>
      <c r="AC160" s="10"/>
      <c r="AD160" s="10"/>
      <c r="AE160" s="10"/>
      <c r="AF160" s="10"/>
      <c r="AG160" s="10"/>
      <c r="AH160" s="10">
        <v>47630.380000000005</v>
      </c>
    </row>
    <row r="161" spans="1:34" x14ac:dyDescent="0.25">
      <c r="A161" t="s">
        <v>1145</v>
      </c>
      <c r="B161" t="s">
        <v>126</v>
      </c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>
        <v>110500.73999999999</v>
      </c>
      <c r="X161" s="10"/>
      <c r="Y161" s="10">
        <v>32220.16</v>
      </c>
      <c r="Z161" s="10"/>
      <c r="AA161" s="10"/>
      <c r="AB161" s="10">
        <v>35011.46</v>
      </c>
      <c r="AC161" s="10">
        <v>-3635.12</v>
      </c>
      <c r="AD161" s="10"/>
      <c r="AE161" s="10"/>
      <c r="AF161" s="10"/>
      <c r="AG161" s="10"/>
      <c r="AH161" s="10">
        <v>21895.3</v>
      </c>
    </row>
    <row r="162" spans="1:34" x14ac:dyDescent="0.25">
      <c r="A162" t="s">
        <v>1145</v>
      </c>
      <c r="B162" t="s">
        <v>127</v>
      </c>
      <c r="C162" s="10">
        <v>10081.5</v>
      </c>
      <c r="D162" s="10">
        <v>24094.670000000002</v>
      </c>
      <c r="E162" s="10"/>
      <c r="F162" s="10"/>
      <c r="G162" s="10"/>
      <c r="H162" s="10">
        <v>18675.63</v>
      </c>
      <c r="I162" s="10"/>
      <c r="J162" s="10">
        <v>120217.81999999999</v>
      </c>
      <c r="K162" s="10">
        <v>55388.26</v>
      </c>
      <c r="L162" s="10"/>
      <c r="M162" s="10"/>
      <c r="N162" s="10">
        <v>87200.949999999983</v>
      </c>
      <c r="O162" s="10"/>
      <c r="P162" s="10"/>
      <c r="Q162" s="10"/>
      <c r="R162" s="10"/>
      <c r="S162" s="10"/>
      <c r="T162" s="10">
        <v>47552.94</v>
      </c>
      <c r="U162" s="10"/>
      <c r="V162" s="10"/>
      <c r="W162" s="10"/>
      <c r="X162" s="10">
        <v>15923.91</v>
      </c>
      <c r="Y162" s="10">
        <v>57251.29</v>
      </c>
      <c r="Z162" s="10">
        <v>24773.74</v>
      </c>
      <c r="AA162" s="10">
        <v>47653.819999999992</v>
      </c>
      <c r="AB162" s="10"/>
      <c r="AC162" s="10">
        <v>17888.03</v>
      </c>
      <c r="AD162" s="10">
        <v>19683.63</v>
      </c>
      <c r="AE162" s="10"/>
      <c r="AF162" s="10">
        <v>12896.960000000001</v>
      </c>
      <c r="AG162" s="10"/>
      <c r="AH162" s="10">
        <v>28860.620000000003</v>
      </c>
    </row>
    <row r="163" spans="1:34" x14ac:dyDescent="0.25">
      <c r="A163" t="s">
        <v>1145</v>
      </c>
      <c r="B163" t="s">
        <v>1682</v>
      </c>
      <c r="C163" s="10"/>
      <c r="D163" s="10"/>
      <c r="E163" s="10"/>
      <c r="F163" s="10">
        <v>122006.24999999999</v>
      </c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</row>
    <row r="164" spans="1:34" x14ac:dyDescent="0.25">
      <c r="A164" t="s">
        <v>1145</v>
      </c>
      <c r="B164" t="s">
        <v>1410</v>
      </c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>
        <v>35570.780000000006</v>
      </c>
      <c r="AG164" s="10"/>
      <c r="AH164" s="10">
        <v>121921.71999999999</v>
      </c>
    </row>
    <row r="165" spans="1:34" x14ac:dyDescent="0.25">
      <c r="A165" t="s">
        <v>1145</v>
      </c>
      <c r="B165" t="s">
        <v>128</v>
      </c>
      <c r="C165" s="10"/>
      <c r="D165" s="10"/>
      <c r="E165" s="10"/>
      <c r="F165" s="10"/>
      <c r="G165" s="10"/>
      <c r="H165" s="10">
        <v>455666.39</v>
      </c>
      <c r="I165" s="10"/>
      <c r="J165" s="10">
        <v>98808.040000000008</v>
      </c>
      <c r="K165" s="10"/>
      <c r="L165" s="10"/>
      <c r="M165" s="10">
        <v>758547.69</v>
      </c>
      <c r="N165" s="10">
        <v>129507.80000000002</v>
      </c>
      <c r="O165" s="10">
        <v>100719.8</v>
      </c>
      <c r="P165" s="10">
        <v>589496.97000000009</v>
      </c>
      <c r="Q165" s="10">
        <v>327100.75999999995</v>
      </c>
      <c r="R165" s="10">
        <v>105734.55</v>
      </c>
      <c r="S165" s="10">
        <v>619835.18999999994</v>
      </c>
      <c r="T165" s="10">
        <v>517747.45000000007</v>
      </c>
      <c r="U165" s="10">
        <v>398067.69000000006</v>
      </c>
      <c r="V165" s="10">
        <v>212310.25</v>
      </c>
      <c r="W165" s="10">
        <v>897931.82999999973</v>
      </c>
      <c r="X165" s="10">
        <v>322407.1700000001</v>
      </c>
      <c r="Y165" s="10">
        <v>364133.53000000014</v>
      </c>
      <c r="Z165" s="10">
        <v>703944.75999999978</v>
      </c>
      <c r="AA165" s="10">
        <v>260765.97000000012</v>
      </c>
      <c r="AB165" s="10">
        <v>213299.28000000006</v>
      </c>
      <c r="AC165" s="10">
        <v>351968.72999999986</v>
      </c>
      <c r="AD165" s="10">
        <v>720796.10000000033</v>
      </c>
      <c r="AE165" s="10">
        <v>364817.02</v>
      </c>
      <c r="AF165" s="10">
        <v>842556.69000000029</v>
      </c>
      <c r="AG165" s="10">
        <v>535645.81999999983</v>
      </c>
      <c r="AH165" s="10">
        <v>637685.9</v>
      </c>
    </row>
    <row r="166" spans="1:34" x14ac:dyDescent="0.25">
      <c r="A166" t="s">
        <v>1145</v>
      </c>
      <c r="B166" t="s">
        <v>129</v>
      </c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>
        <v>118743</v>
      </c>
      <c r="U166" s="10"/>
      <c r="V166" s="10">
        <v>60863.000000000015</v>
      </c>
      <c r="W166" s="10"/>
      <c r="X166" s="10"/>
      <c r="Y166" s="10">
        <v>20639.000000000004</v>
      </c>
      <c r="Z166" s="10"/>
      <c r="AA166" s="10"/>
      <c r="AB166" s="10">
        <v>84885.49</v>
      </c>
      <c r="AC166" s="10"/>
      <c r="AD166" s="10"/>
      <c r="AE166" s="10">
        <v>57186.999999999993</v>
      </c>
      <c r="AF166" s="10">
        <v>55363.999999999993</v>
      </c>
      <c r="AG166" s="10">
        <v>46903.06</v>
      </c>
      <c r="AH166" s="10"/>
    </row>
    <row r="167" spans="1:34" x14ac:dyDescent="0.25">
      <c r="A167" t="s">
        <v>1145</v>
      </c>
      <c r="B167" t="s">
        <v>130</v>
      </c>
      <c r="C167" s="10"/>
      <c r="D167" s="10"/>
      <c r="E167" s="10"/>
      <c r="F167" s="10">
        <v>50590.64</v>
      </c>
      <c r="G167" s="10">
        <v>56084.459999999992</v>
      </c>
      <c r="H167" s="10">
        <v>318028.77000000014</v>
      </c>
      <c r="I167" s="10">
        <v>137653.17000000001</v>
      </c>
      <c r="J167" s="10">
        <v>32640.86</v>
      </c>
      <c r="K167" s="10">
        <v>35903.75</v>
      </c>
      <c r="L167" s="10"/>
      <c r="M167" s="10"/>
      <c r="N167" s="10"/>
      <c r="O167" s="10"/>
      <c r="P167" s="10"/>
      <c r="Q167" s="10"/>
      <c r="R167" s="10"/>
      <c r="S167" s="10"/>
      <c r="T167" s="10"/>
      <c r="U167" s="10">
        <v>129500.01999999999</v>
      </c>
      <c r="V167" s="10">
        <v>49887.430000000008</v>
      </c>
      <c r="W167" s="10">
        <v>39006.31</v>
      </c>
      <c r="X167" s="10">
        <v>61001.450000000004</v>
      </c>
      <c r="Y167" s="10"/>
      <c r="Z167" s="10">
        <v>75779.69</v>
      </c>
      <c r="AA167" s="10">
        <v>169628.41999999995</v>
      </c>
      <c r="AB167" s="10"/>
      <c r="AC167" s="10"/>
      <c r="AD167" s="10">
        <v>62671.41</v>
      </c>
      <c r="AE167" s="10">
        <v>35090.449999999997</v>
      </c>
      <c r="AF167" s="10">
        <v>40280.54</v>
      </c>
      <c r="AG167" s="10"/>
      <c r="AH167" s="10"/>
    </row>
    <row r="168" spans="1:34" x14ac:dyDescent="0.25">
      <c r="A168" t="s">
        <v>1145</v>
      </c>
      <c r="B168" t="s">
        <v>1683</v>
      </c>
      <c r="C168" s="10"/>
      <c r="D168" s="10"/>
      <c r="E168" s="10"/>
      <c r="F168" s="10"/>
      <c r="G168" s="10">
        <v>35410.03</v>
      </c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</row>
    <row r="169" spans="1:34" x14ac:dyDescent="0.25">
      <c r="A169" t="s">
        <v>1145</v>
      </c>
      <c r="B169" t="s">
        <v>131</v>
      </c>
      <c r="C169" s="10">
        <v>144242.07</v>
      </c>
      <c r="D169" s="10">
        <v>279976.66000000003</v>
      </c>
      <c r="E169" s="10">
        <v>84954.779999999984</v>
      </c>
      <c r="F169" s="10">
        <v>243761.4599999999</v>
      </c>
      <c r="G169" s="10">
        <v>116733.71999999999</v>
      </c>
      <c r="H169" s="10">
        <v>407485.33000000019</v>
      </c>
      <c r="I169" s="10">
        <v>113030.79999999999</v>
      </c>
      <c r="J169" s="10">
        <v>130287.99</v>
      </c>
      <c r="K169" s="10">
        <v>355892.20999999996</v>
      </c>
      <c r="L169" s="10">
        <v>104581.65999999999</v>
      </c>
      <c r="M169" s="10">
        <v>416540.12000000005</v>
      </c>
      <c r="N169" s="10">
        <v>41924.760000000017</v>
      </c>
      <c r="O169" s="10">
        <v>275680.07000000007</v>
      </c>
      <c r="P169" s="10">
        <v>152370.88000000006</v>
      </c>
      <c r="Q169" s="10">
        <v>161284.31</v>
      </c>
      <c r="R169" s="10">
        <v>211663.63000000003</v>
      </c>
      <c r="S169" s="10">
        <v>222755.43</v>
      </c>
      <c r="T169" s="10">
        <v>437908.7</v>
      </c>
      <c r="U169" s="10">
        <v>30476.950000000012</v>
      </c>
      <c r="V169" s="10">
        <v>200118.17000000007</v>
      </c>
      <c r="W169" s="10">
        <v>161161.78</v>
      </c>
      <c r="X169" s="10">
        <v>119785.58000000002</v>
      </c>
      <c r="Y169" s="10">
        <v>177080.73</v>
      </c>
      <c r="Z169" s="10">
        <v>308777.2699999999</v>
      </c>
      <c r="AA169" s="10">
        <v>225016.50999999995</v>
      </c>
      <c r="AB169" s="10">
        <v>258496.66999999993</v>
      </c>
      <c r="AC169" s="10">
        <v>41421.93</v>
      </c>
      <c r="AD169" s="10">
        <v>268692.34000000008</v>
      </c>
      <c r="AE169" s="10">
        <v>226745.55999999994</v>
      </c>
      <c r="AF169" s="10">
        <v>408563.51999999984</v>
      </c>
      <c r="AG169" s="10">
        <v>29905.300000000003</v>
      </c>
      <c r="AH169" s="10">
        <v>391823.43000000005</v>
      </c>
    </row>
    <row r="170" spans="1:34" x14ac:dyDescent="0.25">
      <c r="A170" t="s">
        <v>1145</v>
      </c>
      <c r="B170" t="s">
        <v>1411</v>
      </c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>
        <v>85156.76</v>
      </c>
      <c r="AG170" s="10">
        <v>30350.580000000005</v>
      </c>
      <c r="AH170" s="10"/>
    </row>
    <row r="171" spans="1:34" x14ac:dyDescent="0.25">
      <c r="A171" t="s">
        <v>1145</v>
      </c>
      <c r="B171" t="s">
        <v>132</v>
      </c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>
        <v>71233.960000000006</v>
      </c>
      <c r="V171" s="10"/>
      <c r="W171" s="10"/>
      <c r="X171" s="10"/>
      <c r="Y171" s="10">
        <v>31085.46</v>
      </c>
      <c r="Z171" s="10"/>
      <c r="AA171" s="10"/>
      <c r="AB171" s="10"/>
      <c r="AC171" s="10"/>
      <c r="AD171" s="10">
        <v>25365.1</v>
      </c>
      <c r="AE171" s="10">
        <v>19269.91</v>
      </c>
      <c r="AF171" s="10">
        <v>25341.88</v>
      </c>
      <c r="AG171" s="10"/>
      <c r="AH171" s="10"/>
    </row>
    <row r="172" spans="1:34" x14ac:dyDescent="0.25">
      <c r="A172" t="s">
        <v>1145</v>
      </c>
      <c r="B172" t="s">
        <v>133</v>
      </c>
      <c r="C172" s="10"/>
      <c r="D172" s="10"/>
      <c r="E172" s="10"/>
      <c r="F172" s="10"/>
      <c r="G172" s="10"/>
      <c r="H172" s="10">
        <v>22876.569999999996</v>
      </c>
      <c r="I172" s="10"/>
      <c r="J172" s="10"/>
      <c r="K172" s="10">
        <v>143926.93999999997</v>
      </c>
      <c r="L172" s="10"/>
      <c r="M172" s="10">
        <v>10871.23</v>
      </c>
      <c r="N172" s="10"/>
      <c r="O172" s="10"/>
      <c r="P172" s="10"/>
      <c r="Q172" s="10"/>
      <c r="R172" s="10"/>
      <c r="S172" s="10"/>
      <c r="T172" s="10">
        <v>47749.22</v>
      </c>
      <c r="U172" s="10">
        <v>41951.56</v>
      </c>
      <c r="V172" s="10">
        <v>109768.92000000001</v>
      </c>
      <c r="W172" s="10"/>
      <c r="X172" s="10"/>
      <c r="Y172" s="10">
        <v>228950.86999999994</v>
      </c>
      <c r="Z172" s="10">
        <v>302466.48</v>
      </c>
      <c r="AA172" s="10"/>
      <c r="AB172" s="10"/>
      <c r="AC172" s="10">
        <v>29867.79</v>
      </c>
      <c r="AD172" s="10">
        <v>31742.01</v>
      </c>
      <c r="AE172" s="10">
        <v>106289.68000000001</v>
      </c>
      <c r="AF172" s="10">
        <v>87002.249999999985</v>
      </c>
      <c r="AG172" s="10">
        <v>13148.34</v>
      </c>
      <c r="AH172" s="10">
        <v>120730.22000000002</v>
      </c>
    </row>
    <row r="173" spans="1:34" x14ac:dyDescent="0.25">
      <c r="A173" t="s">
        <v>1145</v>
      </c>
      <c r="B173" t="s">
        <v>1684</v>
      </c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>
        <v>49280.80000000001</v>
      </c>
      <c r="AE173" s="10"/>
      <c r="AF173" s="10"/>
      <c r="AG173" s="10">
        <v>131939.72999999998</v>
      </c>
      <c r="AH173" s="10">
        <v>78684.400000000009</v>
      </c>
    </row>
    <row r="174" spans="1:34" x14ac:dyDescent="0.25">
      <c r="A174" t="s">
        <v>1145</v>
      </c>
      <c r="B174" t="s">
        <v>1685</v>
      </c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>
        <v>86005.1</v>
      </c>
      <c r="S174" s="10"/>
      <c r="T174" s="10"/>
      <c r="U174" s="10"/>
      <c r="V174" s="10"/>
      <c r="W174" s="10"/>
      <c r="X174" s="10"/>
      <c r="Y174" s="10">
        <v>17308.670000000002</v>
      </c>
      <c r="Z174" s="10"/>
      <c r="AA174" s="10"/>
      <c r="AB174" s="10"/>
      <c r="AC174" s="10"/>
      <c r="AD174" s="10"/>
      <c r="AE174" s="10"/>
      <c r="AF174" s="10"/>
      <c r="AG174" s="10"/>
      <c r="AH174" s="10"/>
    </row>
    <row r="175" spans="1:34" x14ac:dyDescent="0.25">
      <c r="A175" t="s">
        <v>1145</v>
      </c>
      <c r="B175" t="s">
        <v>1686</v>
      </c>
      <c r="C175" s="10"/>
      <c r="D175" s="10"/>
      <c r="E175" s="10"/>
      <c r="F175" s="10"/>
      <c r="G175" s="10">
        <v>18399.53</v>
      </c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</row>
    <row r="176" spans="1:34" x14ac:dyDescent="0.25">
      <c r="A176" t="s">
        <v>1145</v>
      </c>
      <c r="B176" t="s">
        <v>1687</v>
      </c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>
        <v>22785.249999999993</v>
      </c>
      <c r="V176" s="10"/>
      <c r="W176" s="10"/>
      <c r="X176" s="10"/>
      <c r="Y176" s="10">
        <v>18535</v>
      </c>
      <c r="Z176" s="10">
        <v>17762.930000000004</v>
      </c>
      <c r="AA176" s="10"/>
      <c r="AB176" s="10">
        <v>32639.33</v>
      </c>
      <c r="AC176" s="10">
        <v>12604.19</v>
      </c>
      <c r="AD176" s="10"/>
      <c r="AE176" s="10">
        <v>10145.400000000001</v>
      </c>
      <c r="AF176" s="10"/>
      <c r="AG176" s="10">
        <v>16370.669999999998</v>
      </c>
      <c r="AH176" s="10">
        <v>20676.520000000004</v>
      </c>
    </row>
    <row r="177" spans="1:34" x14ac:dyDescent="0.25">
      <c r="A177" t="s">
        <v>1145</v>
      </c>
      <c r="B177" t="s">
        <v>134</v>
      </c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>
        <v>33478.879999999997</v>
      </c>
      <c r="X177" s="10">
        <v>41363.050000000003</v>
      </c>
      <c r="Y177" s="10"/>
      <c r="Z177" s="10"/>
      <c r="AA177" s="10">
        <v>40120.119999999995</v>
      </c>
      <c r="AB177" s="10"/>
      <c r="AC177" s="10">
        <v>31270.020000000004</v>
      </c>
      <c r="AD177" s="10"/>
      <c r="AE177" s="10"/>
      <c r="AF177" s="10"/>
      <c r="AG177" s="10">
        <v>33690.14</v>
      </c>
      <c r="AH177" s="10">
        <v>37305.939999999995</v>
      </c>
    </row>
    <row r="178" spans="1:34" x14ac:dyDescent="0.25">
      <c r="A178" t="s">
        <v>1145</v>
      </c>
      <c r="B178" t="s">
        <v>135</v>
      </c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>
        <v>90741.4</v>
      </c>
      <c r="U178" s="10"/>
      <c r="V178" s="10">
        <v>116775.53000000001</v>
      </c>
      <c r="W178" s="10">
        <v>178186.26</v>
      </c>
      <c r="X178" s="10">
        <v>81165.37</v>
      </c>
      <c r="Y178" s="10">
        <v>60649.520000000004</v>
      </c>
      <c r="Z178" s="10">
        <v>588009.21</v>
      </c>
      <c r="AA178" s="10"/>
      <c r="AB178" s="10"/>
      <c r="AC178" s="10">
        <v>238737.74</v>
      </c>
      <c r="AD178" s="10">
        <v>446695.06000000006</v>
      </c>
      <c r="AE178" s="10">
        <v>246533.61</v>
      </c>
      <c r="AF178" s="10">
        <v>-7423.73</v>
      </c>
      <c r="AG178" s="10">
        <v>630204.64000000013</v>
      </c>
      <c r="AH178" s="10">
        <v>115626.32999999999</v>
      </c>
    </row>
    <row r="179" spans="1:34" x14ac:dyDescent="0.25">
      <c r="A179" t="s">
        <v>1145</v>
      </c>
      <c r="B179" t="s">
        <v>1688</v>
      </c>
      <c r="C179" s="10">
        <v>30917.07</v>
      </c>
      <c r="D179" s="10"/>
      <c r="E179" s="10">
        <v>62612.53</v>
      </c>
      <c r="F179" s="10">
        <v>57174.04</v>
      </c>
      <c r="G179" s="10">
        <v>10439.969999999998</v>
      </c>
      <c r="H179" s="10"/>
      <c r="I179" s="10">
        <v>30678.239999999994</v>
      </c>
      <c r="J179" s="10"/>
      <c r="K179" s="10">
        <v>56681.439999999995</v>
      </c>
      <c r="L179" s="10"/>
      <c r="M179" s="10">
        <v>13840.68</v>
      </c>
      <c r="N179" s="10"/>
      <c r="O179" s="10"/>
      <c r="P179" s="10"/>
      <c r="Q179" s="10"/>
      <c r="R179" s="10"/>
      <c r="S179" s="10">
        <v>28956.560000000009</v>
      </c>
      <c r="T179" s="10">
        <v>158804.01999999999</v>
      </c>
      <c r="U179" s="10"/>
      <c r="V179" s="10"/>
      <c r="W179" s="10">
        <v>26196.1</v>
      </c>
      <c r="X179" s="10"/>
      <c r="Y179" s="10">
        <v>22512.35</v>
      </c>
      <c r="Z179" s="10">
        <v>53247.119999999995</v>
      </c>
      <c r="AA179" s="10"/>
      <c r="AB179" s="10"/>
      <c r="AC179" s="10"/>
      <c r="AD179" s="10"/>
      <c r="AE179" s="10"/>
      <c r="AF179" s="10"/>
      <c r="AG179" s="10"/>
      <c r="AH179" s="10"/>
    </row>
    <row r="180" spans="1:34" x14ac:dyDescent="0.25">
      <c r="A180" t="s">
        <v>1145</v>
      </c>
      <c r="B180" t="s">
        <v>136</v>
      </c>
      <c r="C180" s="10">
        <v>32863</v>
      </c>
      <c r="D180" s="10"/>
      <c r="E180" s="10">
        <v>225428.72</v>
      </c>
      <c r="F180" s="10">
        <v>316190.34000000003</v>
      </c>
      <c r="G180" s="10">
        <v>188387.08000000002</v>
      </c>
      <c r="H180" s="10">
        <v>866218.84</v>
      </c>
      <c r="I180" s="10">
        <v>209677.81</v>
      </c>
      <c r="J180" s="10">
        <v>438910.71</v>
      </c>
      <c r="K180" s="10"/>
      <c r="L180" s="10">
        <v>26983.46</v>
      </c>
      <c r="M180" s="10"/>
      <c r="N180" s="10">
        <v>220867.86</v>
      </c>
      <c r="O180" s="10">
        <v>352411.73</v>
      </c>
      <c r="P180" s="10">
        <v>131098.10999999999</v>
      </c>
      <c r="Q180" s="10">
        <v>32131.170000000002</v>
      </c>
      <c r="R180" s="10"/>
      <c r="S180" s="10">
        <v>43009.919999999998</v>
      </c>
      <c r="T180" s="10">
        <v>54847.62000000001</v>
      </c>
      <c r="U180" s="10">
        <v>529298.56000000006</v>
      </c>
      <c r="V180" s="10">
        <v>229665.76</v>
      </c>
      <c r="W180" s="10"/>
      <c r="X180" s="10">
        <v>116127.76</v>
      </c>
      <c r="Y180" s="10">
        <v>70423.34</v>
      </c>
      <c r="Z180" s="10">
        <v>309667.90999999997</v>
      </c>
      <c r="AA180" s="10">
        <v>399709.72000000003</v>
      </c>
      <c r="AB180" s="10"/>
      <c r="AC180" s="10"/>
      <c r="AD180" s="10"/>
      <c r="AE180" s="10">
        <v>47233.05</v>
      </c>
      <c r="AF180" s="10">
        <v>19275.55</v>
      </c>
      <c r="AG180" s="10"/>
      <c r="AH180" s="10"/>
    </row>
    <row r="181" spans="1:34" x14ac:dyDescent="0.25">
      <c r="A181" t="s">
        <v>1145</v>
      </c>
      <c r="B181" t="s">
        <v>137</v>
      </c>
      <c r="C181" s="10"/>
      <c r="D181" s="10">
        <v>254760.24000000008</v>
      </c>
      <c r="E181" s="10"/>
      <c r="F181" s="10">
        <v>178515.36</v>
      </c>
      <c r="G181" s="10"/>
      <c r="H181" s="10">
        <v>88900.959999999963</v>
      </c>
      <c r="I181" s="10">
        <v>131939.13999999998</v>
      </c>
      <c r="J181" s="10">
        <v>27481.340000000004</v>
      </c>
      <c r="K181" s="10">
        <v>95074.619999999966</v>
      </c>
      <c r="L181" s="10"/>
      <c r="M181" s="10">
        <v>90444.429999999978</v>
      </c>
      <c r="N181" s="10">
        <v>43088.049999999996</v>
      </c>
      <c r="O181" s="10"/>
      <c r="P181" s="10"/>
      <c r="Q181" s="10"/>
      <c r="R181" s="10">
        <v>83003.359999999986</v>
      </c>
      <c r="S181" s="10">
        <v>207648.78000000003</v>
      </c>
      <c r="T181" s="10"/>
      <c r="U181" s="10">
        <v>153003.90999999997</v>
      </c>
      <c r="V181" s="10">
        <v>89399.51999999999</v>
      </c>
      <c r="W181" s="10">
        <v>163813.57999999999</v>
      </c>
      <c r="X181" s="10">
        <v>8376</v>
      </c>
      <c r="Y181" s="10">
        <v>115962.33</v>
      </c>
      <c r="Z181" s="10">
        <v>67577.130000000019</v>
      </c>
      <c r="AA181" s="10"/>
      <c r="AB181" s="10">
        <v>167726.23000000001</v>
      </c>
      <c r="AC181" s="10">
        <v>88688.16</v>
      </c>
      <c r="AD181" s="10">
        <v>120996.53000000006</v>
      </c>
      <c r="AE181" s="10">
        <v>227760.09999999992</v>
      </c>
      <c r="AF181" s="10">
        <v>45191.01</v>
      </c>
      <c r="AG181" s="10">
        <v>62572.600000000006</v>
      </c>
      <c r="AH181" s="10">
        <v>156204.82999999999</v>
      </c>
    </row>
    <row r="182" spans="1:34" x14ac:dyDescent="0.25">
      <c r="A182" t="s">
        <v>1145</v>
      </c>
      <c r="B182" t="s">
        <v>138</v>
      </c>
      <c r="C182" s="10"/>
      <c r="D182" s="10"/>
      <c r="E182" s="10"/>
      <c r="F182" s="10"/>
      <c r="G182" s="10"/>
      <c r="H182" s="10"/>
      <c r="I182" s="10"/>
      <c r="J182" s="10"/>
      <c r="K182" s="10"/>
      <c r="L182" s="10">
        <v>14950.309999999998</v>
      </c>
      <c r="M182" s="10"/>
      <c r="N182" s="10">
        <v>20072.009999999998</v>
      </c>
      <c r="O182" s="10"/>
      <c r="P182" s="10"/>
      <c r="Q182" s="10">
        <v>35524.559999999998</v>
      </c>
      <c r="R182" s="10"/>
      <c r="S182" s="10">
        <v>41783.790000000008</v>
      </c>
      <c r="T182" s="10"/>
      <c r="U182" s="10"/>
      <c r="V182" s="10">
        <v>13540.41</v>
      </c>
      <c r="W182" s="10"/>
      <c r="X182" s="10"/>
      <c r="Y182" s="10">
        <v>10764.000000000002</v>
      </c>
      <c r="Z182" s="10">
        <v>11820</v>
      </c>
      <c r="AA182" s="10"/>
      <c r="AB182" s="10"/>
      <c r="AC182" s="10">
        <v>10732</v>
      </c>
      <c r="AD182" s="10"/>
      <c r="AE182" s="10">
        <v>14560</v>
      </c>
      <c r="AF182" s="10"/>
      <c r="AG182" s="10">
        <v>9623</v>
      </c>
      <c r="AH182" s="10">
        <v>11856.000000000002</v>
      </c>
    </row>
    <row r="183" spans="1:34" x14ac:dyDescent="0.25">
      <c r="A183" t="s">
        <v>1145</v>
      </c>
      <c r="B183" t="s">
        <v>1481</v>
      </c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>
        <v>200236.81999999995</v>
      </c>
      <c r="AH183" s="10">
        <v>93125.659999999974</v>
      </c>
    </row>
    <row r="184" spans="1:34" x14ac:dyDescent="0.25">
      <c r="A184" t="s">
        <v>1145</v>
      </c>
      <c r="B184" t="s">
        <v>1689</v>
      </c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>
        <v>313954.51</v>
      </c>
      <c r="R184" s="10"/>
      <c r="S184" s="10">
        <v>41375.520000000004</v>
      </c>
      <c r="T184" s="10"/>
      <c r="U184" s="10"/>
      <c r="V184" s="10"/>
      <c r="W184" s="10"/>
      <c r="X184" s="10"/>
      <c r="Y184" s="10">
        <v>61515.929999999993</v>
      </c>
      <c r="Z184" s="10"/>
      <c r="AA184" s="10"/>
      <c r="AB184" s="10"/>
      <c r="AC184" s="10"/>
      <c r="AD184" s="10"/>
      <c r="AE184" s="10"/>
      <c r="AF184" s="10"/>
      <c r="AG184" s="10"/>
      <c r="AH184" s="10"/>
    </row>
    <row r="185" spans="1:34" x14ac:dyDescent="0.25">
      <c r="A185" t="s">
        <v>1145</v>
      </c>
      <c r="B185" t="s">
        <v>139</v>
      </c>
      <c r="C185" s="10"/>
      <c r="D185" s="10"/>
      <c r="E185" s="10"/>
      <c r="F185" s="10">
        <v>18618.77</v>
      </c>
      <c r="G185" s="10">
        <v>51365.64</v>
      </c>
      <c r="H185" s="10"/>
      <c r="I185" s="10">
        <v>78475.709999999992</v>
      </c>
      <c r="J185" s="10">
        <v>97637.22</v>
      </c>
      <c r="K185" s="10">
        <v>162888.29999999999</v>
      </c>
      <c r="L185" s="10"/>
      <c r="M185" s="10">
        <v>35966.92</v>
      </c>
      <c r="N185" s="10">
        <v>32294.65</v>
      </c>
      <c r="O185" s="10"/>
      <c r="P185" s="10"/>
      <c r="Q185" s="10">
        <v>210709.68999999997</v>
      </c>
      <c r="R185" s="10">
        <v>91537.209999999992</v>
      </c>
      <c r="S185" s="10"/>
      <c r="T185" s="10">
        <v>173917.87000000005</v>
      </c>
      <c r="U185" s="10"/>
      <c r="V185" s="10">
        <v>22439.79</v>
      </c>
      <c r="W185" s="10"/>
      <c r="X185" s="10">
        <v>31734.27</v>
      </c>
      <c r="Y185" s="10">
        <v>36150.43</v>
      </c>
      <c r="Z185" s="10"/>
      <c r="AA185" s="10">
        <v>27232.04</v>
      </c>
      <c r="AB185" s="10"/>
      <c r="AC185" s="10"/>
      <c r="AD185" s="10">
        <v>52882.58</v>
      </c>
      <c r="AE185" s="10"/>
      <c r="AF185" s="10">
        <v>25715.350000000002</v>
      </c>
      <c r="AG185" s="10">
        <v>36716.819999999992</v>
      </c>
      <c r="AH185" s="10">
        <v>83166.420000000013</v>
      </c>
    </row>
    <row r="186" spans="1:34" x14ac:dyDescent="0.25">
      <c r="A186" t="s">
        <v>1145</v>
      </c>
      <c r="B186" t="s">
        <v>140</v>
      </c>
      <c r="C186" s="10"/>
      <c r="D186" s="10"/>
      <c r="E186" s="10"/>
      <c r="F186" s="10">
        <v>35606.46</v>
      </c>
      <c r="G186" s="10"/>
      <c r="H186" s="10">
        <v>30453.84</v>
      </c>
      <c r="I186" s="10">
        <v>46464.470000000008</v>
      </c>
      <c r="J186" s="10">
        <v>64788.9</v>
      </c>
      <c r="K186" s="10">
        <v>26702.239999999998</v>
      </c>
      <c r="L186" s="10">
        <v>81809.61</v>
      </c>
      <c r="M186" s="10"/>
      <c r="N186" s="10"/>
      <c r="O186" s="10"/>
      <c r="P186" s="10"/>
      <c r="Q186" s="10"/>
      <c r="R186" s="10"/>
      <c r="S186" s="10">
        <v>26046.100000000002</v>
      </c>
      <c r="T186" s="10">
        <v>27096.71</v>
      </c>
      <c r="U186" s="10">
        <v>47298.76</v>
      </c>
      <c r="V186" s="10"/>
      <c r="W186" s="10">
        <v>30160.269999999997</v>
      </c>
      <c r="X186" s="10"/>
      <c r="Y186" s="10">
        <v>38434.800000000003</v>
      </c>
      <c r="Z186" s="10"/>
      <c r="AA186" s="10"/>
      <c r="AB186" s="10"/>
      <c r="AC186" s="10">
        <v>28697.8</v>
      </c>
      <c r="AD186" s="10"/>
      <c r="AE186" s="10"/>
      <c r="AF186" s="10">
        <v>30242.11</v>
      </c>
      <c r="AG186" s="10"/>
      <c r="AH186" s="10">
        <v>101340</v>
      </c>
    </row>
    <row r="187" spans="1:34" x14ac:dyDescent="0.25">
      <c r="A187" t="s">
        <v>1145</v>
      </c>
      <c r="B187" t="s">
        <v>141</v>
      </c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>
        <v>5874.19</v>
      </c>
      <c r="O187" s="10"/>
      <c r="P187" s="10"/>
      <c r="Q187" s="10"/>
      <c r="R187" s="10"/>
      <c r="S187" s="10"/>
      <c r="T187" s="10"/>
      <c r="U187" s="10"/>
      <c r="V187" s="10"/>
      <c r="W187" s="10"/>
      <c r="X187" s="10">
        <v>21273.94</v>
      </c>
      <c r="Y187" s="10"/>
      <c r="Z187" s="10"/>
      <c r="AA187" s="10"/>
      <c r="AB187" s="10"/>
      <c r="AC187" s="10"/>
      <c r="AD187" s="10">
        <v>21869.26</v>
      </c>
      <c r="AE187" s="10"/>
      <c r="AF187" s="10"/>
      <c r="AG187" s="10"/>
      <c r="AH187" s="10"/>
    </row>
    <row r="188" spans="1:34" x14ac:dyDescent="0.25">
      <c r="A188" t="s">
        <v>1145</v>
      </c>
      <c r="B188" t="s">
        <v>142</v>
      </c>
      <c r="C188" s="10"/>
      <c r="D188" s="10"/>
      <c r="E188" s="10"/>
      <c r="F188" s="10"/>
      <c r="G188" s="10"/>
      <c r="H188" s="10">
        <v>34045.33</v>
      </c>
      <c r="I188" s="10"/>
      <c r="J188" s="10"/>
      <c r="K188" s="10">
        <v>24936.339999999997</v>
      </c>
      <c r="L188" s="10">
        <v>469497.05999999965</v>
      </c>
      <c r="M188" s="10">
        <v>16337.119999999999</v>
      </c>
      <c r="N188" s="10">
        <v>191631.24000000005</v>
      </c>
      <c r="O188" s="10">
        <v>151591.48000000001</v>
      </c>
      <c r="P188" s="10">
        <v>46236.49</v>
      </c>
      <c r="Q188" s="10">
        <v>371617.37</v>
      </c>
      <c r="R188" s="10">
        <v>692759.10000000021</v>
      </c>
      <c r="S188" s="10">
        <v>444047.9599999999</v>
      </c>
      <c r="T188" s="10">
        <v>725714.54</v>
      </c>
      <c r="U188" s="10">
        <v>493168.12</v>
      </c>
      <c r="V188" s="10">
        <v>367021.05</v>
      </c>
      <c r="W188" s="10">
        <v>298922.26</v>
      </c>
      <c r="X188" s="10">
        <v>184102.24000000002</v>
      </c>
      <c r="Y188" s="10">
        <v>301473.56999999995</v>
      </c>
      <c r="Z188" s="10">
        <v>931190.99</v>
      </c>
      <c r="AA188" s="10">
        <v>615408.35000000021</v>
      </c>
      <c r="AB188" s="10">
        <v>432720.42999999993</v>
      </c>
      <c r="AC188" s="10">
        <v>1536268.3600000003</v>
      </c>
      <c r="AD188" s="10">
        <v>259959.27999999994</v>
      </c>
      <c r="AE188" s="10">
        <v>791419.40000000014</v>
      </c>
      <c r="AF188" s="10">
        <v>353314.31000000011</v>
      </c>
      <c r="AG188" s="10">
        <v>268561.75999999995</v>
      </c>
      <c r="AH188" s="10">
        <v>185376.89</v>
      </c>
    </row>
    <row r="189" spans="1:34" x14ac:dyDescent="0.25">
      <c r="A189" t="s">
        <v>1145</v>
      </c>
      <c r="B189" t="s">
        <v>143</v>
      </c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>
        <v>40043.170000000013</v>
      </c>
      <c r="V189" s="10"/>
      <c r="W189" s="10"/>
      <c r="X189" s="10"/>
      <c r="Y189" s="10">
        <v>79143.010000000009</v>
      </c>
      <c r="Z189" s="10">
        <v>123007.78000000001</v>
      </c>
      <c r="AA189" s="10">
        <v>84585.140000000029</v>
      </c>
      <c r="AB189" s="10"/>
      <c r="AC189" s="10">
        <v>68316.849999999991</v>
      </c>
      <c r="AD189" s="10">
        <v>77053.349999999991</v>
      </c>
      <c r="AE189" s="10"/>
      <c r="AF189" s="10">
        <v>170197.84000000003</v>
      </c>
      <c r="AG189" s="10"/>
      <c r="AH189" s="10"/>
    </row>
    <row r="190" spans="1:34" x14ac:dyDescent="0.25">
      <c r="A190" t="s">
        <v>1145</v>
      </c>
      <c r="B190" t="s">
        <v>1690</v>
      </c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>
        <v>45461.320000000007</v>
      </c>
    </row>
    <row r="191" spans="1:34" x14ac:dyDescent="0.25">
      <c r="A191" t="s">
        <v>1145</v>
      </c>
      <c r="B191" t="s">
        <v>1342</v>
      </c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>
        <v>176158.39999999997</v>
      </c>
      <c r="AF191" s="10"/>
      <c r="AG191" s="10">
        <v>48521.2</v>
      </c>
      <c r="AH191" s="10"/>
    </row>
    <row r="192" spans="1:34" x14ac:dyDescent="0.25">
      <c r="A192" t="s">
        <v>1145</v>
      </c>
      <c r="B192" t="s">
        <v>144</v>
      </c>
      <c r="C192" s="10"/>
      <c r="D192" s="10"/>
      <c r="E192" s="10"/>
      <c r="F192" s="10">
        <v>58286.83</v>
      </c>
      <c r="G192" s="10">
        <v>16701.419999999998</v>
      </c>
      <c r="H192" s="10">
        <v>111757.92</v>
      </c>
      <c r="I192" s="10"/>
      <c r="J192" s="10">
        <v>31967.590000000004</v>
      </c>
      <c r="K192" s="10"/>
      <c r="L192" s="10"/>
      <c r="M192" s="10">
        <v>8054.91</v>
      </c>
      <c r="N192" s="10"/>
      <c r="O192" s="10"/>
      <c r="P192" s="10"/>
      <c r="Q192" s="10">
        <v>2096133.54</v>
      </c>
      <c r="R192" s="10">
        <v>871259.84</v>
      </c>
      <c r="S192" s="10">
        <v>524393.04999999993</v>
      </c>
      <c r="T192" s="10">
        <v>1216735.2100000002</v>
      </c>
      <c r="U192" s="10">
        <v>642420.89999999979</v>
      </c>
      <c r="V192" s="10">
        <v>845067.47</v>
      </c>
      <c r="W192" s="10">
        <v>590089.27999999991</v>
      </c>
      <c r="X192" s="10">
        <v>292419.36999999994</v>
      </c>
      <c r="Y192" s="10"/>
      <c r="Z192" s="10">
        <v>431271.35</v>
      </c>
      <c r="AA192" s="10">
        <v>-431271.35</v>
      </c>
      <c r="AB192" s="10">
        <v>27712.829999999998</v>
      </c>
      <c r="AC192" s="10">
        <v>22379.68</v>
      </c>
      <c r="AD192" s="10"/>
      <c r="AE192" s="10"/>
      <c r="AF192" s="10"/>
      <c r="AG192" s="10"/>
      <c r="AH192" s="10">
        <v>14356.349999999999</v>
      </c>
    </row>
    <row r="193" spans="1:34" x14ac:dyDescent="0.25">
      <c r="A193" t="s">
        <v>1145</v>
      </c>
      <c r="B193" t="s">
        <v>1691</v>
      </c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>
        <v>36090.81</v>
      </c>
      <c r="Z193" s="10"/>
      <c r="AA193" s="10"/>
      <c r="AB193" s="10"/>
      <c r="AC193" s="10"/>
      <c r="AD193" s="10"/>
      <c r="AE193" s="10"/>
      <c r="AF193" s="10"/>
      <c r="AG193" s="10"/>
      <c r="AH193" s="10"/>
    </row>
    <row r="194" spans="1:34" x14ac:dyDescent="0.25">
      <c r="A194" t="s">
        <v>1145</v>
      </c>
      <c r="B194" t="s">
        <v>1151</v>
      </c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>
        <v>211614.97000000003</v>
      </c>
      <c r="AC194" s="10">
        <v>1148193.1000000001</v>
      </c>
      <c r="AD194" s="10">
        <v>165208.57</v>
      </c>
      <c r="AE194" s="10"/>
      <c r="AF194" s="10">
        <v>180861.54</v>
      </c>
      <c r="AG194" s="10">
        <v>179879.03</v>
      </c>
      <c r="AH194" s="10">
        <v>260604.5</v>
      </c>
    </row>
    <row r="195" spans="1:34" x14ac:dyDescent="0.25">
      <c r="A195" t="s">
        <v>1145</v>
      </c>
      <c r="B195" t="s">
        <v>146</v>
      </c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>
        <v>162580.43000000002</v>
      </c>
      <c r="T195" s="10">
        <v>27352.71</v>
      </c>
      <c r="U195" s="10">
        <v>110714.49000000003</v>
      </c>
      <c r="V195" s="10">
        <v>88315.690000000017</v>
      </c>
      <c r="W195" s="10">
        <v>33559.240000000005</v>
      </c>
      <c r="X195" s="10">
        <v>67850.319999999992</v>
      </c>
      <c r="Y195" s="10">
        <v>39487.469999999994</v>
      </c>
      <c r="Z195" s="10"/>
      <c r="AA195" s="10">
        <v>42310.090000000004</v>
      </c>
      <c r="AB195" s="10">
        <v>39026.469999999994</v>
      </c>
      <c r="AC195" s="10">
        <v>24846.05</v>
      </c>
      <c r="AD195" s="10">
        <v>90797.299999999974</v>
      </c>
      <c r="AE195" s="10">
        <v>20491.240000000005</v>
      </c>
      <c r="AF195" s="10">
        <v>43361.309999999983</v>
      </c>
      <c r="AG195" s="10">
        <v>95311.91</v>
      </c>
      <c r="AH195" s="10">
        <v>91357.219999999987</v>
      </c>
    </row>
    <row r="196" spans="1:34" x14ac:dyDescent="0.25">
      <c r="A196" t="s">
        <v>1145</v>
      </c>
      <c r="B196" t="s">
        <v>1692</v>
      </c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>
        <v>250824.70999999993</v>
      </c>
      <c r="Z196" s="10">
        <v>60131.009999999995</v>
      </c>
      <c r="AA196" s="10">
        <v>70576.009999999995</v>
      </c>
      <c r="AB196" s="10">
        <v>116105.72999999998</v>
      </c>
      <c r="AC196" s="10">
        <v>89811.41</v>
      </c>
      <c r="AD196" s="10">
        <v>104560.01</v>
      </c>
      <c r="AE196" s="10">
        <v>104160.82999999999</v>
      </c>
      <c r="AF196" s="10">
        <v>148218.68</v>
      </c>
      <c r="AG196" s="10">
        <v>138106.29999999999</v>
      </c>
      <c r="AH196" s="10">
        <v>130500.9</v>
      </c>
    </row>
    <row r="197" spans="1:34" x14ac:dyDescent="0.25">
      <c r="A197" t="s">
        <v>1145</v>
      </c>
      <c r="B197" t="s">
        <v>1693</v>
      </c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>
        <v>32409.06</v>
      </c>
      <c r="S197" s="10">
        <v>24616.280000000002</v>
      </c>
      <c r="T197" s="10">
        <v>28518.700000000004</v>
      </c>
      <c r="U197" s="10">
        <v>20861.759999999995</v>
      </c>
      <c r="V197" s="10"/>
      <c r="W197" s="10">
        <v>23757.420000000002</v>
      </c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</row>
    <row r="198" spans="1:34" x14ac:dyDescent="0.25">
      <c r="A198" t="s">
        <v>1145</v>
      </c>
      <c r="B198" t="s">
        <v>147</v>
      </c>
      <c r="C198" s="10"/>
      <c r="D198" s="10">
        <v>289143.37</v>
      </c>
      <c r="E198" s="10">
        <v>194320.38000000003</v>
      </c>
      <c r="F198" s="10">
        <v>397007.97</v>
      </c>
      <c r="G198" s="10">
        <v>522293.6500000002</v>
      </c>
      <c r="H198" s="10">
        <v>551492.89000000025</v>
      </c>
      <c r="I198" s="10">
        <v>581595.5900000002</v>
      </c>
      <c r="J198" s="10">
        <v>436633.2900000001</v>
      </c>
      <c r="K198" s="10">
        <v>786390.37999999966</v>
      </c>
      <c r="L198" s="10">
        <v>776013.44000000018</v>
      </c>
      <c r="M198" s="10">
        <v>425368.89000000025</v>
      </c>
      <c r="N198" s="10">
        <v>510133.68000000005</v>
      </c>
      <c r="O198" s="10">
        <v>297685.35000000003</v>
      </c>
      <c r="P198" s="10">
        <v>305748.41000000015</v>
      </c>
      <c r="Q198" s="10">
        <v>560692.50999999989</v>
      </c>
      <c r="R198" s="10">
        <v>383320.04000000004</v>
      </c>
      <c r="S198" s="10">
        <v>433992.60000000003</v>
      </c>
      <c r="T198" s="10">
        <v>556193.37999999989</v>
      </c>
      <c r="U198" s="10">
        <v>266147.21999999991</v>
      </c>
      <c r="V198" s="10">
        <v>333248.31</v>
      </c>
      <c r="W198" s="10">
        <v>374735.81</v>
      </c>
      <c r="X198" s="10">
        <v>541481.97000000009</v>
      </c>
      <c r="Y198" s="10">
        <v>606915.65</v>
      </c>
      <c r="Z198" s="10">
        <v>403332.30999999994</v>
      </c>
      <c r="AA198" s="10">
        <v>213396.30000000005</v>
      </c>
      <c r="AB198" s="10">
        <v>444336.09999999992</v>
      </c>
      <c r="AC198" s="10">
        <v>458665.0999999998</v>
      </c>
      <c r="AD198" s="10">
        <v>664624.45999999985</v>
      </c>
      <c r="AE198" s="10">
        <v>681631.1999999996</v>
      </c>
      <c r="AF198" s="10">
        <v>483119.06000000006</v>
      </c>
      <c r="AG198" s="10">
        <v>377017.92</v>
      </c>
      <c r="AH198" s="10">
        <v>521179.38000000006</v>
      </c>
    </row>
    <row r="199" spans="1:34" x14ac:dyDescent="0.25">
      <c r="A199" t="s">
        <v>1145</v>
      </c>
      <c r="B199" t="s">
        <v>148</v>
      </c>
      <c r="C199" s="10"/>
      <c r="D199" s="10">
        <v>81120.820000000007</v>
      </c>
      <c r="E199" s="10"/>
      <c r="F199" s="10">
        <v>64618.049999999981</v>
      </c>
      <c r="G199" s="10">
        <v>153387.72000000003</v>
      </c>
      <c r="H199" s="10">
        <v>99599.9</v>
      </c>
      <c r="I199" s="10">
        <v>66080</v>
      </c>
      <c r="J199" s="10">
        <v>69781.63</v>
      </c>
      <c r="K199" s="10">
        <v>72090.959999999992</v>
      </c>
      <c r="L199" s="10"/>
      <c r="M199" s="10">
        <v>52520.889999999985</v>
      </c>
      <c r="N199" s="10">
        <v>35618.879999999997</v>
      </c>
      <c r="O199" s="10"/>
      <c r="P199" s="10">
        <v>63460.939999999995</v>
      </c>
      <c r="Q199" s="10"/>
      <c r="R199" s="10">
        <v>61034.49</v>
      </c>
      <c r="S199" s="10">
        <v>42090.82</v>
      </c>
      <c r="T199" s="10">
        <v>26819.57</v>
      </c>
      <c r="U199" s="10"/>
      <c r="V199" s="10">
        <v>49782.85</v>
      </c>
      <c r="W199" s="10">
        <v>78574.649999999994</v>
      </c>
      <c r="X199" s="10"/>
      <c r="Y199" s="10">
        <v>62024.420000000006</v>
      </c>
      <c r="Z199" s="10">
        <v>83226.209999999992</v>
      </c>
      <c r="AA199" s="10"/>
      <c r="AB199" s="10">
        <v>66644.709999999992</v>
      </c>
      <c r="AC199" s="10"/>
      <c r="AD199" s="10"/>
      <c r="AE199" s="10">
        <v>144630.59000000003</v>
      </c>
      <c r="AF199" s="10"/>
      <c r="AG199" s="10"/>
      <c r="AH199" s="10"/>
    </row>
    <row r="200" spans="1:34" x14ac:dyDescent="0.25">
      <c r="A200" t="s">
        <v>1145</v>
      </c>
      <c r="B200" t="s">
        <v>149</v>
      </c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>
        <v>78059.310000000012</v>
      </c>
      <c r="U200" s="10">
        <v>25873.340000000004</v>
      </c>
      <c r="V200" s="10"/>
      <c r="W200" s="10">
        <v>28722.219999999998</v>
      </c>
      <c r="X200" s="10"/>
      <c r="Y200" s="10">
        <v>43722.260000000017</v>
      </c>
      <c r="Z200" s="10"/>
      <c r="AA200" s="10">
        <v>20983.210000000003</v>
      </c>
      <c r="AB200" s="10">
        <v>52384.240000000005</v>
      </c>
      <c r="AC200" s="10">
        <v>42937.100000000006</v>
      </c>
      <c r="AD200" s="10">
        <v>24834.65</v>
      </c>
      <c r="AE200" s="10">
        <v>34694.67</v>
      </c>
      <c r="AF200" s="10">
        <v>48747.439999999981</v>
      </c>
      <c r="AG200" s="10">
        <v>19248.82</v>
      </c>
      <c r="AH200" s="10"/>
    </row>
    <row r="201" spans="1:34" x14ac:dyDescent="0.25">
      <c r="A201" t="s">
        <v>1145</v>
      </c>
      <c r="B201" t="s">
        <v>150</v>
      </c>
      <c r="C201" s="10">
        <v>75711.810000000012</v>
      </c>
      <c r="D201" s="10">
        <v>69719.02</v>
      </c>
      <c r="E201" s="10">
        <v>134090.77000000002</v>
      </c>
      <c r="F201" s="10">
        <v>134259.00000000003</v>
      </c>
      <c r="G201" s="10">
        <v>116314.74999999997</v>
      </c>
      <c r="H201" s="10">
        <v>13466.019999999999</v>
      </c>
      <c r="I201" s="10">
        <v>88359.25</v>
      </c>
      <c r="J201" s="10">
        <v>65708.45</v>
      </c>
      <c r="K201" s="10">
        <v>176161.72000000003</v>
      </c>
      <c r="L201" s="10">
        <v>165489.07</v>
      </c>
      <c r="M201" s="10">
        <v>148141.73000000001</v>
      </c>
      <c r="N201" s="10">
        <v>76331.72</v>
      </c>
      <c r="O201" s="10">
        <v>19445.57</v>
      </c>
      <c r="P201" s="10">
        <v>35474.449999999997</v>
      </c>
      <c r="Q201" s="10">
        <v>65385.889999999992</v>
      </c>
      <c r="R201" s="10">
        <v>58738.710000000006</v>
      </c>
      <c r="S201" s="10">
        <v>28815.120000000003</v>
      </c>
      <c r="T201" s="10">
        <v>39959.320000000007</v>
      </c>
      <c r="U201" s="10">
        <v>28804.58</v>
      </c>
      <c r="V201" s="10">
        <v>32712.91</v>
      </c>
      <c r="W201" s="10">
        <v>50962.26</v>
      </c>
      <c r="X201" s="10">
        <v>51365.200000000004</v>
      </c>
      <c r="Y201" s="10"/>
      <c r="Z201" s="10">
        <v>45029.63</v>
      </c>
      <c r="AA201" s="10">
        <v>41306.100000000006</v>
      </c>
      <c r="AB201" s="10"/>
      <c r="AC201" s="10">
        <v>28665.400000000005</v>
      </c>
      <c r="AD201" s="10">
        <v>20715.920000000006</v>
      </c>
      <c r="AE201" s="10"/>
      <c r="AF201" s="10">
        <v>50902.640000000007</v>
      </c>
      <c r="AG201" s="10"/>
      <c r="AH201" s="10">
        <v>60608.790000000015</v>
      </c>
    </row>
    <row r="202" spans="1:34" x14ac:dyDescent="0.25">
      <c r="A202" t="s">
        <v>1145</v>
      </c>
      <c r="B202" t="s">
        <v>1694</v>
      </c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>
        <v>429387.94000000012</v>
      </c>
      <c r="N202" s="10">
        <v>174914.06000000003</v>
      </c>
      <c r="O202" s="10">
        <v>59352.52</v>
      </c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</row>
    <row r="203" spans="1:34" x14ac:dyDescent="0.25">
      <c r="A203" t="s">
        <v>1145</v>
      </c>
      <c r="B203" t="s">
        <v>151</v>
      </c>
      <c r="C203" s="10"/>
      <c r="D203" s="10"/>
      <c r="E203" s="10"/>
      <c r="F203" s="10"/>
      <c r="G203" s="10"/>
      <c r="H203" s="10">
        <v>22500.979999999992</v>
      </c>
      <c r="I203" s="10">
        <v>38171.11</v>
      </c>
      <c r="J203" s="10"/>
      <c r="K203" s="10">
        <v>13305.22</v>
      </c>
      <c r="L203" s="10">
        <v>65868.34</v>
      </c>
      <c r="M203" s="10">
        <v>108502.5</v>
      </c>
      <c r="N203" s="10">
        <v>78178.290000000008</v>
      </c>
      <c r="O203" s="10">
        <v>44258.07</v>
      </c>
      <c r="P203" s="10">
        <v>146106.94999999998</v>
      </c>
      <c r="Q203" s="10">
        <v>152013.50000000003</v>
      </c>
      <c r="R203" s="10">
        <v>64988.3</v>
      </c>
      <c r="S203" s="10">
        <v>218375.44999999998</v>
      </c>
      <c r="T203" s="10">
        <v>50524.069999999992</v>
      </c>
      <c r="U203" s="10">
        <v>134042.64000000001</v>
      </c>
      <c r="V203" s="10">
        <v>147517.29000000004</v>
      </c>
      <c r="W203" s="10">
        <v>115302.99000000002</v>
      </c>
      <c r="X203" s="10">
        <v>81681.95</v>
      </c>
      <c r="Y203" s="10">
        <v>107806.67999999998</v>
      </c>
      <c r="Z203" s="10">
        <v>122364.03</v>
      </c>
      <c r="AA203" s="10">
        <v>19467.71</v>
      </c>
      <c r="AB203" s="10">
        <v>51388.890000000007</v>
      </c>
      <c r="AC203" s="10">
        <v>128204.67</v>
      </c>
      <c r="AD203" s="10">
        <v>100521.12000000002</v>
      </c>
      <c r="AE203" s="10">
        <v>244839.21000000005</v>
      </c>
      <c r="AF203" s="10">
        <v>120189.14</v>
      </c>
      <c r="AG203" s="10">
        <v>89670.779999999984</v>
      </c>
      <c r="AH203" s="10">
        <v>96815.769999999975</v>
      </c>
    </row>
    <row r="204" spans="1:34" x14ac:dyDescent="0.25">
      <c r="A204" t="s">
        <v>1145</v>
      </c>
      <c r="B204" t="s">
        <v>152</v>
      </c>
      <c r="C204" s="10"/>
      <c r="D204" s="10"/>
      <c r="E204" s="10"/>
      <c r="F204" s="10"/>
      <c r="G204" s="10">
        <v>40366.740000000005</v>
      </c>
      <c r="H204" s="10"/>
      <c r="I204" s="10"/>
      <c r="J204" s="10"/>
      <c r="K204" s="10"/>
      <c r="L204" s="10"/>
      <c r="M204" s="10"/>
      <c r="N204" s="10">
        <v>47416.719999999994</v>
      </c>
      <c r="O204" s="10"/>
      <c r="P204" s="10"/>
      <c r="Q204" s="10">
        <v>75466.600000000006</v>
      </c>
      <c r="R204" s="10"/>
      <c r="S204" s="10">
        <v>64458.94</v>
      </c>
      <c r="T204" s="10">
        <v>119972.18</v>
      </c>
      <c r="U204" s="10">
        <v>27016.800000000003</v>
      </c>
      <c r="V204" s="10">
        <v>29518.129999999997</v>
      </c>
      <c r="W204" s="10">
        <v>107974.74000000002</v>
      </c>
      <c r="X204" s="10"/>
      <c r="Y204" s="10">
        <v>23576.989999999998</v>
      </c>
      <c r="Z204" s="10">
        <v>38241.69</v>
      </c>
      <c r="AA204" s="10">
        <v>40920.010000000009</v>
      </c>
      <c r="AB204" s="10"/>
      <c r="AC204" s="10"/>
      <c r="AD204" s="10"/>
      <c r="AE204" s="10"/>
      <c r="AF204" s="10">
        <v>27580.63</v>
      </c>
      <c r="AG204" s="10">
        <v>54533.43</v>
      </c>
      <c r="AH204" s="10"/>
    </row>
    <row r="205" spans="1:34" x14ac:dyDescent="0.25">
      <c r="A205" t="s">
        <v>1145</v>
      </c>
      <c r="B205" t="s">
        <v>153</v>
      </c>
      <c r="C205" s="10"/>
      <c r="D205" s="10">
        <v>141241.79999999999</v>
      </c>
      <c r="E205" s="10">
        <v>94400.220000000016</v>
      </c>
      <c r="F205" s="10">
        <v>118590.02999999998</v>
      </c>
      <c r="G205" s="10">
        <v>234893.74000000002</v>
      </c>
      <c r="H205" s="10">
        <v>399191.29</v>
      </c>
      <c r="I205" s="10">
        <v>83256.969999999987</v>
      </c>
      <c r="J205" s="10">
        <v>171169.46999999997</v>
      </c>
      <c r="K205" s="10">
        <v>194731.87999999998</v>
      </c>
      <c r="L205" s="10">
        <v>82569.7</v>
      </c>
      <c r="M205" s="10">
        <v>151460.9</v>
      </c>
      <c r="N205" s="10">
        <v>120727.67999999999</v>
      </c>
      <c r="O205" s="10">
        <v>93102.95</v>
      </c>
      <c r="P205" s="10">
        <v>70524.959999999992</v>
      </c>
      <c r="Q205" s="10"/>
      <c r="R205" s="10">
        <v>1797325.7300000002</v>
      </c>
      <c r="S205" s="10"/>
      <c r="T205" s="10">
        <v>42881.18</v>
      </c>
      <c r="U205" s="10"/>
      <c r="V205" s="10">
        <v>63077.200000000004</v>
      </c>
      <c r="W205" s="10"/>
      <c r="X205" s="10"/>
      <c r="Y205" s="10">
        <v>87735.51999999999</v>
      </c>
      <c r="Z205" s="10">
        <v>219096.66000000003</v>
      </c>
      <c r="AA205" s="10"/>
      <c r="AB205" s="10">
        <v>167159.59000000003</v>
      </c>
      <c r="AC205" s="10">
        <v>234379.69</v>
      </c>
      <c r="AD205" s="10"/>
      <c r="AE205" s="10">
        <v>356173.55</v>
      </c>
      <c r="AF205" s="10">
        <v>368587.87999999977</v>
      </c>
      <c r="AG205" s="10">
        <v>254696.74</v>
      </c>
      <c r="AH205" s="10">
        <v>205429.73000000007</v>
      </c>
    </row>
    <row r="206" spans="1:34" x14ac:dyDescent="0.25">
      <c r="A206" t="s">
        <v>1145</v>
      </c>
      <c r="B206" t="s">
        <v>154</v>
      </c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>
        <v>273748.18</v>
      </c>
      <c r="S206" s="10">
        <v>219128.83</v>
      </c>
      <c r="T206" s="10">
        <v>21290.799999999999</v>
      </c>
      <c r="U206" s="10">
        <v>258378.69</v>
      </c>
      <c r="V206" s="10"/>
      <c r="W206" s="10">
        <v>42654.64</v>
      </c>
      <c r="X206" s="10">
        <v>28060.7</v>
      </c>
      <c r="Y206" s="10">
        <v>10620.59</v>
      </c>
      <c r="Z206" s="10">
        <v>250928.75</v>
      </c>
      <c r="AA206" s="10">
        <v>98207.27</v>
      </c>
      <c r="AB206" s="10">
        <v>146260.06</v>
      </c>
      <c r="AC206" s="10"/>
      <c r="AD206" s="10"/>
      <c r="AE206" s="10">
        <v>621402.91999999993</v>
      </c>
      <c r="AF206" s="10">
        <v>142419.12</v>
      </c>
      <c r="AG206" s="10">
        <v>246200.51</v>
      </c>
      <c r="AH206" s="10">
        <v>237263.12</v>
      </c>
    </row>
    <row r="207" spans="1:34" x14ac:dyDescent="0.25">
      <c r="A207" t="s">
        <v>1145</v>
      </c>
      <c r="B207" t="s">
        <v>156</v>
      </c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>
        <v>142092.11000000002</v>
      </c>
      <c r="Z207" s="10">
        <v>27767.14</v>
      </c>
      <c r="AA207" s="10"/>
      <c r="AB207" s="10">
        <v>135157.94999999998</v>
      </c>
      <c r="AC207" s="10">
        <v>173580.49000000002</v>
      </c>
      <c r="AD207" s="10">
        <v>304529.57</v>
      </c>
      <c r="AE207" s="10">
        <v>427891.29</v>
      </c>
      <c r="AF207" s="10">
        <v>585041.71</v>
      </c>
      <c r="AG207" s="10">
        <v>243482.97</v>
      </c>
      <c r="AH207" s="10">
        <v>185109.62999999995</v>
      </c>
    </row>
    <row r="208" spans="1:34" x14ac:dyDescent="0.25">
      <c r="A208" t="s">
        <v>1145</v>
      </c>
      <c r="B208" t="s">
        <v>157</v>
      </c>
      <c r="C208" s="10">
        <v>18705.210000000003</v>
      </c>
      <c r="D208" s="10">
        <v>17502.230000000003</v>
      </c>
      <c r="E208" s="10">
        <v>19921.840000000004</v>
      </c>
      <c r="F208" s="10"/>
      <c r="G208" s="10">
        <v>21463.8</v>
      </c>
      <c r="H208" s="10">
        <v>34731.1</v>
      </c>
      <c r="I208" s="10"/>
      <c r="J208" s="10">
        <v>64015.990000000005</v>
      </c>
      <c r="K208" s="10">
        <v>47570.28</v>
      </c>
      <c r="L208" s="10">
        <v>72985.130000000019</v>
      </c>
      <c r="M208" s="10">
        <v>15663.49</v>
      </c>
      <c r="N208" s="10">
        <v>37832.939999999995</v>
      </c>
      <c r="O208" s="10"/>
      <c r="P208" s="10">
        <v>29319.989999999998</v>
      </c>
      <c r="Q208" s="10"/>
      <c r="R208" s="10">
        <v>21945.149999999998</v>
      </c>
      <c r="S208" s="10">
        <v>27979.05</v>
      </c>
      <c r="T208" s="10"/>
      <c r="U208" s="10">
        <v>23763.359999999997</v>
      </c>
      <c r="V208" s="10">
        <v>20572.480000000003</v>
      </c>
      <c r="W208" s="10">
        <v>59075.920000000006</v>
      </c>
      <c r="X208" s="10">
        <v>126895.95000000001</v>
      </c>
      <c r="Y208" s="10">
        <v>56157.99</v>
      </c>
      <c r="Z208" s="10">
        <v>41656.259999999995</v>
      </c>
      <c r="AA208" s="10">
        <v>41051.800000000003</v>
      </c>
      <c r="AB208" s="10">
        <v>100297.31999999999</v>
      </c>
      <c r="AC208" s="10">
        <v>40018.140000000007</v>
      </c>
      <c r="AD208" s="10">
        <v>104452.17</v>
      </c>
      <c r="AE208" s="10">
        <v>117933.98999999999</v>
      </c>
      <c r="AF208" s="10">
        <v>95808.359999999986</v>
      </c>
      <c r="AG208" s="10">
        <v>43205.05</v>
      </c>
      <c r="AH208" s="10">
        <v>82467.049999999988</v>
      </c>
    </row>
    <row r="209" spans="1:34" x14ac:dyDescent="0.25">
      <c r="A209" t="s">
        <v>1145</v>
      </c>
      <c r="B209" t="s">
        <v>158</v>
      </c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>
        <v>36948.69</v>
      </c>
      <c r="V209" s="10">
        <v>129665.96999999999</v>
      </c>
      <c r="W209" s="10">
        <v>30442.83</v>
      </c>
      <c r="X209" s="10">
        <v>86430.819999999992</v>
      </c>
      <c r="Y209" s="10"/>
      <c r="Z209" s="10">
        <v>4251.1499999999996</v>
      </c>
      <c r="AA209" s="10"/>
      <c r="AB209" s="10"/>
      <c r="AC209" s="10">
        <v>38647.589999999997</v>
      </c>
      <c r="AD209" s="10">
        <v>42433.29</v>
      </c>
      <c r="AE209" s="10"/>
      <c r="AF209" s="10"/>
      <c r="AG209" s="10"/>
      <c r="AH209" s="10">
        <v>89659.23</v>
      </c>
    </row>
    <row r="210" spans="1:34" x14ac:dyDescent="0.25">
      <c r="A210" t="s">
        <v>1145</v>
      </c>
      <c r="B210" t="s">
        <v>159</v>
      </c>
      <c r="C210" s="10"/>
      <c r="D210" s="10"/>
      <c r="E210" s="10"/>
      <c r="F210" s="10"/>
      <c r="G210" s="10"/>
      <c r="H210" s="10"/>
      <c r="I210" s="10"/>
      <c r="J210" s="10"/>
      <c r="K210" s="10">
        <v>177247.03</v>
      </c>
      <c r="L210" s="10"/>
      <c r="M210" s="10"/>
      <c r="N210" s="10"/>
      <c r="O210" s="10">
        <v>101128.95</v>
      </c>
      <c r="P210" s="10"/>
      <c r="Q210" s="10"/>
      <c r="R210" s="10">
        <v>578798.85</v>
      </c>
      <c r="S210" s="10"/>
      <c r="T210" s="10"/>
      <c r="U210" s="10"/>
      <c r="V210" s="10"/>
      <c r="W210" s="10">
        <v>49983.38</v>
      </c>
      <c r="X210" s="10">
        <v>47501.69</v>
      </c>
      <c r="Y210" s="10"/>
      <c r="Z210" s="10"/>
      <c r="AA210" s="10"/>
      <c r="AB210" s="10"/>
      <c r="AC210" s="10">
        <v>78441.249999999985</v>
      </c>
      <c r="AD210" s="10"/>
      <c r="AE210" s="10"/>
      <c r="AF210" s="10"/>
      <c r="AG210" s="10"/>
      <c r="AH210" s="10"/>
    </row>
    <row r="211" spans="1:34" x14ac:dyDescent="0.25">
      <c r="A211" t="s">
        <v>1145</v>
      </c>
      <c r="B211" t="s">
        <v>160</v>
      </c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>
        <v>42073.54</v>
      </c>
      <c r="T211" s="10">
        <v>68429.860000000015</v>
      </c>
      <c r="U211" s="10">
        <v>182089.7</v>
      </c>
      <c r="V211" s="10">
        <v>95036.560000000012</v>
      </c>
      <c r="W211" s="10"/>
      <c r="X211" s="10">
        <v>79804.349999999991</v>
      </c>
      <c r="Y211" s="10"/>
      <c r="Z211" s="10">
        <v>131376.69000000006</v>
      </c>
      <c r="AA211" s="10"/>
      <c r="AB211" s="10"/>
      <c r="AC211" s="10">
        <v>40372.199999999997</v>
      </c>
      <c r="AD211" s="10">
        <v>52919.79</v>
      </c>
      <c r="AE211" s="10"/>
      <c r="AF211" s="10"/>
      <c r="AG211" s="10"/>
      <c r="AH211" s="10">
        <v>46552.42</v>
      </c>
    </row>
    <row r="212" spans="1:34" x14ac:dyDescent="0.25">
      <c r="A212" t="s">
        <v>1145</v>
      </c>
      <c r="B212" t="s">
        <v>161</v>
      </c>
      <c r="C212" s="10"/>
      <c r="D212" s="10"/>
      <c r="E212" s="10">
        <v>23912.789999999997</v>
      </c>
      <c r="F212" s="10"/>
      <c r="G212" s="10"/>
      <c r="H212" s="10">
        <v>34967.569999999992</v>
      </c>
      <c r="I212" s="10"/>
      <c r="J212" s="10"/>
      <c r="K212" s="10"/>
      <c r="L212" s="10"/>
      <c r="M212" s="10">
        <v>37852.240000000005</v>
      </c>
      <c r="N212" s="10">
        <v>15527.279999999999</v>
      </c>
      <c r="O212" s="10"/>
      <c r="P212" s="10"/>
      <c r="Q212" s="10"/>
      <c r="R212" s="10"/>
      <c r="S212" s="10"/>
      <c r="T212" s="10"/>
      <c r="U212" s="10"/>
      <c r="V212" s="10"/>
      <c r="W212" s="10">
        <v>124425.18000000001</v>
      </c>
      <c r="X212" s="10"/>
      <c r="Y212" s="10"/>
      <c r="Z212" s="10"/>
      <c r="AA212" s="10"/>
      <c r="AB212" s="10"/>
      <c r="AC212" s="10">
        <v>36280.17</v>
      </c>
      <c r="AD212" s="10"/>
      <c r="AE212" s="10"/>
      <c r="AF212" s="10">
        <v>74761.34</v>
      </c>
      <c r="AG212" s="10"/>
      <c r="AH212" s="10"/>
    </row>
    <row r="213" spans="1:34" x14ac:dyDescent="0.25">
      <c r="A213" t="s">
        <v>1145</v>
      </c>
      <c r="B213" t="s">
        <v>162</v>
      </c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>
        <v>452102.43000000005</v>
      </c>
      <c r="N213" s="10">
        <v>223652.83000000002</v>
      </c>
      <c r="O213" s="10">
        <v>290474.99000000005</v>
      </c>
      <c r="P213" s="10">
        <v>61265.68</v>
      </c>
      <c r="Q213" s="10"/>
      <c r="R213" s="10"/>
      <c r="S213" s="10">
        <v>153121.88</v>
      </c>
      <c r="T213" s="10">
        <v>236075.18999999997</v>
      </c>
      <c r="U213" s="10">
        <v>121783.90999999999</v>
      </c>
      <c r="V213" s="10">
        <v>186893.50999999998</v>
      </c>
      <c r="W213" s="10">
        <v>126559.63</v>
      </c>
      <c r="X213" s="10">
        <v>165657.45000000001</v>
      </c>
      <c r="Y213" s="10">
        <v>57729.37</v>
      </c>
      <c r="Z213" s="10">
        <v>47630.270000000004</v>
      </c>
      <c r="AA213" s="10">
        <v>228532.22</v>
      </c>
      <c r="AB213" s="10">
        <v>280818.45</v>
      </c>
      <c r="AC213" s="10">
        <v>121358.17000000001</v>
      </c>
      <c r="AD213" s="10">
        <v>11582.859999999999</v>
      </c>
      <c r="AE213" s="10">
        <v>57490.91</v>
      </c>
      <c r="AF213" s="10">
        <v>206083.74</v>
      </c>
      <c r="AG213" s="10">
        <v>812167.83</v>
      </c>
      <c r="AH213" s="10">
        <v>379851.63</v>
      </c>
    </row>
    <row r="214" spans="1:34" x14ac:dyDescent="0.25">
      <c r="A214" t="s">
        <v>1145</v>
      </c>
      <c r="B214" t="s">
        <v>163</v>
      </c>
      <c r="C214" s="10"/>
      <c r="D214" s="10"/>
      <c r="E214" s="10"/>
      <c r="F214" s="10"/>
      <c r="G214" s="10"/>
      <c r="H214" s="10"/>
      <c r="I214" s="10">
        <v>63561.039999999994</v>
      </c>
      <c r="J214" s="10">
        <v>14778.260000000009</v>
      </c>
      <c r="K214" s="10"/>
      <c r="L214" s="10"/>
      <c r="M214" s="10"/>
      <c r="N214" s="10"/>
      <c r="O214" s="10">
        <v>136761.66</v>
      </c>
      <c r="P214" s="10"/>
      <c r="Q214" s="10"/>
      <c r="R214" s="10"/>
      <c r="S214" s="10"/>
      <c r="T214" s="10"/>
      <c r="U214" s="10"/>
      <c r="V214" s="10">
        <v>286641.83999999991</v>
      </c>
      <c r="W214" s="10">
        <v>136166.56000000003</v>
      </c>
      <c r="X214" s="10">
        <v>48902.78</v>
      </c>
      <c r="Y214" s="10">
        <v>71912.830000000016</v>
      </c>
      <c r="Z214" s="10">
        <v>15557.55</v>
      </c>
      <c r="AA214" s="10">
        <v>64749.11</v>
      </c>
      <c r="AB214" s="10"/>
      <c r="AC214" s="10"/>
      <c r="AD214" s="10"/>
      <c r="AE214" s="10"/>
      <c r="AF214" s="10"/>
      <c r="AG214" s="10"/>
      <c r="AH214" s="10"/>
    </row>
    <row r="215" spans="1:34" x14ac:dyDescent="0.25">
      <c r="A215" t="s">
        <v>1145</v>
      </c>
      <c r="B215" t="s">
        <v>1695</v>
      </c>
      <c r="C215" s="10"/>
      <c r="D215" s="10"/>
      <c r="E215" s="10"/>
      <c r="F215" s="10"/>
      <c r="G215" s="10"/>
      <c r="H215" s="10"/>
      <c r="I215" s="10"/>
      <c r="J215" s="10">
        <v>44663.15</v>
      </c>
      <c r="K215" s="10">
        <v>64578.539999999994</v>
      </c>
      <c r="L215" s="10">
        <v>37429.599999999991</v>
      </c>
      <c r="M215" s="10"/>
      <c r="N215" s="10"/>
      <c r="O215" s="10"/>
      <c r="P215" s="10"/>
      <c r="Q215" s="10"/>
      <c r="R215" s="10">
        <v>92706.12000000001</v>
      </c>
      <c r="S215" s="10"/>
      <c r="T215" s="10">
        <v>124732.01999999999</v>
      </c>
      <c r="U215" s="10"/>
      <c r="V215" s="10"/>
      <c r="W215" s="10">
        <v>79392.17</v>
      </c>
      <c r="X215" s="10"/>
      <c r="Y215" s="10"/>
      <c r="Z215" s="10">
        <v>29357.72</v>
      </c>
      <c r="AA215" s="10"/>
      <c r="AB215" s="10"/>
      <c r="AC215" s="10"/>
      <c r="AD215" s="10"/>
      <c r="AE215" s="10"/>
      <c r="AF215" s="10"/>
      <c r="AG215" s="10"/>
      <c r="AH215" s="10"/>
    </row>
    <row r="216" spans="1:34" x14ac:dyDescent="0.25">
      <c r="A216" t="s">
        <v>1145</v>
      </c>
      <c r="B216" t="s">
        <v>164</v>
      </c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>
        <v>743490.52</v>
      </c>
      <c r="X216" s="10"/>
      <c r="Y216" s="10"/>
      <c r="Z216" s="10"/>
      <c r="AA216" s="10">
        <v>35642.93</v>
      </c>
      <c r="AB216" s="10"/>
      <c r="AC216" s="10">
        <v>46132.189999999995</v>
      </c>
      <c r="AD216" s="10">
        <v>327216.67</v>
      </c>
      <c r="AE216" s="10"/>
      <c r="AF216" s="10"/>
      <c r="AG216" s="10"/>
      <c r="AH216" s="10">
        <v>106002.87</v>
      </c>
    </row>
    <row r="217" spans="1:34" x14ac:dyDescent="0.25">
      <c r="A217" t="s">
        <v>1145</v>
      </c>
      <c r="B217" t="s">
        <v>1696</v>
      </c>
      <c r="C217" s="10"/>
      <c r="D217" s="10"/>
      <c r="E217" s="10"/>
      <c r="F217" s="10"/>
      <c r="G217" s="10"/>
      <c r="H217" s="10"/>
      <c r="I217" s="10"/>
      <c r="J217" s="10">
        <v>11764.769999999999</v>
      </c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</row>
    <row r="218" spans="1:34" x14ac:dyDescent="0.25">
      <c r="A218" t="s">
        <v>1145</v>
      </c>
      <c r="B218" t="s">
        <v>165</v>
      </c>
      <c r="C218" s="10"/>
      <c r="D218" s="10">
        <v>77538.170000000013</v>
      </c>
      <c r="E218" s="10">
        <v>57922.62</v>
      </c>
      <c r="F218" s="10">
        <v>507341.27999999956</v>
      </c>
      <c r="G218" s="10">
        <v>291924.19999999995</v>
      </c>
      <c r="H218" s="10">
        <v>228175.63999999996</v>
      </c>
      <c r="I218" s="10">
        <v>95706.180000000022</v>
      </c>
      <c r="J218" s="10">
        <v>183177.16000000012</v>
      </c>
      <c r="K218" s="10">
        <v>142689.43999999994</v>
      </c>
      <c r="L218" s="10">
        <v>161467.40999999997</v>
      </c>
      <c r="M218" s="10">
        <v>99229.65999999996</v>
      </c>
      <c r="N218" s="10">
        <v>169161.31</v>
      </c>
      <c r="O218" s="10"/>
      <c r="P218" s="10"/>
      <c r="Q218" s="10">
        <v>94191.170000000013</v>
      </c>
      <c r="R218" s="10">
        <v>148913.03999999995</v>
      </c>
      <c r="S218" s="10">
        <v>504456.50999999972</v>
      </c>
      <c r="T218" s="10">
        <v>446245.13999999996</v>
      </c>
      <c r="U218" s="10">
        <v>1923.24</v>
      </c>
      <c r="V218" s="10">
        <v>109988.71000000002</v>
      </c>
      <c r="W218" s="10">
        <v>133937.54999999996</v>
      </c>
      <c r="X218" s="10"/>
      <c r="Y218" s="10">
        <v>503467.9600000002</v>
      </c>
      <c r="Z218" s="10">
        <v>235329.4499999999</v>
      </c>
      <c r="AA218" s="10"/>
      <c r="AB218" s="10">
        <v>297.54000000000002</v>
      </c>
      <c r="AC218" s="10"/>
      <c r="AD218" s="10"/>
      <c r="AE218" s="10">
        <v>1124242.1600000013</v>
      </c>
      <c r="AF218" s="10">
        <v>120198.08999999998</v>
      </c>
      <c r="AG218" s="10"/>
      <c r="AH218" s="10">
        <v>717362.00000000023</v>
      </c>
    </row>
    <row r="219" spans="1:34" x14ac:dyDescent="0.25">
      <c r="A219" t="s">
        <v>1145</v>
      </c>
      <c r="B219" t="s">
        <v>166</v>
      </c>
      <c r="C219" s="10"/>
      <c r="D219" s="10"/>
      <c r="E219" s="10"/>
      <c r="F219" s="10"/>
      <c r="G219" s="10"/>
      <c r="H219" s="10"/>
      <c r="I219" s="10">
        <v>106329.49</v>
      </c>
      <c r="J219" s="10">
        <v>42933.450000000004</v>
      </c>
      <c r="K219" s="10"/>
      <c r="L219" s="10"/>
      <c r="M219" s="10"/>
      <c r="N219" s="10"/>
      <c r="O219" s="10"/>
      <c r="P219" s="10"/>
      <c r="Q219" s="10"/>
      <c r="R219" s="10"/>
      <c r="S219" s="10">
        <v>67456.679999999993</v>
      </c>
      <c r="T219" s="10">
        <v>39381.01</v>
      </c>
      <c r="U219" s="10"/>
      <c r="V219" s="10"/>
      <c r="W219" s="10"/>
      <c r="X219" s="10"/>
      <c r="Y219" s="10"/>
      <c r="Z219" s="10">
        <v>-274.08999999999997</v>
      </c>
      <c r="AA219" s="10"/>
      <c r="AB219" s="10"/>
      <c r="AC219" s="10">
        <v>31372.520000000004</v>
      </c>
      <c r="AD219" s="10"/>
      <c r="AE219" s="10"/>
      <c r="AF219" s="10"/>
      <c r="AG219" s="10"/>
      <c r="AH219" s="10"/>
    </row>
    <row r="220" spans="1:34" x14ac:dyDescent="0.25">
      <c r="A220" t="s">
        <v>1145</v>
      </c>
      <c r="B220" t="s">
        <v>1697</v>
      </c>
      <c r="C220" s="10"/>
      <c r="D220" s="10"/>
      <c r="E220" s="10"/>
      <c r="F220" s="10"/>
      <c r="G220" s="10"/>
      <c r="H220" s="10"/>
      <c r="I220" s="10"/>
      <c r="J220" s="10"/>
      <c r="K220" s="10">
        <v>70868.570000000007</v>
      </c>
      <c r="L220" s="10">
        <v>30434.130000000005</v>
      </c>
      <c r="M220" s="10"/>
      <c r="N220" s="10"/>
      <c r="O220" s="10"/>
      <c r="P220" s="10"/>
      <c r="Q220" s="10"/>
      <c r="R220" s="10"/>
      <c r="S220" s="10"/>
      <c r="T220" s="10">
        <v>138394.29</v>
      </c>
      <c r="U220" s="10"/>
      <c r="V220" s="10"/>
      <c r="W220" s="10">
        <v>53260.020000000004</v>
      </c>
      <c r="X220" s="10">
        <v>20793.009999999998</v>
      </c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</row>
    <row r="221" spans="1:34" x14ac:dyDescent="0.25">
      <c r="A221" t="s">
        <v>1145</v>
      </c>
      <c r="B221" t="s">
        <v>167</v>
      </c>
      <c r="C221" s="10"/>
      <c r="D221" s="10"/>
      <c r="E221" s="10"/>
      <c r="F221" s="10"/>
      <c r="G221" s="10"/>
      <c r="H221" s="10"/>
      <c r="I221" s="10"/>
      <c r="J221" s="10">
        <v>175988.14999999997</v>
      </c>
      <c r="K221" s="10"/>
      <c r="L221" s="10">
        <v>54859.96</v>
      </c>
      <c r="M221" s="10">
        <v>97160.61</v>
      </c>
      <c r="N221" s="10"/>
      <c r="O221" s="10"/>
      <c r="P221" s="10">
        <v>92120.21</v>
      </c>
      <c r="Q221" s="10"/>
      <c r="R221" s="10"/>
      <c r="S221" s="10"/>
      <c r="T221" s="10"/>
      <c r="U221" s="10">
        <v>76672.860000000015</v>
      </c>
      <c r="V221" s="10"/>
      <c r="W221" s="10">
        <v>12106.37</v>
      </c>
      <c r="X221" s="10">
        <v>35324.32</v>
      </c>
      <c r="Y221" s="10">
        <v>130281.24</v>
      </c>
      <c r="Z221" s="10">
        <v>22532.73</v>
      </c>
      <c r="AA221" s="10"/>
      <c r="AB221" s="10"/>
      <c r="AC221" s="10"/>
      <c r="AD221" s="10"/>
      <c r="AE221" s="10">
        <v>172452.19</v>
      </c>
      <c r="AF221" s="10"/>
      <c r="AG221" s="10">
        <v>63928.08</v>
      </c>
      <c r="AH221" s="10"/>
    </row>
    <row r="222" spans="1:34" x14ac:dyDescent="0.25">
      <c r="A222" t="s">
        <v>1145</v>
      </c>
      <c r="B222" t="s">
        <v>168</v>
      </c>
      <c r="C222" s="10">
        <v>94533.3</v>
      </c>
      <c r="D222" s="10">
        <v>30287.48</v>
      </c>
      <c r="E222" s="10">
        <v>-10002.86</v>
      </c>
      <c r="F222" s="10"/>
      <c r="G222" s="10"/>
      <c r="H222" s="10">
        <v>32041.170000000002</v>
      </c>
      <c r="I222" s="10">
        <v>150024.95999999999</v>
      </c>
      <c r="J222" s="10">
        <v>26339.98</v>
      </c>
      <c r="K222" s="10">
        <v>12683.74</v>
      </c>
      <c r="L222" s="10">
        <v>13104.01</v>
      </c>
      <c r="M222" s="10"/>
      <c r="N222" s="10"/>
      <c r="O222" s="10">
        <v>14724.43</v>
      </c>
      <c r="P222" s="10">
        <v>20738.25</v>
      </c>
      <c r="Q222" s="10">
        <v>108970.89999999998</v>
      </c>
      <c r="R222" s="10"/>
      <c r="S222" s="10"/>
      <c r="T222" s="10"/>
      <c r="U222" s="10"/>
      <c r="V222" s="10"/>
      <c r="W222" s="10"/>
      <c r="X222" s="10">
        <v>26607.17</v>
      </c>
      <c r="Y222" s="10">
        <v>11814.339999999998</v>
      </c>
      <c r="Z222" s="10"/>
      <c r="AA222" s="10">
        <v>12478.27</v>
      </c>
      <c r="AB222" s="10"/>
      <c r="AC222" s="10"/>
      <c r="AD222" s="10"/>
      <c r="AE222" s="10">
        <v>13059.68</v>
      </c>
      <c r="AF222" s="10"/>
      <c r="AG222" s="10"/>
      <c r="AH222" s="10"/>
    </row>
    <row r="223" spans="1:34" x14ac:dyDescent="0.25">
      <c r="A223" t="s">
        <v>1145</v>
      </c>
      <c r="B223" t="s">
        <v>911</v>
      </c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>
        <v>51574.64</v>
      </c>
      <c r="AA223" s="10"/>
      <c r="AB223" s="10">
        <v>55131.39</v>
      </c>
      <c r="AC223" s="10">
        <v>31730.089999999997</v>
      </c>
      <c r="AD223" s="10">
        <v>42427.199999999997</v>
      </c>
      <c r="AE223" s="10"/>
      <c r="AF223" s="10"/>
      <c r="AG223" s="10"/>
      <c r="AH223" s="10">
        <v>33842.959999999999</v>
      </c>
    </row>
    <row r="224" spans="1:34" x14ac:dyDescent="0.25">
      <c r="A224" t="s">
        <v>1145</v>
      </c>
      <c r="B224" t="s">
        <v>1698</v>
      </c>
      <c r="C224" s="10"/>
      <c r="D224" s="10"/>
      <c r="E224" s="10"/>
      <c r="F224" s="10">
        <v>49037.039999999994</v>
      </c>
      <c r="G224" s="10"/>
      <c r="H224" s="10">
        <v>69022.8</v>
      </c>
      <c r="I224" s="10">
        <v>13190.239999999998</v>
      </c>
      <c r="J224" s="10">
        <v>75727.92</v>
      </c>
      <c r="K224" s="10">
        <v>44929.560000000005</v>
      </c>
      <c r="L224" s="10">
        <v>53519.15</v>
      </c>
      <c r="M224" s="10">
        <v>11994.17</v>
      </c>
      <c r="N224" s="10">
        <v>-3808.9</v>
      </c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</row>
    <row r="225" spans="1:34" x14ac:dyDescent="0.25">
      <c r="A225" t="s">
        <v>1145</v>
      </c>
      <c r="B225" t="s">
        <v>169</v>
      </c>
      <c r="C225" s="10">
        <v>15663.35</v>
      </c>
      <c r="D225" s="10">
        <v>63269.91</v>
      </c>
      <c r="E225" s="10"/>
      <c r="F225" s="10">
        <v>32800.629999999997</v>
      </c>
      <c r="G225" s="10">
        <v>34406.379999999997</v>
      </c>
      <c r="H225" s="10">
        <v>50926.94000000001</v>
      </c>
      <c r="I225" s="10">
        <v>111596.04000000001</v>
      </c>
      <c r="J225" s="10">
        <v>73044.959999999992</v>
      </c>
      <c r="K225" s="10">
        <v>157200.49000000002</v>
      </c>
      <c r="L225" s="10">
        <v>101341.22999999998</v>
      </c>
      <c r="M225" s="10">
        <v>69260.789999999994</v>
      </c>
      <c r="N225" s="10"/>
      <c r="O225" s="10"/>
      <c r="P225" s="10">
        <v>143179.32</v>
      </c>
      <c r="Q225" s="10">
        <v>175198.23999999996</v>
      </c>
      <c r="R225" s="10"/>
      <c r="S225" s="10">
        <v>94219.85</v>
      </c>
      <c r="T225" s="10"/>
      <c r="U225" s="10">
        <v>439610.91999999993</v>
      </c>
      <c r="V225" s="10">
        <v>136020.48999999996</v>
      </c>
      <c r="W225" s="10">
        <v>172878.31999999995</v>
      </c>
      <c r="X225" s="10">
        <v>120668.81000000001</v>
      </c>
      <c r="Y225" s="10">
        <v>184245.90999999997</v>
      </c>
      <c r="Z225" s="10"/>
      <c r="AA225" s="10">
        <v>90566.17</v>
      </c>
      <c r="AB225" s="10">
        <v>39676.32</v>
      </c>
      <c r="AC225" s="10"/>
      <c r="AD225" s="10"/>
      <c r="AE225" s="10">
        <v>59339.700000000004</v>
      </c>
      <c r="AF225" s="10">
        <v>109469.54000000001</v>
      </c>
      <c r="AG225" s="10">
        <v>146426.43000000005</v>
      </c>
      <c r="AH225" s="10"/>
    </row>
    <row r="226" spans="1:34" x14ac:dyDescent="0.25">
      <c r="A226" t="s">
        <v>1145</v>
      </c>
      <c r="B226" t="s">
        <v>170</v>
      </c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>
        <v>34346.57</v>
      </c>
      <c r="R226" s="10"/>
      <c r="S226" s="10"/>
      <c r="T226" s="10"/>
      <c r="U226" s="10">
        <v>36438.14</v>
      </c>
      <c r="V226" s="10"/>
      <c r="W226" s="10"/>
      <c r="X226" s="10"/>
      <c r="Y226" s="10">
        <v>33614.530000000006</v>
      </c>
      <c r="Z226" s="10"/>
      <c r="AA226" s="10">
        <v>37293.760000000002</v>
      </c>
      <c r="AB226" s="10"/>
      <c r="AC226" s="10"/>
      <c r="AD226" s="10"/>
      <c r="AE226" s="10">
        <v>31215.370000000003</v>
      </c>
      <c r="AF226" s="10">
        <v>30160.07</v>
      </c>
      <c r="AG226" s="10"/>
      <c r="AH226" s="10"/>
    </row>
    <row r="227" spans="1:34" x14ac:dyDescent="0.25">
      <c r="A227" t="s">
        <v>1145</v>
      </c>
      <c r="B227" t="s">
        <v>171</v>
      </c>
      <c r="C227" s="10"/>
      <c r="D227" s="10"/>
      <c r="E227" s="10"/>
      <c r="F227" s="10"/>
      <c r="G227" s="10"/>
      <c r="H227" s="10">
        <v>244541.8</v>
      </c>
      <c r="I227" s="10">
        <v>51123.5</v>
      </c>
      <c r="J227" s="10"/>
      <c r="K227" s="10">
        <v>25511.599999999999</v>
      </c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>
        <v>36763.519999999997</v>
      </c>
      <c r="X227" s="10">
        <v>262704.63</v>
      </c>
      <c r="Y227" s="10">
        <v>42700.66</v>
      </c>
      <c r="Z227" s="10"/>
      <c r="AA227" s="10"/>
      <c r="AB227" s="10"/>
      <c r="AC227" s="10">
        <v>10080.6</v>
      </c>
      <c r="AD227" s="10">
        <v>29723.670000000002</v>
      </c>
      <c r="AE227" s="10"/>
      <c r="AF227" s="10"/>
      <c r="AG227" s="10">
        <v>1129357.3700000001</v>
      </c>
      <c r="AH227" s="10"/>
    </row>
    <row r="228" spans="1:34" x14ac:dyDescent="0.25">
      <c r="A228" t="s">
        <v>1145</v>
      </c>
      <c r="B228" t="s">
        <v>172</v>
      </c>
      <c r="C228" s="10"/>
      <c r="D228" s="10">
        <v>26356.32</v>
      </c>
      <c r="E228" s="10"/>
      <c r="F228" s="10">
        <v>64013.560000000005</v>
      </c>
      <c r="G228" s="10">
        <v>17518.72</v>
      </c>
      <c r="H228" s="10"/>
      <c r="I228" s="10">
        <v>16296.2</v>
      </c>
      <c r="J228" s="10">
        <v>31764.84</v>
      </c>
      <c r="K228" s="10">
        <v>290691.56</v>
      </c>
      <c r="L228" s="10">
        <v>13359.06</v>
      </c>
      <c r="M228" s="10">
        <v>60692.119999999995</v>
      </c>
      <c r="N228" s="10"/>
      <c r="O228" s="10">
        <v>13398.32</v>
      </c>
      <c r="P228" s="10">
        <v>35183.51</v>
      </c>
      <c r="Q228" s="10"/>
      <c r="R228" s="10">
        <v>7256.08</v>
      </c>
      <c r="S228" s="10">
        <v>61810.070000000007</v>
      </c>
      <c r="T228" s="10">
        <v>60387.860000000008</v>
      </c>
      <c r="U228" s="10">
        <v>148251.81</v>
      </c>
      <c r="V228" s="10">
        <v>60775.310000000005</v>
      </c>
      <c r="W228" s="10">
        <v>100083.43</v>
      </c>
      <c r="X228" s="10">
        <v>12282.779999999999</v>
      </c>
      <c r="Y228" s="10">
        <v>114591.87</v>
      </c>
      <c r="Z228" s="10">
        <v>62633.299999999996</v>
      </c>
      <c r="AA228" s="10"/>
      <c r="AB228" s="10">
        <v>50412.33</v>
      </c>
      <c r="AC228" s="10">
        <v>11836.61</v>
      </c>
      <c r="AD228" s="10">
        <v>106821.79</v>
      </c>
      <c r="AE228" s="10">
        <v>17637.34</v>
      </c>
      <c r="AF228" s="10">
        <v>75323.290000000008</v>
      </c>
      <c r="AG228" s="10">
        <v>102112.12</v>
      </c>
      <c r="AH228" s="10">
        <v>94279.94</v>
      </c>
    </row>
    <row r="229" spans="1:34" x14ac:dyDescent="0.25">
      <c r="A229" t="s">
        <v>1153</v>
      </c>
      <c r="B229" t="s">
        <v>178</v>
      </c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>
        <v>24609.89</v>
      </c>
      <c r="S229" s="10">
        <v>17567.000000000004</v>
      </c>
      <c r="T229" s="10">
        <v>20011</v>
      </c>
      <c r="U229" s="10">
        <v>13050.000000000002</v>
      </c>
      <c r="V229" s="10"/>
      <c r="W229" s="10">
        <v>45480.749999999993</v>
      </c>
      <c r="X229" s="10"/>
      <c r="Y229" s="10">
        <v>20000</v>
      </c>
      <c r="Z229" s="10">
        <v>24927</v>
      </c>
      <c r="AA229" s="10">
        <v>4271.17</v>
      </c>
      <c r="AB229" s="10">
        <v>23810.999999999996</v>
      </c>
      <c r="AC229" s="10"/>
      <c r="AD229" s="10"/>
      <c r="AE229" s="10">
        <v>21576.999999999996</v>
      </c>
      <c r="AF229" s="10">
        <v>600</v>
      </c>
      <c r="AG229" s="10">
        <v>22963</v>
      </c>
      <c r="AH229" s="10"/>
    </row>
    <row r="230" spans="1:34" x14ac:dyDescent="0.25">
      <c r="A230" t="s">
        <v>1153</v>
      </c>
      <c r="B230" t="s">
        <v>1699</v>
      </c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>
        <v>81939.19</v>
      </c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</row>
    <row r="231" spans="1:34" x14ac:dyDescent="0.25">
      <c r="A231" t="s">
        <v>1153</v>
      </c>
      <c r="B231" t="s">
        <v>1700</v>
      </c>
      <c r="C231" s="10">
        <v>23730.27</v>
      </c>
      <c r="D231" s="10">
        <v>21758.54</v>
      </c>
      <c r="E231" s="10">
        <v>52180.009999999995</v>
      </c>
      <c r="F231" s="10">
        <v>49550.080000000002</v>
      </c>
      <c r="G231" s="10">
        <v>19510.650000000001</v>
      </c>
      <c r="H231" s="10"/>
      <c r="I231" s="10"/>
      <c r="J231" s="10"/>
      <c r="K231" s="10">
        <v>32708.720000000001</v>
      </c>
      <c r="L231" s="10">
        <v>10631.06</v>
      </c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>
        <v>52300</v>
      </c>
    </row>
    <row r="232" spans="1:34" x14ac:dyDescent="0.25">
      <c r="A232" t="s">
        <v>1153</v>
      </c>
      <c r="B232" t="s">
        <v>177</v>
      </c>
      <c r="C232" s="10">
        <v>34209.99</v>
      </c>
      <c r="D232" s="10">
        <v>151873.05000000002</v>
      </c>
      <c r="E232" s="10"/>
      <c r="F232" s="10">
        <v>141892.54999999999</v>
      </c>
      <c r="G232" s="10"/>
      <c r="H232" s="10">
        <v>20376.68</v>
      </c>
      <c r="I232" s="10">
        <v>71951.390000000014</v>
      </c>
      <c r="J232" s="10"/>
      <c r="K232" s="10"/>
      <c r="L232" s="10">
        <v>157750.88000000006</v>
      </c>
      <c r="M232" s="10">
        <v>79159.47</v>
      </c>
      <c r="N232" s="10"/>
      <c r="O232" s="10"/>
      <c r="P232" s="10">
        <v>60604.289999999994</v>
      </c>
      <c r="Q232" s="10">
        <v>76436.100000000006</v>
      </c>
      <c r="R232" s="10">
        <v>61860.92</v>
      </c>
      <c r="S232" s="10">
        <v>176850.83000000002</v>
      </c>
      <c r="T232" s="10">
        <v>133732.01</v>
      </c>
      <c r="U232" s="10">
        <v>118239.11</v>
      </c>
      <c r="V232" s="10">
        <v>82833.419999999984</v>
      </c>
      <c r="W232" s="10">
        <v>316926.55</v>
      </c>
      <c r="X232" s="10">
        <v>375380.02</v>
      </c>
      <c r="Y232" s="10">
        <v>215432.5</v>
      </c>
      <c r="Z232" s="10">
        <v>322790.07999999984</v>
      </c>
      <c r="AA232" s="10">
        <v>298437.33999999997</v>
      </c>
      <c r="AB232" s="10">
        <v>155998.35000000006</v>
      </c>
      <c r="AC232" s="10">
        <v>154224.59</v>
      </c>
      <c r="AD232" s="10">
        <v>152522.40000000002</v>
      </c>
      <c r="AE232" s="10">
        <v>181519.05000000005</v>
      </c>
      <c r="AF232" s="10">
        <v>230285.91000000009</v>
      </c>
      <c r="AG232" s="10">
        <v>133450.34</v>
      </c>
      <c r="AH232" s="10">
        <v>182526.02</v>
      </c>
    </row>
    <row r="233" spans="1:34" x14ac:dyDescent="0.25">
      <c r="A233" t="s">
        <v>1153</v>
      </c>
      <c r="B233" t="s">
        <v>179</v>
      </c>
      <c r="C233" s="10"/>
      <c r="D233" s="10"/>
      <c r="E233" s="10"/>
      <c r="F233" s="10"/>
      <c r="G233" s="10"/>
      <c r="H233" s="10">
        <v>4947.93</v>
      </c>
      <c r="I233" s="10"/>
      <c r="J233" s="10"/>
      <c r="K233" s="10">
        <v>7790.7999999999993</v>
      </c>
      <c r="L233" s="10">
        <v>82139.86</v>
      </c>
      <c r="M233" s="10">
        <v>2097.17</v>
      </c>
      <c r="N233" s="10"/>
      <c r="O233" s="10"/>
      <c r="P233" s="10"/>
      <c r="Q233" s="10"/>
      <c r="R233" s="10">
        <v>35731.840000000004</v>
      </c>
      <c r="S233" s="10"/>
      <c r="T233" s="10">
        <v>7829.1100000000006</v>
      </c>
      <c r="U233" s="10"/>
      <c r="V233" s="10"/>
      <c r="W233" s="10"/>
      <c r="X233" s="10"/>
      <c r="Y233" s="10">
        <v>6615.84</v>
      </c>
      <c r="Z233" s="10"/>
      <c r="AA233" s="10"/>
      <c r="AB233" s="10"/>
      <c r="AC233" s="10">
        <v>29090.71</v>
      </c>
      <c r="AD233" s="10">
        <v>95065.860000000015</v>
      </c>
      <c r="AE233" s="10">
        <v>10518.539999999999</v>
      </c>
      <c r="AF233" s="10">
        <v>57117.350000000006</v>
      </c>
      <c r="AG233" s="10"/>
      <c r="AH233" s="10"/>
    </row>
    <row r="234" spans="1:34" x14ac:dyDescent="0.25">
      <c r="A234" t="s">
        <v>1153</v>
      </c>
      <c r="B234" t="s">
        <v>180</v>
      </c>
      <c r="C234" s="10"/>
      <c r="D234" s="10"/>
      <c r="E234" s="10"/>
      <c r="F234" s="10"/>
      <c r="G234" s="10"/>
      <c r="H234" s="10"/>
      <c r="I234" s="10"/>
      <c r="J234" s="10"/>
      <c r="K234" s="10"/>
      <c r="L234" s="10">
        <v>52890.640000000007</v>
      </c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>
        <v>44898.93</v>
      </c>
      <c r="Y234" s="10"/>
      <c r="Z234" s="10">
        <v>28284.950000000004</v>
      </c>
      <c r="AA234" s="10">
        <v>23020.419999999991</v>
      </c>
      <c r="AB234" s="10"/>
      <c r="AC234" s="10"/>
      <c r="AD234" s="10">
        <v>48618.36</v>
      </c>
      <c r="AE234" s="10">
        <v>20048.46</v>
      </c>
      <c r="AF234" s="10"/>
      <c r="AG234" s="10">
        <v>20761.440000000002</v>
      </c>
      <c r="AH234" s="10">
        <v>27776.999999999996</v>
      </c>
    </row>
    <row r="235" spans="1:34" x14ac:dyDescent="0.25">
      <c r="A235" t="s">
        <v>1153</v>
      </c>
      <c r="B235" t="s">
        <v>1701</v>
      </c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>
        <v>120002.95000000001</v>
      </c>
      <c r="W235" s="10"/>
      <c r="X235" s="10">
        <v>18490.84</v>
      </c>
      <c r="Y235" s="10"/>
      <c r="Z235" s="10">
        <v>62152.42</v>
      </c>
      <c r="AA235" s="10"/>
      <c r="AB235" s="10"/>
      <c r="AC235" s="10"/>
      <c r="AD235" s="10"/>
      <c r="AE235" s="10"/>
      <c r="AF235" s="10"/>
      <c r="AG235" s="10"/>
      <c r="AH235" s="10"/>
    </row>
    <row r="236" spans="1:34" x14ac:dyDescent="0.25">
      <c r="A236" t="s">
        <v>1153</v>
      </c>
      <c r="B236" t="s">
        <v>1485</v>
      </c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>
        <v>77524.680000000022</v>
      </c>
      <c r="AH236" s="10"/>
    </row>
    <row r="237" spans="1:34" x14ac:dyDescent="0.25">
      <c r="A237" t="s">
        <v>1153</v>
      </c>
      <c r="B237" t="s">
        <v>181</v>
      </c>
      <c r="C237" s="10"/>
      <c r="D237" s="10">
        <v>9738.0499999999993</v>
      </c>
      <c r="E237" s="10"/>
      <c r="F237" s="10"/>
      <c r="G237" s="10">
        <v>20958.71</v>
      </c>
      <c r="H237" s="10">
        <v>21785.519999999997</v>
      </c>
      <c r="I237" s="10"/>
      <c r="J237" s="10"/>
      <c r="K237" s="10">
        <v>28915.380000000005</v>
      </c>
      <c r="L237" s="10">
        <v>31172.45</v>
      </c>
      <c r="M237" s="10"/>
      <c r="N237" s="10"/>
      <c r="O237" s="10"/>
      <c r="P237" s="10"/>
      <c r="Q237" s="10">
        <v>21506.3</v>
      </c>
      <c r="R237" s="10">
        <v>20524.57</v>
      </c>
      <c r="S237" s="10"/>
      <c r="T237" s="10">
        <v>13959.18</v>
      </c>
      <c r="U237" s="10"/>
      <c r="V237" s="10">
        <v>22536.51</v>
      </c>
      <c r="W237" s="10">
        <v>20430</v>
      </c>
      <c r="X237" s="10">
        <v>121281.99999999997</v>
      </c>
      <c r="Y237" s="10"/>
      <c r="Z237" s="10"/>
      <c r="AA237" s="10"/>
      <c r="AB237" s="10"/>
      <c r="AC237" s="10"/>
      <c r="AD237" s="10"/>
      <c r="AE237" s="10">
        <v>24322</v>
      </c>
      <c r="AF237" s="10">
        <v>49022</v>
      </c>
      <c r="AG237" s="10">
        <v>23345</v>
      </c>
      <c r="AH237" s="10">
        <v>20801</v>
      </c>
    </row>
    <row r="238" spans="1:34" x14ac:dyDescent="0.25">
      <c r="A238" t="s">
        <v>1153</v>
      </c>
      <c r="B238" t="s">
        <v>182</v>
      </c>
      <c r="C238" s="10">
        <v>748.83</v>
      </c>
      <c r="D238" s="10">
        <v>80515.22</v>
      </c>
      <c r="E238" s="10">
        <v>8010.64</v>
      </c>
      <c r="F238" s="10">
        <v>34232.870000000003</v>
      </c>
      <c r="G238" s="10">
        <v>22720.370000000003</v>
      </c>
      <c r="H238" s="10">
        <v>8578.94</v>
      </c>
      <c r="I238" s="10">
        <v>7960.32</v>
      </c>
      <c r="J238" s="10">
        <v>20419.919999999998</v>
      </c>
      <c r="K238" s="10">
        <v>228965.19999999998</v>
      </c>
      <c r="L238" s="10">
        <v>26605.129999999997</v>
      </c>
      <c r="M238" s="10">
        <v>18770.63</v>
      </c>
      <c r="N238" s="10">
        <v>92463.47</v>
      </c>
      <c r="O238" s="10">
        <v>15979.65</v>
      </c>
      <c r="P238" s="10">
        <v>14111.82</v>
      </c>
      <c r="Q238" s="10">
        <v>17088.990000000002</v>
      </c>
      <c r="R238" s="10">
        <v>42053.850000000006</v>
      </c>
      <c r="S238" s="10">
        <v>49949.490000000005</v>
      </c>
      <c r="T238" s="10">
        <v>40518.960000000006</v>
      </c>
      <c r="U238" s="10">
        <v>12203.939999999999</v>
      </c>
      <c r="V238" s="10">
        <v>43207.75</v>
      </c>
      <c r="W238" s="10">
        <v>83918.68</v>
      </c>
      <c r="X238" s="10"/>
      <c r="Y238" s="10">
        <v>21838.870000000006</v>
      </c>
      <c r="Z238" s="10">
        <v>67359.490000000005</v>
      </c>
      <c r="AA238" s="10">
        <v>40286.199999999997</v>
      </c>
      <c r="AB238" s="10">
        <v>60699.43</v>
      </c>
      <c r="AC238" s="10">
        <v>109139.31999999999</v>
      </c>
      <c r="AD238" s="10">
        <v>140184.03000000003</v>
      </c>
      <c r="AE238" s="10">
        <v>95907.99</v>
      </c>
      <c r="AF238" s="10">
        <v>36655.89</v>
      </c>
      <c r="AG238" s="10">
        <v>55202.49</v>
      </c>
      <c r="AH238" s="10">
        <v>29279.27</v>
      </c>
    </row>
    <row r="239" spans="1:34" x14ac:dyDescent="0.25">
      <c r="A239" t="s">
        <v>1153</v>
      </c>
      <c r="B239" t="s">
        <v>183</v>
      </c>
      <c r="C239" s="10"/>
      <c r="D239" s="10"/>
      <c r="E239" s="10"/>
      <c r="F239" s="10"/>
      <c r="G239" s="10">
        <v>3704.79</v>
      </c>
      <c r="H239" s="10">
        <v>9095.5499999999993</v>
      </c>
      <c r="I239" s="10">
        <v>3979.66</v>
      </c>
      <c r="J239" s="10"/>
      <c r="K239" s="10">
        <v>23662.75</v>
      </c>
      <c r="L239" s="10">
        <v>24201.34</v>
      </c>
      <c r="M239" s="10"/>
      <c r="N239" s="10">
        <v>8896.08</v>
      </c>
      <c r="O239" s="10">
        <v>21503.940000000002</v>
      </c>
      <c r="P239" s="10"/>
      <c r="Q239" s="10"/>
      <c r="R239" s="10">
        <v>11870.380000000001</v>
      </c>
      <c r="S239" s="10">
        <v>24373.000000000004</v>
      </c>
      <c r="T239" s="10"/>
      <c r="U239" s="10">
        <v>11290.58</v>
      </c>
      <c r="V239" s="10">
        <v>3120</v>
      </c>
      <c r="W239" s="10"/>
      <c r="X239" s="10"/>
      <c r="Y239" s="10"/>
      <c r="Z239" s="10"/>
      <c r="AA239" s="10">
        <v>14889.05</v>
      </c>
      <c r="AB239" s="10"/>
      <c r="AC239" s="10"/>
      <c r="AD239" s="10"/>
      <c r="AE239" s="10"/>
      <c r="AF239" s="10"/>
      <c r="AG239" s="10"/>
      <c r="AH239" s="10"/>
    </row>
    <row r="240" spans="1:34" x14ac:dyDescent="0.25">
      <c r="A240" t="s">
        <v>1153</v>
      </c>
      <c r="B240" t="s">
        <v>1702</v>
      </c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>
        <v>32300.02</v>
      </c>
      <c r="AA240" s="10"/>
      <c r="AB240" s="10"/>
      <c r="AC240" s="10"/>
      <c r="AD240" s="10"/>
      <c r="AE240" s="10"/>
      <c r="AF240" s="10"/>
      <c r="AG240" s="10"/>
      <c r="AH240" s="10"/>
    </row>
    <row r="241" spans="1:34" x14ac:dyDescent="0.25">
      <c r="A241" t="s">
        <v>1153</v>
      </c>
      <c r="B241" t="s">
        <v>1703</v>
      </c>
      <c r="C241" s="10"/>
      <c r="D241" s="10">
        <v>7518.37</v>
      </c>
      <c r="E241" s="10"/>
      <c r="F241" s="10"/>
      <c r="G241" s="10"/>
      <c r="H241" s="10"/>
      <c r="I241" s="10"/>
      <c r="J241" s="10">
        <v>16140.329999999998</v>
      </c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</row>
    <row r="242" spans="1:34" x14ac:dyDescent="0.25">
      <c r="A242" t="s">
        <v>1153</v>
      </c>
      <c r="B242" t="s">
        <v>184</v>
      </c>
      <c r="C242" s="10"/>
      <c r="D242" s="10"/>
      <c r="E242" s="10">
        <v>35109.29</v>
      </c>
      <c r="F242" s="10"/>
      <c r="G242" s="10"/>
      <c r="H242" s="10">
        <v>52444.469999999994</v>
      </c>
      <c r="I242" s="10">
        <v>94364.260000000009</v>
      </c>
      <c r="J242" s="10">
        <v>91114.85</v>
      </c>
      <c r="K242" s="10">
        <v>20310.61</v>
      </c>
      <c r="L242" s="10">
        <v>12469.16</v>
      </c>
      <c r="M242" s="10"/>
      <c r="N242" s="10"/>
      <c r="O242" s="10"/>
      <c r="P242" s="10">
        <v>9510.0800000000017</v>
      </c>
      <c r="Q242" s="10">
        <v>90710.45</v>
      </c>
      <c r="R242" s="10"/>
      <c r="S242" s="10"/>
      <c r="T242" s="10"/>
      <c r="U242" s="10"/>
      <c r="V242" s="10"/>
      <c r="W242" s="10"/>
      <c r="X242" s="10"/>
      <c r="Y242" s="10"/>
      <c r="Z242" s="10"/>
      <c r="AA242" s="10">
        <v>30741.75</v>
      </c>
      <c r="AB242" s="10">
        <v>81557.58</v>
      </c>
      <c r="AC242" s="10">
        <v>36991.9</v>
      </c>
      <c r="AD242" s="10">
        <v>84024.82</v>
      </c>
      <c r="AE242" s="10">
        <v>173651.23</v>
      </c>
      <c r="AF242" s="10">
        <v>57460.26999999999</v>
      </c>
      <c r="AG242" s="10">
        <v>161103.64000000001</v>
      </c>
      <c r="AH242" s="10">
        <v>93207.06</v>
      </c>
    </row>
    <row r="243" spans="1:34" x14ac:dyDescent="0.25">
      <c r="A243" t="s">
        <v>1153</v>
      </c>
      <c r="B243" t="s">
        <v>1294</v>
      </c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>
        <v>43917.71</v>
      </c>
      <c r="AE243" s="10"/>
      <c r="AF243" s="10"/>
      <c r="AG243" s="10"/>
      <c r="AH243" s="10"/>
    </row>
    <row r="244" spans="1:34" x14ac:dyDescent="0.25">
      <c r="A244" t="s">
        <v>1153</v>
      </c>
      <c r="B244" t="s">
        <v>185</v>
      </c>
      <c r="C244" s="10"/>
      <c r="D244" s="10"/>
      <c r="E244" s="10"/>
      <c r="F244" s="10"/>
      <c r="G244" s="10">
        <v>40987.770000000004</v>
      </c>
      <c r="H244" s="10">
        <v>39883.57</v>
      </c>
      <c r="I244" s="10">
        <v>49254.36</v>
      </c>
      <c r="J244" s="10">
        <v>92955.709999999977</v>
      </c>
      <c r="K244" s="10">
        <v>208095.90000000002</v>
      </c>
      <c r="L244" s="10">
        <v>86666.86</v>
      </c>
      <c r="M244" s="10"/>
      <c r="N244" s="10"/>
      <c r="O244" s="10"/>
      <c r="P244" s="10"/>
      <c r="Q244" s="10"/>
      <c r="R244" s="10"/>
      <c r="S244" s="10">
        <v>57968.619999999995</v>
      </c>
      <c r="T244" s="10">
        <v>113066.78</v>
      </c>
      <c r="U244" s="10">
        <v>250280.73000000007</v>
      </c>
      <c r="V244" s="10"/>
      <c r="W244" s="10">
        <v>128780.01999999999</v>
      </c>
      <c r="X244" s="10">
        <v>87850.989999999991</v>
      </c>
      <c r="Y244" s="10">
        <v>46764.36</v>
      </c>
      <c r="Z244" s="10"/>
      <c r="AA244" s="10"/>
      <c r="AB244" s="10"/>
      <c r="AC244" s="10"/>
      <c r="AD244" s="10"/>
      <c r="AE244" s="10"/>
      <c r="AF244" s="10">
        <v>130003.54</v>
      </c>
      <c r="AG244" s="10"/>
      <c r="AH244" s="10">
        <v>162602.97</v>
      </c>
    </row>
    <row r="245" spans="1:34" x14ac:dyDescent="0.25">
      <c r="A245" t="s">
        <v>1153</v>
      </c>
      <c r="B245" t="s">
        <v>1414</v>
      </c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>
        <v>34341.020000000004</v>
      </c>
      <c r="AG245" s="10"/>
      <c r="AH245" s="10"/>
    </row>
    <row r="246" spans="1:34" x14ac:dyDescent="0.25">
      <c r="A246" t="s">
        <v>1153</v>
      </c>
      <c r="B246" t="s">
        <v>1704</v>
      </c>
      <c r="C246" s="10"/>
      <c r="D246" s="10"/>
      <c r="E246" s="10"/>
      <c r="F246" s="10"/>
      <c r="G246" s="10"/>
      <c r="H246" s="10"/>
      <c r="I246" s="10"/>
      <c r="J246" s="10"/>
      <c r="K246" s="10">
        <v>101054.67</v>
      </c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</row>
    <row r="247" spans="1:34" x14ac:dyDescent="0.25">
      <c r="A247" t="s">
        <v>1153</v>
      </c>
      <c r="B247" t="s">
        <v>1705</v>
      </c>
      <c r="C247" s="10"/>
      <c r="D247" s="10"/>
      <c r="E247" s="10"/>
      <c r="F247" s="10"/>
      <c r="G247" s="10"/>
      <c r="H247" s="10"/>
      <c r="I247" s="10"/>
      <c r="J247" s="10"/>
      <c r="K247" s="10">
        <v>111560.27999999993</v>
      </c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</row>
    <row r="248" spans="1:34" x14ac:dyDescent="0.25">
      <c r="A248" t="s">
        <v>1153</v>
      </c>
      <c r="B248" t="s">
        <v>843</v>
      </c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>
        <v>64870.31</v>
      </c>
      <c r="AA248" s="10"/>
      <c r="AB248" s="10">
        <v>523847.52000000008</v>
      </c>
      <c r="AC248" s="10">
        <v>137744.74999999997</v>
      </c>
      <c r="AD248" s="10"/>
      <c r="AE248" s="10">
        <v>224180.55</v>
      </c>
      <c r="AF248" s="10">
        <v>157601.60000000001</v>
      </c>
      <c r="AG248" s="10">
        <v>217206.53000000003</v>
      </c>
      <c r="AH248" s="10">
        <v>249300.88</v>
      </c>
    </row>
    <row r="249" spans="1:34" x14ac:dyDescent="0.25">
      <c r="A249" t="s">
        <v>1153</v>
      </c>
      <c r="B249" t="s">
        <v>1706</v>
      </c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>
        <v>34970.089999999997</v>
      </c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</row>
    <row r="250" spans="1:34" x14ac:dyDescent="0.25">
      <c r="A250" t="s">
        <v>1153</v>
      </c>
      <c r="B250" t="s">
        <v>1707</v>
      </c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>
        <v>8642.99</v>
      </c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</row>
    <row r="251" spans="1:34" x14ac:dyDescent="0.25">
      <c r="A251" t="s">
        <v>1153</v>
      </c>
      <c r="B251" t="s">
        <v>1708</v>
      </c>
      <c r="C251" s="10"/>
      <c r="D251" s="10"/>
      <c r="E251" s="10"/>
      <c r="F251" s="10"/>
      <c r="G251" s="10"/>
      <c r="H251" s="10">
        <v>21623.199999999997</v>
      </c>
      <c r="I251" s="10"/>
      <c r="J251" s="10"/>
      <c r="K251" s="10">
        <v>31106.31</v>
      </c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</row>
    <row r="252" spans="1:34" x14ac:dyDescent="0.25">
      <c r="A252" t="s">
        <v>1153</v>
      </c>
      <c r="B252" t="s">
        <v>186</v>
      </c>
      <c r="C252" s="10">
        <v>92869.8</v>
      </c>
      <c r="D252" s="10">
        <v>27627.200000000001</v>
      </c>
      <c r="E252" s="10"/>
      <c r="F252" s="10">
        <v>217973.4</v>
      </c>
      <c r="G252" s="10"/>
      <c r="H252" s="10">
        <v>32285.33</v>
      </c>
      <c r="I252" s="10">
        <v>380952</v>
      </c>
      <c r="J252" s="10"/>
      <c r="K252" s="10"/>
      <c r="L252" s="10">
        <v>155075.12</v>
      </c>
      <c r="M252" s="10">
        <v>182700</v>
      </c>
      <c r="N252" s="10">
        <v>261315.72</v>
      </c>
      <c r="O252" s="10">
        <v>577256</v>
      </c>
      <c r="P252" s="10">
        <v>403060.86</v>
      </c>
      <c r="Q252" s="10">
        <v>436915.87999999995</v>
      </c>
      <c r="R252" s="10">
        <v>162730.33000000002</v>
      </c>
      <c r="S252" s="10"/>
      <c r="T252" s="10"/>
      <c r="U252" s="10"/>
      <c r="V252" s="10"/>
      <c r="W252" s="10"/>
      <c r="X252" s="10"/>
      <c r="Y252" s="10">
        <v>460648.79000000004</v>
      </c>
      <c r="Z252" s="10">
        <v>287022.49</v>
      </c>
      <c r="AA252" s="10"/>
      <c r="AB252" s="10"/>
      <c r="AC252" s="10"/>
      <c r="AD252" s="10"/>
      <c r="AE252" s="10">
        <v>141438.93</v>
      </c>
      <c r="AF252" s="10"/>
      <c r="AG252" s="10"/>
      <c r="AH252" s="10"/>
    </row>
    <row r="253" spans="1:34" x14ac:dyDescent="0.25">
      <c r="A253" t="s">
        <v>1153</v>
      </c>
      <c r="B253" t="s">
        <v>187</v>
      </c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>
        <v>106015.1</v>
      </c>
      <c r="U253" s="10">
        <v>38057.71</v>
      </c>
      <c r="V253" s="10"/>
      <c r="W253" s="10"/>
      <c r="X253" s="10">
        <v>38084.610000000008</v>
      </c>
      <c r="Y253" s="10">
        <v>38546.049999999996</v>
      </c>
      <c r="Z253" s="10">
        <v>47932.2</v>
      </c>
      <c r="AA253" s="10"/>
      <c r="AB253" s="10">
        <v>125426.91000000002</v>
      </c>
      <c r="AC253" s="10">
        <v>39895.39</v>
      </c>
      <c r="AD253" s="10">
        <v>73828.890000000014</v>
      </c>
      <c r="AE253" s="10"/>
      <c r="AF253" s="10">
        <v>34537.589999999997</v>
      </c>
      <c r="AG253" s="10">
        <v>99466.800000000017</v>
      </c>
      <c r="AH253" s="10">
        <v>49736.89</v>
      </c>
    </row>
    <row r="254" spans="1:34" x14ac:dyDescent="0.25">
      <c r="A254" t="s">
        <v>1153</v>
      </c>
      <c r="B254" t="s">
        <v>1709</v>
      </c>
      <c r="C254" s="10"/>
      <c r="D254" s="10"/>
      <c r="E254" s="10"/>
      <c r="F254" s="10"/>
      <c r="G254" s="10"/>
      <c r="H254" s="10"/>
      <c r="I254" s="10"/>
      <c r="J254" s="10"/>
      <c r="K254" s="10"/>
      <c r="L254" s="10">
        <v>90137.279999999999</v>
      </c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</row>
    <row r="255" spans="1:34" x14ac:dyDescent="0.25">
      <c r="A255" t="s">
        <v>1153</v>
      </c>
      <c r="B255" t="s">
        <v>188</v>
      </c>
      <c r="C255" s="10"/>
      <c r="D255" s="10"/>
      <c r="E255" s="10"/>
      <c r="F255" s="10"/>
      <c r="G255" s="10"/>
      <c r="H255" s="10"/>
      <c r="I255" s="10">
        <v>275026.98000000004</v>
      </c>
      <c r="J255" s="10"/>
      <c r="K255" s="10"/>
      <c r="L255" s="10"/>
      <c r="M255" s="10">
        <v>31392.589999999997</v>
      </c>
      <c r="N255" s="10"/>
      <c r="O255" s="10"/>
      <c r="P255" s="10"/>
      <c r="Q255" s="10"/>
      <c r="R255" s="10"/>
      <c r="S255" s="10"/>
      <c r="T255" s="10">
        <v>114915.32</v>
      </c>
      <c r="U255" s="10"/>
      <c r="V255" s="10">
        <v>285590.98000000004</v>
      </c>
      <c r="W255" s="10">
        <v>32953.550000000003</v>
      </c>
      <c r="X255" s="10">
        <v>141541.57</v>
      </c>
      <c r="Y255" s="10">
        <v>108948.37000000001</v>
      </c>
      <c r="Z255" s="10"/>
      <c r="AA255" s="10">
        <v>89539.520000000004</v>
      </c>
      <c r="AB255" s="10"/>
      <c r="AC255" s="10">
        <v>71100.11</v>
      </c>
      <c r="AD255" s="10">
        <v>259436.83000000002</v>
      </c>
      <c r="AE255" s="10">
        <v>220432.24999999994</v>
      </c>
      <c r="AF255" s="10">
        <v>144588.52999999997</v>
      </c>
      <c r="AG255" s="10">
        <v>259786.88</v>
      </c>
      <c r="AH255" s="10">
        <v>136782.29</v>
      </c>
    </row>
    <row r="256" spans="1:34" x14ac:dyDescent="0.25">
      <c r="A256" t="s">
        <v>1153</v>
      </c>
      <c r="B256" t="s">
        <v>189</v>
      </c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>
        <v>42252.41</v>
      </c>
      <c r="Y256" s="10">
        <v>124843.81000000001</v>
      </c>
      <c r="Z256" s="10">
        <v>46738.8</v>
      </c>
      <c r="AA256" s="10"/>
      <c r="AB256" s="10">
        <v>181674.53000000003</v>
      </c>
      <c r="AC256" s="10">
        <v>103043.76</v>
      </c>
      <c r="AD256" s="10">
        <v>203910.76</v>
      </c>
      <c r="AE256" s="10">
        <v>178563.26</v>
      </c>
      <c r="AF256" s="10">
        <v>338279.19000000012</v>
      </c>
      <c r="AG256" s="10">
        <v>161234.66000000003</v>
      </c>
      <c r="AH256" s="10">
        <v>339719.01</v>
      </c>
    </row>
    <row r="257" spans="1:34" x14ac:dyDescent="0.25">
      <c r="A257" t="s">
        <v>1153</v>
      </c>
      <c r="B257" t="s">
        <v>1710</v>
      </c>
      <c r="C257" s="10"/>
      <c r="D257" s="10"/>
      <c r="E257" s="10"/>
      <c r="F257" s="10"/>
      <c r="G257" s="10">
        <v>122060.69</v>
      </c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</row>
    <row r="258" spans="1:34" x14ac:dyDescent="0.25">
      <c r="A258" t="s">
        <v>1153</v>
      </c>
      <c r="B258" t="s">
        <v>190</v>
      </c>
      <c r="C258" s="10"/>
      <c r="D258" s="10"/>
      <c r="E258" s="10"/>
      <c r="F258" s="10"/>
      <c r="G258" s="10"/>
      <c r="H258" s="10">
        <v>33686.560000000005</v>
      </c>
      <c r="I258" s="10"/>
      <c r="J258" s="10">
        <v>38253.719999999994</v>
      </c>
      <c r="K258" s="10"/>
      <c r="L258" s="10"/>
      <c r="M258" s="10"/>
      <c r="N258" s="10">
        <v>37967.589999999997</v>
      </c>
      <c r="O258" s="10"/>
      <c r="P258" s="10"/>
      <c r="Q258" s="10"/>
      <c r="R258" s="10"/>
      <c r="S258" s="10">
        <v>54412.340000000004</v>
      </c>
      <c r="T258" s="10"/>
      <c r="U258" s="10">
        <v>46967.43</v>
      </c>
      <c r="V258" s="10"/>
      <c r="W258" s="10"/>
      <c r="X258" s="10">
        <v>41011.020000000004</v>
      </c>
      <c r="Y258" s="10"/>
      <c r="Z258" s="10">
        <v>53417.759999999995</v>
      </c>
      <c r="AA258" s="10"/>
      <c r="AB258" s="10">
        <v>35183.609999999993</v>
      </c>
      <c r="AC258" s="10"/>
      <c r="AD258" s="10"/>
      <c r="AE258" s="10"/>
      <c r="AF258" s="10">
        <v>40939.670000000006</v>
      </c>
      <c r="AG258" s="10"/>
      <c r="AH258" s="10">
        <v>40011.480000000003</v>
      </c>
    </row>
    <row r="259" spans="1:34" x14ac:dyDescent="0.25">
      <c r="A259" t="s">
        <v>1153</v>
      </c>
      <c r="B259" t="s">
        <v>1343</v>
      </c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>
        <v>32962.729999999989</v>
      </c>
      <c r="AF259" s="10"/>
      <c r="AG259" s="10"/>
      <c r="AH259" s="10"/>
    </row>
    <row r="260" spans="1:34" x14ac:dyDescent="0.25">
      <c r="A260" t="s">
        <v>1153</v>
      </c>
      <c r="B260" t="s">
        <v>191</v>
      </c>
      <c r="C260" s="10"/>
      <c r="D260" s="10"/>
      <c r="E260" s="10"/>
      <c r="F260" s="10"/>
      <c r="G260" s="10"/>
      <c r="H260" s="10"/>
      <c r="I260" s="10"/>
      <c r="J260" s="10">
        <v>33349.420000000006</v>
      </c>
      <c r="K260" s="10"/>
      <c r="L260" s="10"/>
      <c r="M260" s="10"/>
      <c r="N260" s="10"/>
      <c r="O260" s="10"/>
      <c r="P260" s="10"/>
      <c r="Q260" s="10"/>
      <c r="R260" s="10">
        <v>45883.44000000001</v>
      </c>
      <c r="S260" s="10"/>
      <c r="T260" s="10"/>
      <c r="U260" s="10"/>
      <c r="V260" s="10"/>
      <c r="W260" s="10"/>
      <c r="X260" s="10">
        <v>53308.450000000004</v>
      </c>
      <c r="Y260" s="10">
        <v>55660.630000000005</v>
      </c>
      <c r="Z260" s="10"/>
      <c r="AA260" s="10">
        <v>31890.809999999998</v>
      </c>
      <c r="AB260" s="10"/>
      <c r="AC260" s="10"/>
      <c r="AD260" s="10"/>
      <c r="AE260" s="10">
        <v>177336.41999999995</v>
      </c>
      <c r="AF260" s="10"/>
      <c r="AG260" s="10"/>
      <c r="AH260" s="10"/>
    </row>
    <row r="261" spans="1:34" x14ac:dyDescent="0.25">
      <c r="A261" t="s">
        <v>1153</v>
      </c>
      <c r="B261" t="s">
        <v>1248</v>
      </c>
      <c r="C261" s="10"/>
      <c r="D261" s="10"/>
      <c r="E261" s="10"/>
      <c r="F261" s="10">
        <v>42608.2</v>
      </c>
      <c r="G261" s="10">
        <v>381193.61999999976</v>
      </c>
      <c r="H261" s="10"/>
      <c r="I261" s="10">
        <v>423867.8999999995</v>
      </c>
      <c r="J261" s="10"/>
      <c r="K261" s="10"/>
      <c r="L261" s="10">
        <v>10915.29</v>
      </c>
      <c r="M261" s="10"/>
      <c r="N261" s="10">
        <v>-1759.0299999999997</v>
      </c>
      <c r="O261" s="10"/>
      <c r="P261" s="10"/>
      <c r="Q261" s="10"/>
      <c r="R261" s="10"/>
      <c r="S261" s="10"/>
      <c r="T261" s="10">
        <v>230261.24999999991</v>
      </c>
      <c r="U261" s="10">
        <v>171074.21000000014</v>
      </c>
      <c r="V261" s="10">
        <v>140419.51000000004</v>
      </c>
      <c r="W261" s="10">
        <v>232869.85999999996</v>
      </c>
      <c r="X261" s="10">
        <v>309965.80000000005</v>
      </c>
      <c r="Y261" s="10">
        <v>-155.46</v>
      </c>
      <c r="Z261" s="10">
        <v>51853.699999999983</v>
      </c>
      <c r="AA261" s="10">
        <v>142643.02999999991</v>
      </c>
      <c r="AB261" s="10">
        <v>39690.829999999987</v>
      </c>
      <c r="AC261" s="10"/>
      <c r="AD261" s="10">
        <v>238996.53</v>
      </c>
      <c r="AE261" s="10">
        <v>258576.3900000001</v>
      </c>
      <c r="AF261" s="10">
        <v>79602.19</v>
      </c>
      <c r="AG261" s="10">
        <v>59626.740000000005</v>
      </c>
      <c r="AH261" s="10">
        <v>76250.820000000022</v>
      </c>
    </row>
    <row r="262" spans="1:34" x14ac:dyDescent="0.25">
      <c r="A262" t="s">
        <v>1153</v>
      </c>
      <c r="B262" t="s">
        <v>1415</v>
      </c>
      <c r="C262" s="10">
        <v>25043.27</v>
      </c>
      <c r="D262" s="10"/>
      <c r="E262" s="10">
        <v>27700.76</v>
      </c>
      <c r="F262" s="10">
        <v>56844.429999999993</v>
      </c>
      <c r="G262" s="10">
        <v>11295.12</v>
      </c>
      <c r="H262" s="10">
        <v>27590.849999999995</v>
      </c>
      <c r="I262" s="10">
        <v>20921.250000000004</v>
      </c>
      <c r="J262" s="10">
        <v>7129.9400000000005</v>
      </c>
      <c r="K262" s="10">
        <v>8800.61</v>
      </c>
      <c r="L262" s="10"/>
      <c r="M262" s="10">
        <v>24507.760000000002</v>
      </c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>
        <v>17200.37</v>
      </c>
      <c r="AG262" s="10"/>
      <c r="AH262" s="10"/>
    </row>
    <row r="263" spans="1:34" x14ac:dyDescent="0.25">
      <c r="A263" t="s">
        <v>1153</v>
      </c>
      <c r="B263" t="s">
        <v>1711</v>
      </c>
      <c r="C263" s="10"/>
      <c r="D263" s="10"/>
      <c r="E263" s="10"/>
      <c r="F263" s="10"/>
      <c r="G263" s="10">
        <v>45762</v>
      </c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</row>
    <row r="264" spans="1:34" x14ac:dyDescent="0.25">
      <c r="A264" t="s">
        <v>1153</v>
      </c>
      <c r="B264" t="s">
        <v>1712</v>
      </c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>
        <v>15936.48</v>
      </c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</row>
    <row r="265" spans="1:34" x14ac:dyDescent="0.25">
      <c r="A265" t="s">
        <v>1153</v>
      </c>
      <c r="B265" t="s">
        <v>1154</v>
      </c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>
        <v>24896.21</v>
      </c>
      <c r="AC265" s="10">
        <v>102685.57</v>
      </c>
      <c r="AD265" s="10">
        <v>153093.74</v>
      </c>
      <c r="AE265" s="10">
        <v>230627.20999999996</v>
      </c>
      <c r="AF265" s="10">
        <v>66636.36</v>
      </c>
      <c r="AG265" s="10">
        <v>51213.23</v>
      </c>
      <c r="AH265" s="10">
        <v>56949.600000000006</v>
      </c>
    </row>
    <row r="266" spans="1:34" x14ac:dyDescent="0.25">
      <c r="A266" t="s">
        <v>1153</v>
      </c>
      <c r="B266" t="s">
        <v>1713</v>
      </c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>
        <v>24709.86</v>
      </c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</row>
    <row r="267" spans="1:34" x14ac:dyDescent="0.25">
      <c r="A267" t="s">
        <v>1153</v>
      </c>
      <c r="B267" t="s">
        <v>1714</v>
      </c>
      <c r="C267" s="10"/>
      <c r="D267" s="10"/>
      <c r="E267" s="10">
        <v>98703.039999999994</v>
      </c>
      <c r="F267" s="10"/>
      <c r="G267" s="10"/>
      <c r="H267" s="10"/>
      <c r="I267" s="10">
        <v>30962.26</v>
      </c>
      <c r="J267" s="10"/>
      <c r="K267" s="10">
        <v>30172.129999999997</v>
      </c>
      <c r="L267" s="10"/>
      <c r="M267" s="10">
        <v>51619.159999999996</v>
      </c>
      <c r="N267" s="10"/>
      <c r="O267" s="10"/>
      <c r="P267" s="10">
        <v>43178.900000000009</v>
      </c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</row>
    <row r="268" spans="1:34" x14ac:dyDescent="0.25">
      <c r="A268" t="s">
        <v>1153</v>
      </c>
      <c r="B268" t="s">
        <v>1715</v>
      </c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>
        <v>19269.599999999999</v>
      </c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</row>
    <row r="269" spans="1:34" x14ac:dyDescent="0.25">
      <c r="A269" t="s">
        <v>1153</v>
      </c>
      <c r="B269" t="s">
        <v>1155</v>
      </c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>
        <v>60668.399999999987</v>
      </c>
      <c r="AC269" s="10"/>
      <c r="AD269" s="10"/>
      <c r="AE269" s="10"/>
      <c r="AF269" s="10"/>
      <c r="AG269" s="10">
        <v>45703.77</v>
      </c>
      <c r="AH269" s="10"/>
    </row>
    <row r="270" spans="1:34" x14ac:dyDescent="0.25">
      <c r="A270" t="s">
        <v>1153</v>
      </c>
      <c r="B270" t="s">
        <v>192</v>
      </c>
      <c r="C270" s="10"/>
      <c r="D270" s="10"/>
      <c r="E270" s="10">
        <v>20765.41</v>
      </c>
      <c r="F270" s="10">
        <v>24650.329999999998</v>
      </c>
      <c r="G270" s="10">
        <v>92937.67</v>
      </c>
      <c r="H270" s="10">
        <v>10171.719999999999</v>
      </c>
      <c r="I270" s="10">
        <v>26338.59</v>
      </c>
      <c r="J270" s="10">
        <v>109715.94</v>
      </c>
      <c r="K270" s="10"/>
      <c r="L270" s="10">
        <v>217314.91000000003</v>
      </c>
      <c r="M270" s="10"/>
      <c r="N270" s="10">
        <v>77299.319999999992</v>
      </c>
      <c r="O270" s="10"/>
      <c r="P270" s="10"/>
      <c r="Q270" s="10"/>
      <c r="R270" s="10">
        <v>1720.44</v>
      </c>
      <c r="S270" s="10">
        <v>45209.89</v>
      </c>
      <c r="T270" s="10">
        <v>11452.98</v>
      </c>
      <c r="U270" s="10">
        <v>2811.33</v>
      </c>
      <c r="V270" s="10">
        <v>34861.24</v>
      </c>
      <c r="W270" s="10">
        <v>8622.4599999999991</v>
      </c>
      <c r="X270" s="10">
        <v>93463.14</v>
      </c>
      <c r="Y270" s="10"/>
      <c r="Z270" s="10"/>
      <c r="AA270" s="10"/>
      <c r="AB270" s="10">
        <v>14558.65</v>
      </c>
      <c r="AC270" s="10"/>
      <c r="AD270" s="10"/>
      <c r="AE270" s="10">
        <v>13578</v>
      </c>
      <c r="AF270" s="10">
        <v>1560.38</v>
      </c>
      <c r="AG270" s="10">
        <v>21338.29</v>
      </c>
      <c r="AH270" s="10">
        <v>22074.93</v>
      </c>
    </row>
    <row r="271" spans="1:34" x14ac:dyDescent="0.25">
      <c r="A271" t="s">
        <v>1153</v>
      </c>
      <c r="B271" t="s">
        <v>193</v>
      </c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>
        <v>82881.600000000006</v>
      </c>
      <c r="N271" s="10">
        <v>85956.800000000003</v>
      </c>
      <c r="O271" s="10"/>
      <c r="P271" s="10">
        <v>88164</v>
      </c>
      <c r="Q271" s="10">
        <v>182605.5</v>
      </c>
      <c r="R271" s="10"/>
      <c r="S271" s="10">
        <v>81771.799999999988</v>
      </c>
      <c r="T271" s="10">
        <v>2475.35</v>
      </c>
      <c r="U271" s="10"/>
      <c r="V271" s="10"/>
      <c r="W271" s="10"/>
      <c r="X271" s="10"/>
      <c r="Y271" s="10">
        <v>180106.9</v>
      </c>
      <c r="Z271" s="10"/>
      <c r="AA271" s="10"/>
      <c r="AB271" s="10"/>
      <c r="AC271" s="10">
        <v>173606</v>
      </c>
      <c r="AD271" s="10"/>
      <c r="AE271" s="10"/>
      <c r="AF271" s="10"/>
      <c r="AG271" s="10"/>
      <c r="AH271" s="10"/>
    </row>
    <row r="272" spans="1:34" x14ac:dyDescent="0.25">
      <c r="A272" t="s">
        <v>1153</v>
      </c>
      <c r="B272" t="s">
        <v>1716</v>
      </c>
      <c r="C272" s="10"/>
      <c r="D272" s="10"/>
      <c r="E272" s="10">
        <v>35270.71</v>
      </c>
      <c r="F272" s="10"/>
      <c r="G272" s="10"/>
      <c r="H272" s="10">
        <v>8879.5299999999988</v>
      </c>
      <c r="I272" s="10">
        <v>13494.890000000003</v>
      </c>
      <c r="J272" s="10"/>
      <c r="K272" s="10">
        <v>14361.64</v>
      </c>
      <c r="L272" s="10">
        <v>29119.21</v>
      </c>
      <c r="M272" s="10">
        <v>24062.55</v>
      </c>
      <c r="N272" s="10"/>
      <c r="O272" s="10"/>
      <c r="P272" s="10"/>
      <c r="Q272" s="10"/>
      <c r="R272" s="10">
        <v>6766.12</v>
      </c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</row>
    <row r="273" spans="1:34" x14ac:dyDescent="0.25">
      <c r="A273" t="s">
        <v>1153</v>
      </c>
      <c r="B273" t="s">
        <v>1717</v>
      </c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>
        <v>14870</v>
      </c>
    </row>
    <row r="274" spans="1:34" x14ac:dyDescent="0.25">
      <c r="A274" t="s">
        <v>1153</v>
      </c>
      <c r="B274" t="s">
        <v>1718</v>
      </c>
      <c r="C274" s="10">
        <v>10091.43</v>
      </c>
      <c r="D274" s="10">
        <v>15534.72</v>
      </c>
      <c r="E274" s="10">
        <v>29388.050000000003</v>
      </c>
      <c r="F274" s="10"/>
      <c r="G274" s="10">
        <v>31130.239999999998</v>
      </c>
      <c r="H274" s="10"/>
      <c r="I274" s="10"/>
      <c r="J274" s="10"/>
      <c r="K274" s="10">
        <v>35978.320000000007</v>
      </c>
      <c r="L274" s="10"/>
      <c r="M274" s="10"/>
      <c r="N274" s="10"/>
      <c r="O274" s="10"/>
      <c r="P274" s="10"/>
      <c r="Q274" s="10"/>
      <c r="R274" s="10"/>
      <c r="S274" s="10"/>
      <c r="T274" s="10">
        <v>21907.08</v>
      </c>
      <c r="U274" s="10">
        <v>171142.32</v>
      </c>
      <c r="V274" s="10">
        <v>71334.709999999992</v>
      </c>
      <c r="W274" s="10">
        <v>136823.69</v>
      </c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</row>
    <row r="275" spans="1:34" x14ac:dyDescent="0.25">
      <c r="A275" t="s">
        <v>1153</v>
      </c>
      <c r="B275" t="s">
        <v>1719</v>
      </c>
      <c r="C275" s="10"/>
      <c r="D275" s="10">
        <v>10491.84</v>
      </c>
      <c r="E275" s="10">
        <v>11646.76</v>
      </c>
      <c r="F275" s="10">
        <v>33556.080000000002</v>
      </c>
      <c r="G275" s="10"/>
      <c r="H275" s="10">
        <v>58326.659999999996</v>
      </c>
      <c r="I275" s="10"/>
      <c r="J275" s="10"/>
      <c r="K275" s="10"/>
      <c r="L275" s="10"/>
      <c r="M275" s="10"/>
      <c r="N275" s="10"/>
      <c r="O275" s="10"/>
      <c r="P275" s="10">
        <v>2157.23</v>
      </c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</row>
    <row r="276" spans="1:34" x14ac:dyDescent="0.25">
      <c r="A276" t="s">
        <v>1153</v>
      </c>
      <c r="B276" t="s">
        <v>194</v>
      </c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>
        <v>102435.99999999999</v>
      </c>
      <c r="V276" s="10"/>
      <c r="W276" s="10"/>
      <c r="X276" s="10"/>
      <c r="Y276" s="10"/>
      <c r="Z276" s="10"/>
      <c r="AA276" s="10"/>
      <c r="AB276" s="10"/>
      <c r="AC276" s="10"/>
      <c r="AD276" s="10"/>
      <c r="AE276" s="10">
        <v>72146</v>
      </c>
      <c r="AF276" s="10">
        <v>70526</v>
      </c>
      <c r="AG276" s="10"/>
      <c r="AH276" s="10">
        <v>63415</v>
      </c>
    </row>
    <row r="277" spans="1:34" x14ac:dyDescent="0.25">
      <c r="A277" t="s">
        <v>1153</v>
      </c>
      <c r="B277" t="s">
        <v>195</v>
      </c>
      <c r="C277" s="10"/>
      <c r="D277" s="10"/>
      <c r="E277" s="10"/>
      <c r="F277" s="10"/>
      <c r="G277" s="10"/>
      <c r="H277" s="10"/>
      <c r="I277" s="10"/>
      <c r="J277" s="10">
        <v>93596.999999999971</v>
      </c>
      <c r="K277" s="10">
        <v>312254.67999999993</v>
      </c>
      <c r="L277" s="10"/>
      <c r="M277" s="10">
        <v>108247.98</v>
      </c>
      <c r="N277" s="10"/>
      <c r="O277" s="10">
        <v>94352.87999999999</v>
      </c>
      <c r="P277" s="10"/>
      <c r="Q277" s="10">
        <v>109602.26999999997</v>
      </c>
      <c r="R277" s="10"/>
      <c r="S277" s="10">
        <v>108326.99999999996</v>
      </c>
      <c r="T277" s="10">
        <v>39461.240000000005</v>
      </c>
      <c r="U277" s="10">
        <v>38350.999999999993</v>
      </c>
      <c r="V277" s="10">
        <v>39297.999999999985</v>
      </c>
      <c r="W277" s="10">
        <v>51609</v>
      </c>
      <c r="X277" s="10"/>
      <c r="Y277" s="10"/>
      <c r="Z277" s="10"/>
      <c r="AA277" s="10"/>
      <c r="AB277" s="10"/>
      <c r="AC277" s="10"/>
      <c r="AD277" s="10">
        <v>100559.99999999997</v>
      </c>
      <c r="AE277" s="10"/>
      <c r="AF277" s="10">
        <v>69859.91</v>
      </c>
      <c r="AG277" s="10"/>
      <c r="AH277" s="10"/>
    </row>
    <row r="278" spans="1:34" x14ac:dyDescent="0.25">
      <c r="A278" t="s">
        <v>1153</v>
      </c>
      <c r="B278" t="s">
        <v>196</v>
      </c>
      <c r="C278" s="10"/>
      <c r="D278" s="10"/>
      <c r="E278" s="10"/>
      <c r="F278" s="10"/>
      <c r="G278" s="10"/>
      <c r="H278" s="10"/>
      <c r="I278" s="10"/>
      <c r="J278" s="10"/>
      <c r="K278" s="10"/>
      <c r="L278" s="10">
        <v>35394.180000000015</v>
      </c>
      <c r="M278" s="10"/>
      <c r="N278" s="10"/>
      <c r="O278" s="10"/>
      <c r="P278" s="10"/>
      <c r="Q278" s="10"/>
      <c r="R278" s="10">
        <v>19486.469999999998</v>
      </c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>
        <v>25849.919999999998</v>
      </c>
      <c r="AD278" s="10">
        <v>17555.079999999998</v>
      </c>
      <c r="AE278" s="10"/>
      <c r="AF278" s="10">
        <v>31345.64</v>
      </c>
      <c r="AG278" s="10"/>
      <c r="AH278" s="10">
        <v>25185.789999999997</v>
      </c>
    </row>
    <row r="279" spans="1:34" x14ac:dyDescent="0.25">
      <c r="A279" t="s">
        <v>1153</v>
      </c>
      <c r="B279" t="s">
        <v>197</v>
      </c>
      <c r="C279" s="10"/>
      <c r="D279" s="10"/>
      <c r="E279" s="10"/>
      <c r="F279" s="10"/>
      <c r="G279" s="10"/>
      <c r="H279" s="10"/>
      <c r="I279" s="10"/>
      <c r="J279" s="10"/>
      <c r="K279" s="10"/>
      <c r="L279" s="10">
        <v>88765.020000000019</v>
      </c>
      <c r="M279" s="10"/>
      <c r="N279" s="10"/>
      <c r="O279" s="10"/>
      <c r="P279" s="10">
        <v>12302.670000000002</v>
      </c>
      <c r="Q279" s="10">
        <v>31272.16</v>
      </c>
      <c r="R279" s="10"/>
      <c r="S279" s="10"/>
      <c r="T279" s="10"/>
      <c r="U279" s="10">
        <v>10704.300000000001</v>
      </c>
      <c r="V279" s="10"/>
      <c r="W279" s="10"/>
      <c r="X279" s="10"/>
      <c r="Y279" s="10">
        <v>20811.04</v>
      </c>
      <c r="Z279" s="10"/>
      <c r="AA279" s="10"/>
      <c r="AB279" s="10"/>
      <c r="AC279" s="10">
        <v>47675.360000000001</v>
      </c>
      <c r="AD279" s="10">
        <v>27662.95</v>
      </c>
      <c r="AE279" s="10"/>
      <c r="AF279" s="10"/>
      <c r="AG279" s="10"/>
      <c r="AH279" s="10"/>
    </row>
    <row r="280" spans="1:34" x14ac:dyDescent="0.25">
      <c r="A280" t="s">
        <v>1153</v>
      </c>
      <c r="B280" t="s">
        <v>1416</v>
      </c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>
        <v>86127.07</v>
      </c>
      <c r="AG280" s="10">
        <v>104525.45000000004</v>
      </c>
      <c r="AH280" s="10"/>
    </row>
    <row r="281" spans="1:34" x14ac:dyDescent="0.25">
      <c r="A281" t="s">
        <v>1153</v>
      </c>
      <c r="B281" t="s">
        <v>198</v>
      </c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>
        <v>44087.459999999992</v>
      </c>
      <c r="Z281" s="10"/>
      <c r="AA281" s="10"/>
      <c r="AB281" s="10">
        <v>70913.16</v>
      </c>
      <c r="AC281" s="10">
        <v>25261.769999999997</v>
      </c>
      <c r="AD281" s="10"/>
      <c r="AE281" s="10"/>
      <c r="AF281" s="10"/>
      <c r="AG281" s="10"/>
      <c r="AH281" s="10"/>
    </row>
    <row r="282" spans="1:34" x14ac:dyDescent="0.25">
      <c r="A282" t="s">
        <v>1153</v>
      </c>
      <c r="B282" t="s">
        <v>199</v>
      </c>
      <c r="C282" s="10"/>
      <c r="D282" s="10"/>
      <c r="E282" s="10">
        <v>340552.43999999994</v>
      </c>
      <c r="F282" s="10">
        <v>398163.50999999995</v>
      </c>
      <c r="G282" s="10">
        <v>29793.120000000003</v>
      </c>
      <c r="H282" s="10">
        <v>336375.24</v>
      </c>
      <c r="I282" s="10"/>
      <c r="J282" s="10">
        <v>131744.21000000002</v>
      </c>
      <c r="K282" s="10">
        <v>623325.35000000033</v>
      </c>
      <c r="L282" s="10">
        <v>374672.48000000004</v>
      </c>
      <c r="M282" s="10"/>
      <c r="N282" s="10">
        <v>149864.72</v>
      </c>
      <c r="O282" s="10"/>
      <c r="P282" s="10">
        <v>619194.26000000013</v>
      </c>
      <c r="Q282" s="10"/>
      <c r="R282" s="10">
        <v>57959.39</v>
      </c>
      <c r="S282" s="10">
        <v>54646.270000000004</v>
      </c>
      <c r="T282" s="10">
        <v>319263.35000000003</v>
      </c>
      <c r="U282" s="10">
        <v>101309.75</v>
      </c>
      <c r="V282" s="10">
        <v>69136.900000000009</v>
      </c>
      <c r="W282" s="10">
        <v>228155.51</v>
      </c>
      <c r="X282" s="10">
        <v>81327.960000000006</v>
      </c>
      <c r="Y282" s="10">
        <v>51986.580000000009</v>
      </c>
      <c r="Z282" s="10">
        <v>36966.759999999995</v>
      </c>
      <c r="AA282" s="10"/>
      <c r="AB282" s="10">
        <v>199126.85000000003</v>
      </c>
      <c r="AC282" s="10">
        <v>289825.19000000006</v>
      </c>
      <c r="AD282" s="10">
        <v>113616.31000000001</v>
      </c>
      <c r="AE282" s="10"/>
      <c r="AF282" s="10">
        <v>212352.56</v>
      </c>
      <c r="AG282" s="10">
        <v>216959.63999999998</v>
      </c>
      <c r="AH282" s="10">
        <v>185975.06000000003</v>
      </c>
    </row>
    <row r="283" spans="1:34" x14ac:dyDescent="0.25">
      <c r="A283" t="s">
        <v>1153</v>
      </c>
      <c r="B283" t="s">
        <v>200</v>
      </c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>
        <v>20755.370000000003</v>
      </c>
      <c r="V283" s="10"/>
      <c r="W283" s="10"/>
      <c r="X283" s="10">
        <v>10013.459999999999</v>
      </c>
      <c r="Y283" s="10"/>
      <c r="Z283" s="10"/>
      <c r="AA283" s="10"/>
      <c r="AB283" s="10">
        <v>25165.710000000006</v>
      </c>
      <c r="AC283" s="10"/>
      <c r="AD283" s="10"/>
      <c r="AE283" s="10"/>
      <c r="AF283" s="10"/>
      <c r="AG283" s="10"/>
      <c r="AH283" s="10"/>
    </row>
    <row r="284" spans="1:34" x14ac:dyDescent="0.25">
      <c r="A284" t="s">
        <v>1153</v>
      </c>
      <c r="B284" t="s">
        <v>201</v>
      </c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>
        <v>16737.66</v>
      </c>
      <c r="Y284" s="10"/>
      <c r="Z284" s="10"/>
      <c r="AA284" s="10"/>
      <c r="AB284" s="10"/>
      <c r="AC284" s="10"/>
      <c r="AD284" s="10"/>
      <c r="AE284" s="10">
        <v>13274.39</v>
      </c>
      <c r="AF284" s="10"/>
      <c r="AG284" s="10"/>
      <c r="AH284" s="10"/>
    </row>
    <row r="285" spans="1:34" x14ac:dyDescent="0.25">
      <c r="A285" t="s">
        <v>1153</v>
      </c>
      <c r="B285" t="s">
        <v>202</v>
      </c>
      <c r="C285" s="10"/>
      <c r="D285" s="10"/>
      <c r="E285" s="10"/>
      <c r="F285" s="10"/>
      <c r="G285" s="10"/>
      <c r="H285" s="10">
        <v>5337.46</v>
      </c>
      <c r="I285" s="10"/>
      <c r="J285" s="10"/>
      <c r="K285" s="10">
        <v>2055.19</v>
      </c>
      <c r="L285" s="10"/>
      <c r="M285" s="10"/>
      <c r="N285" s="10"/>
      <c r="O285" s="10"/>
      <c r="P285" s="10"/>
      <c r="Q285" s="10"/>
      <c r="R285" s="10"/>
      <c r="S285" s="10"/>
      <c r="T285" s="10">
        <v>48821.279999999999</v>
      </c>
      <c r="U285" s="10"/>
      <c r="V285" s="10"/>
      <c r="W285" s="10"/>
      <c r="X285" s="10"/>
      <c r="Y285" s="10"/>
      <c r="Z285" s="10">
        <v>49006.9</v>
      </c>
      <c r="AA285" s="10"/>
      <c r="AB285" s="10">
        <v>7771.9400000000005</v>
      </c>
      <c r="AC285" s="10"/>
      <c r="AD285" s="10"/>
      <c r="AE285" s="10"/>
      <c r="AF285" s="10"/>
      <c r="AG285" s="10"/>
      <c r="AH285" s="10"/>
    </row>
    <row r="286" spans="1:34" x14ac:dyDescent="0.25">
      <c r="A286" t="s">
        <v>1153</v>
      </c>
      <c r="B286" t="s">
        <v>203</v>
      </c>
      <c r="C286" s="10"/>
      <c r="D286" s="10"/>
      <c r="E286" s="10">
        <v>171039.24</v>
      </c>
      <c r="F286" s="10"/>
      <c r="G286" s="10"/>
      <c r="H286" s="10">
        <v>44949.87000000001</v>
      </c>
      <c r="I286" s="10"/>
      <c r="J286" s="10">
        <v>152849.18</v>
      </c>
      <c r="K286" s="10"/>
      <c r="L286" s="10">
        <v>105943.11999999998</v>
      </c>
      <c r="M286" s="10"/>
      <c r="N286" s="10">
        <v>37989.15</v>
      </c>
      <c r="O286" s="10">
        <v>258209.87999999998</v>
      </c>
      <c r="P286" s="10"/>
      <c r="Q286" s="10">
        <v>109461.48</v>
      </c>
      <c r="R286" s="10"/>
      <c r="S286" s="10">
        <v>110516.12000000001</v>
      </c>
      <c r="T286" s="10">
        <v>139525.78</v>
      </c>
      <c r="U286" s="10">
        <v>247309.55</v>
      </c>
      <c r="V286" s="10">
        <v>89669.869999999981</v>
      </c>
      <c r="W286" s="10">
        <v>273972.75000000006</v>
      </c>
      <c r="X286" s="10">
        <v>184512.37999999998</v>
      </c>
      <c r="Y286" s="10">
        <v>58582.020000000004</v>
      </c>
      <c r="Z286" s="10">
        <v>84873.3</v>
      </c>
      <c r="AA286" s="10">
        <v>244871.76</v>
      </c>
      <c r="AB286" s="10">
        <v>37109.480000000003</v>
      </c>
      <c r="AC286" s="10"/>
      <c r="AD286" s="10">
        <v>15215.82</v>
      </c>
      <c r="AE286" s="10">
        <v>212788.77000000002</v>
      </c>
      <c r="AF286" s="10">
        <v>103434.60999999999</v>
      </c>
      <c r="AG286" s="10">
        <v>25466.959999999999</v>
      </c>
      <c r="AH286" s="10">
        <v>362277.98</v>
      </c>
    </row>
    <row r="287" spans="1:34" x14ac:dyDescent="0.25">
      <c r="A287" t="s">
        <v>1153</v>
      </c>
      <c r="B287" t="s">
        <v>204</v>
      </c>
      <c r="C287" s="10"/>
      <c r="D287" s="10"/>
      <c r="E287" s="10"/>
      <c r="F287" s="10"/>
      <c r="G287" s="10">
        <v>122442.17</v>
      </c>
      <c r="H287" s="10">
        <v>157603.85999999996</v>
      </c>
      <c r="I287" s="10">
        <v>52924.05</v>
      </c>
      <c r="J287" s="10">
        <v>85634.000000000015</v>
      </c>
      <c r="K287" s="10">
        <v>147203.58000000002</v>
      </c>
      <c r="L287" s="10">
        <v>104379.37999999999</v>
      </c>
      <c r="M287" s="10">
        <v>76277.26999999999</v>
      </c>
      <c r="N287" s="10">
        <v>114581.53</v>
      </c>
      <c r="O287" s="10">
        <v>79422.969999999987</v>
      </c>
      <c r="P287" s="10">
        <v>167522.38</v>
      </c>
      <c r="Q287" s="10">
        <v>46855.76</v>
      </c>
      <c r="R287" s="10">
        <v>281624.38</v>
      </c>
      <c r="S287" s="10">
        <v>426677.71</v>
      </c>
      <c r="T287" s="10">
        <v>228721.79000000004</v>
      </c>
      <c r="U287" s="10">
        <v>333531.63000000012</v>
      </c>
      <c r="V287" s="10">
        <v>136446.12</v>
      </c>
      <c r="W287" s="10">
        <v>495080.49000000005</v>
      </c>
      <c r="X287" s="10">
        <v>201688.68</v>
      </c>
      <c r="Y287" s="10">
        <v>382378.80999999988</v>
      </c>
      <c r="Z287" s="10">
        <v>687267.57000000007</v>
      </c>
      <c r="AA287" s="10">
        <v>41365.75</v>
      </c>
      <c r="AB287" s="10">
        <v>107746.99999999999</v>
      </c>
      <c r="AC287" s="10">
        <v>243595.58000000002</v>
      </c>
      <c r="AD287" s="10">
        <v>401031.91000000003</v>
      </c>
      <c r="AE287" s="10">
        <v>358113.58999999985</v>
      </c>
      <c r="AF287" s="10">
        <v>184842.02000000005</v>
      </c>
      <c r="AG287" s="10">
        <v>297334.64000000007</v>
      </c>
      <c r="AH287" s="10">
        <v>383088.74</v>
      </c>
    </row>
    <row r="288" spans="1:34" x14ac:dyDescent="0.25">
      <c r="A288" t="s">
        <v>1153</v>
      </c>
      <c r="B288" t="s">
        <v>205</v>
      </c>
      <c r="C288" s="10"/>
      <c r="D288" s="10"/>
      <c r="E288" s="10">
        <v>31801.010000000002</v>
      </c>
      <c r="F288" s="10">
        <v>59845.509999999995</v>
      </c>
      <c r="G288" s="10">
        <v>55708.809999999983</v>
      </c>
      <c r="H288" s="10">
        <v>128635.78000000004</v>
      </c>
      <c r="I288" s="10">
        <v>45793.439999999988</v>
      </c>
      <c r="J288" s="10">
        <v>50895.139999999992</v>
      </c>
      <c r="K288" s="10">
        <v>56549.469999999979</v>
      </c>
      <c r="L288" s="10">
        <v>88247.249999999985</v>
      </c>
      <c r="M288" s="10">
        <v>53246.59</v>
      </c>
      <c r="N288" s="10">
        <v>59260.490000000005</v>
      </c>
      <c r="O288" s="10">
        <v>30529.919999999998</v>
      </c>
      <c r="P288" s="10">
        <v>22151.579999999994</v>
      </c>
      <c r="Q288" s="10"/>
      <c r="R288" s="10">
        <v>59336.44</v>
      </c>
      <c r="S288" s="10">
        <v>72692.000000000015</v>
      </c>
      <c r="T288" s="10">
        <v>42109.250000000015</v>
      </c>
      <c r="U288" s="10">
        <v>47441.090000000004</v>
      </c>
      <c r="V288" s="10">
        <v>81250.989999999991</v>
      </c>
      <c r="W288" s="10">
        <v>58997.89</v>
      </c>
      <c r="X288" s="10">
        <v>114381.57999999997</v>
      </c>
      <c r="Y288" s="10">
        <v>40589.999999999993</v>
      </c>
      <c r="Z288" s="10">
        <v>42527.929999999986</v>
      </c>
      <c r="AA288" s="10">
        <v>29716.000000000011</v>
      </c>
      <c r="AB288" s="10">
        <v>30990.999999999993</v>
      </c>
      <c r="AC288" s="10">
        <v>16408</v>
      </c>
      <c r="AD288" s="10">
        <v>43572.419999999991</v>
      </c>
      <c r="AE288" s="10">
        <v>81172.000000000015</v>
      </c>
      <c r="AF288" s="10">
        <v>51858</v>
      </c>
      <c r="AG288" s="10">
        <v>52715.999999999993</v>
      </c>
      <c r="AH288" s="10">
        <v>30356</v>
      </c>
    </row>
    <row r="289" spans="1:34" x14ac:dyDescent="0.25">
      <c r="A289" t="s">
        <v>1153</v>
      </c>
      <c r="B289" t="s">
        <v>1720</v>
      </c>
      <c r="C289" s="10"/>
      <c r="D289" s="10"/>
      <c r="E289" s="10"/>
      <c r="F289" s="10"/>
      <c r="G289" s="10"/>
      <c r="H289" s="10"/>
      <c r="I289" s="10">
        <v>28140.340000000007</v>
      </c>
      <c r="J289" s="10"/>
      <c r="K289" s="10">
        <v>54740.73000000001</v>
      </c>
      <c r="L289" s="10">
        <v>30465.81</v>
      </c>
      <c r="M289" s="10"/>
      <c r="N289" s="10"/>
      <c r="O289" s="10"/>
      <c r="P289" s="10"/>
      <c r="Q289" s="10"/>
      <c r="R289" s="10">
        <v>41719.079999999994</v>
      </c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</row>
    <row r="290" spans="1:34" x14ac:dyDescent="0.25">
      <c r="A290" t="s">
        <v>1153</v>
      </c>
      <c r="B290" t="s">
        <v>206</v>
      </c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>
        <v>31056.109999999997</v>
      </c>
      <c r="Z290" s="10">
        <v>90363.37</v>
      </c>
      <c r="AA290" s="10"/>
      <c r="AB290" s="10">
        <v>51569.19</v>
      </c>
      <c r="AC290" s="10"/>
      <c r="AD290" s="10"/>
      <c r="AE290" s="10"/>
      <c r="AF290" s="10"/>
      <c r="AG290" s="10"/>
      <c r="AH290" s="10"/>
    </row>
    <row r="291" spans="1:34" x14ac:dyDescent="0.25">
      <c r="A291" t="s">
        <v>1153</v>
      </c>
      <c r="B291" t="s">
        <v>207</v>
      </c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>
        <v>131816.61000000002</v>
      </c>
      <c r="U291" s="10"/>
      <c r="V291" s="10">
        <v>125162.62000000004</v>
      </c>
      <c r="W291" s="10"/>
      <c r="X291" s="10">
        <v>53118.30000000001</v>
      </c>
      <c r="Y291" s="10">
        <v>55172.229999999981</v>
      </c>
      <c r="Z291" s="10">
        <v>65730.190000000017</v>
      </c>
      <c r="AA291" s="10"/>
      <c r="AB291" s="10">
        <v>28307.869999999995</v>
      </c>
      <c r="AC291" s="10">
        <v>44747.880000000005</v>
      </c>
      <c r="AD291" s="10">
        <v>82450.2</v>
      </c>
      <c r="AE291" s="10">
        <v>35653.79</v>
      </c>
      <c r="AF291" s="10">
        <v>33140.460000000006</v>
      </c>
      <c r="AG291" s="10">
        <v>41283.56</v>
      </c>
      <c r="AH291" s="10">
        <v>241698.07000000007</v>
      </c>
    </row>
    <row r="292" spans="1:34" x14ac:dyDescent="0.25">
      <c r="A292" t="s">
        <v>1153</v>
      </c>
      <c r="B292" t="s">
        <v>1721</v>
      </c>
      <c r="C292" s="10"/>
      <c r="D292" s="10"/>
      <c r="E292" s="10"/>
      <c r="F292" s="10"/>
      <c r="G292" s="10">
        <v>29012.85</v>
      </c>
      <c r="H292" s="10"/>
      <c r="I292" s="10"/>
      <c r="J292" s="10"/>
      <c r="K292" s="10">
        <v>42430.99</v>
      </c>
      <c r="L292" s="10"/>
      <c r="M292" s="10"/>
      <c r="N292" s="10"/>
      <c r="O292" s="10"/>
      <c r="P292" s="10"/>
      <c r="Q292" s="10">
        <v>71304.960000000006</v>
      </c>
      <c r="R292" s="10"/>
      <c r="S292" s="10"/>
      <c r="T292" s="10">
        <v>56879.419999999984</v>
      </c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</row>
    <row r="293" spans="1:34" x14ac:dyDescent="0.25">
      <c r="A293" t="s">
        <v>1153</v>
      </c>
      <c r="B293" t="s">
        <v>208</v>
      </c>
      <c r="C293" s="10"/>
      <c r="D293" s="10"/>
      <c r="E293" s="10">
        <v>32291.64</v>
      </c>
      <c r="F293" s="10">
        <v>36403.129999999997</v>
      </c>
      <c r="G293" s="10"/>
      <c r="H293" s="10"/>
      <c r="I293" s="10">
        <v>108041.53000000001</v>
      </c>
      <c r="J293" s="10"/>
      <c r="K293" s="10"/>
      <c r="L293" s="10"/>
      <c r="M293" s="10">
        <v>89440.3</v>
      </c>
      <c r="N293" s="10"/>
      <c r="O293" s="10"/>
      <c r="P293" s="10"/>
      <c r="Q293" s="10"/>
      <c r="R293" s="10">
        <v>65045.43</v>
      </c>
      <c r="S293" s="10"/>
      <c r="T293" s="10">
        <v>49083.110000000008</v>
      </c>
      <c r="U293" s="10"/>
      <c r="V293" s="10">
        <v>38916.720000000001</v>
      </c>
      <c r="W293" s="10"/>
      <c r="X293" s="10"/>
      <c r="Y293" s="10"/>
      <c r="Z293" s="10">
        <v>82156.709999999992</v>
      </c>
      <c r="AA293" s="10"/>
      <c r="AB293" s="10"/>
      <c r="AC293" s="10"/>
      <c r="AD293" s="10"/>
      <c r="AE293" s="10">
        <v>76640.449999999983</v>
      </c>
      <c r="AF293" s="10"/>
      <c r="AG293" s="10"/>
      <c r="AH293" s="10"/>
    </row>
    <row r="294" spans="1:34" x14ac:dyDescent="0.25">
      <c r="A294" t="s">
        <v>1153</v>
      </c>
      <c r="B294" t="s">
        <v>209</v>
      </c>
      <c r="C294" s="10"/>
      <c r="D294" s="10"/>
      <c r="E294" s="10"/>
      <c r="F294" s="10"/>
      <c r="G294" s="10"/>
      <c r="H294" s="10"/>
      <c r="I294" s="10"/>
      <c r="J294" s="10"/>
      <c r="K294" s="10">
        <v>33453.17</v>
      </c>
      <c r="L294" s="10">
        <v>46517.23</v>
      </c>
      <c r="M294" s="10"/>
      <c r="N294" s="10"/>
      <c r="O294" s="10"/>
      <c r="P294" s="10"/>
      <c r="Q294" s="10"/>
      <c r="R294" s="10">
        <v>44520.85</v>
      </c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>
        <v>5708.34</v>
      </c>
      <c r="AD294" s="10"/>
      <c r="AE294" s="10"/>
      <c r="AF294" s="10"/>
      <c r="AG294" s="10"/>
      <c r="AH294" s="10"/>
    </row>
    <row r="295" spans="1:34" x14ac:dyDescent="0.25">
      <c r="A295" t="s">
        <v>1153</v>
      </c>
      <c r="B295" t="s">
        <v>1345</v>
      </c>
      <c r="C295" s="10"/>
      <c r="D295" s="10"/>
      <c r="E295" s="10"/>
      <c r="F295" s="10"/>
      <c r="G295" s="10"/>
      <c r="H295" s="10">
        <v>14535.789999999997</v>
      </c>
      <c r="I295" s="10"/>
      <c r="J295" s="10"/>
      <c r="K295" s="10">
        <v>64614.73</v>
      </c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>
        <v>19047.2</v>
      </c>
      <c r="AF295" s="10"/>
      <c r="AG295" s="10"/>
      <c r="AH295" s="10"/>
    </row>
    <row r="296" spans="1:34" x14ac:dyDescent="0.25">
      <c r="A296" t="s">
        <v>1153</v>
      </c>
      <c r="B296" t="s">
        <v>1722</v>
      </c>
      <c r="C296" s="10"/>
      <c r="D296" s="10"/>
      <c r="E296" s="10"/>
      <c r="F296" s="10"/>
      <c r="G296" s="10"/>
      <c r="H296" s="10"/>
      <c r="I296" s="10">
        <v>40725.12000000001</v>
      </c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</row>
    <row r="297" spans="1:34" x14ac:dyDescent="0.25">
      <c r="A297" t="s">
        <v>1153</v>
      </c>
      <c r="B297" t="s">
        <v>1723</v>
      </c>
      <c r="C297" s="10"/>
      <c r="D297" s="10"/>
      <c r="E297" s="10"/>
      <c r="F297" s="10"/>
      <c r="G297" s="10"/>
      <c r="H297" s="10"/>
      <c r="I297" s="10"/>
      <c r="J297" s="10"/>
      <c r="K297" s="10">
        <v>31369.34</v>
      </c>
      <c r="L297" s="10"/>
      <c r="M297" s="10"/>
      <c r="N297" s="10"/>
      <c r="O297" s="10">
        <v>34049.549999999996</v>
      </c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</row>
    <row r="298" spans="1:34" x14ac:dyDescent="0.25">
      <c r="A298" t="s">
        <v>1153</v>
      </c>
      <c r="B298" t="s">
        <v>1234</v>
      </c>
      <c r="C298" s="10"/>
      <c r="D298" s="10"/>
      <c r="E298" s="10"/>
      <c r="F298" s="10"/>
      <c r="G298" s="10">
        <v>34223.659999999996</v>
      </c>
      <c r="H298" s="10">
        <v>37290.93</v>
      </c>
      <c r="I298" s="10">
        <v>18383.23</v>
      </c>
      <c r="J298" s="10">
        <v>31802.37</v>
      </c>
      <c r="K298" s="10"/>
      <c r="L298" s="10">
        <v>25609.66</v>
      </c>
      <c r="M298" s="10"/>
      <c r="N298" s="10"/>
      <c r="O298" s="10"/>
      <c r="P298" s="10"/>
      <c r="Q298" s="10"/>
      <c r="R298" s="10"/>
      <c r="S298" s="10">
        <v>27440</v>
      </c>
      <c r="T298" s="10">
        <v>58598.750000000007</v>
      </c>
      <c r="U298" s="10"/>
      <c r="V298" s="10"/>
      <c r="W298" s="10">
        <v>24611.000000000007</v>
      </c>
      <c r="X298" s="10">
        <v>30061.400000000012</v>
      </c>
      <c r="Y298" s="10">
        <v>31788.120000000006</v>
      </c>
      <c r="Z298" s="10">
        <v>25540.19</v>
      </c>
      <c r="AA298" s="10"/>
      <c r="AB298" s="10">
        <v>30846.68</v>
      </c>
      <c r="AC298" s="10">
        <v>27371.420000000002</v>
      </c>
      <c r="AD298" s="10"/>
      <c r="AE298" s="10">
        <v>33635.15</v>
      </c>
      <c r="AF298" s="10"/>
      <c r="AG298" s="10"/>
      <c r="AH298" s="10"/>
    </row>
    <row r="299" spans="1:34" x14ac:dyDescent="0.25">
      <c r="A299" t="s">
        <v>1153</v>
      </c>
      <c r="B299" t="s">
        <v>1724</v>
      </c>
      <c r="C299" s="10"/>
      <c r="D299" s="10"/>
      <c r="E299" s="10"/>
      <c r="F299" s="10"/>
      <c r="G299" s="10"/>
      <c r="H299" s="10"/>
      <c r="I299" s="10"/>
      <c r="J299" s="10"/>
      <c r="K299" s="10"/>
      <c r="L299" s="10">
        <v>11091.16</v>
      </c>
      <c r="M299" s="10"/>
      <c r="N299" s="10"/>
      <c r="O299" s="10"/>
      <c r="P299" s="10"/>
      <c r="Q299" s="10"/>
      <c r="R299" s="10"/>
      <c r="S299" s="10">
        <v>12246.98</v>
      </c>
      <c r="T299" s="10"/>
      <c r="U299" s="10">
        <v>41258.94</v>
      </c>
      <c r="V299" s="10">
        <v>14917.039999999999</v>
      </c>
      <c r="W299" s="10"/>
      <c r="X299" s="10">
        <v>24949.649999999998</v>
      </c>
      <c r="Y299" s="10"/>
      <c r="Z299" s="10">
        <v>37869.199999999997</v>
      </c>
      <c r="AA299" s="10"/>
      <c r="AB299" s="10"/>
      <c r="AC299" s="10"/>
      <c r="AD299" s="10"/>
      <c r="AE299" s="10"/>
      <c r="AF299" s="10"/>
      <c r="AG299" s="10"/>
      <c r="AH299" s="10"/>
    </row>
    <row r="300" spans="1:34" x14ac:dyDescent="0.25">
      <c r="A300" t="s">
        <v>1153</v>
      </c>
      <c r="B300" t="s">
        <v>1725</v>
      </c>
      <c r="C300" s="10"/>
      <c r="D300" s="10"/>
      <c r="E300" s="10"/>
      <c r="F300" s="10"/>
      <c r="G300" s="10"/>
      <c r="H300" s="10"/>
      <c r="I300" s="10"/>
      <c r="J300" s="10">
        <v>39523.699999999997</v>
      </c>
      <c r="K300" s="10"/>
      <c r="L300" s="10"/>
      <c r="M300" s="10"/>
      <c r="N300" s="10"/>
      <c r="O300" s="10"/>
      <c r="P300" s="10"/>
      <c r="Q300" s="10"/>
      <c r="R300" s="10"/>
      <c r="S300" s="10">
        <v>34092.97</v>
      </c>
      <c r="T300" s="10"/>
      <c r="U300" s="10">
        <v>41380.730000000003</v>
      </c>
      <c r="V300" s="10"/>
      <c r="W300" s="10">
        <v>43157.930000000008</v>
      </c>
      <c r="X300" s="10">
        <v>38481.779999999992</v>
      </c>
      <c r="Y300" s="10">
        <v>32974.230000000003</v>
      </c>
      <c r="Z300" s="10"/>
      <c r="AA300" s="10"/>
      <c r="AB300" s="10"/>
      <c r="AC300" s="10"/>
      <c r="AD300" s="10"/>
      <c r="AE300" s="10"/>
      <c r="AF300" s="10"/>
      <c r="AG300" s="10"/>
      <c r="AH300" s="10"/>
    </row>
    <row r="301" spans="1:34" x14ac:dyDescent="0.25">
      <c r="A301" t="s">
        <v>1153</v>
      </c>
      <c r="B301" t="s">
        <v>210</v>
      </c>
      <c r="C301" s="10"/>
      <c r="D301" s="10"/>
      <c r="E301" s="10"/>
      <c r="F301" s="10"/>
      <c r="G301" s="10"/>
      <c r="H301" s="10">
        <v>49882.460000000014</v>
      </c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>
        <v>71510</v>
      </c>
      <c r="T301" s="10"/>
      <c r="U301" s="10"/>
      <c r="V301" s="10"/>
      <c r="W301" s="10"/>
      <c r="X301" s="10"/>
      <c r="Y301" s="10">
        <v>29677.919999999998</v>
      </c>
      <c r="Z301" s="10">
        <v>11122.849999999999</v>
      </c>
      <c r="AA301" s="10">
        <v>54108.020000000026</v>
      </c>
      <c r="AB301" s="10"/>
      <c r="AC301" s="10">
        <v>19164.999999999996</v>
      </c>
      <c r="AD301" s="10">
        <v>14735.000000000002</v>
      </c>
      <c r="AE301" s="10">
        <v>26617.279999999999</v>
      </c>
      <c r="AF301" s="10">
        <v>77179.630000000019</v>
      </c>
      <c r="AG301" s="10">
        <v>33521</v>
      </c>
      <c r="AH301" s="10">
        <v>32066.49</v>
      </c>
    </row>
    <row r="302" spans="1:34" x14ac:dyDescent="0.25">
      <c r="A302" t="s">
        <v>1153</v>
      </c>
      <c r="B302" t="s">
        <v>1726</v>
      </c>
      <c r="C302" s="10">
        <v>34425.620000000003</v>
      </c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</row>
    <row r="303" spans="1:34" x14ac:dyDescent="0.25">
      <c r="A303" t="s">
        <v>1153</v>
      </c>
      <c r="B303" t="s">
        <v>211</v>
      </c>
      <c r="C303" s="10"/>
      <c r="D303" s="10"/>
      <c r="E303" s="10"/>
      <c r="F303" s="10"/>
      <c r="G303" s="10"/>
      <c r="H303" s="10">
        <v>30199.529999999992</v>
      </c>
      <c r="I303" s="10">
        <v>33964.239999999998</v>
      </c>
      <c r="J303" s="10"/>
      <c r="K303" s="10"/>
      <c r="L303" s="10"/>
      <c r="M303" s="10">
        <v>33678.78</v>
      </c>
      <c r="N303" s="10"/>
      <c r="O303" s="10">
        <v>31517.839999999997</v>
      </c>
      <c r="P303" s="10"/>
      <c r="Q303" s="10"/>
      <c r="R303" s="10"/>
      <c r="S303" s="10">
        <v>38707.330000000009</v>
      </c>
      <c r="T303" s="10"/>
      <c r="U303" s="10"/>
      <c r="V303" s="10">
        <v>10636.890000000001</v>
      </c>
      <c r="W303" s="10">
        <v>10623.51</v>
      </c>
      <c r="X303" s="10">
        <v>15846.08</v>
      </c>
      <c r="Y303" s="10"/>
      <c r="Z303" s="10">
        <v>15356.409999999998</v>
      </c>
      <c r="AA303" s="10"/>
      <c r="AB303" s="10">
        <v>23910.889999999996</v>
      </c>
      <c r="AC303" s="10"/>
      <c r="AD303" s="10"/>
      <c r="AE303" s="10">
        <v>20846.260000000002</v>
      </c>
      <c r="AF303" s="10">
        <v>39693.179999999993</v>
      </c>
      <c r="AG303" s="10"/>
      <c r="AH303" s="10">
        <v>19162.75</v>
      </c>
    </row>
    <row r="304" spans="1:34" x14ac:dyDescent="0.25">
      <c r="A304" t="s">
        <v>1153</v>
      </c>
      <c r="B304" t="s">
        <v>212</v>
      </c>
      <c r="C304" s="10"/>
      <c r="D304" s="10">
        <v>20058.34</v>
      </c>
      <c r="E304" s="10">
        <v>22402.640000000003</v>
      </c>
      <c r="F304" s="10">
        <v>43743.55</v>
      </c>
      <c r="G304" s="10">
        <v>36059.62000000001</v>
      </c>
      <c r="H304" s="10">
        <v>89282.38</v>
      </c>
      <c r="I304" s="10">
        <v>46285.71</v>
      </c>
      <c r="J304" s="10"/>
      <c r="K304" s="10">
        <v>166619.87000000005</v>
      </c>
      <c r="L304" s="10">
        <v>89208.840000000011</v>
      </c>
      <c r="M304" s="10"/>
      <c r="N304" s="10"/>
      <c r="O304" s="10">
        <v>20892.689999999999</v>
      </c>
      <c r="P304" s="10"/>
      <c r="Q304" s="10"/>
      <c r="R304" s="10">
        <v>57957.68</v>
      </c>
      <c r="S304" s="10">
        <v>56846.48</v>
      </c>
      <c r="T304" s="10">
        <v>43164.23</v>
      </c>
      <c r="U304" s="10">
        <v>14858.619999999999</v>
      </c>
      <c r="V304" s="10">
        <v>73003.69</v>
      </c>
      <c r="W304" s="10">
        <v>43218.889999999992</v>
      </c>
      <c r="X304" s="10">
        <v>72315.920000000013</v>
      </c>
      <c r="Y304" s="10">
        <v>60691.789999999994</v>
      </c>
      <c r="Z304" s="10">
        <v>78259.959999999992</v>
      </c>
      <c r="AA304" s="10"/>
      <c r="AB304" s="10"/>
      <c r="AC304" s="10">
        <v>10300.65</v>
      </c>
      <c r="AD304" s="10">
        <v>54830.69999999999</v>
      </c>
      <c r="AE304" s="10">
        <v>65486.22</v>
      </c>
      <c r="AF304" s="10">
        <v>115806.11999999998</v>
      </c>
      <c r="AG304" s="10">
        <v>203313.84</v>
      </c>
      <c r="AH304" s="10">
        <v>134235.07999999999</v>
      </c>
    </row>
    <row r="305" spans="1:34" x14ac:dyDescent="0.25">
      <c r="A305" t="s">
        <v>1153</v>
      </c>
      <c r="B305" t="s">
        <v>213</v>
      </c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>
        <v>46460.590000000004</v>
      </c>
      <c r="V305" s="10">
        <v>57974.19</v>
      </c>
      <c r="W305" s="10"/>
      <c r="X305" s="10"/>
      <c r="Y305" s="10">
        <v>18434.489999999998</v>
      </c>
      <c r="Z305" s="10"/>
      <c r="AA305" s="10"/>
      <c r="AB305" s="10"/>
      <c r="AC305" s="10"/>
      <c r="AD305" s="10"/>
      <c r="AE305" s="10">
        <v>56626.22</v>
      </c>
      <c r="AF305" s="10">
        <v>62157.93</v>
      </c>
      <c r="AG305" s="10">
        <v>53253.79</v>
      </c>
      <c r="AH305" s="10"/>
    </row>
    <row r="306" spans="1:34" x14ac:dyDescent="0.25">
      <c r="A306" t="s">
        <v>1153</v>
      </c>
      <c r="B306" t="s">
        <v>214</v>
      </c>
      <c r="C306" s="10"/>
      <c r="D306" s="10">
        <v>158647.71000000002</v>
      </c>
      <c r="E306" s="10">
        <v>280706.67</v>
      </c>
      <c r="F306" s="10">
        <v>529137.93000000005</v>
      </c>
      <c r="G306" s="10">
        <v>494865.85999999975</v>
      </c>
      <c r="H306" s="10">
        <v>104005.70000000001</v>
      </c>
      <c r="I306" s="10">
        <v>59186.270000000004</v>
      </c>
      <c r="J306" s="10">
        <v>173310.90999999997</v>
      </c>
      <c r="K306" s="10">
        <v>285953.92000000004</v>
      </c>
      <c r="L306" s="10">
        <v>34610.329999999994</v>
      </c>
      <c r="M306" s="10">
        <v>68491.289999999994</v>
      </c>
      <c r="N306" s="10">
        <v>50628.52</v>
      </c>
      <c r="O306" s="10">
        <v>85594.43</v>
      </c>
      <c r="P306" s="10">
        <v>42193.549999999996</v>
      </c>
      <c r="Q306" s="10"/>
      <c r="R306" s="10">
        <v>53107.409999999996</v>
      </c>
      <c r="S306" s="10">
        <v>45008.060000000012</v>
      </c>
      <c r="T306" s="10">
        <v>102109.73000000001</v>
      </c>
      <c r="U306" s="10"/>
      <c r="V306" s="10"/>
      <c r="W306" s="10">
        <v>106141.75000000001</v>
      </c>
      <c r="X306" s="10">
        <v>99411.590000000026</v>
      </c>
      <c r="Y306" s="10">
        <v>58738.719999999979</v>
      </c>
      <c r="Z306" s="10">
        <v>152159.27000000002</v>
      </c>
      <c r="AA306" s="10"/>
      <c r="AB306" s="10"/>
      <c r="AC306" s="10">
        <v>59373.43</v>
      </c>
      <c r="AD306" s="10"/>
      <c r="AE306" s="10">
        <v>153211.06000000003</v>
      </c>
      <c r="AF306" s="10"/>
      <c r="AG306" s="10">
        <v>96827.37</v>
      </c>
      <c r="AH306" s="10">
        <v>129336.69000000003</v>
      </c>
    </row>
    <row r="307" spans="1:34" x14ac:dyDescent="0.25">
      <c r="A307" t="s">
        <v>1153</v>
      </c>
      <c r="B307" t="s">
        <v>215</v>
      </c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>
        <v>41549.840000000004</v>
      </c>
      <c r="V307" s="10">
        <v>58053.53</v>
      </c>
      <c r="W307" s="10">
        <v>61470.290000000008</v>
      </c>
      <c r="X307" s="10">
        <v>53525.700000000004</v>
      </c>
      <c r="Y307" s="10">
        <v>122296.30000000006</v>
      </c>
      <c r="Z307" s="10">
        <v>91239.82</v>
      </c>
      <c r="AA307" s="10">
        <v>23107.25</v>
      </c>
      <c r="AB307" s="10">
        <v>30014.280000000002</v>
      </c>
      <c r="AC307" s="10">
        <v>15313.870000000003</v>
      </c>
      <c r="AD307" s="10">
        <v>30489.799999999996</v>
      </c>
      <c r="AE307" s="10"/>
      <c r="AF307" s="10">
        <v>24183.59</v>
      </c>
      <c r="AG307" s="10">
        <v>24060.17</v>
      </c>
      <c r="AH307" s="10"/>
    </row>
    <row r="308" spans="1:34" x14ac:dyDescent="0.25">
      <c r="A308" t="s">
        <v>1153</v>
      </c>
      <c r="B308" t="s">
        <v>216</v>
      </c>
      <c r="C308" s="10"/>
      <c r="D308" s="10"/>
      <c r="E308" s="10"/>
      <c r="F308" s="10"/>
      <c r="G308" s="10"/>
      <c r="H308" s="10"/>
      <c r="I308" s="10"/>
      <c r="J308" s="10"/>
      <c r="K308" s="10">
        <v>58591.6</v>
      </c>
      <c r="L308" s="10"/>
      <c r="M308" s="10"/>
      <c r="N308" s="10"/>
      <c r="O308" s="10"/>
      <c r="P308" s="10"/>
      <c r="Q308" s="10"/>
      <c r="R308" s="10"/>
      <c r="S308" s="10">
        <v>49412.130000000005</v>
      </c>
      <c r="T308" s="10">
        <v>72659.37000000001</v>
      </c>
      <c r="U308" s="10">
        <v>111853.82</v>
      </c>
      <c r="V308" s="10"/>
      <c r="W308" s="10">
        <v>171678.44999999998</v>
      </c>
      <c r="X308" s="10">
        <v>104843.65999999997</v>
      </c>
      <c r="Y308" s="10">
        <v>54647.21</v>
      </c>
      <c r="Z308" s="10">
        <v>122199.97999999997</v>
      </c>
      <c r="AA308" s="10">
        <v>64718.499999999985</v>
      </c>
      <c r="AB308" s="10">
        <v>33661.899999999994</v>
      </c>
      <c r="AC308" s="10">
        <v>146755.9</v>
      </c>
      <c r="AD308" s="10">
        <v>47009.030000000006</v>
      </c>
      <c r="AE308" s="10">
        <v>135355.20000000004</v>
      </c>
      <c r="AF308" s="10">
        <v>489729.09000000008</v>
      </c>
      <c r="AG308" s="10">
        <v>240022.74999999997</v>
      </c>
      <c r="AH308" s="10">
        <v>193600.70000000004</v>
      </c>
    </row>
    <row r="309" spans="1:34" x14ac:dyDescent="0.25">
      <c r="A309" t="s">
        <v>1153</v>
      </c>
      <c r="B309" t="s">
        <v>1727</v>
      </c>
      <c r="C309" s="10"/>
      <c r="D309" s="10"/>
      <c r="E309" s="10"/>
      <c r="F309" s="10"/>
      <c r="G309" s="10"/>
      <c r="H309" s="10"/>
      <c r="I309" s="10"/>
      <c r="J309" s="10"/>
      <c r="K309" s="10">
        <v>150491.25</v>
      </c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</row>
    <row r="310" spans="1:34" x14ac:dyDescent="0.25">
      <c r="A310" t="s">
        <v>1153</v>
      </c>
      <c r="B310" t="s">
        <v>1728</v>
      </c>
      <c r="C310" s="10">
        <v>29821.75</v>
      </c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>
        <v>25351.8</v>
      </c>
      <c r="W310" s="10">
        <v>4925.78</v>
      </c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</row>
    <row r="311" spans="1:34" x14ac:dyDescent="0.25">
      <c r="A311" t="s">
        <v>1153</v>
      </c>
      <c r="B311" t="s">
        <v>217</v>
      </c>
      <c r="C311" s="10"/>
      <c r="D311" s="10"/>
      <c r="E311" s="10"/>
      <c r="F311" s="10"/>
      <c r="G311" s="10"/>
      <c r="H311" s="10"/>
      <c r="I311" s="10"/>
      <c r="J311" s="10"/>
      <c r="K311" s="10"/>
      <c r="L311" s="10">
        <v>50885.939999999995</v>
      </c>
      <c r="M311" s="10">
        <v>83996.11</v>
      </c>
      <c r="N311" s="10"/>
      <c r="O311" s="10"/>
      <c r="P311" s="10">
        <v>30074.04</v>
      </c>
      <c r="Q311" s="10">
        <v>55954.159999999996</v>
      </c>
      <c r="R311" s="10">
        <v>93040.75</v>
      </c>
      <c r="S311" s="10"/>
      <c r="T311" s="10"/>
      <c r="U311" s="10"/>
      <c r="V311" s="10"/>
      <c r="W311" s="10"/>
      <c r="X311" s="10"/>
      <c r="Y311" s="10">
        <v>38285.5</v>
      </c>
      <c r="Z311" s="10"/>
      <c r="AA311" s="10">
        <v>63492.59</v>
      </c>
      <c r="AB311" s="10">
        <v>56667.689999999995</v>
      </c>
      <c r="AC311" s="10"/>
      <c r="AD311" s="10">
        <v>240275.47999999998</v>
      </c>
      <c r="AE311" s="10">
        <v>54518.630000000005</v>
      </c>
      <c r="AF311" s="10"/>
      <c r="AG311" s="10">
        <v>10669.7</v>
      </c>
      <c r="AH311" s="10">
        <v>47800.32</v>
      </c>
    </row>
    <row r="312" spans="1:34" x14ac:dyDescent="0.25">
      <c r="A312" t="s">
        <v>1153</v>
      </c>
      <c r="B312" t="s">
        <v>1729</v>
      </c>
      <c r="C312" s="10"/>
      <c r="D312" s="10"/>
      <c r="E312" s="10"/>
      <c r="F312" s="10"/>
      <c r="G312" s="10"/>
      <c r="H312" s="10"/>
      <c r="I312" s="10"/>
      <c r="J312" s="10">
        <v>3535.86</v>
      </c>
      <c r="K312" s="10">
        <v>6388.4</v>
      </c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</row>
    <row r="313" spans="1:34" x14ac:dyDescent="0.25">
      <c r="A313" t="s">
        <v>1153</v>
      </c>
      <c r="B313" t="s">
        <v>218</v>
      </c>
      <c r="C313" s="10"/>
      <c r="D313" s="10"/>
      <c r="E313" s="10"/>
      <c r="F313" s="10"/>
      <c r="G313" s="10">
        <v>65177.339999999989</v>
      </c>
      <c r="H313" s="10">
        <v>26700.09</v>
      </c>
      <c r="I313" s="10">
        <v>49860.729999999996</v>
      </c>
      <c r="J313" s="10">
        <v>31451.79</v>
      </c>
      <c r="K313" s="10"/>
      <c r="L313" s="10">
        <v>66499.920000000013</v>
      </c>
      <c r="M313" s="10"/>
      <c r="N313" s="10">
        <v>49230.04</v>
      </c>
      <c r="O313" s="10"/>
      <c r="P313" s="10"/>
      <c r="Q313" s="10">
        <v>189825.28000000003</v>
      </c>
      <c r="R313" s="10">
        <v>80220.62</v>
      </c>
      <c r="S313" s="10"/>
      <c r="T313" s="10">
        <v>36613.009999999995</v>
      </c>
      <c r="U313" s="10"/>
      <c r="V313" s="10"/>
      <c r="W313" s="10">
        <v>62382.679999999993</v>
      </c>
      <c r="X313" s="10"/>
      <c r="Y313" s="10">
        <v>41326.269999999997</v>
      </c>
      <c r="Z313" s="10">
        <v>65648.759999999995</v>
      </c>
      <c r="AA313" s="10">
        <v>8673.6</v>
      </c>
      <c r="AB313" s="10"/>
      <c r="AC313" s="10">
        <v>66831.09</v>
      </c>
      <c r="AD313" s="10">
        <v>20991.53</v>
      </c>
      <c r="AE313" s="10">
        <v>84576.73000000001</v>
      </c>
      <c r="AF313" s="10">
        <v>149153.35999999999</v>
      </c>
      <c r="AG313" s="10"/>
      <c r="AH313" s="10">
        <v>169276.52000000005</v>
      </c>
    </row>
    <row r="314" spans="1:34" x14ac:dyDescent="0.25">
      <c r="A314" t="s">
        <v>1153</v>
      </c>
      <c r="B314" t="s">
        <v>219</v>
      </c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>
        <v>121633.83999999997</v>
      </c>
      <c r="Z314" s="10">
        <v>252096.91999999995</v>
      </c>
      <c r="AA314" s="10">
        <v>38714.720000000008</v>
      </c>
      <c r="AB314" s="10"/>
      <c r="AC314" s="10"/>
      <c r="AD314" s="10"/>
      <c r="AE314" s="10">
        <v>185815.53999999998</v>
      </c>
      <c r="AF314" s="10">
        <v>124147.57999999999</v>
      </c>
      <c r="AG314" s="10">
        <v>74826.02</v>
      </c>
      <c r="AH314" s="10"/>
    </row>
    <row r="315" spans="1:34" x14ac:dyDescent="0.25">
      <c r="A315" t="s">
        <v>1153</v>
      </c>
      <c r="B315" t="s">
        <v>220</v>
      </c>
      <c r="C315" s="10"/>
      <c r="D315" s="10"/>
      <c r="E315" s="10">
        <v>150813.81000000006</v>
      </c>
      <c r="F315" s="10"/>
      <c r="G315" s="10">
        <v>42138.71</v>
      </c>
      <c r="H315" s="10">
        <v>116605.04999999999</v>
      </c>
      <c r="I315" s="10">
        <v>58047.86</v>
      </c>
      <c r="J315" s="10"/>
      <c r="K315" s="10">
        <v>61156.560000000005</v>
      </c>
      <c r="L315" s="10">
        <v>277955.47000000003</v>
      </c>
      <c r="M315" s="10"/>
      <c r="N315" s="10">
        <v>128824.23</v>
      </c>
      <c r="O315" s="10">
        <v>125943.72</v>
      </c>
      <c r="P315" s="10"/>
      <c r="Q315" s="10">
        <v>114867.05999999998</v>
      </c>
      <c r="R315" s="10">
        <v>170650.26</v>
      </c>
      <c r="S315" s="10">
        <v>263729.99000000005</v>
      </c>
      <c r="T315" s="10">
        <v>203742.99999999997</v>
      </c>
      <c r="U315" s="10">
        <v>57571.219999999987</v>
      </c>
      <c r="V315" s="10">
        <v>190950.14999999997</v>
      </c>
      <c r="W315" s="10">
        <v>105565.9</v>
      </c>
      <c r="X315" s="10">
        <v>187277.25999999995</v>
      </c>
      <c r="Y315" s="10">
        <v>176161.05000000002</v>
      </c>
      <c r="Z315" s="10">
        <v>249507.54000000004</v>
      </c>
      <c r="AA315" s="10"/>
      <c r="AB315" s="10">
        <v>216408.21000000002</v>
      </c>
      <c r="AC315" s="10">
        <v>119814.67000000001</v>
      </c>
      <c r="AD315" s="10">
        <v>155927.48000000004</v>
      </c>
      <c r="AE315" s="10">
        <v>118569.29</v>
      </c>
      <c r="AF315" s="10">
        <v>214810.52999999997</v>
      </c>
      <c r="AG315" s="10"/>
      <c r="AH315" s="10">
        <v>216326.25000000006</v>
      </c>
    </row>
    <row r="316" spans="1:34" x14ac:dyDescent="0.25">
      <c r="A316" t="s">
        <v>1153</v>
      </c>
      <c r="B316" t="s">
        <v>221</v>
      </c>
      <c r="C316" s="10"/>
      <c r="D316" s="10"/>
      <c r="E316" s="10"/>
      <c r="F316" s="10">
        <v>700020.11999999988</v>
      </c>
      <c r="G316" s="10">
        <v>206669.29999999996</v>
      </c>
      <c r="H316" s="10">
        <v>117727.13999999998</v>
      </c>
      <c r="I316" s="10">
        <v>172527.95</v>
      </c>
      <c r="J316" s="10"/>
      <c r="K316" s="10">
        <v>146530.76</v>
      </c>
      <c r="L316" s="10">
        <v>112405.87</v>
      </c>
      <c r="M316" s="10">
        <v>116400.26000000001</v>
      </c>
      <c r="N316" s="10">
        <v>19918.62</v>
      </c>
      <c r="O316" s="10"/>
      <c r="P316" s="10"/>
      <c r="Q316" s="10"/>
      <c r="R316" s="10"/>
      <c r="S316" s="10">
        <v>65275.29</v>
      </c>
      <c r="T316" s="10"/>
      <c r="U316" s="10">
        <v>148834.63</v>
      </c>
      <c r="V316" s="10"/>
      <c r="W316" s="10">
        <v>65841.95</v>
      </c>
      <c r="X316" s="10">
        <v>39758.449999999997</v>
      </c>
      <c r="Y316" s="10"/>
      <c r="Z316" s="10">
        <v>26002.63</v>
      </c>
      <c r="AA316" s="10">
        <v>70122.75</v>
      </c>
      <c r="AB316" s="10"/>
      <c r="AC316" s="10">
        <v>41873.99</v>
      </c>
      <c r="AD316" s="10">
        <v>33228.92</v>
      </c>
      <c r="AE316" s="10"/>
      <c r="AF316" s="10"/>
      <c r="AG316" s="10"/>
      <c r="AH316" s="10"/>
    </row>
    <row r="317" spans="1:34" x14ac:dyDescent="0.25">
      <c r="A317" t="s">
        <v>1153</v>
      </c>
      <c r="B317" t="s">
        <v>1730</v>
      </c>
      <c r="C317" s="10"/>
      <c r="D317" s="10"/>
      <c r="E317" s="10"/>
      <c r="F317" s="10"/>
      <c r="G317" s="10"/>
      <c r="H317" s="10"/>
      <c r="I317" s="10">
        <v>57880.680000000008</v>
      </c>
      <c r="J317" s="10"/>
      <c r="K317" s="10">
        <v>24643.589999999997</v>
      </c>
      <c r="L317" s="10"/>
      <c r="M317" s="10">
        <v>44713.58</v>
      </c>
      <c r="N317" s="10"/>
      <c r="O317" s="10"/>
      <c r="P317" s="10"/>
      <c r="Q317" s="10"/>
      <c r="R317" s="10"/>
      <c r="S317" s="10"/>
      <c r="T317" s="10"/>
      <c r="U317" s="10">
        <v>31605.119999999988</v>
      </c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</row>
    <row r="318" spans="1:34" x14ac:dyDescent="0.25">
      <c r="A318" t="s">
        <v>1153</v>
      </c>
      <c r="B318" t="s">
        <v>1731</v>
      </c>
      <c r="C318" s="10"/>
      <c r="D318" s="10"/>
      <c r="E318" s="10"/>
      <c r="F318" s="10"/>
      <c r="G318" s="10"/>
      <c r="H318" s="10">
        <v>19485.810000000005</v>
      </c>
      <c r="I318" s="10">
        <v>4007.2999999999997</v>
      </c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</row>
    <row r="319" spans="1:34" x14ac:dyDescent="0.25">
      <c r="A319" t="s">
        <v>1153</v>
      </c>
      <c r="B319" t="s">
        <v>1732</v>
      </c>
      <c r="C319" s="10"/>
      <c r="D319" s="10"/>
      <c r="E319" s="10"/>
      <c r="F319" s="10"/>
      <c r="G319" s="10">
        <v>21402.95</v>
      </c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>
        <v>9844.0300000000007</v>
      </c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</row>
    <row r="320" spans="1:34" x14ac:dyDescent="0.25">
      <c r="A320" t="s">
        <v>1153</v>
      </c>
      <c r="B320" t="s">
        <v>1235</v>
      </c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>
        <v>40364.23000000001</v>
      </c>
      <c r="V320" s="10">
        <v>15352.439999999999</v>
      </c>
      <c r="W320" s="10">
        <v>31608.84</v>
      </c>
      <c r="X320" s="10">
        <v>45644.4</v>
      </c>
      <c r="Y320" s="10">
        <v>29450.14</v>
      </c>
      <c r="Z320" s="10">
        <v>141297.75999999998</v>
      </c>
      <c r="AA320" s="10">
        <v>56096.39</v>
      </c>
      <c r="AB320" s="10"/>
      <c r="AC320" s="10">
        <v>52167.24</v>
      </c>
      <c r="AD320" s="10"/>
      <c r="AE320" s="10">
        <v>18203.580000000002</v>
      </c>
      <c r="AF320" s="10"/>
      <c r="AG320" s="10"/>
      <c r="AH320" s="10">
        <v>75116.529999999984</v>
      </c>
    </row>
    <row r="321" spans="1:34" x14ac:dyDescent="0.25">
      <c r="A321" t="s">
        <v>1153</v>
      </c>
      <c r="B321" t="s">
        <v>222</v>
      </c>
      <c r="C321" s="10"/>
      <c r="D321" s="10"/>
      <c r="E321" s="10">
        <v>305545.99000000011</v>
      </c>
      <c r="F321" s="10">
        <v>61657.98</v>
      </c>
      <c r="G321" s="10">
        <v>71010.3</v>
      </c>
      <c r="H321" s="10">
        <v>77568.950000000012</v>
      </c>
      <c r="I321" s="10">
        <v>155360.62999999995</v>
      </c>
      <c r="J321" s="10">
        <v>176787.84000000003</v>
      </c>
      <c r="K321" s="10">
        <v>195329.59999999992</v>
      </c>
      <c r="L321" s="10">
        <v>110519.4</v>
      </c>
      <c r="M321" s="10">
        <v>66107.689999999988</v>
      </c>
      <c r="N321" s="10">
        <v>253297.50999999995</v>
      </c>
      <c r="O321" s="10"/>
      <c r="P321" s="10">
        <v>124859.41999999997</v>
      </c>
      <c r="Q321" s="10"/>
      <c r="R321" s="10">
        <v>100189.82000000004</v>
      </c>
      <c r="S321" s="10">
        <v>210392.51</v>
      </c>
      <c r="T321" s="10">
        <v>192807.79</v>
      </c>
      <c r="U321" s="10">
        <v>103424.76000000002</v>
      </c>
      <c r="V321" s="10"/>
      <c r="W321" s="10">
        <v>168153.46999999994</v>
      </c>
      <c r="X321" s="10">
        <v>226314.63</v>
      </c>
      <c r="Y321" s="10">
        <v>60737.44999999999</v>
      </c>
      <c r="Z321" s="10">
        <v>85009.48000000001</v>
      </c>
      <c r="AA321" s="10"/>
      <c r="AB321" s="10">
        <v>102791.11999999998</v>
      </c>
      <c r="AC321" s="10">
        <v>20199.12</v>
      </c>
      <c r="AD321" s="10">
        <v>91094.310000000012</v>
      </c>
      <c r="AE321" s="10">
        <v>73718.62999999999</v>
      </c>
      <c r="AF321" s="10">
        <v>45142.159999999996</v>
      </c>
      <c r="AG321" s="10">
        <v>121713.71999999997</v>
      </c>
      <c r="AH321" s="10">
        <v>197005.4899999999</v>
      </c>
    </row>
    <row r="322" spans="1:34" x14ac:dyDescent="0.25">
      <c r="A322" t="s">
        <v>1153</v>
      </c>
      <c r="B322" t="s">
        <v>1733</v>
      </c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>
        <v>41045.99</v>
      </c>
      <c r="P322" s="10"/>
      <c r="Q322" s="10"/>
      <c r="R322" s="10"/>
      <c r="S322" s="10"/>
      <c r="T322" s="10">
        <v>106520.96000000001</v>
      </c>
      <c r="U322" s="10">
        <v>130108.23999999999</v>
      </c>
      <c r="V322" s="10"/>
      <c r="W322" s="10">
        <v>37395.300000000003</v>
      </c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</row>
    <row r="323" spans="1:34" x14ac:dyDescent="0.25">
      <c r="A323" t="s">
        <v>1153</v>
      </c>
      <c r="B323" t="s">
        <v>1734</v>
      </c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>
        <v>91733.96</v>
      </c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</row>
    <row r="324" spans="1:34" x14ac:dyDescent="0.25">
      <c r="A324" t="s">
        <v>1153</v>
      </c>
      <c r="B324" t="s">
        <v>1735</v>
      </c>
      <c r="C324" s="10"/>
      <c r="D324" s="10"/>
      <c r="E324" s="10"/>
      <c r="F324" s="10">
        <v>14087.860000000004</v>
      </c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</row>
    <row r="325" spans="1:34" x14ac:dyDescent="0.25">
      <c r="A325" t="s">
        <v>1153</v>
      </c>
      <c r="B325" t="s">
        <v>223</v>
      </c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>
        <v>149996.51999999999</v>
      </c>
      <c r="U325" s="10">
        <v>146501.99999999997</v>
      </c>
      <c r="V325" s="10">
        <v>59830</v>
      </c>
      <c r="W325" s="10">
        <v>126585.32000000004</v>
      </c>
      <c r="X325" s="10">
        <v>178469.00000000003</v>
      </c>
      <c r="Y325" s="10">
        <v>132161.01000000004</v>
      </c>
      <c r="Z325" s="10">
        <v>86536.609999999986</v>
      </c>
      <c r="AA325" s="10">
        <v>404931.07</v>
      </c>
      <c r="AB325" s="10">
        <v>254540.00000000003</v>
      </c>
      <c r="AC325" s="10">
        <v>466021.00000000006</v>
      </c>
      <c r="AD325" s="10">
        <v>372833.99999999994</v>
      </c>
      <c r="AE325" s="10">
        <v>471150.22000000003</v>
      </c>
      <c r="AF325" s="10">
        <v>643279.62000000034</v>
      </c>
      <c r="AG325" s="10">
        <v>393867.00000000006</v>
      </c>
      <c r="AH325" s="10">
        <v>956874</v>
      </c>
    </row>
    <row r="326" spans="1:34" x14ac:dyDescent="0.25">
      <c r="A326" t="s">
        <v>1153</v>
      </c>
      <c r="B326" t="s">
        <v>1736</v>
      </c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>
        <v>34425.839999999997</v>
      </c>
      <c r="U326" s="10"/>
      <c r="V326" s="10"/>
      <c r="W326" s="10"/>
      <c r="X326" s="10"/>
      <c r="Y326" s="10"/>
      <c r="Z326" s="10"/>
      <c r="AA326" s="10">
        <v>17451.82</v>
      </c>
      <c r="AB326" s="10">
        <v>2478.4899999999998</v>
      </c>
      <c r="AC326" s="10"/>
      <c r="AD326" s="10"/>
      <c r="AE326" s="10"/>
      <c r="AF326" s="10"/>
      <c r="AG326" s="10"/>
      <c r="AH326" s="10"/>
    </row>
    <row r="327" spans="1:34" x14ac:dyDescent="0.25">
      <c r="A327" t="s">
        <v>1153</v>
      </c>
      <c r="B327" t="s">
        <v>224</v>
      </c>
      <c r="C327" s="10"/>
      <c r="D327" s="10"/>
      <c r="E327" s="10">
        <v>70238.400000000009</v>
      </c>
      <c r="F327" s="10"/>
      <c r="G327" s="10">
        <v>41863.699999999997</v>
      </c>
      <c r="H327" s="10">
        <v>59210.930000000008</v>
      </c>
      <c r="I327" s="10"/>
      <c r="J327" s="10"/>
      <c r="K327" s="10">
        <v>154504</v>
      </c>
      <c r="L327" s="10"/>
      <c r="M327" s="10">
        <v>233540.31000000003</v>
      </c>
      <c r="N327" s="10">
        <v>1108388.7499999998</v>
      </c>
      <c r="O327" s="10"/>
      <c r="P327" s="10">
        <v>251383.26</v>
      </c>
      <c r="Q327" s="10">
        <v>515106.12</v>
      </c>
      <c r="R327" s="10">
        <v>213779.44000000003</v>
      </c>
      <c r="S327" s="10">
        <v>69547.820000000007</v>
      </c>
      <c r="T327" s="10">
        <v>131349.27000000002</v>
      </c>
      <c r="U327" s="10">
        <v>206907.91999999995</v>
      </c>
      <c r="V327" s="10"/>
      <c r="W327" s="10">
        <v>71334.52</v>
      </c>
      <c r="X327" s="10">
        <v>79007.8</v>
      </c>
      <c r="Y327" s="10">
        <v>65216</v>
      </c>
      <c r="Z327" s="10">
        <v>53517.729999999989</v>
      </c>
      <c r="AA327" s="10">
        <v>50210.169999999984</v>
      </c>
      <c r="AB327" s="10">
        <v>171243.59</v>
      </c>
      <c r="AC327" s="10">
        <v>119419.99999999999</v>
      </c>
      <c r="AD327" s="10">
        <v>57647.94</v>
      </c>
      <c r="AE327" s="10"/>
      <c r="AF327" s="10">
        <v>109594.14</v>
      </c>
      <c r="AG327" s="10">
        <v>726531.73</v>
      </c>
      <c r="AH327" s="10">
        <v>91920.329999999987</v>
      </c>
    </row>
    <row r="328" spans="1:34" x14ac:dyDescent="0.25">
      <c r="A328" t="s">
        <v>1153</v>
      </c>
      <c r="B328" t="s">
        <v>225</v>
      </c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>
        <v>124335.41</v>
      </c>
      <c r="Y328" s="10">
        <v>37038.47</v>
      </c>
      <c r="Z328" s="10">
        <v>75195.079999999987</v>
      </c>
      <c r="AA328" s="10">
        <v>31861.879999999997</v>
      </c>
      <c r="AB328" s="10">
        <v>55306.69</v>
      </c>
      <c r="AC328" s="10"/>
      <c r="AD328" s="10">
        <v>51458.999999999993</v>
      </c>
      <c r="AE328" s="10"/>
      <c r="AF328" s="10">
        <v>27454.149999999998</v>
      </c>
      <c r="AG328" s="10"/>
      <c r="AH328" s="10"/>
    </row>
    <row r="329" spans="1:34" x14ac:dyDescent="0.25">
      <c r="A329" t="s">
        <v>1153</v>
      </c>
      <c r="B329" t="s">
        <v>226</v>
      </c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>
        <v>35575.85</v>
      </c>
      <c r="V329" s="10">
        <v>17751.990000000002</v>
      </c>
      <c r="W329" s="10">
        <v>13051.669999999998</v>
      </c>
      <c r="X329" s="10">
        <v>21340.7</v>
      </c>
      <c r="Y329" s="10">
        <v>38083.540000000008</v>
      </c>
      <c r="Z329" s="10">
        <v>60850.61</v>
      </c>
      <c r="AA329" s="10">
        <v>32926.86</v>
      </c>
      <c r="AB329" s="10"/>
      <c r="AC329" s="10">
        <v>19982.079999999998</v>
      </c>
      <c r="AD329" s="10">
        <v>102997.56000000001</v>
      </c>
      <c r="AE329" s="10">
        <v>120056.47999999998</v>
      </c>
      <c r="AF329" s="10"/>
      <c r="AG329" s="10">
        <v>25658.639999999999</v>
      </c>
      <c r="AH329" s="10">
        <v>43836.69</v>
      </c>
    </row>
    <row r="330" spans="1:34" x14ac:dyDescent="0.25">
      <c r="A330" t="s">
        <v>1153</v>
      </c>
      <c r="B330" t="s">
        <v>1737</v>
      </c>
      <c r="C330" s="10"/>
      <c r="D330" s="10"/>
      <c r="E330" s="10"/>
      <c r="F330" s="10"/>
      <c r="G330" s="10"/>
      <c r="H330" s="10">
        <v>44163.999999999993</v>
      </c>
      <c r="I330" s="10">
        <v>41370.42</v>
      </c>
      <c r="J330" s="10">
        <v>92000.299999999988</v>
      </c>
      <c r="K330" s="10">
        <v>69586.91</v>
      </c>
      <c r="L330" s="10">
        <v>109431.69</v>
      </c>
      <c r="M330" s="10"/>
      <c r="N330" s="10"/>
      <c r="O330" s="10"/>
      <c r="P330" s="10"/>
      <c r="Q330" s="10">
        <v>213475.18</v>
      </c>
      <c r="R330" s="10">
        <v>29934.13</v>
      </c>
      <c r="S330" s="10"/>
      <c r="T330" s="10"/>
      <c r="U330" s="10">
        <v>56161.960000000006</v>
      </c>
      <c r="V330" s="10">
        <v>58968.86</v>
      </c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</row>
    <row r="331" spans="1:34" x14ac:dyDescent="0.25">
      <c r="A331" t="s">
        <v>1153</v>
      </c>
      <c r="B331" t="s">
        <v>227</v>
      </c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>
        <v>51255.69</v>
      </c>
      <c r="T331" s="10"/>
      <c r="U331" s="10">
        <v>169332</v>
      </c>
      <c r="V331" s="10">
        <v>178918.75</v>
      </c>
      <c r="W331" s="10">
        <v>221628.04</v>
      </c>
      <c r="X331" s="10">
        <v>91182.06</v>
      </c>
      <c r="Y331" s="10">
        <v>71999.930000000008</v>
      </c>
      <c r="Z331" s="10">
        <v>127210.82</v>
      </c>
      <c r="AA331" s="10"/>
      <c r="AB331" s="10">
        <v>149648.6</v>
      </c>
      <c r="AC331" s="10">
        <v>93688.799999999988</v>
      </c>
      <c r="AD331" s="10">
        <v>61938.17</v>
      </c>
      <c r="AE331" s="10">
        <v>35167.299999999996</v>
      </c>
      <c r="AF331" s="10">
        <v>245462.86000000002</v>
      </c>
      <c r="AG331" s="10"/>
      <c r="AH331" s="10">
        <v>406256.56</v>
      </c>
    </row>
    <row r="332" spans="1:34" x14ac:dyDescent="0.25">
      <c r="A332" t="s">
        <v>1153</v>
      </c>
      <c r="B332" t="s">
        <v>228</v>
      </c>
      <c r="C332" s="10"/>
      <c r="D332" s="10"/>
      <c r="E332" s="10"/>
      <c r="F332" s="10">
        <v>302717.03999999998</v>
      </c>
      <c r="G332" s="10">
        <v>336524.80000000005</v>
      </c>
      <c r="H332" s="10">
        <v>54172.25</v>
      </c>
      <c r="I332" s="10">
        <v>1551.55</v>
      </c>
      <c r="J332" s="10">
        <v>46611.97</v>
      </c>
      <c r="K332" s="10">
        <v>317557.76000000001</v>
      </c>
      <c r="L332" s="10">
        <v>15859.6</v>
      </c>
      <c r="M332" s="10">
        <v>715.24</v>
      </c>
      <c r="N332" s="10">
        <v>30521.980000000003</v>
      </c>
      <c r="O332" s="10"/>
      <c r="P332" s="10"/>
      <c r="Q332" s="10">
        <v>10588.55</v>
      </c>
      <c r="R332" s="10">
        <v>8196.4</v>
      </c>
      <c r="S332" s="10"/>
      <c r="T332" s="10">
        <v>8234.2199999999993</v>
      </c>
      <c r="U332" s="10"/>
      <c r="V332" s="10">
        <v>68701.09</v>
      </c>
      <c r="W332" s="10">
        <v>20335.400000000001</v>
      </c>
      <c r="X332" s="10"/>
      <c r="Y332" s="10">
        <v>39079.379999999997</v>
      </c>
      <c r="Z332" s="10">
        <v>14043</v>
      </c>
      <c r="AA332" s="10"/>
      <c r="AB332" s="10"/>
      <c r="AC332" s="10"/>
      <c r="AD332" s="10">
        <v>8606.2199999999993</v>
      </c>
      <c r="AE332" s="10"/>
      <c r="AF332" s="10"/>
      <c r="AG332" s="10"/>
      <c r="AH332" s="10"/>
    </row>
    <row r="333" spans="1:34" x14ac:dyDescent="0.25">
      <c r="A333" t="s">
        <v>1153</v>
      </c>
      <c r="B333" t="s">
        <v>229</v>
      </c>
      <c r="C333" s="10">
        <v>80173.58</v>
      </c>
      <c r="D333" s="10">
        <v>38445.579999999994</v>
      </c>
      <c r="E333" s="10">
        <v>79017.950000000012</v>
      </c>
      <c r="F333" s="10">
        <v>49370.189999999995</v>
      </c>
      <c r="G333" s="10">
        <v>132421.72999999998</v>
      </c>
      <c r="H333" s="10">
        <v>177999.06999999995</v>
      </c>
      <c r="I333" s="10"/>
      <c r="J333" s="10">
        <v>102583.36000000002</v>
      </c>
      <c r="K333" s="10">
        <v>104835.09999999999</v>
      </c>
      <c r="L333" s="10"/>
      <c r="M333" s="10">
        <v>73496.539999999979</v>
      </c>
      <c r="N333" s="10">
        <v>140384.65000000005</v>
      </c>
      <c r="O333" s="10">
        <v>70333.53</v>
      </c>
      <c r="P333" s="10">
        <v>33835.660000000003</v>
      </c>
      <c r="Q333" s="10">
        <v>27554.53</v>
      </c>
      <c r="R333" s="10">
        <v>63853.469999999987</v>
      </c>
      <c r="S333" s="10">
        <v>33486.150000000009</v>
      </c>
      <c r="T333" s="10">
        <v>159419.35</v>
      </c>
      <c r="U333" s="10">
        <v>10665.709999999997</v>
      </c>
      <c r="V333" s="10">
        <v>134226.04000000004</v>
      </c>
      <c r="W333" s="10">
        <v>178275.81999999992</v>
      </c>
      <c r="X333" s="10">
        <v>58442.130000000012</v>
      </c>
      <c r="Y333" s="10">
        <v>66699.880000000019</v>
      </c>
      <c r="Z333" s="10">
        <v>69153.799999999988</v>
      </c>
      <c r="AA333" s="10"/>
      <c r="AB333" s="10"/>
      <c r="AC333" s="10"/>
      <c r="AD333" s="10">
        <v>65441.789999999994</v>
      </c>
      <c r="AE333" s="10">
        <v>33899.960000000006</v>
      </c>
      <c r="AF333" s="10">
        <v>66908.56</v>
      </c>
      <c r="AG333" s="10"/>
      <c r="AH333" s="10"/>
    </row>
    <row r="334" spans="1:34" x14ac:dyDescent="0.25">
      <c r="A334" t="s">
        <v>1153</v>
      </c>
      <c r="B334" t="s">
        <v>230</v>
      </c>
      <c r="C334" s="10">
        <v>49929.219999999987</v>
      </c>
      <c r="D334" s="10">
        <v>63572.89</v>
      </c>
      <c r="E334" s="10">
        <v>197479.61000000004</v>
      </c>
      <c r="F334" s="10">
        <v>220508.82999999993</v>
      </c>
      <c r="G334" s="10">
        <v>167497.67999999996</v>
      </c>
      <c r="H334" s="10">
        <v>111388.99</v>
      </c>
      <c r="I334" s="10">
        <v>149353.49000000002</v>
      </c>
      <c r="J334" s="10">
        <v>67326.720000000001</v>
      </c>
      <c r="K334" s="10">
        <v>30157.71</v>
      </c>
      <c r="L334" s="10">
        <v>39486.97</v>
      </c>
      <c r="M334" s="10">
        <v>58976.82</v>
      </c>
      <c r="N334" s="10"/>
      <c r="O334" s="10">
        <v>31054.300000000003</v>
      </c>
      <c r="P334" s="10">
        <v>47194.45</v>
      </c>
      <c r="Q334" s="10">
        <v>97420.44</v>
      </c>
      <c r="R334" s="10">
        <v>201152.16000000006</v>
      </c>
      <c r="S334" s="10">
        <v>166688.97000000003</v>
      </c>
      <c r="T334" s="10">
        <v>182879.42999999996</v>
      </c>
      <c r="U334" s="10">
        <v>47818.619999999995</v>
      </c>
      <c r="V334" s="10">
        <v>69380.34</v>
      </c>
      <c r="W334" s="10">
        <v>48737.770000000004</v>
      </c>
      <c r="X334" s="10">
        <v>34911.760000000002</v>
      </c>
      <c r="Y334" s="10">
        <v>38647.46</v>
      </c>
      <c r="Z334" s="10"/>
      <c r="AA334" s="10">
        <v>55752.47</v>
      </c>
      <c r="AB334" s="10">
        <v>95800.51999999999</v>
      </c>
      <c r="AC334" s="10">
        <v>150479.22999999998</v>
      </c>
      <c r="AD334" s="10">
        <v>241708.93</v>
      </c>
      <c r="AE334" s="10">
        <v>212478.22</v>
      </c>
      <c r="AF334" s="10">
        <v>187609.12000000002</v>
      </c>
      <c r="AG334" s="10">
        <v>56943.149999999994</v>
      </c>
      <c r="AH334" s="10">
        <v>115320.27</v>
      </c>
    </row>
    <row r="335" spans="1:34" x14ac:dyDescent="0.25">
      <c r="A335" t="s">
        <v>1153</v>
      </c>
      <c r="B335" t="s">
        <v>1738</v>
      </c>
      <c r="C335" s="10"/>
      <c r="D335" s="10"/>
      <c r="E335" s="10"/>
      <c r="F335" s="10"/>
      <c r="G335" s="10"/>
      <c r="H335" s="10"/>
      <c r="I335" s="10"/>
      <c r="J335" s="10"/>
      <c r="K335" s="10">
        <v>320450.31999999995</v>
      </c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>
        <v>9937.9599999999991</v>
      </c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</row>
    <row r="336" spans="1:34" x14ac:dyDescent="0.25">
      <c r="A336" t="s">
        <v>1153</v>
      </c>
      <c r="B336" t="s">
        <v>1739</v>
      </c>
      <c r="C336" s="10"/>
      <c r="D336" s="10"/>
      <c r="E336" s="10"/>
      <c r="F336" s="10"/>
      <c r="G336" s="10"/>
      <c r="H336" s="10">
        <v>134755.20000000001</v>
      </c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</row>
    <row r="337" spans="1:34" x14ac:dyDescent="0.25">
      <c r="A337" t="s">
        <v>1153</v>
      </c>
      <c r="B337" t="s">
        <v>1297</v>
      </c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>
        <v>20846.88</v>
      </c>
      <c r="AE337" s="10">
        <v>23671.35</v>
      </c>
      <c r="AF337" s="10">
        <v>95981.750000000015</v>
      </c>
      <c r="AG337" s="10">
        <v>9149.0300000000007</v>
      </c>
      <c r="AH337" s="10"/>
    </row>
    <row r="338" spans="1:34" x14ac:dyDescent="0.25">
      <c r="A338" t="s">
        <v>1153</v>
      </c>
      <c r="B338" t="s">
        <v>231</v>
      </c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>
        <v>66860.459999999992</v>
      </c>
      <c r="T338" s="10"/>
      <c r="U338" s="10">
        <v>23304.120000000006</v>
      </c>
      <c r="V338" s="10"/>
      <c r="W338" s="10"/>
      <c r="X338" s="10">
        <v>37223.579999999994</v>
      </c>
      <c r="Y338" s="10"/>
      <c r="Z338" s="10"/>
      <c r="AA338" s="10"/>
      <c r="AB338" s="10"/>
      <c r="AC338" s="10"/>
      <c r="AD338" s="10">
        <v>30344.839999999997</v>
      </c>
      <c r="AE338" s="10">
        <v>19543.169999999998</v>
      </c>
      <c r="AF338" s="10">
        <v>6960.37</v>
      </c>
      <c r="AG338" s="10"/>
      <c r="AH338" s="10"/>
    </row>
    <row r="339" spans="1:34" x14ac:dyDescent="0.25">
      <c r="A339" t="s">
        <v>1153</v>
      </c>
      <c r="B339" t="s">
        <v>1740</v>
      </c>
      <c r="C339" s="10"/>
      <c r="D339" s="10"/>
      <c r="E339" s="10"/>
      <c r="F339" s="10"/>
      <c r="G339" s="10"/>
      <c r="H339" s="10">
        <v>56779.040000000008</v>
      </c>
      <c r="I339" s="10">
        <v>18823.48</v>
      </c>
      <c r="J339" s="10"/>
      <c r="K339" s="10">
        <v>47173.03</v>
      </c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</row>
    <row r="340" spans="1:34" x14ac:dyDescent="0.25">
      <c r="A340" t="s">
        <v>1153</v>
      </c>
      <c r="B340" t="s">
        <v>1741</v>
      </c>
      <c r="C340" s="10"/>
      <c r="D340" s="10"/>
      <c r="E340" s="10"/>
      <c r="F340" s="10"/>
      <c r="G340" s="10">
        <v>63968.549999999996</v>
      </c>
      <c r="H340" s="10">
        <v>48614.979999999996</v>
      </c>
      <c r="I340" s="10">
        <v>26754.62</v>
      </c>
      <c r="J340" s="10">
        <v>57907.42</v>
      </c>
      <c r="K340" s="10">
        <v>24595.42</v>
      </c>
      <c r="L340" s="10">
        <v>44607.610000000008</v>
      </c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</row>
    <row r="341" spans="1:34" x14ac:dyDescent="0.25">
      <c r="A341" t="s">
        <v>1153</v>
      </c>
      <c r="B341" t="s">
        <v>1742</v>
      </c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>
        <v>38022.39</v>
      </c>
    </row>
    <row r="342" spans="1:34" x14ac:dyDescent="0.25">
      <c r="A342" t="s">
        <v>1153</v>
      </c>
      <c r="B342" t="s">
        <v>1743</v>
      </c>
      <c r="C342" s="10"/>
      <c r="D342" s="10"/>
      <c r="E342" s="10"/>
      <c r="F342" s="10"/>
      <c r="G342" s="10"/>
      <c r="H342" s="10"/>
      <c r="I342" s="10"/>
      <c r="J342" s="10">
        <v>51734.969999999987</v>
      </c>
      <c r="K342" s="10">
        <v>43944.930000000008</v>
      </c>
      <c r="L342" s="10"/>
      <c r="M342" s="10">
        <v>32558.409999999996</v>
      </c>
      <c r="N342" s="10"/>
      <c r="O342" s="10"/>
      <c r="P342" s="10"/>
      <c r="Q342" s="10"/>
      <c r="R342" s="10">
        <v>43325</v>
      </c>
      <c r="S342" s="10"/>
      <c r="T342" s="10"/>
      <c r="U342" s="10"/>
      <c r="V342" s="10"/>
      <c r="W342" s="10">
        <v>21755</v>
      </c>
      <c r="X342" s="10"/>
      <c r="Y342" s="10">
        <v>46035.42</v>
      </c>
      <c r="Z342" s="10"/>
      <c r="AA342" s="10"/>
      <c r="AB342" s="10"/>
      <c r="AC342" s="10"/>
      <c r="AD342" s="10"/>
      <c r="AE342" s="10"/>
      <c r="AF342" s="10"/>
      <c r="AG342" s="10"/>
      <c r="AH342" s="10"/>
    </row>
    <row r="343" spans="1:34" x14ac:dyDescent="0.25">
      <c r="A343" t="s">
        <v>1153</v>
      </c>
      <c r="B343" t="s">
        <v>1298</v>
      </c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>
        <v>41693.990000000005</v>
      </c>
      <c r="AE343" s="10">
        <v>55740.7</v>
      </c>
      <c r="AF343" s="10">
        <v>29027.569999999996</v>
      </c>
      <c r="AG343" s="10">
        <v>132978.68000000002</v>
      </c>
      <c r="AH343" s="10">
        <v>23855.66</v>
      </c>
    </row>
    <row r="344" spans="1:34" x14ac:dyDescent="0.25">
      <c r="A344" t="s">
        <v>1153</v>
      </c>
      <c r="B344" t="s">
        <v>232</v>
      </c>
      <c r="C344" s="10"/>
      <c r="D344" s="10"/>
      <c r="E344" s="10"/>
      <c r="F344" s="10">
        <v>56867.659999999996</v>
      </c>
      <c r="G344" s="10"/>
      <c r="H344" s="10"/>
      <c r="I344" s="10">
        <v>71292.76999999999</v>
      </c>
      <c r="J344" s="10"/>
      <c r="K344" s="10">
        <v>120580.25000000001</v>
      </c>
      <c r="L344" s="10"/>
      <c r="M344" s="10"/>
      <c r="N344" s="10"/>
      <c r="O344" s="10"/>
      <c r="P344" s="10"/>
      <c r="Q344" s="10">
        <v>117791.87999999999</v>
      </c>
      <c r="R344" s="10"/>
      <c r="S344" s="10">
        <v>113965.31</v>
      </c>
      <c r="T344" s="10">
        <v>70993.53</v>
      </c>
      <c r="U344" s="10">
        <v>144945.47</v>
      </c>
      <c r="V344" s="10">
        <v>78652.570000000007</v>
      </c>
      <c r="W344" s="10">
        <v>163028.28000000003</v>
      </c>
      <c r="X344" s="10">
        <v>89210.919999999984</v>
      </c>
      <c r="Y344" s="10">
        <v>24180.5</v>
      </c>
      <c r="Z344" s="10">
        <v>25629.15</v>
      </c>
      <c r="AA344" s="10"/>
      <c r="AB344" s="10"/>
      <c r="AC344" s="10"/>
      <c r="AD344" s="10">
        <v>52493.64</v>
      </c>
      <c r="AE344" s="10">
        <v>46371.259999999995</v>
      </c>
      <c r="AF344" s="10"/>
      <c r="AG344" s="10">
        <v>101685.82</v>
      </c>
      <c r="AH344" s="10"/>
    </row>
    <row r="345" spans="1:34" x14ac:dyDescent="0.25">
      <c r="A345" t="s">
        <v>1153</v>
      </c>
      <c r="B345" t="s">
        <v>1744</v>
      </c>
      <c r="C345" s="10"/>
      <c r="D345" s="10"/>
      <c r="E345" s="10"/>
      <c r="F345" s="10"/>
      <c r="G345" s="10"/>
      <c r="H345" s="10"/>
      <c r="I345" s="10"/>
      <c r="J345" s="10"/>
      <c r="K345" s="10"/>
      <c r="L345" s="10">
        <v>95279.579999999987</v>
      </c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>
        <v>168856.45</v>
      </c>
      <c r="Z345" s="10"/>
      <c r="AA345" s="10"/>
      <c r="AB345" s="10"/>
      <c r="AC345" s="10"/>
      <c r="AD345" s="10"/>
      <c r="AE345" s="10"/>
      <c r="AF345" s="10"/>
      <c r="AG345" s="10"/>
      <c r="AH345" s="10"/>
    </row>
    <row r="346" spans="1:34" x14ac:dyDescent="0.25">
      <c r="A346" t="s">
        <v>1153</v>
      </c>
      <c r="B346" t="s">
        <v>1745</v>
      </c>
      <c r="C346" s="10"/>
      <c r="D346" s="10"/>
      <c r="E346" s="10"/>
      <c r="F346" s="10"/>
      <c r="G346" s="10"/>
      <c r="H346" s="10">
        <v>150969.57000000004</v>
      </c>
      <c r="I346" s="10">
        <v>456.44</v>
      </c>
      <c r="J346" s="10">
        <v>112257.04</v>
      </c>
      <c r="K346" s="10">
        <v>39323.82</v>
      </c>
      <c r="L346" s="10">
        <v>86467.37</v>
      </c>
      <c r="M346" s="10">
        <v>54569.490000000005</v>
      </c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>
        <v>15657.53</v>
      </c>
      <c r="Y346" s="10">
        <v>15484.23</v>
      </c>
      <c r="Z346" s="10"/>
      <c r="AA346" s="10"/>
      <c r="AB346" s="10"/>
      <c r="AC346" s="10"/>
      <c r="AD346" s="10"/>
      <c r="AE346" s="10"/>
      <c r="AF346" s="10"/>
      <c r="AG346" s="10"/>
      <c r="AH346" s="10"/>
    </row>
    <row r="347" spans="1:34" x14ac:dyDescent="0.25">
      <c r="A347" t="s">
        <v>1153</v>
      </c>
      <c r="B347" t="s">
        <v>1746</v>
      </c>
      <c r="C347" s="10"/>
      <c r="D347" s="10"/>
      <c r="E347" s="10">
        <v>50465.440000000002</v>
      </c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</row>
    <row r="348" spans="1:34" x14ac:dyDescent="0.25">
      <c r="A348" t="s">
        <v>1153</v>
      </c>
      <c r="B348" t="s">
        <v>233</v>
      </c>
      <c r="C348" s="10"/>
      <c r="D348" s="10"/>
      <c r="E348" s="10"/>
      <c r="F348" s="10"/>
      <c r="G348" s="10"/>
      <c r="H348" s="10"/>
      <c r="I348" s="10"/>
      <c r="J348" s="10">
        <v>226690.56</v>
      </c>
      <c r="K348" s="10">
        <v>290696.84999999998</v>
      </c>
      <c r="L348" s="10">
        <v>179909.37999999995</v>
      </c>
      <c r="M348" s="10"/>
      <c r="N348" s="10"/>
      <c r="O348" s="10">
        <v>22488.55</v>
      </c>
      <c r="P348" s="10"/>
      <c r="Q348" s="10">
        <v>124989.44999999998</v>
      </c>
      <c r="R348" s="10"/>
      <c r="S348" s="10">
        <v>128708.99999999996</v>
      </c>
      <c r="T348" s="10">
        <v>228593.28999999998</v>
      </c>
      <c r="U348" s="10">
        <v>122523.78</v>
      </c>
      <c r="V348" s="10"/>
      <c r="W348" s="10">
        <v>89751.09</v>
      </c>
      <c r="X348" s="10">
        <v>109621.43999999997</v>
      </c>
      <c r="Y348" s="10"/>
      <c r="Z348" s="10">
        <v>46339.100000000006</v>
      </c>
      <c r="AA348" s="10"/>
      <c r="AB348" s="10"/>
      <c r="AC348" s="10">
        <v>89276.819999999978</v>
      </c>
      <c r="AD348" s="10"/>
      <c r="AE348" s="10">
        <v>52558.01999999999</v>
      </c>
      <c r="AF348" s="10"/>
      <c r="AG348" s="10">
        <v>176382.00999999998</v>
      </c>
      <c r="AH348" s="10">
        <v>70320.210000000021</v>
      </c>
    </row>
    <row r="349" spans="1:34" x14ac:dyDescent="0.25">
      <c r="A349" t="s">
        <v>1153</v>
      </c>
      <c r="B349" t="s">
        <v>1747</v>
      </c>
      <c r="C349" s="10"/>
      <c r="D349" s="10"/>
      <c r="E349" s="10"/>
      <c r="F349" s="10">
        <v>39115.359999999993</v>
      </c>
      <c r="G349" s="10"/>
      <c r="H349" s="10">
        <v>104003.65999999999</v>
      </c>
      <c r="I349" s="10">
        <v>47412.889999999992</v>
      </c>
      <c r="J349" s="10"/>
      <c r="K349" s="10"/>
      <c r="L349" s="10">
        <v>39073.029999999992</v>
      </c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</row>
    <row r="350" spans="1:34" x14ac:dyDescent="0.25">
      <c r="A350" t="s">
        <v>1153</v>
      </c>
      <c r="B350" t="s">
        <v>234</v>
      </c>
      <c r="C350" s="10">
        <v>136824.12</v>
      </c>
      <c r="D350" s="10">
        <v>161611.74999999997</v>
      </c>
      <c r="E350" s="10">
        <v>228274.9499999999</v>
      </c>
      <c r="F350" s="10">
        <v>398070.01999999979</v>
      </c>
      <c r="G350" s="10">
        <v>319801.44000000006</v>
      </c>
      <c r="H350" s="10">
        <v>461028.82000000018</v>
      </c>
      <c r="I350" s="10">
        <v>133711.36000000004</v>
      </c>
      <c r="J350" s="10">
        <v>158372.22999999998</v>
      </c>
      <c r="K350" s="10">
        <v>415057.51999999996</v>
      </c>
      <c r="L350" s="10">
        <v>226457.55000000002</v>
      </c>
      <c r="M350" s="10">
        <v>121244.88000000002</v>
      </c>
      <c r="N350" s="10">
        <v>248823.38</v>
      </c>
      <c r="O350" s="10">
        <v>85344.169999999984</v>
      </c>
      <c r="P350" s="10">
        <v>124080.79</v>
      </c>
      <c r="Q350" s="10">
        <v>147633.36000000002</v>
      </c>
      <c r="R350" s="10">
        <v>267786.23999999993</v>
      </c>
      <c r="S350" s="10">
        <v>105529.70999999999</v>
      </c>
      <c r="T350" s="10">
        <v>104143.17000000001</v>
      </c>
      <c r="U350" s="10">
        <v>54410.180000000008</v>
      </c>
      <c r="V350" s="10">
        <v>177760.99000000002</v>
      </c>
      <c r="W350" s="10">
        <v>201453.07999999996</v>
      </c>
      <c r="X350" s="10">
        <v>180559.19000000009</v>
      </c>
      <c r="Y350" s="10">
        <v>207681.37999999998</v>
      </c>
      <c r="Z350" s="10">
        <v>246998.78000000006</v>
      </c>
      <c r="AA350" s="10">
        <v>78907.56</v>
      </c>
      <c r="AB350" s="10">
        <v>263927.88</v>
      </c>
      <c r="AC350" s="10">
        <v>351082.40999999992</v>
      </c>
      <c r="AD350" s="10">
        <v>387808.38</v>
      </c>
      <c r="AE350" s="10">
        <v>263477.31</v>
      </c>
      <c r="AF350" s="10">
        <v>270840.75</v>
      </c>
      <c r="AG350" s="10">
        <v>268548.63</v>
      </c>
      <c r="AH350" s="10">
        <v>195481.47999999998</v>
      </c>
    </row>
    <row r="351" spans="1:34" x14ac:dyDescent="0.25">
      <c r="A351" t="s">
        <v>1153</v>
      </c>
      <c r="B351" t="s">
        <v>235</v>
      </c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>
        <v>77428.070000000007</v>
      </c>
      <c r="O351" s="10"/>
      <c r="P351" s="10">
        <v>74106.429999999964</v>
      </c>
      <c r="Q351" s="10"/>
      <c r="R351" s="10"/>
      <c r="S351" s="10"/>
      <c r="T351" s="10"/>
      <c r="U351" s="10"/>
      <c r="V351" s="10">
        <v>120323.20999999999</v>
      </c>
      <c r="W351" s="10"/>
      <c r="X351" s="10"/>
      <c r="Y351" s="10"/>
      <c r="Z351" s="10"/>
      <c r="AA351" s="10">
        <v>371946.86</v>
      </c>
      <c r="AB351" s="10"/>
      <c r="AC351" s="10">
        <v>39317.480000000003</v>
      </c>
      <c r="AD351" s="10">
        <v>-50.19</v>
      </c>
      <c r="AE351" s="10">
        <v>97950.34</v>
      </c>
      <c r="AF351" s="10"/>
      <c r="AG351" s="10"/>
      <c r="AH351" s="10"/>
    </row>
    <row r="352" spans="1:34" x14ac:dyDescent="0.25">
      <c r="A352" t="s">
        <v>1153</v>
      </c>
      <c r="B352" t="s">
        <v>236</v>
      </c>
      <c r="C352" s="10"/>
      <c r="D352" s="10">
        <v>117896.48000000001</v>
      </c>
      <c r="E352" s="10">
        <v>13588.7</v>
      </c>
      <c r="F352" s="10"/>
      <c r="G352" s="10">
        <v>54823.53</v>
      </c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>
        <v>64344.100000000006</v>
      </c>
      <c r="T352" s="10"/>
      <c r="U352" s="10">
        <v>40134.520000000004</v>
      </c>
      <c r="V352" s="10"/>
      <c r="W352" s="10"/>
      <c r="X352" s="10"/>
      <c r="Y352" s="10"/>
      <c r="Z352" s="10"/>
      <c r="AA352" s="10"/>
      <c r="AB352" s="10">
        <v>91971.749999999985</v>
      </c>
      <c r="AC352" s="10"/>
      <c r="AD352" s="10"/>
      <c r="AE352" s="10"/>
      <c r="AF352" s="10"/>
      <c r="AG352" s="10"/>
      <c r="AH352" s="10"/>
    </row>
    <row r="353" spans="1:34" x14ac:dyDescent="0.25">
      <c r="A353" t="s">
        <v>1153</v>
      </c>
      <c r="B353" t="s">
        <v>237</v>
      </c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>
        <v>226776.76000000007</v>
      </c>
      <c r="S353" s="10">
        <v>115119.73000000001</v>
      </c>
      <c r="T353" s="10">
        <v>399369.04999999987</v>
      </c>
      <c r="U353" s="10">
        <v>366855.81000000017</v>
      </c>
      <c r="V353" s="10">
        <v>77253.070000000007</v>
      </c>
      <c r="W353" s="10">
        <v>31913.72</v>
      </c>
      <c r="X353" s="10">
        <v>20781.099999999999</v>
      </c>
      <c r="Y353" s="10">
        <v>47567.759999999995</v>
      </c>
      <c r="Z353" s="10">
        <v>34286.359999999993</v>
      </c>
      <c r="AA353" s="10"/>
      <c r="AB353" s="10"/>
      <c r="AC353" s="10">
        <v>28517.999999999996</v>
      </c>
      <c r="AD353" s="10">
        <v>15317.349999999999</v>
      </c>
      <c r="AE353" s="10"/>
      <c r="AF353" s="10"/>
      <c r="AG353" s="10">
        <v>51165.979999999996</v>
      </c>
      <c r="AH353" s="10"/>
    </row>
    <row r="354" spans="1:34" x14ac:dyDescent="0.25">
      <c r="A354" t="s">
        <v>1153</v>
      </c>
      <c r="B354" t="s">
        <v>1748</v>
      </c>
      <c r="C354" s="10"/>
      <c r="D354" s="10"/>
      <c r="E354" s="10"/>
      <c r="F354" s="10"/>
      <c r="G354" s="10"/>
      <c r="H354" s="10"/>
      <c r="I354" s="10"/>
      <c r="J354" s="10">
        <v>76445.009999999995</v>
      </c>
      <c r="K354" s="10"/>
      <c r="L354" s="10"/>
      <c r="M354" s="10"/>
      <c r="N354" s="10"/>
      <c r="O354" s="10"/>
      <c r="P354" s="10"/>
      <c r="Q354" s="10">
        <v>142138.85999999999</v>
      </c>
      <c r="R354" s="10"/>
      <c r="S354" s="10">
        <v>34857.39</v>
      </c>
      <c r="T354" s="10">
        <v>56605.270000000004</v>
      </c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</row>
    <row r="355" spans="1:34" x14ac:dyDescent="0.25">
      <c r="A355" t="s">
        <v>1153</v>
      </c>
      <c r="B355" t="s">
        <v>1749</v>
      </c>
      <c r="C355" s="10">
        <v>17297.07</v>
      </c>
      <c r="D355" s="10"/>
      <c r="E355" s="10">
        <v>101190.78</v>
      </c>
      <c r="F355" s="10">
        <v>124089.08000000003</v>
      </c>
      <c r="G355" s="10">
        <v>72151.960000000006</v>
      </c>
      <c r="H355" s="10">
        <v>81645.25</v>
      </c>
      <c r="I355" s="10">
        <v>111891.54000000002</v>
      </c>
      <c r="J355" s="10">
        <v>87881.389999999985</v>
      </c>
      <c r="K355" s="10">
        <v>43360.49</v>
      </c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</row>
    <row r="356" spans="1:34" x14ac:dyDescent="0.25">
      <c r="A356" t="s">
        <v>1153</v>
      </c>
      <c r="B356" t="s">
        <v>1750</v>
      </c>
      <c r="C356" s="10"/>
      <c r="D356" s="10"/>
      <c r="E356" s="10"/>
      <c r="F356" s="10"/>
      <c r="G356" s="10"/>
      <c r="H356" s="10">
        <v>23137.360000000004</v>
      </c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</row>
    <row r="357" spans="1:34" x14ac:dyDescent="0.25">
      <c r="A357" t="s">
        <v>1153</v>
      </c>
      <c r="B357" t="s">
        <v>238</v>
      </c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>
        <v>2494</v>
      </c>
      <c r="T357" s="10">
        <v>27657.289999999997</v>
      </c>
      <c r="U357" s="10">
        <v>7764.91</v>
      </c>
      <c r="V357" s="10">
        <v>1552</v>
      </c>
      <c r="W357" s="10"/>
      <c r="X357" s="10">
        <v>6226</v>
      </c>
      <c r="Y357" s="10"/>
      <c r="Z357" s="10"/>
      <c r="AA357" s="10"/>
      <c r="AB357" s="10"/>
      <c r="AC357" s="10"/>
      <c r="AD357" s="10">
        <v>6740</v>
      </c>
      <c r="AE357" s="10"/>
      <c r="AF357" s="10"/>
      <c r="AG357" s="10">
        <v>13239</v>
      </c>
      <c r="AH357" s="10"/>
    </row>
    <row r="358" spans="1:34" x14ac:dyDescent="0.25">
      <c r="A358" t="s">
        <v>1153</v>
      </c>
      <c r="B358" t="s">
        <v>239</v>
      </c>
      <c r="C358" s="10"/>
      <c r="D358" s="10"/>
      <c r="E358" s="10">
        <v>11452.8</v>
      </c>
      <c r="F358" s="10"/>
      <c r="G358" s="10"/>
      <c r="H358" s="10"/>
      <c r="I358" s="10">
        <v>75954.02</v>
      </c>
      <c r="J358" s="10">
        <v>23019.360000000001</v>
      </c>
      <c r="K358" s="10">
        <v>24716.139999999996</v>
      </c>
      <c r="L358" s="10">
        <v>206576.40999999995</v>
      </c>
      <c r="M358" s="10">
        <v>10116.400000000001</v>
      </c>
      <c r="N358" s="10">
        <v>26160.04</v>
      </c>
      <c r="O358" s="10"/>
      <c r="P358" s="10"/>
      <c r="Q358" s="10"/>
      <c r="R358" s="10"/>
      <c r="S358" s="10">
        <v>29569.23</v>
      </c>
      <c r="T358" s="10">
        <v>116782.7</v>
      </c>
      <c r="U358" s="10">
        <v>17849.68</v>
      </c>
      <c r="V358" s="10">
        <v>5907.36</v>
      </c>
      <c r="W358" s="10"/>
      <c r="X358" s="10">
        <v>4368.58</v>
      </c>
      <c r="Y358" s="10">
        <v>31042.65</v>
      </c>
      <c r="Z358" s="10"/>
      <c r="AA358" s="10">
        <v>24436.730000000003</v>
      </c>
      <c r="AB358" s="10"/>
      <c r="AC358" s="10"/>
      <c r="AD358" s="10">
        <v>79325.399999999994</v>
      </c>
      <c r="AE358" s="10">
        <v>8748.2000000000007</v>
      </c>
      <c r="AF358" s="10"/>
      <c r="AG358" s="10"/>
      <c r="AH358" s="10"/>
    </row>
    <row r="359" spans="1:34" x14ac:dyDescent="0.25">
      <c r="A359" t="s">
        <v>1153</v>
      </c>
      <c r="B359" t="s">
        <v>240</v>
      </c>
      <c r="C359" s="10"/>
      <c r="D359" s="10"/>
      <c r="E359" s="10"/>
      <c r="F359" s="10">
        <v>94549.819999999992</v>
      </c>
      <c r="G359" s="10">
        <v>200298.53999999998</v>
      </c>
      <c r="H359" s="10">
        <v>53059.62</v>
      </c>
      <c r="I359" s="10">
        <v>58039.590000000011</v>
      </c>
      <c r="J359" s="10">
        <v>63823.86</v>
      </c>
      <c r="K359" s="10">
        <v>478259.89</v>
      </c>
      <c r="L359" s="10">
        <v>346966.57</v>
      </c>
      <c r="M359" s="10">
        <v>233990.99999999994</v>
      </c>
      <c r="N359" s="10">
        <v>234595.19999999998</v>
      </c>
      <c r="O359" s="10">
        <v>173419.95000000004</v>
      </c>
      <c r="P359" s="10">
        <v>105281.34</v>
      </c>
      <c r="Q359" s="10">
        <v>582842.54999999981</v>
      </c>
      <c r="R359" s="10">
        <v>347564.89</v>
      </c>
      <c r="S359" s="10">
        <v>36647.08</v>
      </c>
      <c r="T359" s="10">
        <v>427639.99999999988</v>
      </c>
      <c r="U359" s="10">
        <v>478128.73</v>
      </c>
      <c r="V359" s="10">
        <v>113920.16000000002</v>
      </c>
      <c r="W359" s="10">
        <v>421711.28000000009</v>
      </c>
      <c r="X359" s="10">
        <v>402976.69999999995</v>
      </c>
      <c r="Y359" s="10">
        <v>98945.569999999992</v>
      </c>
      <c r="Z359" s="10">
        <v>82462.319999999992</v>
      </c>
      <c r="AA359" s="10">
        <v>136794.29999999999</v>
      </c>
      <c r="AB359" s="10">
        <v>85865.299999999988</v>
      </c>
      <c r="AC359" s="10">
        <v>131708.44</v>
      </c>
      <c r="AD359" s="10">
        <v>163447.86000000004</v>
      </c>
      <c r="AE359" s="10">
        <v>83061.95</v>
      </c>
      <c r="AF359" s="10">
        <v>477428.37999999989</v>
      </c>
      <c r="AG359" s="10">
        <v>496169.83999999997</v>
      </c>
      <c r="AH359" s="10">
        <v>512277.77999999997</v>
      </c>
    </row>
    <row r="360" spans="1:34" x14ac:dyDescent="0.25">
      <c r="A360" t="s">
        <v>1153</v>
      </c>
      <c r="B360" t="s">
        <v>241</v>
      </c>
      <c r="C360" s="10"/>
      <c r="D360" s="10"/>
      <c r="E360" s="10"/>
      <c r="F360" s="10"/>
      <c r="G360" s="10"/>
      <c r="H360" s="10">
        <v>67295.569999999992</v>
      </c>
      <c r="I360" s="10">
        <v>66160.87999999999</v>
      </c>
      <c r="J360" s="10">
        <v>82142.880000000005</v>
      </c>
      <c r="K360" s="10">
        <v>77036.03</v>
      </c>
      <c r="L360" s="10">
        <v>63629.17</v>
      </c>
      <c r="M360" s="10">
        <v>13827.2</v>
      </c>
      <c r="N360" s="10">
        <v>32655.42</v>
      </c>
      <c r="O360" s="10"/>
      <c r="P360" s="10">
        <v>75028.790000000008</v>
      </c>
      <c r="Q360" s="10"/>
      <c r="R360" s="10">
        <v>143800.42000000001</v>
      </c>
      <c r="S360" s="10">
        <v>20581.72</v>
      </c>
      <c r="T360" s="10">
        <v>115104.62</v>
      </c>
      <c r="U360" s="10">
        <v>55099.529999999992</v>
      </c>
      <c r="V360" s="10">
        <v>37718.97</v>
      </c>
      <c r="W360" s="10">
        <v>84466.680000000022</v>
      </c>
      <c r="X360" s="10">
        <v>26908.739999999998</v>
      </c>
      <c r="Y360" s="10">
        <v>49272.02</v>
      </c>
      <c r="Z360" s="10">
        <v>13221.02</v>
      </c>
      <c r="AA360" s="10"/>
      <c r="AB360" s="10">
        <v>26023.13</v>
      </c>
      <c r="AC360" s="10"/>
      <c r="AD360" s="10">
        <v>57345.96</v>
      </c>
      <c r="AE360" s="10">
        <v>14497.66</v>
      </c>
      <c r="AF360" s="10"/>
      <c r="AG360" s="10"/>
      <c r="AH360" s="10"/>
    </row>
    <row r="361" spans="1:34" x14ac:dyDescent="0.25">
      <c r="A361" t="s">
        <v>1153</v>
      </c>
      <c r="B361" t="s">
        <v>1751</v>
      </c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>
        <v>82868.45</v>
      </c>
      <c r="Z361" s="10"/>
      <c r="AA361" s="10"/>
      <c r="AB361" s="10"/>
      <c r="AC361" s="10"/>
      <c r="AD361" s="10"/>
      <c r="AE361" s="10"/>
      <c r="AF361" s="10"/>
      <c r="AG361" s="10"/>
      <c r="AH361" s="10"/>
    </row>
    <row r="362" spans="1:34" x14ac:dyDescent="0.25">
      <c r="A362" t="s">
        <v>1153</v>
      </c>
      <c r="B362" t="s">
        <v>1752</v>
      </c>
      <c r="C362" s="10"/>
      <c r="D362" s="10"/>
      <c r="E362" s="10"/>
      <c r="F362" s="10"/>
      <c r="G362" s="10"/>
      <c r="H362" s="10"/>
      <c r="I362" s="10"/>
      <c r="J362" s="10"/>
      <c r="K362" s="10"/>
      <c r="L362" s="10">
        <v>38576.74</v>
      </c>
      <c r="M362" s="10">
        <v>34750.39</v>
      </c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</row>
    <row r="363" spans="1:34" x14ac:dyDescent="0.25">
      <c r="A363" t="s">
        <v>1153</v>
      </c>
      <c r="B363" t="s">
        <v>242</v>
      </c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>
        <v>32673.94</v>
      </c>
      <c r="P363" s="10"/>
      <c r="Q363" s="10"/>
      <c r="R363" s="10"/>
      <c r="S363" s="10"/>
      <c r="T363" s="10"/>
      <c r="U363" s="10">
        <v>24115.97</v>
      </c>
      <c r="V363" s="10">
        <v>14023.119999999999</v>
      </c>
      <c r="W363" s="10">
        <v>34740.9</v>
      </c>
      <c r="X363" s="10"/>
      <c r="Y363" s="10"/>
      <c r="Z363" s="10">
        <v>22787.120000000003</v>
      </c>
      <c r="AA363" s="10"/>
      <c r="AB363" s="10"/>
      <c r="AC363" s="10">
        <v>23735.03</v>
      </c>
      <c r="AD363" s="10"/>
      <c r="AE363" s="10">
        <v>33887.07</v>
      </c>
      <c r="AF363" s="10"/>
      <c r="AG363" s="10"/>
      <c r="AH363" s="10">
        <v>20722.920000000002</v>
      </c>
    </row>
    <row r="364" spans="1:34" x14ac:dyDescent="0.25">
      <c r="A364" t="s">
        <v>1153</v>
      </c>
      <c r="B364" t="s">
        <v>243</v>
      </c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>
        <v>27525.839999999997</v>
      </c>
      <c r="O364" s="10"/>
      <c r="P364" s="10"/>
      <c r="Q364" s="10">
        <v>57619.299999999996</v>
      </c>
      <c r="R364" s="10">
        <v>112753.06</v>
      </c>
      <c r="S364" s="10">
        <v>110769.78999999998</v>
      </c>
      <c r="T364" s="10">
        <v>68573.070000000007</v>
      </c>
      <c r="U364" s="10">
        <v>23090.039999999997</v>
      </c>
      <c r="V364" s="10"/>
      <c r="W364" s="10">
        <v>72966.880000000005</v>
      </c>
      <c r="X364" s="10">
        <v>45049.9</v>
      </c>
      <c r="Y364" s="10">
        <v>51598.359999999993</v>
      </c>
      <c r="Z364" s="10">
        <v>45625.770000000004</v>
      </c>
      <c r="AA364" s="10">
        <v>35013.39</v>
      </c>
      <c r="AB364" s="10">
        <v>24779.440000000002</v>
      </c>
      <c r="AC364" s="10">
        <v>66006.850000000006</v>
      </c>
      <c r="AD364" s="10">
        <v>16481.690000000002</v>
      </c>
      <c r="AE364" s="10">
        <v>104151.56000000001</v>
      </c>
      <c r="AF364" s="10">
        <v>132781.59999999998</v>
      </c>
      <c r="AG364" s="10">
        <v>110041.63</v>
      </c>
      <c r="AH364" s="10">
        <v>215882.93</v>
      </c>
    </row>
    <row r="365" spans="1:34" x14ac:dyDescent="0.25">
      <c r="A365" t="s">
        <v>1153</v>
      </c>
      <c r="B365" t="s">
        <v>1753</v>
      </c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>
        <v>1850.95</v>
      </c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</row>
    <row r="366" spans="1:34" x14ac:dyDescent="0.25">
      <c r="A366" t="s">
        <v>1153</v>
      </c>
      <c r="B366" t="s">
        <v>244</v>
      </c>
      <c r="C366" s="10"/>
      <c r="D366" s="10"/>
      <c r="E366" s="10"/>
      <c r="F366" s="10"/>
      <c r="G366" s="10"/>
      <c r="H366" s="10"/>
      <c r="I366" s="10"/>
      <c r="J366" s="10"/>
      <c r="K366" s="10"/>
      <c r="L366" s="10">
        <v>13751.35</v>
      </c>
      <c r="M366" s="10"/>
      <c r="N366" s="10">
        <v>12135.48</v>
      </c>
      <c r="O366" s="10"/>
      <c r="P366" s="10"/>
      <c r="Q366" s="10">
        <v>143542.64000000001</v>
      </c>
      <c r="R366" s="10">
        <v>953575.36999999988</v>
      </c>
      <c r="S366" s="10">
        <v>451524.33</v>
      </c>
      <c r="T366" s="10">
        <v>174664.82</v>
      </c>
      <c r="U366" s="10">
        <v>403353.17000000004</v>
      </c>
      <c r="V366" s="10">
        <v>276397.54000000004</v>
      </c>
      <c r="W366" s="10">
        <v>179270.55000000002</v>
      </c>
      <c r="X366" s="10">
        <v>384899.74000000011</v>
      </c>
      <c r="Y366" s="10">
        <v>238495.54999999996</v>
      </c>
      <c r="Z366" s="10">
        <v>73076.639999999999</v>
      </c>
      <c r="AA366" s="10">
        <v>127095.83000000002</v>
      </c>
      <c r="AB366" s="10">
        <v>26113.4</v>
      </c>
      <c r="AC366" s="10">
        <v>21779.75</v>
      </c>
      <c r="AD366" s="10">
        <v>127110.8</v>
      </c>
      <c r="AE366" s="10">
        <v>317814.67</v>
      </c>
      <c r="AF366" s="10">
        <v>228084.31999999995</v>
      </c>
      <c r="AG366" s="10">
        <v>127147.16000000002</v>
      </c>
      <c r="AH366" s="10">
        <v>371457.74</v>
      </c>
    </row>
    <row r="367" spans="1:34" x14ac:dyDescent="0.25">
      <c r="A367" t="s">
        <v>1153</v>
      </c>
      <c r="B367" t="s">
        <v>1484</v>
      </c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>
        <v>232312.27000000002</v>
      </c>
      <c r="AH367" s="10">
        <v>240402.09000000008</v>
      </c>
    </row>
    <row r="368" spans="1:34" x14ac:dyDescent="0.25">
      <c r="A368" t="s">
        <v>1153</v>
      </c>
      <c r="B368" t="s">
        <v>1754</v>
      </c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>
        <v>50976.850000000013</v>
      </c>
      <c r="W368" s="10"/>
      <c r="X368" s="10">
        <v>22571.259999999995</v>
      </c>
      <c r="Y368" s="10"/>
      <c r="Z368" s="10">
        <v>23161.25</v>
      </c>
      <c r="AA368" s="10"/>
      <c r="AB368" s="10">
        <v>11024.69</v>
      </c>
      <c r="AC368" s="10"/>
      <c r="AD368" s="10"/>
      <c r="AE368" s="10"/>
      <c r="AF368" s="10">
        <v>12098.27</v>
      </c>
      <c r="AG368" s="10"/>
      <c r="AH368" s="10"/>
    </row>
    <row r="369" spans="1:34" x14ac:dyDescent="0.25">
      <c r="A369" t="s">
        <v>1153</v>
      </c>
      <c r="B369" t="s">
        <v>245</v>
      </c>
      <c r="C369" s="10"/>
      <c r="D369" s="10"/>
      <c r="E369" s="10"/>
      <c r="F369" s="10"/>
      <c r="G369" s="10"/>
      <c r="H369" s="10"/>
      <c r="I369" s="10">
        <v>42930.48</v>
      </c>
      <c r="J369" s="10"/>
      <c r="K369" s="10">
        <v>27413.240000000005</v>
      </c>
      <c r="L369" s="10"/>
      <c r="M369" s="10"/>
      <c r="N369" s="10"/>
      <c r="O369" s="10"/>
      <c r="P369" s="10"/>
      <c r="Q369" s="10"/>
      <c r="R369" s="10"/>
      <c r="S369" s="10">
        <v>59570.280000000013</v>
      </c>
      <c r="T369" s="10">
        <v>48774.299999999981</v>
      </c>
      <c r="U369" s="10">
        <v>22024.26</v>
      </c>
      <c r="V369" s="10">
        <v>20327.59</v>
      </c>
      <c r="W369" s="10"/>
      <c r="X369" s="10"/>
      <c r="Y369" s="10"/>
      <c r="Z369" s="10"/>
      <c r="AA369" s="10"/>
      <c r="AB369" s="10"/>
      <c r="AC369" s="10"/>
      <c r="AD369" s="10"/>
      <c r="AE369" s="10">
        <v>76519.509999999995</v>
      </c>
      <c r="AF369" s="10">
        <v>37053.68</v>
      </c>
      <c r="AG369" s="10">
        <v>35090.15</v>
      </c>
      <c r="AH369" s="10"/>
    </row>
    <row r="370" spans="1:34" x14ac:dyDescent="0.25">
      <c r="A370" t="s">
        <v>1153</v>
      </c>
      <c r="B370" t="s">
        <v>1755</v>
      </c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>
        <v>17003.82</v>
      </c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</row>
    <row r="371" spans="1:34" x14ac:dyDescent="0.25">
      <c r="A371" t="s">
        <v>1153</v>
      </c>
      <c r="B371" t="s">
        <v>246</v>
      </c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>
        <v>22874.39</v>
      </c>
      <c r="P371" s="10"/>
      <c r="Q371" s="10">
        <v>10426.23</v>
      </c>
      <c r="R371" s="10"/>
      <c r="S371" s="10"/>
      <c r="T371" s="10"/>
      <c r="U371" s="10"/>
      <c r="V371" s="10"/>
      <c r="W371" s="10"/>
      <c r="X371" s="10">
        <v>11103.46</v>
      </c>
      <c r="Y371" s="10">
        <v>6380.55</v>
      </c>
      <c r="Z371" s="10"/>
      <c r="AA371" s="10"/>
      <c r="AB371" s="10"/>
      <c r="AC371" s="10"/>
      <c r="AD371" s="10">
        <v>46940.67</v>
      </c>
      <c r="AE371" s="10"/>
      <c r="AF371" s="10">
        <v>21576</v>
      </c>
      <c r="AG371" s="10"/>
      <c r="AH371" s="10"/>
    </row>
    <row r="372" spans="1:34" x14ac:dyDescent="0.25">
      <c r="A372" t="s">
        <v>1153</v>
      </c>
      <c r="B372" t="s">
        <v>1756</v>
      </c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>
        <v>19875.919999999998</v>
      </c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</row>
    <row r="373" spans="1:34" x14ac:dyDescent="0.25">
      <c r="A373" t="s">
        <v>1153</v>
      </c>
      <c r="B373" t="s">
        <v>1483</v>
      </c>
      <c r="C373" s="10"/>
      <c r="D373" s="10"/>
      <c r="E373" s="10"/>
      <c r="F373" s="10"/>
      <c r="G373" s="10">
        <v>99448</v>
      </c>
      <c r="H373" s="10"/>
      <c r="I373" s="10">
        <v>102672</v>
      </c>
      <c r="J373" s="10"/>
      <c r="K373" s="10">
        <v>77004</v>
      </c>
      <c r="L373" s="10">
        <v>77004</v>
      </c>
      <c r="M373" s="10">
        <v>51336</v>
      </c>
      <c r="N373" s="10"/>
      <c r="O373" s="10"/>
      <c r="P373" s="10"/>
      <c r="Q373" s="10">
        <v>87271.2</v>
      </c>
      <c r="R373" s="10"/>
      <c r="S373" s="10"/>
      <c r="T373" s="10"/>
      <c r="U373" s="10"/>
      <c r="V373" s="10">
        <v>6046.11</v>
      </c>
      <c r="W373" s="10"/>
      <c r="X373" s="10"/>
      <c r="Y373" s="10">
        <v>42304.76</v>
      </c>
      <c r="Z373" s="10"/>
      <c r="AA373" s="10"/>
      <c r="AB373" s="10"/>
      <c r="AC373" s="10">
        <v>123578.24000000001</v>
      </c>
      <c r="AD373" s="10"/>
      <c r="AE373" s="10">
        <v>88027.760000000009</v>
      </c>
      <c r="AF373" s="10">
        <v>101053.51000000001</v>
      </c>
      <c r="AG373" s="10">
        <v>65950.760000000009</v>
      </c>
      <c r="AH373" s="10">
        <v>138826.65</v>
      </c>
    </row>
    <row r="374" spans="1:34" x14ac:dyDescent="0.25">
      <c r="A374" t="s">
        <v>1153</v>
      </c>
      <c r="B374" t="s">
        <v>1757</v>
      </c>
      <c r="C374" s="10"/>
      <c r="D374" s="10"/>
      <c r="E374" s="10"/>
      <c r="F374" s="10"/>
      <c r="G374" s="10"/>
      <c r="H374" s="10"/>
      <c r="I374" s="10"/>
      <c r="J374" s="10"/>
      <c r="K374" s="10"/>
      <c r="L374" s="10">
        <v>74879.960000000006</v>
      </c>
      <c r="M374" s="10"/>
      <c r="N374" s="10">
        <v>4444.16</v>
      </c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</row>
    <row r="375" spans="1:34" x14ac:dyDescent="0.25">
      <c r="A375" t="s">
        <v>1153</v>
      </c>
      <c r="B375" t="s">
        <v>1758</v>
      </c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>
        <v>74769.999999999985</v>
      </c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</row>
    <row r="376" spans="1:34" x14ac:dyDescent="0.25">
      <c r="A376" t="s">
        <v>1153</v>
      </c>
      <c r="B376" t="s">
        <v>1547</v>
      </c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>
        <v>190030.37</v>
      </c>
    </row>
    <row r="377" spans="1:34" x14ac:dyDescent="0.25">
      <c r="A377" t="s">
        <v>1153</v>
      </c>
      <c r="B377" t="s">
        <v>910</v>
      </c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>
        <v>97923.400000000009</v>
      </c>
      <c r="AA377" s="10">
        <v>30370.03000000001</v>
      </c>
      <c r="AB377" s="10"/>
      <c r="AC377" s="10"/>
      <c r="AD377" s="10"/>
      <c r="AE377" s="10"/>
      <c r="AF377" s="10"/>
      <c r="AG377" s="10"/>
      <c r="AH377" s="10"/>
    </row>
    <row r="378" spans="1:34" x14ac:dyDescent="0.25">
      <c r="A378" t="s">
        <v>1153</v>
      </c>
      <c r="B378" t="s">
        <v>247</v>
      </c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>
        <v>43830.900000000016</v>
      </c>
      <c r="V378" s="10">
        <v>36985.379999999997</v>
      </c>
      <c r="W378" s="10">
        <v>53744.139999999992</v>
      </c>
      <c r="X378" s="10">
        <v>32989.200000000004</v>
      </c>
      <c r="Y378" s="10">
        <v>25968.009999999995</v>
      </c>
      <c r="Z378" s="10">
        <v>89866.150000000009</v>
      </c>
      <c r="AA378" s="10"/>
      <c r="AB378" s="10">
        <v>26393.31</v>
      </c>
      <c r="AC378" s="10">
        <v>27241.15</v>
      </c>
      <c r="AD378" s="10">
        <v>42924.089999999989</v>
      </c>
      <c r="AE378" s="10">
        <v>136497.80999999997</v>
      </c>
      <c r="AF378" s="10">
        <v>34534.249999999993</v>
      </c>
      <c r="AG378" s="10">
        <v>53093.940000000017</v>
      </c>
      <c r="AH378" s="10">
        <v>47710.750000000015</v>
      </c>
    </row>
    <row r="379" spans="1:34" x14ac:dyDescent="0.25">
      <c r="A379" t="s">
        <v>1153</v>
      </c>
      <c r="B379" t="s">
        <v>1759</v>
      </c>
      <c r="C379" s="10"/>
      <c r="D379" s="10"/>
      <c r="E379" s="10"/>
      <c r="F379" s="10"/>
      <c r="G379" s="10"/>
      <c r="H379" s="10"/>
      <c r="I379" s="10"/>
      <c r="J379" s="10"/>
      <c r="K379" s="10">
        <v>72382.880000000005</v>
      </c>
      <c r="L379" s="10">
        <v>43329.599999999999</v>
      </c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</row>
    <row r="380" spans="1:34" x14ac:dyDescent="0.25">
      <c r="A380" t="s">
        <v>1153</v>
      </c>
      <c r="B380" t="s">
        <v>1760</v>
      </c>
      <c r="C380" s="10"/>
      <c r="D380" s="10">
        <v>19834.03</v>
      </c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>
        <v>129362.28</v>
      </c>
      <c r="R380" s="10"/>
      <c r="S380" s="10"/>
      <c r="T380" s="10"/>
      <c r="U380" s="10"/>
      <c r="V380" s="10">
        <v>93888.62</v>
      </c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</row>
    <row r="381" spans="1:34" x14ac:dyDescent="0.25">
      <c r="A381" t="s">
        <v>1153</v>
      </c>
      <c r="B381" t="s">
        <v>248</v>
      </c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>
        <v>80101.95</v>
      </c>
      <c r="U381" s="10">
        <v>73267.66</v>
      </c>
      <c r="V381" s="10">
        <v>35265.85</v>
      </c>
      <c r="W381" s="10">
        <v>566834.50999999978</v>
      </c>
      <c r="X381" s="10">
        <v>896260.26000000047</v>
      </c>
      <c r="Y381" s="10">
        <v>265095.75999999995</v>
      </c>
      <c r="Z381" s="10">
        <v>422970.28000000009</v>
      </c>
      <c r="AA381" s="10">
        <v>230589.8300000001</v>
      </c>
      <c r="AB381" s="10">
        <v>236213.18</v>
      </c>
      <c r="AC381" s="10">
        <v>250938.09000000003</v>
      </c>
      <c r="AD381" s="10">
        <v>163692.95999999996</v>
      </c>
      <c r="AE381" s="10">
        <v>417347.36000000004</v>
      </c>
      <c r="AF381" s="10">
        <v>282059.17000000004</v>
      </c>
      <c r="AG381" s="10">
        <v>311796.24000000005</v>
      </c>
      <c r="AH381" s="10">
        <v>302523.77999999997</v>
      </c>
    </row>
    <row r="382" spans="1:34" x14ac:dyDescent="0.25">
      <c r="A382" t="s">
        <v>1153</v>
      </c>
      <c r="B382" t="s">
        <v>1761</v>
      </c>
      <c r="C382" s="10">
        <v>10512.1</v>
      </c>
      <c r="D382" s="10">
        <v>13244.15</v>
      </c>
      <c r="E382" s="10">
        <v>38236.04</v>
      </c>
      <c r="F382" s="10">
        <v>61606.87999999999</v>
      </c>
      <c r="G382" s="10">
        <v>37745.509999999995</v>
      </c>
      <c r="H382" s="10">
        <v>31714.66</v>
      </c>
      <c r="I382" s="10">
        <v>66179.37</v>
      </c>
      <c r="J382" s="10">
        <v>11693.77</v>
      </c>
      <c r="K382" s="10">
        <v>68969.449999999983</v>
      </c>
      <c r="L382" s="10">
        <v>1737.25</v>
      </c>
      <c r="M382" s="10"/>
      <c r="N382" s="10">
        <v>22618.720000000001</v>
      </c>
      <c r="O382" s="10">
        <v>36531.86</v>
      </c>
      <c r="P382" s="10">
        <v>52688.340000000004</v>
      </c>
      <c r="Q382" s="10">
        <v>44938.569999999992</v>
      </c>
      <c r="R382" s="10">
        <v>62902.079999999994</v>
      </c>
      <c r="S382" s="10">
        <v>9383.34</v>
      </c>
      <c r="T382" s="10">
        <v>64342.860000000008</v>
      </c>
      <c r="U382" s="10">
        <v>20535.89</v>
      </c>
      <c r="V382" s="10">
        <v>53178.080000000002</v>
      </c>
      <c r="W382" s="10">
        <v>52978.11</v>
      </c>
      <c r="X382" s="10">
        <v>28654.700000000004</v>
      </c>
      <c r="Y382" s="10">
        <v>27227.260000000002</v>
      </c>
      <c r="Z382" s="10">
        <v>25901.77</v>
      </c>
      <c r="AA382" s="10"/>
      <c r="AB382" s="10"/>
      <c r="AC382" s="10"/>
      <c r="AD382" s="10"/>
      <c r="AE382" s="10"/>
      <c r="AF382" s="10"/>
      <c r="AG382" s="10"/>
      <c r="AH382" s="10"/>
    </row>
    <row r="383" spans="1:34" x14ac:dyDescent="0.25">
      <c r="A383" t="s">
        <v>1153</v>
      </c>
      <c r="B383" t="s">
        <v>249</v>
      </c>
      <c r="C383" s="10">
        <v>24201.119999999999</v>
      </c>
      <c r="D383" s="10">
        <v>10461.33</v>
      </c>
      <c r="E383" s="10">
        <v>20405.95</v>
      </c>
      <c r="F383" s="10"/>
      <c r="G383" s="10">
        <v>7265.28</v>
      </c>
      <c r="H383" s="10">
        <v>65663.87000000001</v>
      </c>
      <c r="I383" s="10">
        <v>15898.150000000001</v>
      </c>
      <c r="J383" s="10">
        <v>47404.490000000005</v>
      </c>
      <c r="K383" s="10">
        <v>83697.199999999983</v>
      </c>
      <c r="L383" s="10">
        <v>45332.94</v>
      </c>
      <c r="M383" s="10">
        <v>20180.760000000002</v>
      </c>
      <c r="N383" s="10">
        <v>13486.16</v>
      </c>
      <c r="O383" s="10">
        <v>15880.7</v>
      </c>
      <c r="P383" s="10"/>
      <c r="Q383" s="10"/>
      <c r="R383" s="10">
        <v>41738.280000000006</v>
      </c>
      <c r="S383" s="10">
        <v>64367.37</v>
      </c>
      <c r="T383" s="10">
        <v>126476.81000000004</v>
      </c>
      <c r="U383" s="10">
        <v>32924.61</v>
      </c>
      <c r="V383" s="10">
        <v>31885.62</v>
      </c>
      <c r="W383" s="10">
        <v>45711.75</v>
      </c>
      <c r="X383" s="10">
        <v>68376.469999999987</v>
      </c>
      <c r="Y383" s="10">
        <v>33898.320000000007</v>
      </c>
      <c r="Z383" s="10">
        <v>50225.130000000005</v>
      </c>
      <c r="AA383" s="10">
        <v>19746.320000000003</v>
      </c>
      <c r="AB383" s="10">
        <v>11327.98</v>
      </c>
      <c r="AC383" s="10">
        <v>27026.05</v>
      </c>
      <c r="AD383" s="10">
        <v>40016.37000000001</v>
      </c>
      <c r="AE383" s="10">
        <v>16288.500000000002</v>
      </c>
      <c r="AF383" s="10">
        <v>30510.77</v>
      </c>
      <c r="AG383" s="10">
        <v>10562.73</v>
      </c>
      <c r="AH383" s="10">
        <v>23445.29</v>
      </c>
    </row>
    <row r="384" spans="1:34" x14ac:dyDescent="0.25">
      <c r="A384" t="s">
        <v>1153</v>
      </c>
      <c r="B384" t="s">
        <v>250</v>
      </c>
      <c r="C384" s="10"/>
      <c r="D384" s="10"/>
      <c r="E384" s="10"/>
      <c r="F384" s="10"/>
      <c r="G384" s="10"/>
      <c r="H384" s="10"/>
      <c r="I384" s="10"/>
      <c r="J384" s="10"/>
      <c r="K384" s="10">
        <v>201074.56</v>
      </c>
      <c r="L384" s="10"/>
      <c r="M384" s="10">
        <v>64831.340000000004</v>
      </c>
      <c r="N384" s="10"/>
      <c r="O384" s="10">
        <v>61574.05000000001</v>
      </c>
      <c r="P384" s="10"/>
      <c r="Q384" s="10">
        <v>121565.4</v>
      </c>
      <c r="R384" s="10">
        <v>103518.26</v>
      </c>
      <c r="S384" s="10"/>
      <c r="T384" s="10">
        <v>129389.06000000001</v>
      </c>
      <c r="U384" s="10"/>
      <c r="V384" s="10">
        <v>57992.43</v>
      </c>
      <c r="W384" s="10">
        <v>110162.92000000001</v>
      </c>
      <c r="X384" s="10">
        <v>55352.779999999992</v>
      </c>
      <c r="Y384" s="10">
        <v>36178.82</v>
      </c>
      <c r="Z384" s="10">
        <v>73243.719999999987</v>
      </c>
      <c r="AA384" s="10"/>
      <c r="AB384" s="10"/>
      <c r="AC384" s="10"/>
      <c r="AD384" s="10">
        <v>50772.229999999996</v>
      </c>
      <c r="AE384" s="10"/>
      <c r="AF384" s="10">
        <v>70892.349999999991</v>
      </c>
      <c r="AG384" s="10">
        <v>82066.76999999999</v>
      </c>
      <c r="AH384" s="10">
        <v>126875.31</v>
      </c>
    </row>
    <row r="385" spans="1:34" x14ac:dyDescent="0.25">
      <c r="A385" t="s">
        <v>1153</v>
      </c>
      <c r="B385" t="s">
        <v>1249</v>
      </c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>
        <v>42975.18</v>
      </c>
      <c r="AD385" s="10">
        <v>82692.399999999994</v>
      </c>
      <c r="AE385" s="10"/>
      <c r="AF385" s="10">
        <v>22055.22</v>
      </c>
      <c r="AG385" s="10"/>
      <c r="AH385" s="10"/>
    </row>
    <row r="386" spans="1:34" x14ac:dyDescent="0.25">
      <c r="A386" t="s">
        <v>1153</v>
      </c>
      <c r="B386" t="s">
        <v>251</v>
      </c>
      <c r="C386" s="10"/>
      <c r="D386" s="10"/>
      <c r="E386" s="10"/>
      <c r="F386" s="10"/>
      <c r="G386" s="10"/>
      <c r="H386" s="10"/>
      <c r="I386" s="10"/>
      <c r="J386" s="10"/>
      <c r="K386" s="10"/>
      <c r="L386" s="10">
        <v>34527.120000000003</v>
      </c>
      <c r="M386" s="10"/>
      <c r="N386" s="10">
        <v>70512.159999999989</v>
      </c>
      <c r="O386" s="10"/>
      <c r="P386" s="10">
        <v>31495.080000000005</v>
      </c>
      <c r="Q386" s="10"/>
      <c r="R386" s="10"/>
      <c r="S386" s="10">
        <v>37219.050000000003</v>
      </c>
      <c r="T386" s="10"/>
      <c r="U386" s="10">
        <v>46788.299999999996</v>
      </c>
      <c r="V386" s="10">
        <v>18795.920000000002</v>
      </c>
      <c r="W386" s="10">
        <v>33719.020000000004</v>
      </c>
      <c r="X386" s="10">
        <v>2942.58</v>
      </c>
      <c r="Y386" s="10">
        <v>15360.950000000003</v>
      </c>
      <c r="Z386" s="10">
        <v>10985.300000000001</v>
      </c>
      <c r="AA386" s="10">
        <v>37977.49</v>
      </c>
      <c r="AB386" s="10">
        <v>11134.55</v>
      </c>
      <c r="AC386" s="10">
        <v>26095.869999999995</v>
      </c>
      <c r="AD386" s="10"/>
      <c r="AE386" s="10">
        <v>34717.640000000007</v>
      </c>
      <c r="AF386" s="10">
        <v>38897.640000000007</v>
      </c>
      <c r="AG386" s="10"/>
      <c r="AH386" s="10">
        <v>16553.68</v>
      </c>
    </row>
    <row r="387" spans="1:34" x14ac:dyDescent="0.25">
      <c r="A387" t="s">
        <v>1164</v>
      </c>
      <c r="B387" t="s">
        <v>306</v>
      </c>
      <c r="C387" s="10">
        <v>7306.36</v>
      </c>
      <c r="D387" s="10">
        <v>54653.830000000009</v>
      </c>
      <c r="E387" s="10">
        <v>31980.79</v>
      </c>
      <c r="F387" s="10">
        <v>629.78</v>
      </c>
      <c r="G387" s="10"/>
      <c r="H387" s="10">
        <v>27016.219999999998</v>
      </c>
      <c r="I387" s="10">
        <v>10822.720000000001</v>
      </c>
      <c r="J387" s="10">
        <v>18378.72</v>
      </c>
      <c r="K387" s="10">
        <v>11303.37</v>
      </c>
      <c r="L387" s="10">
        <v>12214.800000000001</v>
      </c>
      <c r="M387" s="10"/>
      <c r="N387" s="10">
        <v>90111.81</v>
      </c>
      <c r="O387" s="10"/>
      <c r="P387" s="10"/>
      <c r="Q387" s="10">
        <v>115763.17</v>
      </c>
      <c r="R387" s="10">
        <v>56684.55</v>
      </c>
      <c r="S387" s="10"/>
      <c r="T387" s="10">
        <v>54265.710000000014</v>
      </c>
      <c r="U387" s="10">
        <v>25921.65</v>
      </c>
      <c r="V387" s="10">
        <v>35574.26</v>
      </c>
      <c r="W387" s="10"/>
      <c r="X387" s="10"/>
      <c r="Y387" s="10"/>
      <c r="Z387" s="10">
        <v>12695.65</v>
      </c>
      <c r="AA387" s="10"/>
      <c r="AB387" s="10"/>
      <c r="AC387" s="10"/>
      <c r="AD387" s="10">
        <v>76430.710000000036</v>
      </c>
      <c r="AE387" s="10"/>
      <c r="AF387" s="10"/>
      <c r="AG387" s="10"/>
      <c r="AH387" s="10">
        <v>18039.64</v>
      </c>
    </row>
    <row r="388" spans="1:34" x14ac:dyDescent="0.25">
      <c r="A388" t="s">
        <v>1164</v>
      </c>
      <c r="B388" t="s">
        <v>1762</v>
      </c>
      <c r="C388" s="10">
        <v>15134.169999999998</v>
      </c>
      <c r="D388" s="10">
        <v>16036.609999999999</v>
      </c>
      <c r="E388" s="10">
        <v>24737.5</v>
      </c>
      <c r="F388" s="10">
        <v>50808.160000000003</v>
      </c>
      <c r="G388" s="10">
        <v>86000.209999999963</v>
      </c>
      <c r="H388" s="10">
        <v>145651.19</v>
      </c>
      <c r="I388" s="10">
        <v>79050.23000000001</v>
      </c>
      <c r="J388" s="10">
        <v>65949.440000000002</v>
      </c>
      <c r="K388" s="10">
        <v>93395.549999999988</v>
      </c>
      <c r="L388" s="10">
        <v>68403.839999999997</v>
      </c>
      <c r="M388" s="10">
        <v>59542.7</v>
      </c>
      <c r="N388" s="10">
        <v>88505.630000000019</v>
      </c>
      <c r="O388" s="10">
        <v>133472.85000000003</v>
      </c>
      <c r="P388" s="10">
        <v>61215.299999999988</v>
      </c>
      <c r="Q388" s="10">
        <v>155730</v>
      </c>
      <c r="R388" s="10">
        <v>111852.90000000002</v>
      </c>
      <c r="S388" s="10">
        <v>518378.3</v>
      </c>
      <c r="T388" s="10">
        <v>577720.81000000006</v>
      </c>
      <c r="U388" s="10">
        <v>371144.38999999984</v>
      </c>
      <c r="V388" s="10">
        <v>337656.17999999988</v>
      </c>
      <c r="W388" s="10">
        <v>177572.97999999989</v>
      </c>
      <c r="X388" s="10">
        <v>179492.34999999998</v>
      </c>
      <c r="Y388" s="10">
        <v>234141.20999999996</v>
      </c>
      <c r="Z388" s="10">
        <v>250057.86999999994</v>
      </c>
      <c r="AA388" s="10">
        <v>84207.87999999999</v>
      </c>
      <c r="AB388" s="10">
        <v>227194.44</v>
      </c>
      <c r="AC388" s="10">
        <v>181268.44</v>
      </c>
      <c r="AD388" s="10">
        <v>251390.92999999993</v>
      </c>
      <c r="AE388" s="10">
        <v>488229.49000000005</v>
      </c>
      <c r="AF388" s="10">
        <v>411507.54</v>
      </c>
      <c r="AG388" s="10">
        <v>328139.52000000008</v>
      </c>
      <c r="AH388" s="10">
        <v>314851.3600000001</v>
      </c>
    </row>
    <row r="389" spans="1:34" x14ac:dyDescent="0.25">
      <c r="A389" t="s">
        <v>1164</v>
      </c>
      <c r="B389" t="s">
        <v>307</v>
      </c>
      <c r="C389" s="10"/>
      <c r="D389" s="10"/>
      <c r="E389" s="10"/>
      <c r="F389" s="10">
        <v>468479.72999999992</v>
      </c>
      <c r="G389" s="10">
        <v>885377.84</v>
      </c>
      <c r="H389" s="10">
        <v>730747.55</v>
      </c>
      <c r="I389" s="10">
        <v>747155.23999999987</v>
      </c>
      <c r="J389" s="10">
        <v>450204.65999999986</v>
      </c>
      <c r="K389" s="10">
        <v>177803.65</v>
      </c>
      <c r="L389" s="10">
        <v>380793.42000000004</v>
      </c>
      <c r="M389" s="10">
        <v>363793.37999999995</v>
      </c>
      <c r="N389" s="10">
        <v>101923.34</v>
      </c>
      <c r="O389" s="10">
        <v>128869.72999999998</v>
      </c>
      <c r="P389" s="10">
        <v>204980.75999999998</v>
      </c>
      <c r="Q389" s="10"/>
      <c r="R389" s="10"/>
      <c r="S389" s="10">
        <v>156350.15</v>
      </c>
      <c r="T389" s="10">
        <v>354350.77999999997</v>
      </c>
      <c r="U389" s="10">
        <v>751440.23000000021</v>
      </c>
      <c r="V389" s="10">
        <v>890078.64</v>
      </c>
      <c r="W389" s="10">
        <v>1624855.23</v>
      </c>
      <c r="X389" s="10">
        <v>1396497.4200000002</v>
      </c>
      <c r="Y389" s="10">
        <v>1678001.31</v>
      </c>
      <c r="Z389" s="10">
        <v>1792341.1999999997</v>
      </c>
      <c r="AA389" s="10">
        <v>263703.74</v>
      </c>
      <c r="AB389" s="10">
        <v>56638.58</v>
      </c>
      <c r="AC389" s="10">
        <v>249115.49999999997</v>
      </c>
      <c r="AD389" s="10">
        <v>391603.38</v>
      </c>
      <c r="AE389" s="10">
        <v>100362.23999999999</v>
      </c>
      <c r="AF389" s="10">
        <v>285521.55</v>
      </c>
      <c r="AG389" s="10"/>
      <c r="AH389" s="10">
        <v>88125.72</v>
      </c>
    </row>
    <row r="390" spans="1:34" x14ac:dyDescent="0.25">
      <c r="A390" t="s">
        <v>1164</v>
      </c>
      <c r="B390" t="s">
        <v>1301</v>
      </c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>
        <v>160369.56</v>
      </c>
      <c r="AE390" s="10">
        <v>355694.35000000003</v>
      </c>
      <c r="AF390" s="10"/>
      <c r="AG390" s="10">
        <v>364085.97</v>
      </c>
      <c r="AH390" s="10">
        <v>61301.970000000008</v>
      </c>
    </row>
    <row r="391" spans="1:34" x14ac:dyDescent="0.25">
      <c r="A391" t="s">
        <v>1164</v>
      </c>
      <c r="B391" t="s">
        <v>1763</v>
      </c>
      <c r="C391" s="10">
        <v>834.8</v>
      </c>
      <c r="D391" s="10"/>
      <c r="E391" s="10"/>
      <c r="F391" s="10"/>
      <c r="G391" s="10"/>
      <c r="H391" s="10">
        <v>33319.65</v>
      </c>
      <c r="I391" s="10">
        <v>10821.72</v>
      </c>
      <c r="J391" s="10">
        <v>18095.8</v>
      </c>
      <c r="K391" s="10"/>
      <c r="L391" s="10">
        <v>222030.39999999997</v>
      </c>
      <c r="M391" s="10"/>
      <c r="N391" s="10">
        <v>224970.84000000003</v>
      </c>
      <c r="O391" s="10"/>
      <c r="P391" s="10"/>
      <c r="Q391" s="10"/>
      <c r="R391" s="10"/>
      <c r="S391" s="10"/>
      <c r="T391" s="10"/>
      <c r="U391" s="10"/>
      <c r="V391" s="10"/>
      <c r="W391" s="10"/>
      <c r="X391" s="10">
        <v>17801.399999999998</v>
      </c>
      <c r="Y391" s="10">
        <v>3481.67</v>
      </c>
      <c r="Z391" s="10"/>
      <c r="AA391" s="10"/>
      <c r="AB391" s="10">
        <v>54930.99</v>
      </c>
      <c r="AC391" s="10"/>
      <c r="AD391" s="10"/>
      <c r="AE391" s="10"/>
      <c r="AF391" s="10"/>
      <c r="AG391" s="10"/>
      <c r="AH391" s="10"/>
    </row>
    <row r="392" spans="1:34" x14ac:dyDescent="0.25">
      <c r="A392" t="s">
        <v>1164</v>
      </c>
      <c r="B392" t="s">
        <v>308</v>
      </c>
      <c r="C392" s="10"/>
      <c r="D392" s="10"/>
      <c r="E392" s="10"/>
      <c r="F392" s="10">
        <v>64712.7</v>
      </c>
      <c r="G392" s="10">
        <v>50371.75</v>
      </c>
      <c r="H392" s="10"/>
      <c r="I392" s="10"/>
      <c r="J392" s="10"/>
      <c r="K392" s="10"/>
      <c r="L392" s="10">
        <v>16680.939999999999</v>
      </c>
      <c r="M392" s="10">
        <v>126934.74</v>
      </c>
      <c r="N392" s="10"/>
      <c r="O392" s="10">
        <v>3644.55</v>
      </c>
      <c r="P392" s="10">
        <v>1482.5</v>
      </c>
      <c r="Q392" s="10"/>
      <c r="R392" s="10"/>
      <c r="S392" s="10"/>
      <c r="T392" s="10"/>
      <c r="U392" s="10">
        <v>42178.5</v>
      </c>
      <c r="V392" s="10">
        <v>6367.74</v>
      </c>
      <c r="W392" s="10"/>
      <c r="X392" s="10">
        <v>38696.980000000003</v>
      </c>
      <c r="Y392" s="10"/>
      <c r="Z392" s="10">
        <v>41106.769999999997</v>
      </c>
      <c r="AA392" s="10"/>
      <c r="AB392" s="10">
        <v>3552.08</v>
      </c>
      <c r="AC392" s="10">
        <v>95295.389999999985</v>
      </c>
      <c r="AD392" s="10">
        <v>13550.849999999999</v>
      </c>
      <c r="AE392" s="10">
        <v>444.36</v>
      </c>
      <c r="AF392" s="10">
        <v>6162.8</v>
      </c>
      <c r="AG392" s="10">
        <v>40726.720000000001</v>
      </c>
      <c r="AH392" s="10">
        <v>29037.599999999999</v>
      </c>
    </row>
    <row r="393" spans="1:34" x14ac:dyDescent="0.25">
      <c r="A393" t="s">
        <v>1164</v>
      </c>
      <c r="B393" t="s">
        <v>309</v>
      </c>
      <c r="C393" s="10"/>
      <c r="D393" s="10">
        <v>142118.56000000003</v>
      </c>
      <c r="E393" s="10">
        <v>302117.26</v>
      </c>
      <c r="F393" s="10">
        <v>980725.55999999947</v>
      </c>
      <c r="G393" s="10">
        <v>370936.94999999995</v>
      </c>
      <c r="H393" s="10">
        <v>999403.00000000035</v>
      </c>
      <c r="I393" s="10">
        <v>873038.3000000004</v>
      </c>
      <c r="J393" s="10">
        <v>1581178.8599999996</v>
      </c>
      <c r="K393" s="10">
        <v>1032242.65</v>
      </c>
      <c r="L393" s="10">
        <v>903870.86000000034</v>
      </c>
      <c r="M393" s="10">
        <v>1262932.3000000003</v>
      </c>
      <c r="N393" s="10">
        <v>543915.42000000016</v>
      </c>
      <c r="O393" s="10">
        <v>605538.77</v>
      </c>
      <c r="P393" s="10">
        <v>1385211.7299999995</v>
      </c>
      <c r="Q393" s="10">
        <v>369380.97</v>
      </c>
      <c r="R393" s="10">
        <v>1338515.01</v>
      </c>
      <c r="S393" s="10">
        <v>257485.75999999998</v>
      </c>
      <c r="T393" s="10">
        <v>1872082.6199999996</v>
      </c>
      <c r="U393" s="10">
        <v>1811184.5000000002</v>
      </c>
      <c r="V393" s="10">
        <v>1295860.7199999997</v>
      </c>
      <c r="W393" s="10">
        <v>1100562.68</v>
      </c>
      <c r="X393" s="10">
        <v>877918.39000000048</v>
      </c>
      <c r="Y393" s="10">
        <v>2816349.5300000003</v>
      </c>
      <c r="Z393" s="10">
        <v>797957.31</v>
      </c>
      <c r="AA393" s="10">
        <v>534890.79000000015</v>
      </c>
      <c r="AB393" s="10">
        <v>645279.00000000023</v>
      </c>
      <c r="AC393" s="10">
        <v>652656.32000000007</v>
      </c>
      <c r="AD393" s="10">
        <v>1054547.0500000003</v>
      </c>
      <c r="AE393" s="10">
        <v>2858573.5600000005</v>
      </c>
      <c r="AF393" s="10">
        <v>2499941.290000001</v>
      </c>
      <c r="AG393" s="10">
        <v>3719845.850000001</v>
      </c>
      <c r="AH393" s="10">
        <v>1108205.3999999997</v>
      </c>
    </row>
    <row r="394" spans="1:34" x14ac:dyDescent="0.25">
      <c r="A394" t="s">
        <v>1164</v>
      </c>
      <c r="B394" t="s">
        <v>1351</v>
      </c>
      <c r="C394" s="10"/>
      <c r="D394" s="10"/>
      <c r="E394" s="10"/>
      <c r="F394" s="10"/>
      <c r="G394" s="10"/>
      <c r="H394" s="10">
        <v>1530.8799999999999</v>
      </c>
      <c r="I394" s="10"/>
      <c r="J394" s="10"/>
      <c r="K394" s="10"/>
      <c r="L394" s="10"/>
      <c r="M394" s="10"/>
      <c r="N394" s="10">
        <v>2888.4</v>
      </c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>
        <v>2259</v>
      </c>
      <c r="AA394" s="10"/>
      <c r="AB394" s="10">
        <v>7977</v>
      </c>
      <c r="AC394" s="10">
        <v>1002.85</v>
      </c>
      <c r="AD394" s="10">
        <v>25060.04</v>
      </c>
      <c r="AE394" s="10">
        <v>4770.84</v>
      </c>
      <c r="AF394" s="10"/>
      <c r="AG394" s="10"/>
      <c r="AH394" s="10"/>
    </row>
    <row r="395" spans="1:34" x14ac:dyDescent="0.25">
      <c r="A395" t="s">
        <v>1164</v>
      </c>
      <c r="B395" t="s">
        <v>349</v>
      </c>
      <c r="C395" s="10">
        <v>362107.85000000003</v>
      </c>
      <c r="D395" s="10">
        <v>321312.0400000001</v>
      </c>
      <c r="E395" s="10">
        <v>251273.41999999993</v>
      </c>
      <c r="F395" s="10">
        <v>341875.45999999996</v>
      </c>
      <c r="G395" s="10">
        <v>300199.58999999997</v>
      </c>
      <c r="H395" s="10">
        <v>515141.47999999986</v>
      </c>
      <c r="I395" s="10">
        <v>257900.86000000007</v>
      </c>
      <c r="J395" s="10">
        <v>270394.56999999995</v>
      </c>
      <c r="K395" s="10">
        <v>347406.34000000008</v>
      </c>
      <c r="L395" s="10">
        <v>113033.91000000003</v>
      </c>
      <c r="M395" s="10">
        <v>179406.38</v>
      </c>
      <c r="N395" s="10">
        <v>255119.55999999997</v>
      </c>
      <c r="O395" s="10">
        <v>98260.319999999978</v>
      </c>
      <c r="P395" s="10">
        <v>135125.07999999996</v>
      </c>
      <c r="Q395" s="10">
        <v>142767.93</v>
      </c>
      <c r="R395" s="10">
        <v>661665.50000000012</v>
      </c>
      <c r="S395" s="10">
        <v>182495.31999999998</v>
      </c>
      <c r="T395" s="10">
        <v>257843.30999999997</v>
      </c>
      <c r="U395" s="10">
        <v>479404.92000000004</v>
      </c>
      <c r="V395" s="10">
        <v>770355.80999999994</v>
      </c>
      <c r="W395" s="10">
        <v>508982.70999999996</v>
      </c>
      <c r="X395" s="10">
        <v>173061.32</v>
      </c>
      <c r="Y395" s="10">
        <v>299722.34000000014</v>
      </c>
      <c r="Z395" s="10">
        <v>233221.78000000006</v>
      </c>
      <c r="AA395" s="10">
        <v>245797.12999999998</v>
      </c>
      <c r="AB395" s="10">
        <v>244829.74000000002</v>
      </c>
      <c r="AC395" s="10">
        <v>334099.29000000004</v>
      </c>
      <c r="AD395" s="10">
        <v>365677.97</v>
      </c>
      <c r="AE395" s="10">
        <v>323440.08</v>
      </c>
      <c r="AF395" s="10">
        <v>523271.09999999992</v>
      </c>
      <c r="AG395" s="10">
        <v>434862.76</v>
      </c>
      <c r="AH395" s="10">
        <v>316556.50000000006</v>
      </c>
    </row>
    <row r="396" spans="1:34" x14ac:dyDescent="0.25">
      <c r="A396" t="s">
        <v>1164</v>
      </c>
      <c r="B396" t="s">
        <v>281</v>
      </c>
      <c r="C396" s="10">
        <v>218466.3300000001</v>
      </c>
      <c r="D396" s="10">
        <v>144322.26000000004</v>
      </c>
      <c r="E396" s="10">
        <v>250968.87000000005</v>
      </c>
      <c r="F396" s="10">
        <v>244969.65000000005</v>
      </c>
      <c r="G396" s="10">
        <v>658383.3899999999</v>
      </c>
      <c r="H396" s="10">
        <v>608205.5499999997</v>
      </c>
      <c r="I396" s="10">
        <v>498264.37000000005</v>
      </c>
      <c r="J396" s="10">
        <v>220119.08999999997</v>
      </c>
      <c r="K396" s="10">
        <v>569314.56000000006</v>
      </c>
      <c r="L396" s="10">
        <v>370582.48000000016</v>
      </c>
      <c r="M396" s="10">
        <v>225409.16999999995</v>
      </c>
      <c r="N396" s="10">
        <v>319093.14000000013</v>
      </c>
      <c r="O396" s="10">
        <v>125298.54</v>
      </c>
      <c r="P396" s="10">
        <v>116838.56999999998</v>
      </c>
      <c r="Q396" s="10">
        <v>393702.66000000021</v>
      </c>
      <c r="R396" s="10">
        <v>683724.94999999984</v>
      </c>
      <c r="S396" s="10">
        <v>462942.65000000008</v>
      </c>
      <c r="T396" s="10">
        <v>652824.99000000011</v>
      </c>
      <c r="U396" s="10">
        <v>453076.62999999989</v>
      </c>
      <c r="V396" s="10">
        <v>362835.12000000005</v>
      </c>
      <c r="W396" s="10">
        <v>248722.29999999996</v>
      </c>
      <c r="X396" s="10">
        <v>365482.85999999993</v>
      </c>
      <c r="Y396" s="10">
        <v>218555.38000000009</v>
      </c>
      <c r="Z396" s="10">
        <v>108802.59</v>
      </c>
      <c r="AA396" s="10">
        <v>41066.01</v>
      </c>
      <c r="AB396" s="10">
        <v>147509.36000000002</v>
      </c>
      <c r="AC396" s="10">
        <v>343178.62000000005</v>
      </c>
      <c r="AD396" s="10">
        <v>327955.91000000003</v>
      </c>
      <c r="AE396" s="10">
        <v>799540.0199999999</v>
      </c>
      <c r="AF396" s="10">
        <v>824424.69000000053</v>
      </c>
      <c r="AG396" s="10">
        <v>300446.27000000008</v>
      </c>
      <c r="AH396" s="10">
        <v>574661.96999999974</v>
      </c>
    </row>
    <row r="397" spans="1:34" x14ac:dyDescent="0.25">
      <c r="A397" t="s">
        <v>1164</v>
      </c>
      <c r="B397" t="s">
        <v>310</v>
      </c>
      <c r="C397" s="10"/>
      <c r="D397" s="10">
        <v>79499.090000000011</v>
      </c>
      <c r="E397" s="10">
        <v>151336.16</v>
      </c>
      <c r="F397" s="10">
        <v>114512.33</v>
      </c>
      <c r="G397" s="10">
        <v>101695.03</v>
      </c>
      <c r="H397" s="10">
        <v>184843.3</v>
      </c>
      <c r="I397" s="10">
        <v>126987.20999999999</v>
      </c>
      <c r="J397" s="10">
        <v>151659.81</v>
      </c>
      <c r="K397" s="10">
        <v>236715.94999999995</v>
      </c>
      <c r="L397" s="10">
        <v>83290.340000000011</v>
      </c>
      <c r="M397" s="10">
        <v>72714.219999999987</v>
      </c>
      <c r="N397" s="10">
        <v>83213.02</v>
      </c>
      <c r="O397" s="10">
        <v>96531.02</v>
      </c>
      <c r="P397" s="10">
        <v>50749.760000000002</v>
      </c>
      <c r="Q397" s="10">
        <v>287238.67000000004</v>
      </c>
      <c r="R397" s="10">
        <v>123350.44</v>
      </c>
      <c r="S397" s="10">
        <v>29518.74</v>
      </c>
      <c r="T397" s="10">
        <v>57325.739999999991</v>
      </c>
      <c r="U397" s="10">
        <v>180026.93</v>
      </c>
      <c r="V397" s="10">
        <v>206310.31999999998</v>
      </c>
      <c r="W397" s="10">
        <v>125379.55000000002</v>
      </c>
      <c r="X397" s="10">
        <v>156926.61000000002</v>
      </c>
      <c r="Y397" s="10">
        <v>276230.92000000004</v>
      </c>
      <c r="Z397" s="10">
        <v>172179.67</v>
      </c>
      <c r="AA397" s="10">
        <v>91588.329999999987</v>
      </c>
      <c r="AB397" s="10">
        <v>115998.91</v>
      </c>
      <c r="AC397" s="10">
        <v>215685.76999999993</v>
      </c>
      <c r="AD397" s="10">
        <v>143575.35</v>
      </c>
      <c r="AE397" s="10">
        <v>203358.54999999996</v>
      </c>
      <c r="AF397" s="10">
        <v>103101.54999999999</v>
      </c>
      <c r="AG397" s="10">
        <v>129727.45000000003</v>
      </c>
      <c r="AH397" s="10">
        <v>39808.500000000007</v>
      </c>
    </row>
    <row r="398" spans="1:34" x14ac:dyDescent="0.25">
      <c r="A398" t="s">
        <v>1164</v>
      </c>
      <c r="B398" t="s">
        <v>311</v>
      </c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>
        <v>36203.880000000005</v>
      </c>
      <c r="W398" s="10">
        <v>59327.92</v>
      </c>
      <c r="X398" s="10"/>
      <c r="Y398" s="10">
        <v>167252.4</v>
      </c>
      <c r="Z398" s="10"/>
      <c r="AA398" s="10"/>
      <c r="AB398" s="10">
        <v>117987.76999999999</v>
      </c>
      <c r="AC398" s="10"/>
      <c r="AD398" s="10"/>
      <c r="AE398" s="10"/>
      <c r="AF398" s="10"/>
      <c r="AG398" s="10"/>
      <c r="AH398" s="10"/>
    </row>
    <row r="399" spans="1:34" x14ac:dyDescent="0.25">
      <c r="A399" t="s">
        <v>1164</v>
      </c>
      <c r="B399" t="s">
        <v>1764</v>
      </c>
      <c r="C399" s="10"/>
      <c r="D399" s="10">
        <v>83309.58</v>
      </c>
      <c r="E399" s="10">
        <v>154655.44000000003</v>
      </c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</row>
    <row r="400" spans="1:34" x14ac:dyDescent="0.25">
      <c r="A400" t="s">
        <v>1164</v>
      </c>
      <c r="B400" t="s">
        <v>279</v>
      </c>
      <c r="C400" s="10">
        <v>306979.08</v>
      </c>
      <c r="D400" s="10">
        <v>1160406.3499999996</v>
      </c>
      <c r="E400" s="10">
        <v>2580386.56</v>
      </c>
      <c r="F400" s="10">
        <v>693809.21000000008</v>
      </c>
      <c r="G400" s="10">
        <v>1003451.1799999999</v>
      </c>
      <c r="H400" s="10">
        <v>1568448.2600000005</v>
      </c>
      <c r="I400" s="10">
        <v>2007138.1399999992</v>
      </c>
      <c r="J400" s="10">
        <v>1720355.6400000001</v>
      </c>
      <c r="K400" s="10">
        <v>792675.05</v>
      </c>
      <c r="L400" s="10">
        <v>2367351.600000001</v>
      </c>
      <c r="M400" s="10">
        <v>-198065.32</v>
      </c>
      <c r="N400" s="10"/>
      <c r="O400" s="10">
        <v>791193.35999999987</v>
      </c>
      <c r="P400" s="10">
        <v>806495.69000000018</v>
      </c>
      <c r="Q400" s="10">
        <v>744225.93</v>
      </c>
      <c r="R400" s="10">
        <v>1241352.0999999999</v>
      </c>
      <c r="S400" s="10">
        <v>574560.00000000012</v>
      </c>
      <c r="T400" s="10">
        <v>1688516.1999999997</v>
      </c>
      <c r="U400" s="10">
        <v>438055.25</v>
      </c>
      <c r="V400" s="10">
        <v>873276.06999999948</v>
      </c>
      <c r="W400" s="10">
        <v>1179743.67</v>
      </c>
      <c r="X400" s="10">
        <v>1032278.1</v>
      </c>
      <c r="Y400" s="10">
        <v>413303.97</v>
      </c>
      <c r="Z400" s="10">
        <v>391355.68000000005</v>
      </c>
      <c r="AA400" s="10"/>
      <c r="AB400" s="10">
        <v>1653.65</v>
      </c>
      <c r="AC400" s="10">
        <v>722.16</v>
      </c>
      <c r="AD400" s="10"/>
      <c r="AE400" s="10"/>
      <c r="AF400" s="10"/>
      <c r="AG400" s="10">
        <v>11830</v>
      </c>
      <c r="AH400" s="10">
        <v>11830</v>
      </c>
    </row>
    <row r="401" spans="1:34" x14ac:dyDescent="0.25">
      <c r="A401" t="s">
        <v>1164</v>
      </c>
      <c r="B401" t="s">
        <v>1347</v>
      </c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>
        <v>12945.6</v>
      </c>
      <c r="AF401" s="10">
        <v>46712.909999999996</v>
      </c>
      <c r="AG401" s="10"/>
      <c r="AH401" s="10">
        <v>37377.31</v>
      </c>
    </row>
    <row r="402" spans="1:34" x14ac:dyDescent="0.25">
      <c r="A402" t="s">
        <v>1164</v>
      </c>
      <c r="B402" t="s">
        <v>284</v>
      </c>
      <c r="C402" s="10"/>
      <c r="D402" s="10"/>
      <c r="E402" s="10">
        <v>23558.760000000002</v>
      </c>
      <c r="F402" s="10">
        <v>218064.08000000005</v>
      </c>
      <c r="G402" s="10">
        <v>160234.5</v>
      </c>
      <c r="H402" s="10">
        <v>142154.67000000001</v>
      </c>
      <c r="I402" s="10">
        <v>202769.70999999993</v>
      </c>
      <c r="J402" s="10">
        <v>328418.07000000018</v>
      </c>
      <c r="K402" s="10">
        <v>293331.45999999996</v>
      </c>
      <c r="L402" s="10">
        <v>462125.53000000014</v>
      </c>
      <c r="M402" s="10">
        <v>447752.30999999994</v>
      </c>
      <c r="N402" s="10">
        <v>167732.74999999997</v>
      </c>
      <c r="O402" s="10">
        <v>187732.86999999997</v>
      </c>
      <c r="P402" s="10">
        <v>267425.17</v>
      </c>
      <c r="Q402" s="10">
        <v>199297.25999999998</v>
      </c>
      <c r="R402" s="10">
        <v>170199.52999999997</v>
      </c>
      <c r="S402" s="10">
        <v>254787.84000000005</v>
      </c>
      <c r="T402" s="10">
        <v>510579.08999999979</v>
      </c>
      <c r="U402" s="10">
        <v>225670.88</v>
      </c>
      <c r="V402" s="10">
        <v>194749.83000000005</v>
      </c>
      <c r="W402" s="10">
        <v>172885.51999999993</v>
      </c>
      <c r="X402" s="10">
        <v>94291.170000000027</v>
      </c>
      <c r="Y402" s="10">
        <v>97770.13</v>
      </c>
      <c r="Z402" s="10">
        <v>142514.82999999996</v>
      </c>
      <c r="AA402" s="10">
        <v>87146.539999999979</v>
      </c>
      <c r="AB402" s="10">
        <v>156961.83000000007</v>
      </c>
      <c r="AC402" s="10">
        <v>88408.359999999986</v>
      </c>
      <c r="AD402" s="10">
        <v>66052.639999999999</v>
      </c>
      <c r="AE402" s="10">
        <v>68913.09</v>
      </c>
      <c r="AF402" s="10">
        <v>190871.53999999995</v>
      </c>
      <c r="AG402" s="10">
        <v>112084.67</v>
      </c>
      <c r="AH402" s="10">
        <v>169402.83999999997</v>
      </c>
    </row>
    <row r="403" spans="1:34" x14ac:dyDescent="0.25">
      <c r="A403" t="s">
        <v>1164</v>
      </c>
      <c r="B403" t="s">
        <v>353</v>
      </c>
      <c r="C403" s="10">
        <v>48078.93</v>
      </c>
      <c r="D403" s="10"/>
      <c r="E403" s="10">
        <v>302175.48</v>
      </c>
      <c r="F403" s="10">
        <v>205898.54000000007</v>
      </c>
      <c r="G403" s="10">
        <v>240078.19</v>
      </c>
      <c r="H403" s="10">
        <v>286669.47000000003</v>
      </c>
      <c r="I403" s="10"/>
      <c r="J403" s="10">
        <v>162933.78</v>
      </c>
      <c r="K403" s="10">
        <v>160675.18999999997</v>
      </c>
      <c r="L403" s="10">
        <v>373027.24000000011</v>
      </c>
      <c r="M403" s="10">
        <v>612408.35000000021</v>
      </c>
      <c r="N403" s="10">
        <v>55966.52</v>
      </c>
      <c r="O403" s="10">
        <v>385206.42000000004</v>
      </c>
      <c r="P403" s="10"/>
      <c r="Q403" s="10"/>
      <c r="R403" s="10">
        <v>620704.99000000011</v>
      </c>
      <c r="S403" s="10">
        <v>97605.65</v>
      </c>
      <c r="T403" s="10">
        <v>421198.95</v>
      </c>
      <c r="U403" s="10">
        <v>33142.04</v>
      </c>
      <c r="V403" s="10">
        <v>469602.95999999996</v>
      </c>
      <c r="W403" s="10">
        <v>359759.24</v>
      </c>
      <c r="X403" s="10">
        <v>36269.410000000003</v>
      </c>
      <c r="Y403" s="10">
        <v>434341.0900000002</v>
      </c>
      <c r="Z403" s="10">
        <v>412028.94000000018</v>
      </c>
      <c r="AA403" s="10">
        <v>92719.920000000013</v>
      </c>
      <c r="AB403" s="10">
        <v>414122.4599999999</v>
      </c>
      <c r="AC403" s="10">
        <v>673687.56999999972</v>
      </c>
      <c r="AD403" s="10"/>
      <c r="AE403" s="10">
        <v>406013.73</v>
      </c>
      <c r="AF403" s="10"/>
      <c r="AG403" s="10">
        <v>399983.55999999988</v>
      </c>
      <c r="AH403" s="10"/>
    </row>
    <row r="404" spans="1:34" x14ac:dyDescent="0.25">
      <c r="A404" t="s">
        <v>1164</v>
      </c>
      <c r="B404" t="s">
        <v>1765</v>
      </c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>
        <v>29468.650000000005</v>
      </c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</row>
    <row r="405" spans="1:34" x14ac:dyDescent="0.25">
      <c r="A405" t="s">
        <v>1164</v>
      </c>
      <c r="B405" t="s">
        <v>1350</v>
      </c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>
        <v>773192.00000000023</v>
      </c>
      <c r="AF405" s="10">
        <v>140.47999999999999</v>
      </c>
      <c r="AG405" s="10"/>
      <c r="AH405" s="10"/>
    </row>
    <row r="406" spans="1:34" x14ac:dyDescent="0.25">
      <c r="A406" t="s">
        <v>1164</v>
      </c>
      <c r="B406" t="s">
        <v>313</v>
      </c>
      <c r="C406" s="10"/>
      <c r="D406" s="10"/>
      <c r="E406" s="10"/>
      <c r="F406" s="10"/>
      <c r="G406" s="10"/>
      <c r="H406" s="10"/>
      <c r="I406" s="10"/>
      <c r="J406" s="10"/>
      <c r="K406" s="10"/>
      <c r="L406" s="10">
        <v>5223.53</v>
      </c>
      <c r="M406" s="10"/>
      <c r="N406" s="10"/>
      <c r="O406" s="10"/>
      <c r="P406" s="10"/>
      <c r="Q406" s="10">
        <v>49736.160000000003</v>
      </c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>
        <v>28626.95</v>
      </c>
      <c r="AF406" s="10">
        <v>22268.52</v>
      </c>
      <c r="AG406" s="10">
        <v>47259.5</v>
      </c>
      <c r="AH406" s="10">
        <v>66723.16</v>
      </c>
    </row>
    <row r="407" spans="1:34" x14ac:dyDescent="0.25">
      <c r="A407" t="s">
        <v>1164</v>
      </c>
      <c r="B407" t="s">
        <v>1766</v>
      </c>
      <c r="C407" s="10"/>
      <c r="D407" s="10"/>
      <c r="E407" s="10"/>
      <c r="F407" s="10"/>
      <c r="G407" s="10"/>
      <c r="H407" s="10"/>
      <c r="I407" s="10"/>
      <c r="J407" s="10">
        <v>1848.3</v>
      </c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</row>
    <row r="408" spans="1:34" x14ac:dyDescent="0.25">
      <c r="A408" t="s">
        <v>1164</v>
      </c>
      <c r="B408" t="s">
        <v>286</v>
      </c>
      <c r="C408" s="10"/>
      <c r="D408" s="10">
        <v>33586.239999999998</v>
      </c>
      <c r="E408" s="10">
        <v>51010.36</v>
      </c>
      <c r="F408" s="10">
        <v>210028.32000000007</v>
      </c>
      <c r="G408" s="10"/>
      <c r="H408" s="10"/>
      <c r="I408" s="10">
        <v>89676.41</v>
      </c>
      <c r="J408" s="10">
        <v>118757.12</v>
      </c>
      <c r="K408" s="10">
        <v>174145.87</v>
      </c>
      <c r="L408" s="10">
        <v>79139.87999999999</v>
      </c>
      <c r="M408" s="10">
        <v>100944.28</v>
      </c>
      <c r="N408" s="10"/>
      <c r="O408" s="10"/>
      <c r="P408" s="10"/>
      <c r="Q408" s="10">
        <v>614384.23</v>
      </c>
      <c r="R408" s="10">
        <v>46890.23</v>
      </c>
      <c r="S408" s="10"/>
      <c r="T408" s="10"/>
      <c r="U408" s="10">
        <v>58449.440000000002</v>
      </c>
      <c r="V408" s="10"/>
      <c r="W408" s="10">
        <v>18559.27</v>
      </c>
      <c r="X408" s="10"/>
      <c r="Y408" s="10"/>
      <c r="Z408" s="10"/>
      <c r="AA408" s="10">
        <v>21946.85</v>
      </c>
      <c r="AB408" s="10"/>
      <c r="AC408" s="10"/>
      <c r="AD408" s="10"/>
      <c r="AE408" s="10">
        <v>31460.390000000003</v>
      </c>
      <c r="AF408" s="10"/>
      <c r="AG408" s="10"/>
      <c r="AH408" s="10"/>
    </row>
    <row r="409" spans="1:34" x14ac:dyDescent="0.25">
      <c r="A409" t="s">
        <v>1164</v>
      </c>
      <c r="B409" t="s">
        <v>1418</v>
      </c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>
        <v>741730.86</v>
      </c>
      <c r="AG409" s="10"/>
      <c r="AH409" s="10"/>
    </row>
    <row r="410" spans="1:34" x14ac:dyDescent="0.25">
      <c r="A410" t="s">
        <v>1164</v>
      </c>
      <c r="B410" t="s">
        <v>1767</v>
      </c>
      <c r="C410" s="10"/>
      <c r="D410" s="10"/>
      <c r="E410" s="10"/>
      <c r="F410" s="10"/>
      <c r="G410" s="10"/>
      <c r="H410" s="10"/>
      <c r="I410" s="10"/>
      <c r="J410" s="10">
        <v>30622.52</v>
      </c>
      <c r="K410" s="10"/>
      <c r="L410" s="10">
        <v>19733.98</v>
      </c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</row>
    <row r="411" spans="1:34" x14ac:dyDescent="0.25">
      <c r="A411" t="s">
        <v>1164</v>
      </c>
      <c r="B411" t="s">
        <v>769</v>
      </c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>
        <v>5348.38</v>
      </c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</row>
    <row r="412" spans="1:34" x14ac:dyDescent="0.25">
      <c r="A412" t="s">
        <v>1164</v>
      </c>
      <c r="B412" t="s">
        <v>1251</v>
      </c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>
        <v>38166.340000000011</v>
      </c>
      <c r="AD412" s="10"/>
      <c r="AE412" s="10"/>
      <c r="AF412" s="10"/>
      <c r="AG412" s="10"/>
      <c r="AH412" s="10"/>
    </row>
    <row r="413" spans="1:34" x14ac:dyDescent="0.25">
      <c r="A413" t="s">
        <v>1164</v>
      </c>
      <c r="B413" t="s">
        <v>1768</v>
      </c>
      <c r="C413" s="10">
        <v>23083.309999999998</v>
      </c>
      <c r="D413" s="10"/>
      <c r="E413" s="10">
        <v>12462.06</v>
      </c>
      <c r="F413" s="10"/>
      <c r="G413" s="10">
        <v>16103.079999999998</v>
      </c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</row>
    <row r="414" spans="1:34" x14ac:dyDescent="0.25">
      <c r="A414" t="s">
        <v>1164</v>
      </c>
      <c r="B414" t="s">
        <v>316</v>
      </c>
      <c r="C414" s="10">
        <v>212730.88</v>
      </c>
      <c r="D414" s="10"/>
      <c r="E414" s="10">
        <v>45916.89</v>
      </c>
      <c r="F414" s="10">
        <v>217205.93999999997</v>
      </c>
      <c r="G414" s="10">
        <v>318407.08999999997</v>
      </c>
      <c r="H414" s="10">
        <v>352744.33999999997</v>
      </c>
      <c r="I414" s="10">
        <v>193081.69000000009</v>
      </c>
      <c r="J414" s="10"/>
      <c r="K414" s="10">
        <v>204528.27999999994</v>
      </c>
      <c r="L414" s="10">
        <v>204351.01999999996</v>
      </c>
      <c r="M414" s="10">
        <v>242181.63</v>
      </c>
      <c r="N414" s="10"/>
      <c r="O414" s="10">
        <v>195731.11999999994</v>
      </c>
      <c r="P414" s="10"/>
      <c r="Q414" s="10">
        <v>131890.19</v>
      </c>
      <c r="R414" s="10">
        <v>168996.93000000002</v>
      </c>
      <c r="S414" s="10">
        <v>154612.36999999997</v>
      </c>
      <c r="T414" s="10">
        <v>294165.68999999994</v>
      </c>
      <c r="U414" s="10">
        <v>265135.84000000008</v>
      </c>
      <c r="V414" s="10">
        <v>82105.87000000001</v>
      </c>
      <c r="W414" s="10">
        <v>241168.41000000006</v>
      </c>
      <c r="X414" s="10">
        <v>147077.08999999997</v>
      </c>
      <c r="Y414" s="10">
        <v>152746.17000000001</v>
      </c>
      <c r="Z414" s="10">
        <v>143081</v>
      </c>
      <c r="AA414" s="10">
        <v>221288.77999999994</v>
      </c>
      <c r="AB414" s="10">
        <v>291605.07</v>
      </c>
      <c r="AC414" s="10">
        <v>313728.73</v>
      </c>
      <c r="AD414" s="10">
        <v>225061.84999999998</v>
      </c>
      <c r="AE414" s="10">
        <v>183972.49</v>
      </c>
      <c r="AF414" s="10">
        <v>179088.86</v>
      </c>
      <c r="AG414" s="10"/>
      <c r="AH414" s="10">
        <v>449479.2900000001</v>
      </c>
    </row>
    <row r="415" spans="1:34" x14ac:dyDescent="0.25">
      <c r="A415" t="s">
        <v>1164</v>
      </c>
      <c r="B415" t="s">
        <v>319</v>
      </c>
      <c r="C415" s="10">
        <v>103088.08</v>
      </c>
      <c r="D415" s="10">
        <v>83914.929999999978</v>
      </c>
      <c r="E415" s="10">
        <v>203406.02000000002</v>
      </c>
      <c r="F415" s="10">
        <v>936803.45000000019</v>
      </c>
      <c r="G415" s="10">
        <v>73501.38</v>
      </c>
      <c r="H415" s="10">
        <v>644012.5</v>
      </c>
      <c r="I415" s="10">
        <v>148341.44</v>
      </c>
      <c r="J415" s="10">
        <v>118556.26</v>
      </c>
      <c r="K415" s="10">
        <v>186979.25999999995</v>
      </c>
      <c r="L415" s="10">
        <v>218302.66</v>
      </c>
      <c r="M415" s="10">
        <v>588635.86000000022</v>
      </c>
      <c r="N415" s="10">
        <v>292203.42000000016</v>
      </c>
      <c r="O415" s="10">
        <v>168883.99999999994</v>
      </c>
      <c r="P415" s="10">
        <v>171033.82999999996</v>
      </c>
      <c r="Q415" s="10">
        <v>57823.94</v>
      </c>
      <c r="R415" s="10">
        <v>331702.56999999989</v>
      </c>
      <c r="S415" s="10">
        <v>220143.8299999999</v>
      </c>
      <c r="T415" s="10">
        <v>389017.01000000013</v>
      </c>
      <c r="U415" s="10">
        <v>200363.05999999988</v>
      </c>
      <c r="V415" s="10">
        <v>182038.28999999995</v>
      </c>
      <c r="W415" s="10">
        <v>210857.73000000004</v>
      </c>
      <c r="X415" s="10">
        <v>396606.02999999997</v>
      </c>
      <c r="Y415" s="10">
        <v>225081.72999999995</v>
      </c>
      <c r="Z415" s="10">
        <v>212702.78999999998</v>
      </c>
      <c r="AA415" s="10">
        <v>3538.4000000000165</v>
      </c>
      <c r="AB415" s="10">
        <v>49691.299999999988</v>
      </c>
      <c r="AC415" s="10">
        <v>300527.68999999994</v>
      </c>
      <c r="AD415" s="10">
        <v>474983.1</v>
      </c>
      <c r="AE415" s="10">
        <v>184610.25</v>
      </c>
      <c r="AF415" s="10">
        <v>266077.78000000009</v>
      </c>
      <c r="AG415" s="10">
        <v>674508.35000000009</v>
      </c>
      <c r="AH415" s="10">
        <v>691751.48999999953</v>
      </c>
    </row>
    <row r="416" spans="1:34" x14ac:dyDescent="0.25">
      <c r="A416" t="s">
        <v>1164</v>
      </c>
      <c r="B416" t="s">
        <v>1253</v>
      </c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>
        <v>23696.230000000007</v>
      </c>
      <c r="AD416" s="10">
        <v>35174.620000000003</v>
      </c>
      <c r="AE416" s="10">
        <v>16162.94</v>
      </c>
      <c r="AF416" s="10"/>
      <c r="AG416" s="10">
        <v>50721.599999999991</v>
      </c>
      <c r="AH416" s="10">
        <v>56809.429999999993</v>
      </c>
    </row>
    <row r="417" spans="1:34" x14ac:dyDescent="0.25">
      <c r="A417" t="s">
        <v>1164</v>
      </c>
      <c r="B417" t="s">
        <v>320</v>
      </c>
      <c r="C417" s="10">
        <v>68092.2</v>
      </c>
      <c r="D417" s="10">
        <v>24099.229999999996</v>
      </c>
      <c r="E417" s="10">
        <v>186696.48</v>
      </c>
      <c r="F417" s="10">
        <v>146384.4</v>
      </c>
      <c r="G417" s="10">
        <v>327014.09999999998</v>
      </c>
      <c r="H417" s="10">
        <v>163739.49000000002</v>
      </c>
      <c r="I417" s="10">
        <v>102549.32</v>
      </c>
      <c r="J417" s="10">
        <v>9473.3399999999983</v>
      </c>
      <c r="K417" s="10">
        <v>96398.870000000024</v>
      </c>
      <c r="L417" s="10">
        <v>115717.66</v>
      </c>
      <c r="M417" s="10">
        <v>164961.71999999991</v>
      </c>
      <c r="N417" s="10">
        <v>23603.25</v>
      </c>
      <c r="O417" s="10">
        <v>30648.49</v>
      </c>
      <c r="P417" s="10">
        <v>75585.209999999992</v>
      </c>
      <c r="Q417" s="10">
        <v>126721.42</v>
      </c>
      <c r="R417" s="10">
        <v>77953.53</v>
      </c>
      <c r="S417" s="10">
        <v>67577.63</v>
      </c>
      <c r="T417" s="10">
        <v>156953.18000000002</v>
      </c>
      <c r="U417" s="10">
        <v>62998.87</v>
      </c>
      <c r="V417" s="10">
        <v>151951.22999999998</v>
      </c>
      <c r="W417" s="10">
        <v>512659.52000000008</v>
      </c>
      <c r="X417" s="10">
        <v>365510.42999999982</v>
      </c>
      <c r="Y417" s="10">
        <v>706485.15</v>
      </c>
      <c r="Z417" s="10">
        <v>96893.55</v>
      </c>
      <c r="AA417" s="10">
        <v>43292.7</v>
      </c>
      <c r="AB417" s="10">
        <v>94968.43</v>
      </c>
      <c r="AC417" s="10">
        <v>115596.88</v>
      </c>
      <c r="AD417" s="10">
        <v>115728.58999999998</v>
      </c>
      <c r="AE417" s="10">
        <v>167335.64999999997</v>
      </c>
      <c r="AF417" s="10">
        <v>132329.64000000001</v>
      </c>
      <c r="AG417" s="10">
        <v>37998.559999999998</v>
      </c>
      <c r="AH417" s="10">
        <v>118916.48999999999</v>
      </c>
    </row>
    <row r="418" spans="1:34" x14ac:dyDescent="0.25">
      <c r="A418" t="s">
        <v>1164</v>
      </c>
      <c r="B418" t="s">
        <v>1769</v>
      </c>
      <c r="C418" s="10">
        <v>6632.2</v>
      </c>
      <c r="D418" s="10"/>
      <c r="E418" s="10">
        <v>261.8</v>
      </c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</row>
    <row r="419" spans="1:34" x14ac:dyDescent="0.25">
      <c r="A419" t="s">
        <v>1164</v>
      </c>
      <c r="B419" t="s">
        <v>1770</v>
      </c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>
        <v>21155.7</v>
      </c>
    </row>
    <row r="420" spans="1:34" x14ac:dyDescent="0.25">
      <c r="A420" t="s">
        <v>1164</v>
      </c>
      <c r="B420" t="s">
        <v>1771</v>
      </c>
      <c r="C420" s="10">
        <v>137444.94999999998</v>
      </c>
      <c r="D420" s="10">
        <v>184481.54</v>
      </c>
      <c r="E420" s="10">
        <v>31479.75</v>
      </c>
      <c r="F420" s="10">
        <v>53698.110000000008</v>
      </c>
      <c r="G420" s="10">
        <v>563075.35</v>
      </c>
      <c r="H420" s="10">
        <v>73134.429999999993</v>
      </c>
      <c r="I420" s="10"/>
      <c r="J420" s="10">
        <v>7750</v>
      </c>
      <c r="K420" s="10">
        <v>58218</v>
      </c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</row>
    <row r="421" spans="1:34" x14ac:dyDescent="0.25">
      <c r="A421" t="s">
        <v>1164</v>
      </c>
      <c r="B421" t="s">
        <v>321</v>
      </c>
      <c r="C421" s="10"/>
      <c r="D421" s="10"/>
      <c r="E421" s="10"/>
      <c r="F421" s="10">
        <v>36933.33</v>
      </c>
      <c r="G421" s="10"/>
      <c r="H421" s="10">
        <v>35385.020000000004</v>
      </c>
      <c r="I421" s="10">
        <v>80601.190000000017</v>
      </c>
      <c r="J421" s="10">
        <v>33001.500000000007</v>
      </c>
      <c r="K421" s="10">
        <v>11836.79</v>
      </c>
      <c r="L421" s="10">
        <v>11264.530000000002</v>
      </c>
      <c r="M421" s="10">
        <v>52256.149999999987</v>
      </c>
      <c r="N421" s="10">
        <v>8871.3100000000013</v>
      </c>
      <c r="O421" s="10">
        <v>30358.849999999991</v>
      </c>
      <c r="P421" s="10">
        <v>40903.179999999993</v>
      </c>
      <c r="Q421" s="10"/>
      <c r="R421" s="10">
        <v>134166.97999999998</v>
      </c>
      <c r="S421" s="10">
        <v>39260.74</v>
      </c>
      <c r="T421" s="10">
        <v>62370.420000000013</v>
      </c>
      <c r="U421" s="10">
        <v>86503.48000000004</v>
      </c>
      <c r="V421" s="10">
        <v>95874.87000000001</v>
      </c>
      <c r="W421" s="10">
        <v>51766.460000000014</v>
      </c>
      <c r="X421" s="10">
        <v>50526.770000000011</v>
      </c>
      <c r="Y421" s="10">
        <v>65605.000000000015</v>
      </c>
      <c r="Z421" s="10">
        <v>55500.000000000015</v>
      </c>
      <c r="AA421" s="10">
        <v>42440</v>
      </c>
      <c r="AB421" s="10">
        <v>81617.77999999997</v>
      </c>
      <c r="AC421" s="10">
        <v>27590.77</v>
      </c>
      <c r="AD421" s="10">
        <v>79820.000000000015</v>
      </c>
      <c r="AE421" s="10">
        <v>15330</v>
      </c>
      <c r="AF421" s="10">
        <v>37220.000000000007</v>
      </c>
      <c r="AG421" s="10">
        <v>38869.999999999993</v>
      </c>
      <c r="AH421" s="10">
        <v>105917.87999999995</v>
      </c>
    </row>
    <row r="422" spans="1:34" x14ac:dyDescent="0.25">
      <c r="A422" t="s">
        <v>1164</v>
      </c>
      <c r="B422" t="s">
        <v>324</v>
      </c>
      <c r="C422" s="10">
        <v>76660.73</v>
      </c>
      <c r="D422" s="10">
        <v>200075.70000000004</v>
      </c>
      <c r="E422" s="10">
        <v>90795.530000000013</v>
      </c>
      <c r="F422" s="10">
        <v>234482.68999999997</v>
      </c>
      <c r="G422" s="10">
        <v>191274.68000000008</v>
      </c>
      <c r="H422" s="10">
        <v>345440.19999999995</v>
      </c>
      <c r="I422" s="10">
        <v>587589.21000000008</v>
      </c>
      <c r="J422" s="10">
        <v>184391.46999999991</v>
      </c>
      <c r="K422" s="10">
        <v>132498.57999999999</v>
      </c>
      <c r="L422" s="10"/>
      <c r="M422" s="10">
        <v>31777.480000000003</v>
      </c>
      <c r="N422" s="10">
        <v>70658.200000000012</v>
      </c>
      <c r="O422" s="10"/>
      <c r="P422" s="10"/>
      <c r="Q422" s="10">
        <v>1261577.0100000002</v>
      </c>
      <c r="R422" s="10">
        <v>169367.67</v>
      </c>
      <c r="S422" s="10">
        <v>18046.78</v>
      </c>
      <c r="T422" s="10">
        <v>468305.36999999994</v>
      </c>
      <c r="U422" s="10">
        <v>362528.64000000007</v>
      </c>
      <c r="V422" s="10">
        <v>262547.31000000006</v>
      </c>
      <c r="W422" s="10">
        <v>230553.62999999995</v>
      </c>
      <c r="X422" s="10">
        <v>919829.96999999986</v>
      </c>
      <c r="Y422" s="10">
        <v>701777.03999999992</v>
      </c>
      <c r="Z422" s="10">
        <v>223211.36999999997</v>
      </c>
      <c r="AA422" s="10">
        <v>462396.49000000011</v>
      </c>
      <c r="AB422" s="10">
        <v>149420.06000000003</v>
      </c>
      <c r="AC422" s="10">
        <v>470746.31999999989</v>
      </c>
      <c r="AD422" s="10">
        <v>710417.63999999978</v>
      </c>
      <c r="AE422" s="10">
        <v>340806.52999999991</v>
      </c>
      <c r="AF422" s="10">
        <v>330298.06</v>
      </c>
      <c r="AG422" s="10">
        <v>570066.5199999999</v>
      </c>
      <c r="AH422" s="10">
        <v>1037259.0900000002</v>
      </c>
    </row>
    <row r="423" spans="1:34" x14ac:dyDescent="0.25">
      <c r="A423" t="s">
        <v>1164</v>
      </c>
      <c r="B423" t="s">
        <v>1772</v>
      </c>
      <c r="C423" s="10"/>
      <c r="D423" s="10"/>
      <c r="E423" s="10"/>
      <c r="F423" s="10"/>
      <c r="G423" s="10"/>
      <c r="H423" s="10"/>
      <c r="I423" s="10">
        <v>63910.630000000005</v>
      </c>
      <c r="J423" s="10"/>
      <c r="K423" s="10">
        <v>71662.250000000015</v>
      </c>
      <c r="L423" s="10">
        <v>55322.959999999985</v>
      </c>
      <c r="M423" s="10"/>
      <c r="N423" s="10">
        <v>52389.96</v>
      </c>
      <c r="O423" s="10"/>
      <c r="P423" s="10"/>
      <c r="Q423" s="10"/>
      <c r="R423" s="10"/>
      <c r="S423" s="10">
        <v>53165.839999999989</v>
      </c>
      <c r="T423" s="10"/>
      <c r="U423" s="10">
        <v>72868.310000000012</v>
      </c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</row>
    <row r="424" spans="1:34" x14ac:dyDescent="0.25">
      <c r="A424" t="s">
        <v>1164</v>
      </c>
      <c r="B424" t="s">
        <v>326</v>
      </c>
      <c r="C424" s="10"/>
      <c r="D424" s="10">
        <v>100035.90999999999</v>
      </c>
      <c r="E424" s="10">
        <v>65264.32</v>
      </c>
      <c r="F424" s="10">
        <v>251909</v>
      </c>
      <c r="G424" s="10">
        <v>202313.71</v>
      </c>
      <c r="H424" s="10">
        <v>321405.86</v>
      </c>
      <c r="I424" s="10">
        <v>254320.09000000003</v>
      </c>
      <c r="J424" s="10">
        <v>445013.47999999992</v>
      </c>
      <c r="K424" s="10">
        <v>283587.84999999998</v>
      </c>
      <c r="L424" s="10">
        <v>214184.15</v>
      </c>
      <c r="M424" s="10">
        <v>153988.69999999998</v>
      </c>
      <c r="N424" s="10">
        <v>116929.39999999998</v>
      </c>
      <c r="O424" s="10">
        <v>147336.9</v>
      </c>
      <c r="P424" s="10">
        <v>290454.87</v>
      </c>
      <c r="Q424" s="10">
        <v>43731.149999999994</v>
      </c>
      <c r="R424" s="10">
        <v>181476.77000000002</v>
      </c>
      <c r="S424" s="10">
        <v>166878.42999999996</v>
      </c>
      <c r="T424" s="10">
        <v>233934.90000000002</v>
      </c>
      <c r="U424" s="10">
        <v>94903.42</v>
      </c>
      <c r="V424" s="10">
        <v>28275.58</v>
      </c>
      <c r="W424" s="10">
        <v>47320.240000000005</v>
      </c>
      <c r="X424" s="10">
        <v>37554.089999999997</v>
      </c>
      <c r="Y424" s="10">
        <v>2621.37</v>
      </c>
      <c r="Z424" s="10">
        <v>102881.37000000001</v>
      </c>
      <c r="AA424" s="10">
        <v>40296.36</v>
      </c>
      <c r="AB424" s="10">
        <v>66055.41</v>
      </c>
      <c r="AC424" s="10">
        <v>151718.15</v>
      </c>
      <c r="AD424" s="10">
        <v>64314.51</v>
      </c>
      <c r="AE424" s="10">
        <v>133843.54</v>
      </c>
      <c r="AF424" s="10">
        <v>123513.49</v>
      </c>
      <c r="AG424" s="10">
        <v>108943.33</v>
      </c>
      <c r="AH424" s="10">
        <v>141352.79</v>
      </c>
    </row>
    <row r="425" spans="1:34" x14ac:dyDescent="0.25">
      <c r="A425" t="s">
        <v>1164</v>
      </c>
      <c r="B425" t="s">
        <v>292</v>
      </c>
      <c r="C425" s="10">
        <v>70381.12999999999</v>
      </c>
      <c r="D425" s="10">
        <v>89305.36</v>
      </c>
      <c r="E425" s="10">
        <v>10818.179999999998</v>
      </c>
      <c r="F425" s="10">
        <v>11561.23</v>
      </c>
      <c r="G425" s="10">
        <v>66183.17</v>
      </c>
      <c r="H425" s="10">
        <v>103671.78</v>
      </c>
      <c r="I425" s="10">
        <v>329433.36000000004</v>
      </c>
      <c r="J425" s="10">
        <v>598688.44999999972</v>
      </c>
      <c r="K425" s="10">
        <v>691000.00999999989</v>
      </c>
      <c r="L425" s="10">
        <v>315635.49</v>
      </c>
      <c r="M425" s="10">
        <v>271590.43999999994</v>
      </c>
      <c r="N425" s="10">
        <v>120366.61000000002</v>
      </c>
      <c r="O425" s="10"/>
      <c r="P425" s="10">
        <v>18436.89</v>
      </c>
      <c r="Q425" s="10">
        <v>181655.4899999999</v>
      </c>
      <c r="R425" s="10">
        <v>396875.64999999997</v>
      </c>
      <c r="S425" s="10">
        <v>159556.68000000002</v>
      </c>
      <c r="T425" s="10">
        <v>600776.62000000023</v>
      </c>
      <c r="U425" s="10">
        <v>836949.85999999975</v>
      </c>
      <c r="V425" s="10">
        <v>1287203.4700000002</v>
      </c>
      <c r="W425" s="10">
        <v>977267.30999999947</v>
      </c>
      <c r="X425" s="10">
        <v>708287.00999999978</v>
      </c>
      <c r="Y425" s="10">
        <v>488223.3699999997</v>
      </c>
      <c r="Z425" s="10">
        <v>1037277.8100000005</v>
      </c>
      <c r="AA425" s="10">
        <v>347444.97000000003</v>
      </c>
      <c r="AB425" s="10">
        <v>499088.74999999994</v>
      </c>
      <c r="AC425" s="10">
        <v>326161.32000000007</v>
      </c>
      <c r="AD425" s="10">
        <v>385898.28999999992</v>
      </c>
      <c r="AE425" s="10">
        <v>295103.52999999991</v>
      </c>
      <c r="AF425" s="10">
        <v>1044384.7999999997</v>
      </c>
      <c r="AG425" s="10">
        <v>1018165.6100000003</v>
      </c>
      <c r="AH425" s="10">
        <v>732761.04000000074</v>
      </c>
    </row>
    <row r="426" spans="1:34" x14ac:dyDescent="0.25">
      <c r="A426" t="s">
        <v>1164</v>
      </c>
      <c r="B426" t="s">
        <v>1486</v>
      </c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>
        <v>258135.62999999998</v>
      </c>
      <c r="AH426" s="10"/>
    </row>
    <row r="427" spans="1:34" x14ac:dyDescent="0.25">
      <c r="A427" t="s">
        <v>1164</v>
      </c>
      <c r="B427" t="s">
        <v>327</v>
      </c>
      <c r="C427" s="10"/>
      <c r="D427" s="10"/>
      <c r="E427" s="10"/>
      <c r="F427" s="10"/>
      <c r="G427" s="10"/>
      <c r="H427" s="10">
        <v>3795.42</v>
      </c>
      <c r="I427" s="10"/>
      <c r="J427" s="10">
        <v>10806.76</v>
      </c>
      <c r="K427" s="10"/>
      <c r="L427" s="10"/>
      <c r="M427" s="10"/>
      <c r="N427" s="10"/>
      <c r="O427" s="10"/>
      <c r="P427" s="10"/>
      <c r="Q427" s="10">
        <v>126584.66999999998</v>
      </c>
      <c r="R427" s="10">
        <v>39698.76</v>
      </c>
      <c r="S427" s="10"/>
      <c r="T427" s="10">
        <v>19143.490000000002</v>
      </c>
      <c r="U427" s="10">
        <v>61370.860000000008</v>
      </c>
      <c r="V427" s="10"/>
      <c r="W427" s="10">
        <v>8247.6200000000008</v>
      </c>
      <c r="X427" s="10"/>
      <c r="Y427" s="10"/>
      <c r="Z427" s="10"/>
      <c r="AA427" s="10"/>
      <c r="AB427" s="10"/>
      <c r="AC427" s="10"/>
      <c r="AD427" s="10">
        <v>20303.7</v>
      </c>
      <c r="AE427" s="10"/>
      <c r="AF427" s="10"/>
      <c r="AG427" s="10"/>
      <c r="AH427" s="10">
        <v>29764.21</v>
      </c>
    </row>
    <row r="428" spans="1:34" x14ac:dyDescent="0.25">
      <c r="A428" t="s">
        <v>1164</v>
      </c>
      <c r="B428" t="s">
        <v>1773</v>
      </c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>
        <v>13870.05</v>
      </c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</row>
    <row r="429" spans="1:34" x14ac:dyDescent="0.25">
      <c r="A429" t="s">
        <v>1164</v>
      </c>
      <c r="B429" t="s">
        <v>293</v>
      </c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>
        <v>428312.69</v>
      </c>
      <c r="Z429" s="10">
        <v>102637.87</v>
      </c>
      <c r="AA429" s="10">
        <v>30133.409999999996</v>
      </c>
      <c r="AB429" s="10"/>
      <c r="AC429" s="10"/>
      <c r="AD429" s="10"/>
      <c r="AE429" s="10"/>
      <c r="AF429" s="10"/>
      <c r="AG429" s="10"/>
      <c r="AH429" s="10"/>
    </row>
    <row r="430" spans="1:34" x14ac:dyDescent="0.25">
      <c r="A430" t="s">
        <v>1164</v>
      </c>
      <c r="B430" t="s">
        <v>1774</v>
      </c>
      <c r="C430" s="10"/>
      <c r="D430" s="10">
        <v>4241.51</v>
      </c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</row>
    <row r="431" spans="1:34" x14ac:dyDescent="0.25">
      <c r="A431" t="s">
        <v>1164</v>
      </c>
      <c r="B431" t="s">
        <v>329</v>
      </c>
      <c r="C431" s="10">
        <v>26546.49</v>
      </c>
      <c r="D431" s="10">
        <v>3626.46</v>
      </c>
      <c r="E431" s="10"/>
      <c r="F431" s="10">
        <v>23708.67</v>
      </c>
      <c r="G431" s="10">
        <v>45462.460000000006</v>
      </c>
      <c r="H431" s="10"/>
      <c r="I431" s="10">
        <v>27821.42</v>
      </c>
      <c r="J431" s="10">
        <v>9084.61</v>
      </c>
      <c r="K431" s="10">
        <v>17910.25</v>
      </c>
      <c r="L431" s="10">
        <v>59780.59</v>
      </c>
      <c r="M431" s="10">
        <v>7163.7199999999993</v>
      </c>
      <c r="N431" s="10">
        <v>10613.45</v>
      </c>
      <c r="O431" s="10">
        <v>22702.839999999997</v>
      </c>
      <c r="P431" s="10">
        <v>11153.419999999998</v>
      </c>
      <c r="Q431" s="10">
        <v>12733.32</v>
      </c>
      <c r="R431" s="10"/>
      <c r="S431" s="10">
        <v>25109.290000000005</v>
      </c>
      <c r="T431" s="10">
        <v>24842.940000000002</v>
      </c>
      <c r="U431" s="10">
        <v>5068.04</v>
      </c>
      <c r="V431" s="10">
        <v>15048.630000000001</v>
      </c>
      <c r="W431" s="10"/>
      <c r="X431" s="10">
        <v>3849.9799999999968</v>
      </c>
      <c r="Y431" s="10"/>
      <c r="Z431" s="10">
        <v>15789.54</v>
      </c>
      <c r="AA431" s="10">
        <v>7434.42</v>
      </c>
      <c r="AB431" s="10"/>
      <c r="AC431" s="10">
        <v>10696.03</v>
      </c>
      <c r="AD431" s="10">
        <v>3018.66</v>
      </c>
      <c r="AE431" s="10"/>
      <c r="AF431" s="10">
        <v>16777.469999999998</v>
      </c>
      <c r="AG431" s="10"/>
      <c r="AH431" s="10">
        <v>19111.82</v>
      </c>
    </row>
    <row r="432" spans="1:34" x14ac:dyDescent="0.25">
      <c r="A432" t="s">
        <v>1164</v>
      </c>
      <c r="B432" t="s">
        <v>294</v>
      </c>
      <c r="C432" s="10">
        <v>33639.47</v>
      </c>
      <c r="D432" s="10"/>
      <c r="E432" s="10"/>
      <c r="F432" s="10"/>
      <c r="G432" s="10"/>
      <c r="H432" s="10"/>
      <c r="I432" s="10">
        <v>7198.48</v>
      </c>
      <c r="J432" s="10">
        <v>2439.8000000000002</v>
      </c>
      <c r="K432" s="10">
        <v>8101.4</v>
      </c>
      <c r="L432" s="10"/>
      <c r="M432" s="10">
        <v>9142.36</v>
      </c>
      <c r="N432" s="10">
        <v>4893.3999999999996</v>
      </c>
      <c r="O432" s="10">
        <v>2072.75</v>
      </c>
      <c r="P432" s="10"/>
      <c r="Q432" s="10">
        <v>108455.38</v>
      </c>
      <c r="R432" s="10"/>
      <c r="S432" s="10">
        <v>13282.19</v>
      </c>
      <c r="T432" s="10">
        <v>12496.22</v>
      </c>
      <c r="U432" s="10">
        <v>10786.15</v>
      </c>
      <c r="V432" s="10"/>
      <c r="W432" s="10"/>
      <c r="X432" s="10"/>
      <c r="Y432" s="10"/>
      <c r="Z432" s="10"/>
      <c r="AA432" s="10"/>
      <c r="AB432" s="10"/>
      <c r="AC432" s="10">
        <v>8055.66</v>
      </c>
      <c r="AD432" s="10"/>
      <c r="AE432" s="10">
        <v>11184.220000000001</v>
      </c>
      <c r="AF432" s="10"/>
      <c r="AG432" s="10"/>
      <c r="AH432" s="10"/>
    </row>
    <row r="433" spans="1:34" x14ac:dyDescent="0.25">
      <c r="A433" t="s">
        <v>1164</v>
      </c>
      <c r="B433" t="s">
        <v>332</v>
      </c>
      <c r="C433" s="10">
        <v>86423.84</v>
      </c>
      <c r="D433" s="10"/>
      <c r="E433" s="10"/>
      <c r="F433" s="10"/>
      <c r="G433" s="10"/>
      <c r="H433" s="10"/>
      <c r="I433" s="10"/>
      <c r="J433" s="10">
        <v>353287.88</v>
      </c>
      <c r="K433" s="10">
        <v>409597.12999999971</v>
      </c>
      <c r="L433" s="10">
        <v>180919.23000000004</v>
      </c>
      <c r="M433" s="10">
        <v>212127.37</v>
      </c>
      <c r="N433" s="10">
        <v>120580.43000000001</v>
      </c>
      <c r="O433" s="10">
        <v>263811.50000000006</v>
      </c>
      <c r="P433" s="10">
        <v>64174.380000000012</v>
      </c>
      <c r="Q433" s="10">
        <v>112394.78</v>
      </c>
      <c r="R433" s="10">
        <v>121251.53000000001</v>
      </c>
      <c r="S433" s="10">
        <v>41288.43</v>
      </c>
      <c r="T433" s="10">
        <v>200674.59</v>
      </c>
      <c r="U433" s="10">
        <v>413060.4000000002</v>
      </c>
      <c r="V433" s="10">
        <v>149793.29999999999</v>
      </c>
      <c r="W433" s="10">
        <v>371998.49999999988</v>
      </c>
      <c r="X433" s="10">
        <v>93076.369999999981</v>
      </c>
      <c r="Y433" s="10">
        <v>267105.90999999997</v>
      </c>
      <c r="Z433" s="10">
        <v>340768.44999999984</v>
      </c>
      <c r="AA433" s="10">
        <v>210608.08</v>
      </c>
      <c r="AB433" s="10">
        <v>276621.43999999994</v>
      </c>
      <c r="AC433" s="10">
        <v>466754.27000000019</v>
      </c>
      <c r="AD433" s="10">
        <v>342475.61</v>
      </c>
      <c r="AE433" s="10">
        <v>447666.22999999975</v>
      </c>
      <c r="AF433" s="10">
        <v>742809.64999999991</v>
      </c>
      <c r="AG433" s="10">
        <v>192972.11</v>
      </c>
      <c r="AH433" s="10">
        <v>495332.33</v>
      </c>
    </row>
    <row r="434" spans="1:34" x14ac:dyDescent="0.25">
      <c r="A434" t="s">
        <v>1164</v>
      </c>
      <c r="B434" t="s">
        <v>333</v>
      </c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>
        <v>37502.400000000001</v>
      </c>
      <c r="W434" s="10"/>
      <c r="X434" s="10"/>
      <c r="Y434" s="10">
        <v>126702.58</v>
      </c>
      <c r="Z434" s="10">
        <v>169772.2</v>
      </c>
      <c r="AA434" s="10">
        <v>48191.97</v>
      </c>
      <c r="AB434" s="10"/>
      <c r="AC434" s="10"/>
      <c r="AD434" s="10"/>
      <c r="AE434" s="10"/>
      <c r="AF434" s="10">
        <v>335727.6</v>
      </c>
      <c r="AG434" s="10"/>
      <c r="AH434" s="10"/>
    </row>
    <row r="435" spans="1:34" x14ac:dyDescent="0.25">
      <c r="A435" t="s">
        <v>1164</v>
      </c>
      <c r="B435" t="s">
        <v>334</v>
      </c>
      <c r="C435" s="10">
        <v>-25281.160000000003</v>
      </c>
      <c r="D435" s="10">
        <v>36420.78</v>
      </c>
      <c r="E435" s="10">
        <v>1305.28</v>
      </c>
      <c r="F435" s="10">
        <v>179951.13</v>
      </c>
      <c r="G435" s="10">
        <v>12638.28</v>
      </c>
      <c r="H435" s="10">
        <v>142600.20000000001</v>
      </c>
      <c r="I435" s="10">
        <v>223999.96999999997</v>
      </c>
      <c r="J435" s="10">
        <v>181233.68999999994</v>
      </c>
      <c r="K435" s="10">
        <v>1143814.68</v>
      </c>
      <c r="L435" s="10">
        <v>289869.33999999991</v>
      </c>
      <c r="M435" s="10">
        <v>177289.41</v>
      </c>
      <c r="N435" s="10">
        <v>73536.029999999984</v>
      </c>
      <c r="O435" s="10">
        <v>397003.92999999993</v>
      </c>
      <c r="P435" s="10">
        <v>520408.79</v>
      </c>
      <c r="Q435" s="10">
        <v>650542.88000000035</v>
      </c>
      <c r="R435" s="10">
        <v>137375.49</v>
      </c>
      <c r="S435" s="10"/>
      <c r="T435" s="10"/>
      <c r="U435" s="10"/>
      <c r="V435" s="10">
        <v>53581.579999999994</v>
      </c>
      <c r="W435" s="10">
        <v>11314.36</v>
      </c>
      <c r="X435" s="10">
        <v>327796.01</v>
      </c>
      <c r="Y435" s="10">
        <v>139574.65</v>
      </c>
      <c r="Z435" s="10">
        <v>18568.009999999998</v>
      </c>
      <c r="AA435" s="10">
        <v>10313.67</v>
      </c>
      <c r="AB435" s="10">
        <v>20072.989999999998</v>
      </c>
      <c r="AC435" s="10">
        <v>6421.02</v>
      </c>
      <c r="AD435" s="10">
        <v>481429.4</v>
      </c>
      <c r="AE435" s="10">
        <v>452459.44</v>
      </c>
      <c r="AF435" s="10">
        <v>196001.39999999997</v>
      </c>
      <c r="AG435" s="10">
        <v>485094.7</v>
      </c>
      <c r="AH435" s="10">
        <v>1033103.9499999998</v>
      </c>
    </row>
    <row r="436" spans="1:34" x14ac:dyDescent="0.25">
      <c r="A436" t="s">
        <v>1164</v>
      </c>
      <c r="B436" t="s">
        <v>1419</v>
      </c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>
        <v>7244.62</v>
      </c>
      <c r="AG436" s="10"/>
      <c r="AH436" s="10"/>
    </row>
    <row r="437" spans="1:34" x14ac:dyDescent="0.25">
      <c r="A437" t="s">
        <v>1164</v>
      </c>
      <c r="B437" t="s">
        <v>1775</v>
      </c>
      <c r="C437" s="10">
        <v>35552.879999999997</v>
      </c>
      <c r="D437" s="10">
        <v>75878.080000000002</v>
      </c>
      <c r="E437" s="10"/>
      <c r="F437" s="10">
        <v>31947.3</v>
      </c>
      <c r="G437" s="10">
        <v>34426.699999999997</v>
      </c>
      <c r="H437" s="10">
        <v>64947.020000000004</v>
      </c>
      <c r="I437" s="10">
        <v>151517.84999999995</v>
      </c>
      <c r="J437" s="10">
        <v>31453.14</v>
      </c>
      <c r="K437" s="10">
        <v>35774.47</v>
      </c>
      <c r="L437" s="10">
        <v>74408.250000000015</v>
      </c>
      <c r="M437" s="10"/>
      <c r="N437" s="10">
        <v>78254.87999999999</v>
      </c>
      <c r="O437" s="10"/>
      <c r="P437" s="10"/>
      <c r="Q437" s="10"/>
      <c r="R437" s="10">
        <v>16413.370000000003</v>
      </c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</row>
    <row r="438" spans="1:34" x14ac:dyDescent="0.25">
      <c r="A438" t="s">
        <v>1164</v>
      </c>
      <c r="B438" t="s">
        <v>768</v>
      </c>
      <c r="C438" s="10">
        <v>42175.8</v>
      </c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>
        <v>39660.35</v>
      </c>
      <c r="AB438" s="10">
        <v>8169.74</v>
      </c>
      <c r="AC438" s="10"/>
      <c r="AD438" s="10">
        <v>5335.37</v>
      </c>
      <c r="AE438" s="10"/>
      <c r="AF438" s="10"/>
      <c r="AG438" s="10"/>
      <c r="AH438" s="10"/>
    </row>
    <row r="439" spans="1:34" x14ac:dyDescent="0.25">
      <c r="A439" t="s">
        <v>1164</v>
      </c>
      <c r="B439" t="s">
        <v>335</v>
      </c>
      <c r="C439" s="10">
        <v>90472.48</v>
      </c>
      <c r="D439" s="10">
        <v>181911.58000000002</v>
      </c>
      <c r="E439" s="10"/>
      <c r="F439" s="10">
        <v>84933.63</v>
      </c>
      <c r="G439" s="10"/>
      <c r="H439" s="10">
        <v>168160.91999999998</v>
      </c>
      <c r="I439" s="10">
        <v>133216.01</v>
      </c>
      <c r="J439" s="10"/>
      <c r="K439" s="10">
        <v>175148.37</v>
      </c>
      <c r="L439" s="10">
        <v>182142.34</v>
      </c>
      <c r="M439" s="10">
        <v>70994.38</v>
      </c>
      <c r="N439" s="10">
        <v>183991</v>
      </c>
      <c r="O439" s="10"/>
      <c r="P439" s="10">
        <v>137513.24</v>
      </c>
      <c r="Q439" s="10"/>
      <c r="R439" s="10">
        <v>205649.11</v>
      </c>
      <c r="S439" s="10"/>
      <c r="T439" s="10">
        <v>354844.6100000001</v>
      </c>
      <c r="U439" s="10">
        <v>141404.9</v>
      </c>
      <c r="V439" s="10"/>
      <c r="W439" s="10">
        <v>59676.23</v>
      </c>
      <c r="X439" s="10">
        <v>108839.45999999999</v>
      </c>
      <c r="Y439" s="10"/>
      <c r="Z439" s="10">
        <v>238664.91999999998</v>
      </c>
      <c r="AA439" s="10"/>
      <c r="AB439" s="10">
        <v>359409.12</v>
      </c>
      <c r="AC439" s="10"/>
      <c r="AD439" s="10">
        <v>381469.76</v>
      </c>
      <c r="AE439" s="10"/>
      <c r="AF439" s="10">
        <v>319322.05999999994</v>
      </c>
      <c r="AG439" s="10">
        <v>305252.56000000006</v>
      </c>
      <c r="AH439" s="10"/>
    </row>
    <row r="440" spans="1:34" x14ac:dyDescent="0.25">
      <c r="A440" t="s">
        <v>1164</v>
      </c>
      <c r="B440" t="s">
        <v>1776</v>
      </c>
      <c r="C440" s="10"/>
      <c r="D440" s="10"/>
      <c r="E440" s="10">
        <v>7594.51</v>
      </c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</row>
    <row r="441" spans="1:34" x14ac:dyDescent="0.25">
      <c r="A441" t="s">
        <v>1164</v>
      </c>
      <c r="B441" t="s">
        <v>1777</v>
      </c>
      <c r="C441" s="10"/>
      <c r="D441" s="10"/>
      <c r="E441" s="10"/>
      <c r="F441" s="10"/>
      <c r="G441" s="10"/>
      <c r="H441" s="10"/>
      <c r="I441" s="10"/>
      <c r="J441" s="10"/>
      <c r="K441" s="10"/>
      <c r="L441" s="10">
        <v>17400</v>
      </c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</row>
    <row r="442" spans="1:34" x14ac:dyDescent="0.25">
      <c r="A442" t="s">
        <v>1164</v>
      </c>
      <c r="B442" t="s">
        <v>337</v>
      </c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>
        <v>88884.73000000001</v>
      </c>
      <c r="R442" s="10"/>
      <c r="S442" s="10"/>
      <c r="T442" s="10"/>
      <c r="U442" s="10"/>
      <c r="V442" s="10"/>
      <c r="W442" s="10"/>
      <c r="X442" s="10"/>
      <c r="Y442" s="10">
        <v>14899.999999999996</v>
      </c>
      <c r="Z442" s="10"/>
      <c r="AA442" s="10"/>
      <c r="AB442" s="10">
        <v>5200</v>
      </c>
      <c r="AC442" s="10"/>
      <c r="AD442" s="10"/>
      <c r="AE442" s="10"/>
      <c r="AF442" s="10"/>
      <c r="AG442" s="10"/>
      <c r="AH442" s="10"/>
    </row>
    <row r="443" spans="1:34" x14ac:dyDescent="0.25">
      <c r="A443" t="s">
        <v>1164</v>
      </c>
      <c r="B443" t="s">
        <v>338</v>
      </c>
      <c r="C443" s="10"/>
      <c r="D443" s="10">
        <v>30044.430000000004</v>
      </c>
      <c r="E443" s="10">
        <v>49716.91</v>
      </c>
      <c r="F443" s="10"/>
      <c r="G443" s="10"/>
      <c r="H443" s="10">
        <v>35231.189999999995</v>
      </c>
      <c r="I443" s="10">
        <v>55083.65</v>
      </c>
      <c r="J443" s="10">
        <v>58178.560000000012</v>
      </c>
      <c r="K443" s="10">
        <v>66243.200000000026</v>
      </c>
      <c r="L443" s="10">
        <v>68402.809999999983</v>
      </c>
      <c r="M443" s="10">
        <v>100130.85999999999</v>
      </c>
      <c r="N443" s="10">
        <v>28241.229999999996</v>
      </c>
      <c r="O443" s="10">
        <v>30015.91</v>
      </c>
      <c r="P443" s="10">
        <v>31085.11</v>
      </c>
      <c r="Q443" s="10">
        <v>144213.38999999998</v>
      </c>
      <c r="R443" s="10">
        <v>87592.54</v>
      </c>
      <c r="S443" s="10">
        <v>38201.889999999992</v>
      </c>
      <c r="T443" s="10">
        <v>73000.98</v>
      </c>
      <c r="U443" s="10"/>
      <c r="V443" s="10">
        <v>32522.82</v>
      </c>
      <c r="W443" s="10">
        <v>50590.76999999999</v>
      </c>
      <c r="X443" s="10">
        <v>106441.23</v>
      </c>
      <c r="Y443" s="10">
        <v>74185.030000000028</v>
      </c>
      <c r="Z443" s="10">
        <v>66637.650000000009</v>
      </c>
      <c r="AA443" s="10"/>
      <c r="AB443" s="10">
        <v>38541.909999999996</v>
      </c>
      <c r="AC443" s="10">
        <v>166421.05000000005</v>
      </c>
      <c r="AD443" s="10"/>
      <c r="AE443" s="10">
        <v>37964.28</v>
      </c>
      <c r="AF443" s="10">
        <v>51330.1</v>
      </c>
      <c r="AG443" s="10">
        <v>55292.969999999987</v>
      </c>
      <c r="AH443" s="10">
        <v>132636.89000000001</v>
      </c>
    </row>
    <row r="444" spans="1:34" x14ac:dyDescent="0.25">
      <c r="A444" t="s">
        <v>1164</v>
      </c>
      <c r="B444" t="s">
        <v>339</v>
      </c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>
        <v>33459.79</v>
      </c>
      <c r="Y444" s="10">
        <v>35409.840000000004</v>
      </c>
      <c r="Z444" s="10">
        <v>109380.68000000001</v>
      </c>
      <c r="AA444" s="10">
        <v>174561.61999999997</v>
      </c>
      <c r="AB444" s="10">
        <v>4002.37</v>
      </c>
      <c r="AC444" s="10">
        <v>11723.849999999999</v>
      </c>
      <c r="AD444" s="10"/>
      <c r="AE444" s="10"/>
      <c r="AF444" s="10"/>
      <c r="AG444" s="10"/>
      <c r="AH444" s="10"/>
    </row>
    <row r="445" spans="1:34" x14ac:dyDescent="0.25">
      <c r="A445" t="s">
        <v>1164</v>
      </c>
      <c r="B445" t="s">
        <v>340</v>
      </c>
      <c r="C445" s="10"/>
      <c r="D445" s="10"/>
      <c r="E445" s="10"/>
      <c r="F445" s="10"/>
      <c r="G445" s="10"/>
      <c r="H445" s="10">
        <v>24150.240000000002</v>
      </c>
      <c r="I445" s="10">
        <v>3007.94</v>
      </c>
      <c r="J445" s="10"/>
      <c r="K445" s="10"/>
      <c r="L445" s="10"/>
      <c r="M445" s="10"/>
      <c r="N445" s="10"/>
      <c r="O445" s="10"/>
      <c r="P445" s="10"/>
      <c r="Q445" s="10">
        <v>4275.55</v>
      </c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>
        <v>15653.6</v>
      </c>
      <c r="AG445" s="10">
        <v>29437.19</v>
      </c>
      <c r="AH445" s="10">
        <v>277083.49000000005</v>
      </c>
    </row>
    <row r="446" spans="1:34" x14ac:dyDescent="0.25">
      <c r="A446" t="s">
        <v>1164</v>
      </c>
      <c r="B446" t="s">
        <v>1778</v>
      </c>
      <c r="C446" s="10"/>
      <c r="D446" s="10"/>
      <c r="E446" s="10"/>
      <c r="F446" s="10"/>
      <c r="G446" s="10"/>
      <c r="H446" s="10"/>
      <c r="I446" s="10"/>
      <c r="J446" s="10"/>
      <c r="K446" s="10">
        <v>30674.149999999994</v>
      </c>
      <c r="L446" s="10">
        <v>20682.500000000004</v>
      </c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</row>
    <row r="447" spans="1:34" x14ac:dyDescent="0.25">
      <c r="A447" t="s">
        <v>1164</v>
      </c>
      <c r="B447" t="s">
        <v>341</v>
      </c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>
        <v>35622.469999999994</v>
      </c>
      <c r="AB447" s="10"/>
      <c r="AC447" s="10"/>
      <c r="AD447" s="10"/>
      <c r="AE447" s="10"/>
      <c r="AF447" s="10"/>
      <c r="AG447" s="10"/>
      <c r="AH447" s="10"/>
    </row>
    <row r="448" spans="1:34" x14ac:dyDescent="0.25">
      <c r="A448" t="s">
        <v>1164</v>
      </c>
      <c r="B448" t="s">
        <v>365</v>
      </c>
      <c r="C448" s="10">
        <v>1840601.0200000014</v>
      </c>
      <c r="D448" s="10">
        <v>881936.13</v>
      </c>
      <c r="E448" s="10">
        <v>1095819.5900000001</v>
      </c>
      <c r="F448" s="10">
        <v>2565806.0100000007</v>
      </c>
      <c r="G448" s="10">
        <v>1571089.8600000017</v>
      </c>
      <c r="H448" s="10">
        <v>3788697.5000000005</v>
      </c>
      <c r="I448" s="10">
        <v>1857959.3300000005</v>
      </c>
      <c r="J448" s="10">
        <v>1700424.7899999998</v>
      </c>
      <c r="K448" s="10">
        <v>2078535.2500000002</v>
      </c>
      <c r="L448" s="10">
        <v>1474394.8400000012</v>
      </c>
      <c r="M448" s="10">
        <v>979482.28999999969</v>
      </c>
      <c r="N448" s="10">
        <v>932860.26000000059</v>
      </c>
      <c r="O448" s="10">
        <v>1849607.91</v>
      </c>
      <c r="P448" s="10">
        <v>779786.14999999944</v>
      </c>
      <c r="Q448" s="10">
        <v>1394070.4100000004</v>
      </c>
      <c r="R448" s="10">
        <v>975463.23</v>
      </c>
      <c r="S448" s="10">
        <v>2707689.1500000008</v>
      </c>
      <c r="T448" s="10">
        <v>1735797.46</v>
      </c>
      <c r="U448" s="10">
        <v>2535493.3699999996</v>
      </c>
      <c r="V448" s="10">
        <v>1665063.18</v>
      </c>
      <c r="W448" s="10">
        <v>1511953.3599999992</v>
      </c>
      <c r="X448" s="10">
        <v>799623.97000000009</v>
      </c>
      <c r="Y448" s="10">
        <v>1092587.7900000003</v>
      </c>
      <c r="Z448" s="10">
        <v>1441735.6600000004</v>
      </c>
      <c r="AA448" s="10">
        <v>1613306.340000001</v>
      </c>
      <c r="AB448" s="10">
        <v>931631.82</v>
      </c>
      <c r="AC448" s="10">
        <v>2061894.6200000008</v>
      </c>
      <c r="AD448" s="10">
        <v>1670404.11</v>
      </c>
      <c r="AE448" s="10">
        <v>4011674.2900000033</v>
      </c>
      <c r="AF448" s="10">
        <v>3194877.2899999982</v>
      </c>
      <c r="AG448" s="10">
        <v>1052044.2700000003</v>
      </c>
      <c r="AH448" s="10">
        <v>2077921.0399999984</v>
      </c>
    </row>
    <row r="449" spans="1:34" x14ac:dyDescent="0.25">
      <c r="A449" t="s">
        <v>1164</v>
      </c>
      <c r="B449" t="s">
        <v>1779</v>
      </c>
      <c r="C449" s="10"/>
      <c r="D449" s="10"/>
      <c r="E449" s="10"/>
      <c r="F449" s="10"/>
      <c r="G449" s="10"/>
      <c r="H449" s="10">
        <v>25520.31</v>
      </c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</row>
    <row r="450" spans="1:34" x14ac:dyDescent="0.25">
      <c r="A450" t="s">
        <v>1164</v>
      </c>
      <c r="B450" t="s">
        <v>1780</v>
      </c>
      <c r="C450" s="10"/>
      <c r="D450" s="10"/>
      <c r="E450" s="10"/>
      <c r="F450" s="10"/>
      <c r="G450" s="10"/>
      <c r="H450" s="10">
        <v>4318.3</v>
      </c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</row>
    <row r="451" spans="1:34" x14ac:dyDescent="0.25">
      <c r="A451" t="s">
        <v>1164</v>
      </c>
      <c r="B451" t="s">
        <v>298</v>
      </c>
      <c r="C451" s="10">
        <v>562399.6999999996</v>
      </c>
      <c r="D451" s="10">
        <v>565601.00000000035</v>
      </c>
      <c r="E451" s="10">
        <v>688146.48000000056</v>
      </c>
      <c r="F451" s="10">
        <v>905703.68</v>
      </c>
      <c r="G451" s="10">
        <v>723600.55000000016</v>
      </c>
      <c r="H451" s="10">
        <v>1355662.0400000005</v>
      </c>
      <c r="I451" s="10">
        <v>1008362.1000000004</v>
      </c>
      <c r="J451" s="10">
        <v>1377445.8300000005</v>
      </c>
      <c r="K451" s="10">
        <v>1035470.9999999999</v>
      </c>
      <c r="L451" s="10">
        <v>807673.37</v>
      </c>
      <c r="M451" s="10">
        <v>551523.80000000005</v>
      </c>
      <c r="N451" s="10">
        <v>905956.03000000014</v>
      </c>
      <c r="O451" s="10">
        <v>411069.8499999998</v>
      </c>
      <c r="P451" s="10">
        <v>1378792.0399999996</v>
      </c>
      <c r="Q451" s="10">
        <v>1075351.3399999994</v>
      </c>
      <c r="R451" s="10">
        <v>1878241.680000002</v>
      </c>
      <c r="S451" s="10">
        <v>2084782.8400000008</v>
      </c>
      <c r="T451" s="10">
        <v>1910525.9699999997</v>
      </c>
      <c r="U451" s="10">
        <v>3418819.2800000035</v>
      </c>
      <c r="V451" s="10">
        <v>1397612.2900000003</v>
      </c>
      <c r="W451" s="10">
        <v>1834752.8800000001</v>
      </c>
      <c r="X451" s="10">
        <v>1827252.0899999994</v>
      </c>
      <c r="Y451" s="10">
        <v>1156598.58</v>
      </c>
      <c r="Z451" s="10">
        <v>1587448.3999999997</v>
      </c>
      <c r="AA451" s="10">
        <v>1850617.0999999985</v>
      </c>
      <c r="AB451" s="10">
        <v>647781.82999999949</v>
      </c>
      <c r="AC451" s="10">
        <v>1697483.4099999985</v>
      </c>
      <c r="AD451" s="10">
        <v>1795289.9700000007</v>
      </c>
      <c r="AE451" s="10">
        <v>1345030.6400000001</v>
      </c>
      <c r="AF451" s="10">
        <v>2272133.0200000005</v>
      </c>
      <c r="AG451" s="10">
        <v>2256678.6600000011</v>
      </c>
      <c r="AH451" s="10">
        <v>3374918.7700000009</v>
      </c>
    </row>
    <row r="452" spans="1:34" x14ac:dyDescent="0.25">
      <c r="A452" t="s">
        <v>1164</v>
      </c>
      <c r="B452" t="s">
        <v>1781</v>
      </c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>
        <v>59460.729999999996</v>
      </c>
      <c r="R452" s="10">
        <v>65085.29</v>
      </c>
      <c r="S452" s="10"/>
      <c r="T452" s="10"/>
      <c r="U452" s="10">
        <v>43148.26</v>
      </c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</row>
    <row r="453" spans="1:34" x14ac:dyDescent="0.25">
      <c r="A453" t="s">
        <v>1164</v>
      </c>
      <c r="B453" t="s">
        <v>1782</v>
      </c>
      <c r="C453" s="10"/>
      <c r="D453" s="10"/>
      <c r="E453" s="10"/>
      <c r="F453" s="10"/>
      <c r="G453" s="10"/>
      <c r="H453" s="10"/>
      <c r="I453" s="10"/>
      <c r="J453" s="10">
        <v>7663.5</v>
      </c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</row>
    <row r="454" spans="1:34" x14ac:dyDescent="0.25">
      <c r="A454" t="s">
        <v>1164</v>
      </c>
      <c r="B454" t="s">
        <v>1352</v>
      </c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>
        <v>56254.989999999991</v>
      </c>
      <c r="AF454" s="10"/>
      <c r="AG454" s="10">
        <v>3932.2</v>
      </c>
      <c r="AH454" s="10"/>
    </row>
    <row r="455" spans="1:34" x14ac:dyDescent="0.25">
      <c r="A455" t="s">
        <v>1164</v>
      </c>
      <c r="B455" t="s">
        <v>299</v>
      </c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>
        <v>45090.68</v>
      </c>
      <c r="Z455" s="10">
        <v>58089.35</v>
      </c>
      <c r="AA455" s="10"/>
      <c r="AB455" s="10">
        <v>2985.07</v>
      </c>
      <c r="AC455" s="10">
        <v>14955.099999999999</v>
      </c>
      <c r="AD455" s="10">
        <v>18977.580000000002</v>
      </c>
      <c r="AE455" s="10"/>
      <c r="AF455" s="10">
        <v>8676.92</v>
      </c>
      <c r="AG455" s="10"/>
      <c r="AH455" s="10"/>
    </row>
    <row r="456" spans="1:34" x14ac:dyDescent="0.25">
      <c r="A456" t="s">
        <v>1164</v>
      </c>
      <c r="B456" t="s">
        <v>1783</v>
      </c>
      <c r="C456" s="10"/>
      <c r="D456" s="10"/>
      <c r="E456" s="10"/>
      <c r="F456" s="10"/>
      <c r="G456" s="10"/>
      <c r="H456" s="10"/>
      <c r="I456" s="10">
        <v>6075.27</v>
      </c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</row>
    <row r="457" spans="1:34" x14ac:dyDescent="0.25">
      <c r="A457" t="s">
        <v>1164</v>
      </c>
      <c r="B457" t="s">
        <v>342</v>
      </c>
      <c r="C457" s="10">
        <v>14025.2</v>
      </c>
      <c r="D457" s="10"/>
      <c r="E457" s="10">
        <v>14872.52</v>
      </c>
      <c r="F457" s="10"/>
      <c r="G457" s="10"/>
      <c r="H457" s="10">
        <v>3089.5</v>
      </c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>
        <v>19644.3</v>
      </c>
      <c r="V457" s="10"/>
      <c r="W457" s="10">
        <v>42328.45</v>
      </c>
      <c r="X457" s="10">
        <v>124655.97</v>
      </c>
      <c r="Y457" s="10"/>
      <c r="Z457" s="10">
        <v>9932.7199999999993</v>
      </c>
      <c r="AA457" s="10">
        <v>1792.05</v>
      </c>
      <c r="AB457" s="10"/>
      <c r="AC457" s="10"/>
      <c r="AD457" s="10">
        <v>10263.4</v>
      </c>
      <c r="AE457" s="10">
        <v>28423.759999999998</v>
      </c>
      <c r="AF457" s="10">
        <v>29729.770000000004</v>
      </c>
      <c r="AG457" s="10">
        <v>20144.96</v>
      </c>
      <c r="AH457" s="10">
        <v>1422.44</v>
      </c>
    </row>
    <row r="458" spans="1:34" x14ac:dyDescent="0.25">
      <c r="A458" t="s">
        <v>1164</v>
      </c>
      <c r="B458" t="s">
        <v>1784</v>
      </c>
      <c r="C458" s="10"/>
      <c r="D458" s="10"/>
      <c r="E458" s="10"/>
      <c r="F458" s="10"/>
      <c r="G458" s="10"/>
      <c r="H458" s="10">
        <v>9271.2400000000016</v>
      </c>
      <c r="I458" s="10"/>
      <c r="J458" s="10">
        <v>15470.84</v>
      </c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</row>
    <row r="459" spans="1:34" x14ac:dyDescent="0.25">
      <c r="A459" t="s">
        <v>1164</v>
      </c>
      <c r="B459" t="s">
        <v>1420</v>
      </c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>
        <v>33973.82</v>
      </c>
      <c r="AG459" s="10"/>
      <c r="AH459" s="10">
        <v>11744.349999999999</v>
      </c>
    </row>
    <row r="460" spans="1:34" x14ac:dyDescent="0.25">
      <c r="A460" t="s">
        <v>1164</v>
      </c>
      <c r="B460" t="s">
        <v>303</v>
      </c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>
        <v>7132.8</v>
      </c>
      <c r="Q460" s="10"/>
      <c r="R460" s="10"/>
      <c r="S460" s="10"/>
      <c r="T460" s="10"/>
      <c r="U460" s="10"/>
      <c r="V460" s="10">
        <v>3341.1499999999996</v>
      </c>
      <c r="W460" s="10">
        <v>5196.18</v>
      </c>
      <c r="X460" s="10">
        <v>37489.049999999996</v>
      </c>
      <c r="Y460" s="10">
        <v>36880.44</v>
      </c>
      <c r="Z460" s="10">
        <v>52177.06</v>
      </c>
      <c r="AA460" s="10"/>
      <c r="AB460" s="10">
        <v>102045.95000000001</v>
      </c>
      <c r="AC460" s="10">
        <v>38628.370000000003</v>
      </c>
      <c r="AD460" s="10">
        <v>38116.22</v>
      </c>
      <c r="AE460" s="10">
        <v>67149.959999999992</v>
      </c>
      <c r="AF460" s="10">
        <v>98950.87000000001</v>
      </c>
      <c r="AG460" s="10">
        <v>74611.88</v>
      </c>
      <c r="AH460" s="10">
        <v>99305.790000000008</v>
      </c>
    </row>
    <row r="461" spans="1:34" x14ac:dyDescent="0.25">
      <c r="A461" t="s">
        <v>1164</v>
      </c>
      <c r="B461" t="s">
        <v>1785</v>
      </c>
      <c r="C461" s="10"/>
      <c r="D461" s="10"/>
      <c r="E461" s="10"/>
      <c r="F461" s="10"/>
      <c r="G461" s="10"/>
      <c r="H461" s="10"/>
      <c r="I461" s="10"/>
      <c r="J461" s="10"/>
      <c r="K461" s="10">
        <v>6627.99</v>
      </c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</row>
    <row r="462" spans="1:34" x14ac:dyDescent="0.25">
      <c r="A462" t="s">
        <v>1164</v>
      </c>
      <c r="B462" t="s">
        <v>347</v>
      </c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>
        <v>109595.92</v>
      </c>
      <c r="V462" s="10">
        <v>218289.95</v>
      </c>
      <c r="W462" s="10">
        <v>67919.95</v>
      </c>
      <c r="X462" s="10">
        <v>158465.60999999999</v>
      </c>
      <c r="Y462" s="10">
        <v>177932.16</v>
      </c>
      <c r="Z462" s="10">
        <v>78061.970000000016</v>
      </c>
      <c r="AA462" s="10"/>
      <c r="AB462" s="10"/>
      <c r="AC462" s="10"/>
      <c r="AD462" s="10"/>
      <c r="AE462" s="10">
        <v>66853.66</v>
      </c>
      <c r="AF462" s="10"/>
      <c r="AG462" s="10">
        <v>41518.489999999991</v>
      </c>
      <c r="AH462" s="10"/>
    </row>
    <row r="463" spans="1:34" x14ac:dyDescent="0.25">
      <c r="A463" t="s">
        <v>1171</v>
      </c>
      <c r="B463" t="s">
        <v>1478</v>
      </c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>
        <v>187028.82</v>
      </c>
      <c r="AH463" s="10"/>
    </row>
    <row r="464" spans="1:34" x14ac:dyDescent="0.25">
      <c r="A464" t="s">
        <v>1171</v>
      </c>
      <c r="B464" t="s">
        <v>20</v>
      </c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>
        <v>1221969.1299999997</v>
      </c>
      <c r="O464" s="10">
        <v>114967.09999999998</v>
      </c>
      <c r="P464" s="10"/>
      <c r="Q464" s="10">
        <v>197912.25000000003</v>
      </c>
      <c r="R464" s="10">
        <v>78085.67</v>
      </c>
      <c r="S464" s="10"/>
      <c r="T464" s="10">
        <v>847655.26</v>
      </c>
      <c r="U464" s="10">
        <v>39014.950000000004</v>
      </c>
      <c r="V464" s="10">
        <v>127417.73999999999</v>
      </c>
      <c r="W464" s="10">
        <v>543462.07000000007</v>
      </c>
      <c r="X464" s="10">
        <v>685708.91999999993</v>
      </c>
      <c r="Y464" s="10">
        <v>90252.33</v>
      </c>
      <c r="Z464" s="10">
        <v>310608.94999999995</v>
      </c>
      <c r="AA464" s="10">
        <v>151002.76</v>
      </c>
      <c r="AB464" s="10">
        <v>484085.41999999993</v>
      </c>
      <c r="AC464" s="10"/>
      <c r="AD464" s="10">
        <v>991401.25000000023</v>
      </c>
      <c r="AE464" s="10"/>
      <c r="AF464" s="10">
        <v>699377.73000000021</v>
      </c>
      <c r="AG464" s="10"/>
      <c r="AH464" s="10"/>
    </row>
    <row r="465" spans="1:34" x14ac:dyDescent="0.25">
      <c r="A465" t="s">
        <v>1171</v>
      </c>
      <c r="B465" t="s">
        <v>1786</v>
      </c>
      <c r="C465" s="10"/>
      <c r="D465" s="10"/>
      <c r="E465" s="10"/>
      <c r="F465" s="10"/>
      <c r="G465" s="10"/>
      <c r="H465" s="10"/>
      <c r="I465" s="10"/>
      <c r="J465" s="10"/>
      <c r="K465" s="10"/>
      <c r="L465" s="10">
        <v>675838.55000000051</v>
      </c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</row>
    <row r="466" spans="1:34" x14ac:dyDescent="0.25">
      <c r="A466" t="s">
        <v>1171</v>
      </c>
      <c r="B466" t="s">
        <v>1787</v>
      </c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>
        <v>328413.82999999996</v>
      </c>
      <c r="P466" s="10"/>
      <c r="Q466" s="10"/>
      <c r="R466" s="10"/>
      <c r="S466" s="10"/>
      <c r="T466" s="10"/>
      <c r="U466" s="10">
        <v>332387.31</v>
      </c>
      <c r="V466" s="10"/>
      <c r="W466" s="10">
        <v>179558.01</v>
      </c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</row>
    <row r="467" spans="1:34" x14ac:dyDescent="0.25">
      <c r="A467" t="s">
        <v>1171</v>
      </c>
      <c r="B467" t="s">
        <v>1242</v>
      </c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>
        <v>1071360</v>
      </c>
      <c r="U467" s="10"/>
      <c r="V467" s="10"/>
      <c r="W467" s="10"/>
      <c r="X467" s="10"/>
      <c r="Y467" s="10"/>
      <c r="Z467" s="10"/>
      <c r="AA467" s="10"/>
      <c r="AB467" s="10"/>
      <c r="AC467" s="10"/>
      <c r="AD467" s="10">
        <v>516570.98</v>
      </c>
      <c r="AE467" s="10">
        <v>114055.11000000002</v>
      </c>
      <c r="AF467" s="10">
        <v>358088.58</v>
      </c>
      <c r="AG467" s="10"/>
      <c r="AH467" s="10">
        <v>223132.33</v>
      </c>
    </row>
    <row r="468" spans="1:34" x14ac:dyDescent="0.25">
      <c r="A468" t="s">
        <v>1171</v>
      </c>
      <c r="B468" t="s">
        <v>1788</v>
      </c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>
        <v>195641.28999999998</v>
      </c>
      <c r="AA468" s="10"/>
      <c r="AB468" s="10"/>
      <c r="AC468" s="10"/>
      <c r="AD468" s="10"/>
      <c r="AE468" s="10"/>
      <c r="AF468" s="10"/>
      <c r="AG468" s="10"/>
      <c r="AH468" s="10"/>
    </row>
    <row r="469" spans="1:34" x14ac:dyDescent="0.25">
      <c r="A469" t="s">
        <v>1171</v>
      </c>
      <c r="B469" t="s">
        <v>763</v>
      </c>
      <c r="C469" s="10">
        <v>63586.560000000005</v>
      </c>
      <c r="D469" s="10"/>
      <c r="E469" s="10">
        <v>145632.56000000003</v>
      </c>
      <c r="F469" s="10"/>
      <c r="G469" s="10"/>
      <c r="H469" s="10">
        <v>75500.69</v>
      </c>
      <c r="I469" s="10">
        <v>61294.25</v>
      </c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>
        <v>192971.53000000003</v>
      </c>
      <c r="AA469" s="10">
        <v>208063.16999999993</v>
      </c>
      <c r="AB469" s="10">
        <v>137107.81</v>
      </c>
      <c r="AC469" s="10">
        <v>393568.66999999993</v>
      </c>
      <c r="AD469" s="10">
        <v>147837.75999999998</v>
      </c>
      <c r="AE469" s="10">
        <v>438085.5199999999</v>
      </c>
      <c r="AF469" s="10">
        <v>175579.42</v>
      </c>
      <c r="AG469" s="10">
        <v>153305.75999999998</v>
      </c>
      <c r="AH469" s="10">
        <v>514359.26000000013</v>
      </c>
    </row>
    <row r="470" spans="1:34" x14ac:dyDescent="0.25">
      <c r="A470" t="s">
        <v>1171</v>
      </c>
      <c r="B470" t="s">
        <v>23</v>
      </c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>
        <v>140045.57</v>
      </c>
      <c r="Y470" s="10"/>
      <c r="Z470" s="10"/>
      <c r="AA470" s="10">
        <v>153479.38</v>
      </c>
      <c r="AB470" s="10">
        <v>50083.78</v>
      </c>
      <c r="AC470" s="10"/>
      <c r="AD470" s="10"/>
      <c r="AE470" s="10"/>
      <c r="AF470" s="10"/>
      <c r="AG470" s="10">
        <v>394214.95</v>
      </c>
      <c r="AH470" s="10"/>
    </row>
    <row r="471" spans="1:34" x14ac:dyDescent="0.25">
      <c r="A471" t="s">
        <v>1171</v>
      </c>
      <c r="B471" t="s">
        <v>24</v>
      </c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>
        <v>200607.85</v>
      </c>
      <c r="V471" s="10"/>
      <c r="W471" s="10"/>
      <c r="X471" s="10"/>
      <c r="Y471" s="10"/>
      <c r="Z471" s="10">
        <v>87974.249999999971</v>
      </c>
      <c r="AA471" s="10">
        <v>34130.74</v>
      </c>
      <c r="AB471" s="10"/>
      <c r="AC471" s="10"/>
      <c r="AD471" s="10"/>
      <c r="AE471" s="10"/>
      <c r="AF471" s="10"/>
      <c r="AG471" s="10"/>
      <c r="AH471" s="10"/>
    </row>
    <row r="472" spans="1:34" x14ac:dyDescent="0.25">
      <c r="A472" t="s">
        <v>1171</v>
      </c>
      <c r="B472" t="s">
        <v>1548</v>
      </c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>
        <v>200958.41999999998</v>
      </c>
    </row>
    <row r="473" spans="1:34" x14ac:dyDescent="0.25">
      <c r="A473" t="s">
        <v>1171</v>
      </c>
      <c r="B473" t="s">
        <v>25</v>
      </c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>
        <v>210605.3</v>
      </c>
      <c r="V473" s="10">
        <v>316171.60000000003</v>
      </c>
      <c r="W473" s="10"/>
      <c r="X473" s="10">
        <v>119665.73</v>
      </c>
      <c r="Y473" s="10">
        <v>66796.47</v>
      </c>
      <c r="Z473" s="10"/>
      <c r="AA473" s="10">
        <v>107871.09</v>
      </c>
      <c r="AB473" s="10"/>
      <c r="AC473" s="10">
        <v>169490.75</v>
      </c>
      <c r="AD473" s="10"/>
      <c r="AE473" s="10">
        <v>175874.57</v>
      </c>
      <c r="AF473" s="10"/>
      <c r="AG473" s="10"/>
      <c r="AH473" s="10"/>
    </row>
    <row r="474" spans="1:34" x14ac:dyDescent="0.25">
      <c r="A474" t="s">
        <v>1171</v>
      </c>
      <c r="B474" t="s">
        <v>1463</v>
      </c>
      <c r="C474" s="10"/>
      <c r="D474" s="10"/>
      <c r="E474" s="10"/>
      <c r="F474" s="10"/>
      <c r="G474" s="10"/>
      <c r="H474" s="10"/>
      <c r="I474" s="10"/>
      <c r="J474" s="10"/>
      <c r="K474" s="10"/>
      <c r="L474" s="10">
        <v>175314.56</v>
      </c>
      <c r="M474" s="10">
        <v>20300.04</v>
      </c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>
        <v>354442.3</v>
      </c>
      <c r="AH474" s="10"/>
    </row>
    <row r="475" spans="1:34" x14ac:dyDescent="0.25">
      <c r="A475" t="s">
        <v>1171</v>
      </c>
      <c r="B475" t="s">
        <v>1789</v>
      </c>
      <c r="C475" s="10"/>
      <c r="D475" s="10">
        <v>144977.18</v>
      </c>
      <c r="E475" s="10"/>
      <c r="F475" s="10"/>
      <c r="G475" s="10"/>
      <c r="H475" s="10">
        <v>142283.07999999999</v>
      </c>
      <c r="I475" s="10">
        <v>117956.70000000001</v>
      </c>
      <c r="J475" s="10">
        <v>276476.87</v>
      </c>
      <c r="K475" s="10">
        <v>389474.39</v>
      </c>
      <c r="L475" s="10"/>
      <c r="M475" s="10"/>
      <c r="N475" s="10"/>
      <c r="O475" s="10">
        <v>184753.13</v>
      </c>
      <c r="P475" s="10">
        <v>118438.9</v>
      </c>
      <c r="Q475" s="10"/>
      <c r="R475" s="10"/>
      <c r="S475" s="10"/>
      <c r="T475" s="10"/>
      <c r="U475" s="10"/>
      <c r="V475" s="10"/>
      <c r="W475" s="10">
        <v>378225.12999999989</v>
      </c>
      <c r="X475" s="10"/>
      <c r="Y475" s="10"/>
      <c r="Z475" s="10">
        <v>236407.32999999996</v>
      </c>
      <c r="AA475" s="10"/>
      <c r="AB475" s="10"/>
      <c r="AC475" s="10"/>
      <c r="AD475" s="10"/>
      <c r="AE475" s="10"/>
      <c r="AF475" s="10"/>
      <c r="AG475" s="10"/>
      <c r="AH475" s="10"/>
    </row>
    <row r="476" spans="1:34" x14ac:dyDescent="0.25">
      <c r="A476" t="s">
        <v>1171</v>
      </c>
      <c r="B476" t="s">
        <v>26</v>
      </c>
      <c r="C476" s="10"/>
      <c r="D476" s="10">
        <v>850810.1100000001</v>
      </c>
      <c r="E476" s="10"/>
      <c r="F476" s="10"/>
      <c r="G476" s="10"/>
      <c r="H476" s="10"/>
      <c r="I476" s="10"/>
      <c r="J476" s="10"/>
      <c r="K476" s="10">
        <v>2265183.34</v>
      </c>
      <c r="L476" s="10">
        <v>685556.46</v>
      </c>
      <c r="M476" s="10"/>
      <c r="N476" s="10"/>
      <c r="O476" s="10"/>
      <c r="P476" s="10"/>
      <c r="Q476" s="10"/>
      <c r="R476" s="10"/>
      <c r="S476" s="10">
        <v>1111155.48</v>
      </c>
      <c r="T476" s="10"/>
      <c r="U476" s="10"/>
      <c r="V476" s="10"/>
      <c r="W476" s="10"/>
      <c r="X476" s="10"/>
      <c r="Y476" s="10"/>
      <c r="Z476" s="10"/>
      <c r="AA476" s="10">
        <v>985840.05</v>
      </c>
      <c r="AB476" s="10"/>
      <c r="AC476" s="10"/>
      <c r="AD476" s="10"/>
      <c r="AE476" s="10"/>
      <c r="AF476" s="10"/>
      <c r="AG476" s="10"/>
      <c r="AH476" s="10"/>
    </row>
    <row r="477" spans="1:34" x14ac:dyDescent="0.25">
      <c r="A477" t="s">
        <v>1171</v>
      </c>
      <c r="B477" t="s">
        <v>27</v>
      </c>
      <c r="C477" s="10"/>
      <c r="D477" s="10">
        <v>53056.5</v>
      </c>
      <c r="E477" s="10">
        <v>88971.41</v>
      </c>
      <c r="F477" s="10">
        <v>138150.68000000002</v>
      </c>
      <c r="G477" s="10"/>
      <c r="H477" s="10">
        <v>299512.0500000001</v>
      </c>
      <c r="I477" s="10">
        <v>88577.990000000034</v>
      </c>
      <c r="J477" s="10">
        <v>165382.73999999993</v>
      </c>
      <c r="K477" s="10">
        <v>134381.38999999998</v>
      </c>
      <c r="L477" s="10">
        <v>164654.59</v>
      </c>
      <c r="M477" s="10">
        <v>135896.09999999998</v>
      </c>
      <c r="N477" s="10">
        <v>108911.11</v>
      </c>
      <c r="O477" s="10">
        <v>140129.63</v>
      </c>
      <c r="P477" s="10">
        <v>122714.95</v>
      </c>
      <c r="Q477" s="10">
        <v>67401.87</v>
      </c>
      <c r="R477" s="10"/>
      <c r="S477" s="10"/>
      <c r="T477" s="10">
        <v>300485.75999999995</v>
      </c>
      <c r="U477" s="10">
        <v>133841.91</v>
      </c>
      <c r="V477" s="10">
        <v>75588.079999999987</v>
      </c>
      <c r="W477" s="10">
        <v>89887.280000000013</v>
      </c>
      <c r="X477" s="10"/>
      <c r="Y477" s="10"/>
      <c r="Z477" s="10">
        <v>94471.87</v>
      </c>
      <c r="AA477" s="10">
        <v>121016.45999999999</v>
      </c>
      <c r="AB477" s="10">
        <v>77505.27</v>
      </c>
      <c r="AC477" s="10">
        <v>93694.89</v>
      </c>
      <c r="AD477" s="10">
        <v>122329.63999999997</v>
      </c>
      <c r="AE477" s="10">
        <v>359151.18</v>
      </c>
      <c r="AF477" s="10">
        <v>230506.92999999996</v>
      </c>
      <c r="AG477" s="10">
        <v>160766.70000000001</v>
      </c>
      <c r="AH477" s="10">
        <v>208394.62</v>
      </c>
    </row>
    <row r="478" spans="1:34" x14ac:dyDescent="0.25">
      <c r="A478" t="s">
        <v>1171</v>
      </c>
      <c r="B478" t="s">
        <v>1790</v>
      </c>
      <c r="C478" s="10"/>
      <c r="D478" s="10"/>
      <c r="E478" s="10"/>
      <c r="F478" s="10">
        <v>128405.12000000001</v>
      </c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>
        <v>101872.52</v>
      </c>
      <c r="AA478" s="10"/>
      <c r="AB478" s="10"/>
      <c r="AC478" s="10"/>
      <c r="AD478" s="10"/>
      <c r="AE478" s="10"/>
      <c r="AF478" s="10"/>
      <c r="AG478" s="10"/>
      <c r="AH478" s="10"/>
    </row>
    <row r="479" spans="1:34" x14ac:dyDescent="0.25">
      <c r="A479" t="s">
        <v>1171</v>
      </c>
      <c r="B479" t="s">
        <v>1791</v>
      </c>
      <c r="C479" s="10"/>
      <c r="D479" s="10"/>
      <c r="E479" s="10"/>
      <c r="F479" s="10"/>
      <c r="G479" s="10"/>
      <c r="H479" s="10">
        <v>389358.63</v>
      </c>
      <c r="I479" s="10"/>
      <c r="J479" s="10">
        <v>281862.89</v>
      </c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</row>
    <row r="480" spans="1:34" x14ac:dyDescent="0.25">
      <c r="A480" t="s">
        <v>1171</v>
      </c>
      <c r="B480" t="s">
        <v>1792</v>
      </c>
      <c r="C480" s="10"/>
      <c r="D480" s="10">
        <v>173026.93</v>
      </c>
      <c r="E480" s="10">
        <v>95128.08</v>
      </c>
      <c r="F480" s="10">
        <v>218315.84000000003</v>
      </c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</row>
    <row r="481" spans="1:34" x14ac:dyDescent="0.25">
      <c r="A481" t="s">
        <v>1171</v>
      </c>
      <c r="B481" t="s">
        <v>1172</v>
      </c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>
        <v>636630.69000000018</v>
      </c>
      <c r="AC481" s="10"/>
      <c r="AD481" s="10"/>
      <c r="AE481" s="10"/>
      <c r="AF481" s="10"/>
      <c r="AG481" s="10">
        <v>714073.16999999981</v>
      </c>
      <c r="AH481" s="10"/>
    </row>
    <row r="482" spans="1:34" x14ac:dyDescent="0.25">
      <c r="A482" t="s">
        <v>1171</v>
      </c>
      <c r="B482" t="s">
        <v>1793</v>
      </c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>
        <v>828546.72000000032</v>
      </c>
      <c r="AA482" s="10"/>
      <c r="AB482" s="10"/>
      <c r="AC482" s="10"/>
      <c r="AD482" s="10"/>
      <c r="AE482" s="10"/>
      <c r="AF482" s="10"/>
      <c r="AG482" s="10"/>
      <c r="AH482" s="10"/>
    </row>
    <row r="483" spans="1:34" x14ac:dyDescent="0.25">
      <c r="A483" t="s">
        <v>1171</v>
      </c>
      <c r="B483" t="s">
        <v>1794</v>
      </c>
      <c r="C483" s="10"/>
      <c r="D483" s="10"/>
      <c r="E483" s="10"/>
      <c r="F483" s="10">
        <v>46029.42</v>
      </c>
      <c r="G483" s="10"/>
      <c r="H483" s="10"/>
      <c r="I483" s="10"/>
      <c r="J483" s="10"/>
      <c r="K483" s="10">
        <v>17090.580000000002</v>
      </c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>
        <v>100793.19000000002</v>
      </c>
      <c r="Z483" s="10"/>
      <c r="AA483" s="10"/>
      <c r="AB483" s="10"/>
      <c r="AC483" s="10"/>
      <c r="AD483" s="10"/>
      <c r="AE483" s="10"/>
      <c r="AF483" s="10"/>
      <c r="AG483" s="10"/>
      <c r="AH483" s="10"/>
    </row>
    <row r="484" spans="1:34" x14ac:dyDescent="0.25">
      <c r="A484" t="s">
        <v>1171</v>
      </c>
      <c r="B484" t="s">
        <v>1795</v>
      </c>
      <c r="C484" s="10"/>
      <c r="D484" s="10"/>
      <c r="E484" s="10"/>
      <c r="F484" s="10"/>
      <c r="G484" s="10"/>
      <c r="H484" s="10"/>
      <c r="I484" s="10"/>
      <c r="J484" s="10">
        <v>300000.00000000006</v>
      </c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</row>
    <row r="485" spans="1:34" x14ac:dyDescent="0.25">
      <c r="A485" t="s">
        <v>1171</v>
      </c>
      <c r="B485" t="s">
        <v>1796</v>
      </c>
      <c r="C485" s="10"/>
      <c r="D485" s="10"/>
      <c r="E485" s="10"/>
      <c r="F485" s="10"/>
      <c r="G485" s="10"/>
      <c r="H485" s="10"/>
      <c r="I485" s="10">
        <v>104275.2</v>
      </c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</row>
    <row r="486" spans="1:34" x14ac:dyDescent="0.25">
      <c r="A486" t="s">
        <v>1171</v>
      </c>
      <c r="B486" t="s">
        <v>1797</v>
      </c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>
        <v>116932.79000000001</v>
      </c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</row>
    <row r="487" spans="1:34" x14ac:dyDescent="0.25">
      <c r="A487" t="s">
        <v>1171</v>
      </c>
      <c r="B487" t="s">
        <v>823</v>
      </c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>
        <v>100731.57000000002</v>
      </c>
      <c r="AA487" s="10">
        <v>65824.88</v>
      </c>
      <c r="AB487" s="10">
        <v>76744.660000000018</v>
      </c>
      <c r="AC487" s="10"/>
      <c r="AD487" s="10">
        <v>81523.890000000029</v>
      </c>
      <c r="AE487" s="10">
        <v>82596.53</v>
      </c>
      <c r="AF487" s="10"/>
      <c r="AG487" s="10">
        <v>66401</v>
      </c>
      <c r="AH487" s="10">
        <v>62988.570000000007</v>
      </c>
    </row>
    <row r="488" spans="1:34" x14ac:dyDescent="0.25">
      <c r="A488" t="s">
        <v>1171</v>
      </c>
      <c r="B488" t="s">
        <v>28</v>
      </c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>
        <v>103535.52999999998</v>
      </c>
      <c r="Z488" s="10">
        <v>184362.23999999999</v>
      </c>
      <c r="AA488" s="10">
        <v>66847.88</v>
      </c>
      <c r="AB488" s="10">
        <v>243844.13</v>
      </c>
      <c r="AC488" s="10">
        <v>140349.43000000002</v>
      </c>
      <c r="AD488" s="10">
        <v>146662.43999999997</v>
      </c>
      <c r="AE488" s="10">
        <v>410616.31</v>
      </c>
      <c r="AF488" s="10">
        <v>315779.8</v>
      </c>
      <c r="AG488" s="10">
        <v>273811.11999999994</v>
      </c>
      <c r="AH488" s="10">
        <v>322021.94000000012</v>
      </c>
    </row>
    <row r="489" spans="1:34" x14ac:dyDescent="0.25">
      <c r="A489" t="s">
        <v>1171</v>
      </c>
      <c r="B489" t="s">
        <v>29</v>
      </c>
      <c r="C489" s="10">
        <v>783033.99999999988</v>
      </c>
      <c r="D489" s="10"/>
      <c r="E489" s="10"/>
      <c r="F489" s="10">
        <v>211594.70000000004</v>
      </c>
      <c r="G489" s="10"/>
      <c r="H489" s="10">
        <v>226689.38</v>
      </c>
      <c r="I489" s="10">
        <v>468693.25</v>
      </c>
      <c r="J489" s="10">
        <v>474501.16000000003</v>
      </c>
      <c r="K489" s="10">
        <v>406511.3600000001</v>
      </c>
      <c r="L489" s="10">
        <v>248992.40999999997</v>
      </c>
      <c r="M489" s="10">
        <v>143094.5</v>
      </c>
      <c r="N489" s="10">
        <v>147743.78000000003</v>
      </c>
      <c r="O489" s="10">
        <v>196777.43000000002</v>
      </c>
      <c r="P489" s="10">
        <v>346189.67</v>
      </c>
      <c r="Q489" s="10"/>
      <c r="R489" s="10"/>
      <c r="S489" s="10"/>
      <c r="T489" s="10">
        <v>571321.34</v>
      </c>
      <c r="U489" s="10">
        <v>898090.07</v>
      </c>
      <c r="V489" s="10">
        <v>264303.33999999997</v>
      </c>
      <c r="W489" s="10">
        <v>125605.86</v>
      </c>
      <c r="X489" s="10"/>
      <c r="Y489" s="10"/>
      <c r="Z489" s="10"/>
      <c r="AA489" s="10">
        <v>457362.99000000005</v>
      </c>
      <c r="AB489" s="10"/>
      <c r="AC489" s="10">
        <v>192910.2</v>
      </c>
      <c r="AD489" s="10">
        <v>222509.80000000002</v>
      </c>
      <c r="AE489" s="10">
        <v>564677.32999999996</v>
      </c>
      <c r="AF489" s="10">
        <v>298125.42</v>
      </c>
      <c r="AG489" s="10"/>
      <c r="AH489" s="10">
        <v>273991.62000000005</v>
      </c>
    </row>
    <row r="490" spans="1:34" x14ac:dyDescent="0.25">
      <c r="A490" t="s">
        <v>1171</v>
      </c>
      <c r="B490" t="s">
        <v>1798</v>
      </c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>
        <v>10445.76</v>
      </c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</row>
    <row r="491" spans="1:34" x14ac:dyDescent="0.25">
      <c r="A491" t="s">
        <v>1171</v>
      </c>
      <c r="B491" t="s">
        <v>30</v>
      </c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>
        <v>615327.39999999991</v>
      </c>
      <c r="W491" s="10">
        <v>87576.26</v>
      </c>
      <c r="X491" s="10">
        <v>148818.16</v>
      </c>
      <c r="Y491" s="10">
        <v>125582.88999999998</v>
      </c>
      <c r="Z491" s="10">
        <v>171856.53</v>
      </c>
      <c r="AA491" s="10">
        <v>139350.35999999996</v>
      </c>
      <c r="AB491" s="10"/>
      <c r="AC491" s="10">
        <v>191117.85</v>
      </c>
      <c r="AD491" s="10"/>
      <c r="AE491" s="10">
        <v>156374.44</v>
      </c>
      <c r="AF491" s="10">
        <v>163144.25</v>
      </c>
      <c r="AG491" s="10">
        <v>203324.64</v>
      </c>
      <c r="AH491" s="10">
        <v>65930.340000000011</v>
      </c>
    </row>
    <row r="492" spans="1:34" x14ac:dyDescent="0.25">
      <c r="A492" t="s">
        <v>1171</v>
      </c>
      <c r="B492" t="s">
        <v>1799</v>
      </c>
      <c r="C492" s="10"/>
      <c r="D492" s="10"/>
      <c r="E492" s="10"/>
      <c r="F492" s="10"/>
      <c r="G492" s="10">
        <v>331452</v>
      </c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</row>
    <row r="493" spans="1:34" x14ac:dyDescent="0.25">
      <c r="A493" t="s">
        <v>1171</v>
      </c>
      <c r="B493" t="s">
        <v>1800</v>
      </c>
      <c r="C493" s="10"/>
      <c r="D493" s="10"/>
      <c r="E493" s="10"/>
      <c r="F493" s="10">
        <v>125484.9</v>
      </c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</row>
    <row r="494" spans="1:34" x14ac:dyDescent="0.25">
      <c r="A494" t="s">
        <v>1171</v>
      </c>
      <c r="B494" t="s">
        <v>1801</v>
      </c>
      <c r="C494" s="10"/>
      <c r="D494" s="10"/>
      <c r="E494" s="10">
        <v>50487.37999999999</v>
      </c>
      <c r="F494" s="10"/>
      <c r="G494" s="10"/>
      <c r="H494" s="10">
        <v>58859.21</v>
      </c>
      <c r="I494" s="10">
        <v>17073.149999999998</v>
      </c>
      <c r="J494" s="10"/>
      <c r="K494" s="10">
        <v>48383.669999999991</v>
      </c>
      <c r="L494" s="10"/>
      <c r="M494" s="10">
        <v>18352.260000000002</v>
      </c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</row>
    <row r="495" spans="1:34" x14ac:dyDescent="0.25">
      <c r="A495" t="s">
        <v>1171</v>
      </c>
      <c r="B495" t="s">
        <v>1802</v>
      </c>
      <c r="C495" s="10"/>
      <c r="D495" s="10"/>
      <c r="E495" s="10">
        <v>694993.69000000006</v>
      </c>
      <c r="F495" s="10"/>
      <c r="G495" s="10"/>
      <c r="H495" s="10">
        <v>45700.100000000006</v>
      </c>
      <c r="I495" s="10"/>
      <c r="J495" s="10"/>
      <c r="K495" s="10"/>
      <c r="L495" s="10">
        <v>590989.76</v>
      </c>
      <c r="M495" s="10"/>
      <c r="N495" s="10">
        <v>659344.41</v>
      </c>
      <c r="O495" s="10">
        <v>25699.52</v>
      </c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</row>
    <row r="496" spans="1:34" x14ac:dyDescent="0.25">
      <c r="A496" t="s">
        <v>1171</v>
      </c>
      <c r="B496" t="s">
        <v>1803</v>
      </c>
      <c r="C496" s="10"/>
      <c r="D496" s="10"/>
      <c r="E496" s="10"/>
      <c r="F496" s="10"/>
      <c r="G496" s="10"/>
      <c r="H496" s="10"/>
      <c r="I496" s="10">
        <v>67300</v>
      </c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</row>
    <row r="497" spans="1:34" x14ac:dyDescent="0.25">
      <c r="A497" t="s">
        <v>1171</v>
      </c>
      <c r="B497" t="s">
        <v>1804</v>
      </c>
      <c r="C497" s="10"/>
      <c r="D497" s="10">
        <v>66521.75</v>
      </c>
      <c r="E497" s="10">
        <v>330793.11000000004</v>
      </c>
      <c r="F497" s="10">
        <v>167403.93</v>
      </c>
      <c r="G497" s="10">
        <v>187381.48000000004</v>
      </c>
      <c r="H497" s="10">
        <v>684170.64999999991</v>
      </c>
      <c r="I497" s="10">
        <v>239447.42999999991</v>
      </c>
      <c r="J497" s="10">
        <v>456138.45000000019</v>
      </c>
      <c r="K497" s="10">
        <v>342639.70000000007</v>
      </c>
      <c r="L497" s="10">
        <v>413216.13</v>
      </c>
      <c r="M497" s="10">
        <v>158262.29</v>
      </c>
      <c r="N497" s="10"/>
      <c r="O497" s="10"/>
      <c r="P497" s="10">
        <v>334219.49000000005</v>
      </c>
      <c r="Q497" s="10">
        <v>201410.94999999992</v>
      </c>
      <c r="R497" s="10"/>
      <c r="S497" s="10"/>
      <c r="T497" s="10"/>
      <c r="U497" s="10">
        <v>320736.52</v>
      </c>
      <c r="V497" s="10">
        <v>246724.24999999991</v>
      </c>
      <c r="W497" s="10"/>
      <c r="X497" s="10"/>
      <c r="Y497" s="10"/>
      <c r="Z497" s="10">
        <v>198722.54000000004</v>
      </c>
      <c r="AA497" s="10"/>
      <c r="AB497" s="10"/>
      <c r="AC497" s="10"/>
      <c r="AD497" s="10"/>
      <c r="AE497" s="10"/>
      <c r="AF497" s="10"/>
      <c r="AG497" s="10"/>
      <c r="AH497" s="10"/>
    </row>
    <row r="498" spans="1:34" x14ac:dyDescent="0.25">
      <c r="A498" t="s">
        <v>1171</v>
      </c>
      <c r="B498" t="s">
        <v>31</v>
      </c>
      <c r="C498" s="10"/>
      <c r="D498" s="10"/>
      <c r="E498" s="10"/>
      <c r="F498" s="10"/>
      <c r="G498" s="10"/>
      <c r="H498" s="10">
        <v>25894.92</v>
      </c>
      <c r="I498" s="10"/>
      <c r="J498" s="10"/>
      <c r="K498" s="10">
        <v>30676.36</v>
      </c>
      <c r="L498" s="10">
        <v>30350</v>
      </c>
      <c r="M498" s="10">
        <v>110098</v>
      </c>
      <c r="N498" s="10">
        <v>30966</v>
      </c>
      <c r="O498" s="10"/>
      <c r="P498" s="10">
        <v>47931.5</v>
      </c>
      <c r="Q498" s="10"/>
      <c r="R498" s="10"/>
      <c r="S498" s="10"/>
      <c r="T498" s="10">
        <v>15768</v>
      </c>
      <c r="U498" s="10">
        <v>11220</v>
      </c>
      <c r="V498" s="10"/>
      <c r="W498" s="10">
        <v>11300.619999999999</v>
      </c>
      <c r="X498" s="10"/>
      <c r="Y498" s="10"/>
      <c r="Z498" s="10"/>
      <c r="AA498" s="10"/>
      <c r="AB498" s="10">
        <v>16597</v>
      </c>
      <c r="AC498" s="10"/>
      <c r="AD498" s="10"/>
      <c r="AE498" s="10"/>
      <c r="AF498" s="10"/>
      <c r="AG498" s="10"/>
      <c r="AH498" s="10"/>
    </row>
    <row r="499" spans="1:34" x14ac:dyDescent="0.25">
      <c r="A499" t="s">
        <v>1171</v>
      </c>
      <c r="B499" t="s">
        <v>1805</v>
      </c>
      <c r="C499" s="10">
        <v>401667.03</v>
      </c>
      <c r="D499" s="10"/>
      <c r="E499" s="10"/>
      <c r="F499" s="10">
        <v>302681.21000000002</v>
      </c>
      <c r="G499" s="10">
        <v>158228.68000000002</v>
      </c>
      <c r="H499" s="10">
        <v>588414.08999999973</v>
      </c>
      <c r="I499" s="10"/>
      <c r="J499" s="10">
        <v>516843.37</v>
      </c>
      <c r="K499" s="10">
        <v>390076.16000000003</v>
      </c>
      <c r="L499" s="10">
        <v>299889.08000000007</v>
      </c>
      <c r="M499" s="10">
        <v>103611.65000000001</v>
      </c>
      <c r="N499" s="10">
        <v>188575.07000000004</v>
      </c>
      <c r="O499" s="10"/>
      <c r="P499" s="10">
        <v>802883.69000000041</v>
      </c>
      <c r="Q499" s="10">
        <v>43098.210000000006</v>
      </c>
      <c r="R499" s="10"/>
      <c r="S499" s="10">
        <v>799342.83000000007</v>
      </c>
      <c r="T499" s="10"/>
      <c r="U499" s="10">
        <v>55848.11</v>
      </c>
      <c r="V499" s="10">
        <v>720093.50999999954</v>
      </c>
      <c r="W499" s="10">
        <v>76175.579999999987</v>
      </c>
      <c r="X499" s="10"/>
      <c r="Y499" s="10">
        <v>515119.93999999989</v>
      </c>
      <c r="Z499" s="10"/>
      <c r="AA499" s="10"/>
      <c r="AB499" s="10"/>
      <c r="AC499" s="10">
        <v>808634.53</v>
      </c>
      <c r="AD499" s="10"/>
      <c r="AE499" s="10"/>
      <c r="AF499" s="10"/>
      <c r="AG499" s="10">
        <v>622945.01</v>
      </c>
      <c r="AH499" s="10"/>
    </row>
    <row r="500" spans="1:34" x14ac:dyDescent="0.25">
      <c r="A500" t="s">
        <v>1171</v>
      </c>
      <c r="B500" t="s">
        <v>32</v>
      </c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>
        <v>104599.76999999999</v>
      </c>
      <c r="V500" s="10">
        <v>107630.00000000001</v>
      </c>
      <c r="W500" s="10"/>
      <c r="X500" s="10">
        <v>34917.85</v>
      </c>
      <c r="Y500" s="10"/>
      <c r="Z500" s="10"/>
      <c r="AA500" s="10"/>
      <c r="AB500" s="10"/>
      <c r="AC500" s="10"/>
      <c r="AD500" s="10"/>
      <c r="AE500" s="10"/>
      <c r="AF500" s="10">
        <v>106045.91</v>
      </c>
      <c r="AG500" s="10"/>
      <c r="AH500" s="10"/>
    </row>
    <row r="501" spans="1:34" x14ac:dyDescent="0.25">
      <c r="A501" t="s">
        <v>1171</v>
      </c>
      <c r="B501" t="s">
        <v>1806</v>
      </c>
      <c r="C501" s="10"/>
      <c r="D501" s="10"/>
      <c r="E501" s="10"/>
      <c r="F501" s="10"/>
      <c r="G501" s="10"/>
      <c r="H501" s="10">
        <v>23894.49</v>
      </c>
      <c r="I501" s="10"/>
      <c r="J501" s="10">
        <v>56603.4</v>
      </c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>
        <v>17882</v>
      </c>
      <c r="AA501" s="10"/>
      <c r="AB501" s="10"/>
      <c r="AC501" s="10"/>
      <c r="AD501" s="10"/>
      <c r="AE501" s="10"/>
      <c r="AF501" s="10"/>
      <c r="AG501" s="10"/>
      <c r="AH501" s="10"/>
    </row>
    <row r="502" spans="1:34" x14ac:dyDescent="0.25">
      <c r="A502" t="s">
        <v>1171</v>
      </c>
      <c r="B502" t="s">
        <v>1239</v>
      </c>
      <c r="C502" s="10">
        <v>414668.72999999992</v>
      </c>
      <c r="D502" s="10"/>
      <c r="E502" s="10">
        <v>200956.93</v>
      </c>
      <c r="F502" s="10"/>
      <c r="G502" s="10"/>
      <c r="H502" s="10">
        <v>302624.80000000005</v>
      </c>
      <c r="I502" s="10"/>
      <c r="J502" s="10"/>
      <c r="K502" s="10"/>
      <c r="L502" s="10"/>
      <c r="M502" s="10">
        <v>846342.84000000008</v>
      </c>
      <c r="N502" s="10"/>
      <c r="O502" s="10"/>
      <c r="P502" s="10">
        <v>591951.22999999986</v>
      </c>
      <c r="Q502" s="10">
        <v>42158.239999999998</v>
      </c>
      <c r="R502" s="10"/>
      <c r="S502" s="10"/>
      <c r="T502" s="10">
        <v>978937.96000000008</v>
      </c>
      <c r="U502" s="10"/>
      <c r="V502" s="10"/>
      <c r="W502" s="10">
        <v>206991.45</v>
      </c>
      <c r="X502" s="10">
        <v>290584.68999999989</v>
      </c>
      <c r="Y502" s="10"/>
      <c r="Z502" s="10">
        <v>376071.7</v>
      </c>
      <c r="AA502" s="10"/>
      <c r="AB502" s="10"/>
      <c r="AC502" s="10">
        <v>719741.2699999999</v>
      </c>
      <c r="AD502" s="10"/>
      <c r="AE502" s="10"/>
      <c r="AF502" s="10">
        <v>366936.46000000008</v>
      </c>
      <c r="AG502" s="10"/>
      <c r="AH502" s="10">
        <v>1096320.7399999995</v>
      </c>
    </row>
    <row r="503" spans="1:34" x14ac:dyDescent="0.25">
      <c r="A503" t="s">
        <v>1171</v>
      </c>
      <c r="B503" t="s">
        <v>33</v>
      </c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>
        <v>9306.66</v>
      </c>
      <c r="N503" s="10"/>
      <c r="O503" s="10"/>
      <c r="P503" s="10"/>
      <c r="Q503" s="10"/>
      <c r="R503" s="10"/>
      <c r="S503" s="10"/>
      <c r="T503" s="10"/>
      <c r="U503" s="10"/>
      <c r="V503" s="10"/>
      <c r="W503" s="10">
        <v>229865.94999999998</v>
      </c>
      <c r="X503" s="10">
        <v>112170.16999999998</v>
      </c>
      <c r="Y503" s="10">
        <v>296913.28999999998</v>
      </c>
      <c r="Z503" s="10">
        <v>149357.02000000002</v>
      </c>
      <c r="AA503" s="10"/>
      <c r="AB503" s="10"/>
      <c r="AC503" s="10">
        <v>68895.7</v>
      </c>
      <c r="AD503" s="10"/>
      <c r="AE503" s="10"/>
      <c r="AF503" s="10"/>
      <c r="AG503" s="10"/>
      <c r="AH503" s="10">
        <v>445135.72000000003</v>
      </c>
    </row>
    <row r="504" spans="1:34" x14ac:dyDescent="0.25">
      <c r="A504" t="s">
        <v>1171</v>
      </c>
      <c r="B504" t="s">
        <v>34</v>
      </c>
      <c r="C504" s="10"/>
      <c r="D504" s="10">
        <v>156438.93</v>
      </c>
      <c r="E504" s="10"/>
      <c r="F504" s="10">
        <v>262711.7</v>
      </c>
      <c r="G504" s="10"/>
      <c r="H504" s="10"/>
      <c r="I504" s="10">
        <v>199744.4</v>
      </c>
      <c r="J504" s="10">
        <v>303364.56999999995</v>
      </c>
      <c r="K504" s="10"/>
      <c r="L504" s="10">
        <v>446784.12999999995</v>
      </c>
      <c r="M504" s="10"/>
      <c r="N504" s="10">
        <v>357995.72</v>
      </c>
      <c r="O504" s="10"/>
      <c r="P504" s="10"/>
      <c r="Q504" s="10"/>
      <c r="R504" s="10">
        <v>400046.06000000017</v>
      </c>
      <c r="S504" s="10"/>
      <c r="T504" s="10"/>
      <c r="U504" s="10">
        <v>280791.5</v>
      </c>
      <c r="V504" s="10">
        <v>117316.83999999997</v>
      </c>
      <c r="W504" s="10"/>
      <c r="X504" s="10"/>
      <c r="Y504" s="10">
        <v>554423.43999999983</v>
      </c>
      <c r="Z504" s="10"/>
      <c r="AA504" s="10">
        <v>222400.07000000012</v>
      </c>
      <c r="AB504" s="10"/>
      <c r="AC504" s="10"/>
      <c r="AD504" s="10"/>
      <c r="AE504" s="10">
        <v>279052.16000000003</v>
      </c>
      <c r="AF504" s="10">
        <v>33615.64</v>
      </c>
      <c r="AG504" s="10"/>
      <c r="AH504" s="10">
        <v>637046.39999999967</v>
      </c>
    </row>
    <row r="505" spans="1:34" x14ac:dyDescent="0.25">
      <c r="A505" t="s">
        <v>1171</v>
      </c>
      <c r="B505" t="s">
        <v>35</v>
      </c>
      <c r="C505" s="10"/>
      <c r="D505" s="10"/>
      <c r="E505" s="10"/>
      <c r="F505" s="10">
        <v>674670.79000000027</v>
      </c>
      <c r="G505" s="10"/>
      <c r="H505" s="10">
        <v>461540.42999999982</v>
      </c>
      <c r="I505" s="10"/>
      <c r="J505" s="10"/>
      <c r="K505" s="10">
        <v>183123.54</v>
      </c>
      <c r="L505" s="10">
        <v>3093.870000000059</v>
      </c>
      <c r="M505" s="10">
        <v>67127.34</v>
      </c>
      <c r="N505" s="10"/>
      <c r="O505" s="10"/>
      <c r="P505" s="10"/>
      <c r="Q505" s="10"/>
      <c r="R505" s="10"/>
      <c r="S505" s="10">
        <v>333616.75</v>
      </c>
      <c r="T505" s="10">
        <v>347579.95999999996</v>
      </c>
      <c r="U505" s="10"/>
      <c r="V505" s="10"/>
      <c r="W505" s="10">
        <v>505741.4</v>
      </c>
      <c r="X505" s="10"/>
      <c r="Y505" s="10"/>
      <c r="Z505" s="10"/>
      <c r="AA505" s="10"/>
      <c r="AB505" s="10"/>
      <c r="AC505" s="10"/>
      <c r="AD505" s="10"/>
      <c r="AE505" s="10">
        <v>529805.89999999991</v>
      </c>
      <c r="AF505" s="10"/>
      <c r="AG505" s="10"/>
      <c r="AH505" s="10"/>
    </row>
    <row r="506" spans="1:34" x14ac:dyDescent="0.25">
      <c r="A506" t="s">
        <v>1171</v>
      </c>
      <c r="B506" t="s">
        <v>1807</v>
      </c>
      <c r="C506" s="10"/>
      <c r="D506" s="10"/>
      <c r="E506" s="10"/>
      <c r="F506" s="10">
        <v>181217.80000000005</v>
      </c>
      <c r="G506" s="10"/>
      <c r="H506" s="10">
        <v>646562.64</v>
      </c>
      <c r="I506" s="10"/>
      <c r="J506" s="10">
        <v>403858.7899999998</v>
      </c>
      <c r="K506" s="10">
        <v>64571.44</v>
      </c>
      <c r="L506" s="10"/>
      <c r="M506" s="10">
        <v>117042.54000000001</v>
      </c>
      <c r="N506" s="10">
        <v>118108.81999999999</v>
      </c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</row>
    <row r="507" spans="1:34" x14ac:dyDescent="0.25">
      <c r="A507" t="s">
        <v>1171</v>
      </c>
      <c r="B507" t="s">
        <v>36</v>
      </c>
      <c r="C507" s="10"/>
      <c r="D507" s="10">
        <v>200624.96000000002</v>
      </c>
      <c r="E507" s="10">
        <v>175647.39000000004</v>
      </c>
      <c r="F507" s="10"/>
      <c r="G507" s="10">
        <v>142600.84000000003</v>
      </c>
      <c r="H507" s="10"/>
      <c r="I507" s="10">
        <v>262061.26000000004</v>
      </c>
      <c r="J507" s="10"/>
      <c r="K507" s="10">
        <v>315543.43</v>
      </c>
      <c r="L507" s="10"/>
      <c r="M507" s="10">
        <v>136816.56</v>
      </c>
      <c r="N507" s="10">
        <v>85870.97</v>
      </c>
      <c r="O507" s="10"/>
      <c r="P507" s="10">
        <v>202863.19999999995</v>
      </c>
      <c r="Q507" s="10"/>
      <c r="R507" s="10">
        <v>280449.71000000002</v>
      </c>
      <c r="S507" s="10"/>
      <c r="T507" s="10">
        <v>243141.54000000004</v>
      </c>
      <c r="U507" s="10">
        <v>149119.24</v>
      </c>
      <c r="V507" s="10"/>
      <c r="W507" s="10">
        <v>85172.390000000014</v>
      </c>
      <c r="X507" s="10">
        <v>58667.87000000001</v>
      </c>
      <c r="Y507" s="10"/>
      <c r="Z507" s="10"/>
      <c r="AA507" s="10"/>
      <c r="AB507" s="10"/>
      <c r="AC507" s="10"/>
      <c r="AD507" s="10">
        <v>236702.09</v>
      </c>
      <c r="AE507" s="10">
        <v>169651.30999999997</v>
      </c>
      <c r="AF507" s="10">
        <v>301155.7</v>
      </c>
      <c r="AG507" s="10">
        <v>322795.16000000003</v>
      </c>
      <c r="AH507" s="10"/>
    </row>
    <row r="508" spans="1:34" x14ac:dyDescent="0.25">
      <c r="A508" t="s">
        <v>1171</v>
      </c>
      <c r="B508" t="s">
        <v>37</v>
      </c>
      <c r="C508" s="10"/>
      <c r="D508" s="10"/>
      <c r="E508" s="10"/>
      <c r="F508" s="10"/>
      <c r="G508" s="10">
        <v>37251.56</v>
      </c>
      <c r="H508" s="10"/>
      <c r="I508" s="10"/>
      <c r="J508" s="10">
        <v>13511.81</v>
      </c>
      <c r="K508" s="10"/>
      <c r="L508" s="10"/>
      <c r="M508" s="10"/>
      <c r="N508" s="10">
        <v>9240.6099999999988</v>
      </c>
      <c r="O508" s="10"/>
      <c r="P508" s="10"/>
      <c r="Q508" s="10"/>
      <c r="R508" s="10">
        <v>15548.080000000002</v>
      </c>
      <c r="S508" s="10"/>
      <c r="T508" s="10"/>
      <c r="U508" s="10"/>
      <c r="V508" s="10"/>
      <c r="W508" s="10"/>
      <c r="X508" s="10"/>
      <c r="Y508" s="10"/>
      <c r="Z508" s="10"/>
      <c r="AA508" s="10">
        <v>35858.129999999997</v>
      </c>
      <c r="AB508" s="10"/>
      <c r="AC508" s="10"/>
      <c r="AD508" s="10"/>
      <c r="AE508" s="10"/>
      <c r="AF508" s="10"/>
      <c r="AG508" s="10"/>
      <c r="AH508" s="10"/>
    </row>
    <row r="509" spans="1:34" x14ac:dyDescent="0.25">
      <c r="A509" t="s">
        <v>1171</v>
      </c>
      <c r="B509" t="s">
        <v>1808</v>
      </c>
      <c r="C509" s="10">
        <v>889983.94000000006</v>
      </c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</row>
    <row r="510" spans="1:34" x14ac:dyDescent="0.25">
      <c r="A510" t="s">
        <v>1171</v>
      </c>
      <c r="B510" t="s">
        <v>1809</v>
      </c>
      <c r="C510" s="10"/>
      <c r="D510" s="10">
        <v>37223.39</v>
      </c>
      <c r="E510" s="10"/>
      <c r="F510" s="10">
        <v>206739.20000000001</v>
      </c>
      <c r="G510" s="10"/>
      <c r="H510" s="10">
        <v>157726.29</v>
      </c>
      <c r="I510" s="10"/>
      <c r="J510" s="10"/>
      <c r="K510" s="10"/>
      <c r="L510" s="10">
        <v>30639.620000000003</v>
      </c>
      <c r="M510" s="10"/>
      <c r="N510" s="10">
        <v>117383.91000000002</v>
      </c>
      <c r="O510" s="10">
        <v>69830.28</v>
      </c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</row>
    <row r="511" spans="1:34" x14ac:dyDescent="0.25">
      <c r="A511" t="s">
        <v>1171</v>
      </c>
      <c r="B511" t="s">
        <v>1810</v>
      </c>
      <c r="C511" s="10"/>
      <c r="D511" s="10"/>
      <c r="E511" s="10"/>
      <c r="F511" s="10"/>
      <c r="G511" s="10"/>
      <c r="H511" s="10"/>
      <c r="I511" s="10"/>
      <c r="J511" s="10"/>
      <c r="K511" s="10"/>
      <c r="L511" s="10">
        <v>163208.94000000006</v>
      </c>
      <c r="M511" s="10">
        <v>114847.33999999997</v>
      </c>
      <c r="N511" s="10">
        <v>196064.97</v>
      </c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>
        <v>299906.02999999997</v>
      </c>
      <c r="AA511" s="10"/>
      <c r="AB511" s="10"/>
      <c r="AC511" s="10">
        <v>344989.75999999983</v>
      </c>
      <c r="AD511" s="10"/>
      <c r="AE511" s="10"/>
      <c r="AF511" s="10">
        <v>419311.37000000005</v>
      </c>
      <c r="AG511" s="10"/>
      <c r="AH511" s="10"/>
    </row>
    <row r="512" spans="1:34" x14ac:dyDescent="0.25">
      <c r="A512" t="s">
        <v>1171</v>
      </c>
      <c r="B512" t="s">
        <v>1811</v>
      </c>
      <c r="C512" s="10"/>
      <c r="D512" s="10"/>
      <c r="E512" s="10"/>
      <c r="F512" s="10">
        <v>991067.12000000023</v>
      </c>
      <c r="G512" s="10"/>
      <c r="H512" s="10"/>
      <c r="I512" s="10"/>
      <c r="J512" s="10"/>
      <c r="K512" s="10"/>
      <c r="L512" s="10"/>
      <c r="M512" s="10">
        <v>732454.70000000007</v>
      </c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</row>
    <row r="513" spans="1:34" x14ac:dyDescent="0.25">
      <c r="A513" t="s">
        <v>1171</v>
      </c>
      <c r="B513" t="s">
        <v>38</v>
      </c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>
        <v>344636.74000000005</v>
      </c>
      <c r="P513" s="10"/>
      <c r="Q513" s="10"/>
      <c r="R513" s="10"/>
      <c r="S513" s="10"/>
      <c r="T513" s="10"/>
      <c r="U513" s="10"/>
      <c r="V513" s="10"/>
      <c r="W513" s="10">
        <v>796877.14000000013</v>
      </c>
      <c r="X513" s="10"/>
      <c r="Y513" s="10"/>
      <c r="Z513" s="10"/>
      <c r="AA513" s="10"/>
      <c r="AB513" s="10">
        <v>1437040.7900000003</v>
      </c>
      <c r="AC513" s="10"/>
      <c r="AD513" s="10"/>
      <c r="AE513" s="10"/>
      <c r="AF513" s="10">
        <v>2765628.4</v>
      </c>
      <c r="AG513" s="10"/>
      <c r="AH513" s="10"/>
    </row>
    <row r="514" spans="1:34" x14ac:dyDescent="0.25">
      <c r="A514" t="s">
        <v>1171</v>
      </c>
      <c r="B514" t="s">
        <v>1812</v>
      </c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>
        <v>474050.97000000009</v>
      </c>
      <c r="U514" s="10"/>
      <c r="V514" s="10"/>
      <c r="W514" s="10"/>
      <c r="X514" s="10"/>
      <c r="Y514" s="10"/>
      <c r="Z514" s="10">
        <v>89757.38</v>
      </c>
      <c r="AA514" s="10"/>
      <c r="AB514" s="10"/>
      <c r="AC514" s="10"/>
      <c r="AD514" s="10"/>
      <c r="AE514" s="10"/>
      <c r="AF514" s="10"/>
      <c r="AG514" s="10"/>
      <c r="AH514" s="10"/>
    </row>
    <row r="515" spans="1:34" x14ac:dyDescent="0.25">
      <c r="A515" t="s">
        <v>1171</v>
      </c>
      <c r="B515" t="s">
        <v>1813</v>
      </c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>
        <v>194682.97999999998</v>
      </c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</row>
    <row r="516" spans="1:34" x14ac:dyDescent="0.25">
      <c r="A516" t="s">
        <v>1171</v>
      </c>
      <c r="B516" t="s">
        <v>1305</v>
      </c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>
        <v>100859.85999999999</v>
      </c>
      <c r="AE516" s="10">
        <v>55279.840000000004</v>
      </c>
      <c r="AF516" s="10"/>
      <c r="AG516" s="10">
        <v>45054.15</v>
      </c>
      <c r="AH516" s="10">
        <v>165995.36000000002</v>
      </c>
    </row>
    <row r="517" spans="1:34" x14ac:dyDescent="0.25">
      <c r="A517" t="s">
        <v>1171</v>
      </c>
      <c r="B517" t="s">
        <v>1240</v>
      </c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>
        <v>138207.53999999995</v>
      </c>
      <c r="Z517" s="10">
        <v>52679.98</v>
      </c>
      <c r="AA517" s="10"/>
      <c r="AB517" s="10"/>
      <c r="AC517" s="10">
        <v>64291.25</v>
      </c>
      <c r="AD517" s="10">
        <v>90303.41</v>
      </c>
      <c r="AE517" s="10">
        <v>126304.74</v>
      </c>
      <c r="AF517" s="10"/>
      <c r="AG517" s="10">
        <v>189621.22000000003</v>
      </c>
      <c r="AH517" s="10">
        <v>92096.890000000014</v>
      </c>
    </row>
    <row r="518" spans="1:34" x14ac:dyDescent="0.25">
      <c r="A518" t="s">
        <v>1171</v>
      </c>
      <c r="B518" t="s">
        <v>1814</v>
      </c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>
        <v>20782.259999999998</v>
      </c>
      <c r="Z518" s="10"/>
      <c r="AA518" s="10"/>
      <c r="AB518" s="10"/>
      <c r="AC518" s="10"/>
      <c r="AD518" s="10"/>
      <c r="AE518" s="10"/>
      <c r="AF518" s="10"/>
      <c r="AG518" s="10"/>
      <c r="AH518" s="10"/>
    </row>
    <row r="519" spans="1:34" x14ac:dyDescent="0.25">
      <c r="A519" t="s">
        <v>1171</v>
      </c>
      <c r="B519" t="s">
        <v>1259</v>
      </c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>
        <v>150805.22999999998</v>
      </c>
      <c r="AD519" s="10"/>
      <c r="AE519" s="10">
        <v>56397.17</v>
      </c>
      <c r="AF519" s="10"/>
      <c r="AG519" s="10">
        <v>23758.399999999998</v>
      </c>
      <c r="AH519" s="10">
        <v>28708.959999999999</v>
      </c>
    </row>
    <row r="520" spans="1:34" x14ac:dyDescent="0.25">
      <c r="A520" t="s">
        <v>1171</v>
      </c>
      <c r="B520" t="s">
        <v>1815</v>
      </c>
      <c r="C520" s="10"/>
      <c r="D520" s="10"/>
      <c r="E520" s="10"/>
      <c r="F520" s="10"/>
      <c r="G520" s="10">
        <v>55163.659999999996</v>
      </c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</row>
    <row r="521" spans="1:34" x14ac:dyDescent="0.25">
      <c r="A521" t="s">
        <v>1171</v>
      </c>
      <c r="B521" t="s">
        <v>1175</v>
      </c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>
        <v>78361.5</v>
      </c>
      <c r="Y521" s="10"/>
      <c r="Z521" s="10"/>
      <c r="AA521" s="10"/>
      <c r="AB521" s="10">
        <v>63569.739999999991</v>
      </c>
      <c r="AC521" s="10">
        <v>21112.760000000006</v>
      </c>
      <c r="AD521" s="10">
        <v>328837.64</v>
      </c>
      <c r="AE521" s="10">
        <v>470275.57</v>
      </c>
      <c r="AF521" s="10">
        <v>328515.99</v>
      </c>
      <c r="AG521" s="10">
        <v>274233.47999999992</v>
      </c>
      <c r="AH521" s="10">
        <v>433506.29000000027</v>
      </c>
    </row>
    <row r="522" spans="1:34" x14ac:dyDescent="0.25">
      <c r="A522" t="s">
        <v>1171</v>
      </c>
      <c r="B522" t="s">
        <v>39</v>
      </c>
      <c r="C522" s="10"/>
      <c r="D522" s="10">
        <v>159217.56999999998</v>
      </c>
      <c r="E522" s="10">
        <v>851520.29000000039</v>
      </c>
      <c r="F522" s="10">
        <v>142884.12999999995</v>
      </c>
      <c r="G522" s="10">
        <v>341337.79000000004</v>
      </c>
      <c r="H522" s="10"/>
      <c r="I522" s="10">
        <v>104013.49999999997</v>
      </c>
      <c r="J522" s="10"/>
      <c r="K522" s="10">
        <v>187487.53</v>
      </c>
      <c r="L522" s="10"/>
      <c r="M522" s="10">
        <v>161967.39999999994</v>
      </c>
      <c r="N522" s="10"/>
      <c r="O522" s="10"/>
      <c r="P522" s="10"/>
      <c r="Q522" s="10">
        <v>175479.82</v>
      </c>
      <c r="R522" s="10">
        <v>299519.00999999989</v>
      </c>
      <c r="S522" s="10"/>
      <c r="T522" s="10"/>
      <c r="U522" s="10"/>
      <c r="V522" s="10"/>
      <c r="W522" s="10">
        <v>215108.12</v>
      </c>
      <c r="X522" s="10"/>
      <c r="Y522" s="10"/>
      <c r="Z522" s="10">
        <v>353362.40999999992</v>
      </c>
      <c r="AA522" s="10">
        <v>248272.72999999995</v>
      </c>
      <c r="AB522" s="10"/>
      <c r="AC522" s="10"/>
      <c r="AD522" s="10"/>
      <c r="AE522" s="10"/>
      <c r="AF522" s="10"/>
      <c r="AG522" s="10"/>
      <c r="AH522" s="10"/>
    </row>
    <row r="523" spans="1:34" x14ac:dyDescent="0.25">
      <c r="A523" t="s">
        <v>1171</v>
      </c>
      <c r="B523" t="s">
        <v>1816</v>
      </c>
      <c r="C523" s="10">
        <v>77592.31</v>
      </c>
      <c r="D523" s="10">
        <v>68725.179999999993</v>
      </c>
      <c r="E523" s="10"/>
      <c r="F523" s="10">
        <v>56644.72</v>
      </c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</row>
    <row r="524" spans="1:34" x14ac:dyDescent="0.25">
      <c r="A524" t="s">
        <v>1171</v>
      </c>
      <c r="B524" t="s">
        <v>1817</v>
      </c>
      <c r="C524" s="10"/>
      <c r="D524" s="10"/>
      <c r="E524" s="10"/>
      <c r="F524" s="10"/>
      <c r="G524" s="10"/>
      <c r="H524" s="10"/>
      <c r="I524" s="10">
        <v>117271.45000000001</v>
      </c>
      <c r="J524" s="10"/>
      <c r="K524" s="10"/>
      <c r="L524" s="10"/>
      <c r="M524" s="10">
        <v>44040.46</v>
      </c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</row>
    <row r="525" spans="1:34" x14ac:dyDescent="0.25">
      <c r="A525" t="s">
        <v>1171</v>
      </c>
      <c r="B525" t="s">
        <v>1818</v>
      </c>
      <c r="C525" s="10"/>
      <c r="D525" s="10"/>
      <c r="E525" s="10"/>
      <c r="F525" s="10"/>
      <c r="G525" s="10">
        <v>1170126</v>
      </c>
      <c r="H525" s="10">
        <v>772148</v>
      </c>
      <c r="I525" s="10"/>
      <c r="J525" s="10">
        <v>438457.8</v>
      </c>
      <c r="K525" s="10">
        <v>287258.40000000002</v>
      </c>
      <c r="L525" s="10"/>
      <c r="M525" s="10">
        <v>232667.4</v>
      </c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</row>
    <row r="526" spans="1:34" x14ac:dyDescent="0.25">
      <c r="A526" t="s">
        <v>1171</v>
      </c>
      <c r="B526" t="s">
        <v>41</v>
      </c>
      <c r="C526" s="10"/>
      <c r="D526" s="10"/>
      <c r="E526" s="10">
        <v>12311.769999999999</v>
      </c>
      <c r="F526" s="10">
        <v>43381.23</v>
      </c>
      <c r="G526" s="10"/>
      <c r="H526" s="10"/>
      <c r="I526" s="10">
        <v>71774.960000000006</v>
      </c>
      <c r="J526" s="10">
        <v>767007.89</v>
      </c>
      <c r="K526" s="10">
        <v>204880.30000000002</v>
      </c>
      <c r="L526" s="10"/>
      <c r="M526" s="10">
        <v>14698.67</v>
      </c>
      <c r="N526" s="10">
        <v>50243.35</v>
      </c>
      <c r="O526" s="10">
        <v>36196.620000000003</v>
      </c>
      <c r="P526" s="10"/>
      <c r="Q526" s="10">
        <v>38099.03</v>
      </c>
      <c r="R526" s="10"/>
      <c r="S526" s="10"/>
      <c r="T526" s="10">
        <v>56802.560000000005</v>
      </c>
      <c r="U526" s="10">
        <v>569446.51</v>
      </c>
      <c r="V526" s="10">
        <v>377273.43</v>
      </c>
      <c r="W526" s="10">
        <v>292143.23</v>
      </c>
      <c r="X526" s="10">
        <v>62648.280000000006</v>
      </c>
      <c r="Y526" s="10">
        <v>359056.51</v>
      </c>
      <c r="Z526" s="10">
        <v>112997.98000000001</v>
      </c>
      <c r="AA526" s="10">
        <v>58894.44</v>
      </c>
      <c r="AB526" s="10"/>
      <c r="AC526" s="10"/>
      <c r="AD526" s="10"/>
      <c r="AE526" s="10">
        <v>87187.610000000015</v>
      </c>
      <c r="AF526" s="10"/>
      <c r="AG526" s="10">
        <v>121788.46999999999</v>
      </c>
      <c r="AH526" s="10"/>
    </row>
    <row r="527" spans="1:34" x14ac:dyDescent="0.25">
      <c r="A527" t="s">
        <v>1171</v>
      </c>
      <c r="B527" t="s">
        <v>42</v>
      </c>
      <c r="C527" s="10"/>
      <c r="D527" s="10"/>
      <c r="E527" s="10"/>
      <c r="F527" s="10"/>
      <c r="G527" s="10">
        <v>235982.59999999998</v>
      </c>
      <c r="H527" s="10">
        <v>153521.36999999997</v>
      </c>
      <c r="I527" s="10"/>
      <c r="J527" s="10">
        <v>52412.069999999992</v>
      </c>
      <c r="K527" s="10">
        <v>255331.72000000006</v>
      </c>
      <c r="L527" s="10">
        <v>79185.419999999984</v>
      </c>
      <c r="M527" s="10">
        <v>119840.69000000003</v>
      </c>
      <c r="N527" s="10">
        <v>205346.8</v>
      </c>
      <c r="O527" s="10">
        <v>213656.58</v>
      </c>
      <c r="P527" s="10">
        <v>265924.78999999998</v>
      </c>
      <c r="Q527" s="10">
        <v>109287.36000000002</v>
      </c>
      <c r="R527" s="10">
        <v>186237.74</v>
      </c>
      <c r="S527" s="10"/>
      <c r="T527" s="10">
        <v>199349.61999999997</v>
      </c>
      <c r="U527" s="10">
        <v>271505.52</v>
      </c>
      <c r="V527" s="10">
        <v>147039.36000000002</v>
      </c>
      <c r="W527" s="10">
        <v>460612.73</v>
      </c>
      <c r="X527" s="10">
        <v>439766.65000000008</v>
      </c>
      <c r="Y527" s="10">
        <v>190419.46000000002</v>
      </c>
      <c r="Z527" s="10">
        <v>306148.07000000007</v>
      </c>
      <c r="AA527" s="10">
        <v>274530.60000000003</v>
      </c>
      <c r="AB527" s="10">
        <v>396365.26999999996</v>
      </c>
      <c r="AC527" s="10">
        <v>168201.88</v>
      </c>
      <c r="AD527" s="10">
        <v>141907.95000000001</v>
      </c>
      <c r="AE527" s="10">
        <v>282384.05999999988</v>
      </c>
      <c r="AF527" s="10">
        <v>352105.23999999993</v>
      </c>
      <c r="AG527" s="10">
        <v>176364.80999999997</v>
      </c>
      <c r="AH527" s="10">
        <v>256474.13000000003</v>
      </c>
    </row>
    <row r="528" spans="1:34" x14ac:dyDescent="0.25">
      <c r="A528" t="s">
        <v>1171</v>
      </c>
      <c r="B528" t="s">
        <v>43</v>
      </c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>
        <v>102276.09000000001</v>
      </c>
      <c r="U528" s="10">
        <v>172614.44</v>
      </c>
      <c r="V528" s="10">
        <v>130544.24000000002</v>
      </c>
      <c r="W528" s="10">
        <v>208247.91999999998</v>
      </c>
      <c r="X528" s="10"/>
      <c r="Y528" s="10">
        <v>64306.51</v>
      </c>
      <c r="Z528" s="10">
        <v>143980.70000000001</v>
      </c>
      <c r="AA528" s="10">
        <v>40596.769999999997</v>
      </c>
      <c r="AB528" s="10">
        <v>96644.659999999989</v>
      </c>
      <c r="AC528" s="10">
        <v>225704.37</v>
      </c>
      <c r="AD528" s="10">
        <v>151885.11000000002</v>
      </c>
      <c r="AE528" s="10">
        <v>256573.66</v>
      </c>
      <c r="AF528" s="10">
        <v>182983.84</v>
      </c>
      <c r="AG528" s="10">
        <v>141488.66999999998</v>
      </c>
      <c r="AH528" s="10">
        <v>155879.75</v>
      </c>
    </row>
    <row r="529" spans="1:34" x14ac:dyDescent="0.25">
      <c r="A529" t="s">
        <v>1171</v>
      </c>
      <c r="B529" t="s">
        <v>44</v>
      </c>
      <c r="C529" s="10"/>
      <c r="D529" s="10"/>
      <c r="E529" s="10"/>
      <c r="F529" s="10">
        <v>51343.479999999981</v>
      </c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>
        <v>117302.31</v>
      </c>
      <c r="Z529" s="10"/>
      <c r="AA529" s="10"/>
      <c r="AB529" s="10"/>
      <c r="AC529" s="10"/>
      <c r="AD529" s="10"/>
      <c r="AE529" s="10"/>
      <c r="AF529" s="10"/>
      <c r="AG529" s="10">
        <v>231757.52000000002</v>
      </c>
      <c r="AH529" s="10"/>
    </row>
    <row r="530" spans="1:34" x14ac:dyDescent="0.25">
      <c r="A530" t="s">
        <v>1171</v>
      </c>
      <c r="B530" t="s">
        <v>1819</v>
      </c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>
        <v>284542.44</v>
      </c>
      <c r="P530" s="10"/>
      <c r="Q530" s="10">
        <v>652376.4</v>
      </c>
      <c r="R530" s="10">
        <v>59097.599999999999</v>
      </c>
      <c r="S530" s="10">
        <v>372003.88</v>
      </c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</row>
    <row r="531" spans="1:34" x14ac:dyDescent="0.25">
      <c r="A531" t="s">
        <v>1171</v>
      </c>
      <c r="B531" t="s">
        <v>1820</v>
      </c>
      <c r="C531" s="10"/>
      <c r="D531" s="10"/>
      <c r="E531" s="10"/>
      <c r="F531" s="10"/>
      <c r="G531" s="10">
        <v>691351.57999999973</v>
      </c>
      <c r="H531" s="10"/>
      <c r="I531" s="10">
        <v>428008.31999999995</v>
      </c>
      <c r="J531" s="10"/>
      <c r="K531" s="10">
        <v>428730.82999999996</v>
      </c>
      <c r="L531" s="10"/>
      <c r="M531" s="10">
        <v>304488.26000000013</v>
      </c>
      <c r="N531" s="10"/>
      <c r="O531" s="10"/>
      <c r="P531" s="10">
        <v>493100.77999999985</v>
      </c>
      <c r="Q531" s="10"/>
      <c r="R531" s="10"/>
      <c r="S531" s="10"/>
      <c r="T531" s="10"/>
      <c r="U531" s="10"/>
      <c r="V531" s="10">
        <v>498352.18000000005</v>
      </c>
      <c r="W531" s="10"/>
      <c r="X531" s="10">
        <v>1190545.54</v>
      </c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</row>
    <row r="532" spans="1:34" x14ac:dyDescent="0.25">
      <c r="A532" t="s">
        <v>1171</v>
      </c>
      <c r="B532" t="s">
        <v>1821</v>
      </c>
      <c r="C532" s="10"/>
      <c r="D532" s="10"/>
      <c r="E532" s="10"/>
      <c r="F532" s="10"/>
      <c r="G532" s="10">
        <v>1047655.9999999999</v>
      </c>
      <c r="H532" s="10">
        <v>57200</v>
      </c>
      <c r="I532" s="10"/>
      <c r="J532" s="10"/>
      <c r="K532" s="10"/>
      <c r="L532" s="10">
        <v>759358.66000000015</v>
      </c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>
        <v>744393.31</v>
      </c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</row>
    <row r="533" spans="1:34" x14ac:dyDescent="0.25">
      <c r="A533" t="s">
        <v>1171</v>
      </c>
      <c r="B533" t="s">
        <v>829</v>
      </c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>
        <v>679360.78000000014</v>
      </c>
      <c r="AA533" s="10"/>
      <c r="AB533" s="10"/>
      <c r="AC533" s="10">
        <v>218398.45999999996</v>
      </c>
      <c r="AD533" s="10">
        <v>264243.61000000004</v>
      </c>
      <c r="AE533" s="10">
        <v>157420.43000000002</v>
      </c>
      <c r="AF533" s="10">
        <v>77577.680000000008</v>
      </c>
      <c r="AG533" s="10"/>
      <c r="AH533" s="10">
        <v>306958.35000000009</v>
      </c>
    </row>
    <row r="534" spans="1:34" x14ac:dyDescent="0.25">
      <c r="A534" t="s">
        <v>1171</v>
      </c>
      <c r="B534" t="s">
        <v>45</v>
      </c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>
        <v>153602.56999999998</v>
      </c>
      <c r="X534" s="10">
        <v>44060.25</v>
      </c>
      <c r="Y534" s="10">
        <v>168173.91999999998</v>
      </c>
      <c r="Z534" s="10">
        <v>468199.56999999995</v>
      </c>
      <c r="AA534" s="10"/>
      <c r="AB534" s="10">
        <v>264399.79999999993</v>
      </c>
      <c r="AC534" s="10"/>
      <c r="AD534" s="10"/>
      <c r="AE534" s="10">
        <v>851383.91</v>
      </c>
      <c r="AF534" s="10"/>
      <c r="AG534" s="10"/>
      <c r="AH534" s="10">
        <v>395127.70000000013</v>
      </c>
    </row>
    <row r="535" spans="1:34" x14ac:dyDescent="0.25">
      <c r="A535" t="s">
        <v>1171</v>
      </c>
      <c r="B535" t="s">
        <v>1822</v>
      </c>
      <c r="C535" s="10"/>
      <c r="D535" s="10"/>
      <c r="E535" s="10"/>
      <c r="F535" s="10"/>
      <c r="G535" s="10"/>
      <c r="H535" s="10"/>
      <c r="I535" s="10"/>
      <c r="J535" s="10">
        <v>119291.98</v>
      </c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</row>
    <row r="536" spans="1:34" x14ac:dyDescent="0.25">
      <c r="A536" t="s">
        <v>1171</v>
      </c>
      <c r="B536" t="s">
        <v>1260</v>
      </c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>
        <v>250453.2999999999</v>
      </c>
      <c r="AD536" s="10"/>
      <c r="AE536" s="10">
        <v>94630.779999999984</v>
      </c>
      <c r="AF536" s="10">
        <v>136120.54</v>
      </c>
      <c r="AG536" s="10">
        <v>95723.489999999991</v>
      </c>
      <c r="AH536" s="10">
        <v>223939.61000000002</v>
      </c>
    </row>
    <row r="537" spans="1:34" x14ac:dyDescent="0.25">
      <c r="A537" t="s">
        <v>1171</v>
      </c>
      <c r="B537" t="s">
        <v>46</v>
      </c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>
        <v>588917.46999999986</v>
      </c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>
        <v>116626.68000000002</v>
      </c>
      <c r="AF537" s="10">
        <v>19282.29</v>
      </c>
      <c r="AG537" s="10">
        <v>249706.14</v>
      </c>
      <c r="AH537" s="10">
        <v>518149.73</v>
      </c>
    </row>
    <row r="538" spans="1:34" x14ac:dyDescent="0.25">
      <c r="A538" t="s">
        <v>1171</v>
      </c>
      <c r="B538" t="s">
        <v>47</v>
      </c>
      <c r="C538" s="10">
        <v>709832.75999999989</v>
      </c>
      <c r="D538" s="10">
        <v>208741.3</v>
      </c>
      <c r="E538" s="10">
        <v>47043.17</v>
      </c>
      <c r="F538" s="10"/>
      <c r="G538" s="10">
        <v>291956.52999999997</v>
      </c>
      <c r="H538" s="10">
        <v>176945.07</v>
      </c>
      <c r="I538" s="10">
        <v>726130.22000000009</v>
      </c>
      <c r="J538" s="10">
        <v>816871.03</v>
      </c>
      <c r="K538" s="10">
        <v>190075.68000000002</v>
      </c>
      <c r="L538" s="10"/>
      <c r="M538" s="10">
        <v>235230.41999999998</v>
      </c>
      <c r="N538" s="10">
        <v>159176.32000000001</v>
      </c>
      <c r="O538" s="10">
        <v>432395.7699999999</v>
      </c>
      <c r="P538" s="10"/>
      <c r="Q538" s="10">
        <v>393638</v>
      </c>
      <c r="R538" s="10">
        <v>117549.77</v>
      </c>
      <c r="S538" s="10"/>
      <c r="T538" s="10">
        <v>72362.659999999974</v>
      </c>
      <c r="U538" s="10">
        <v>69900.19</v>
      </c>
      <c r="V538" s="10">
        <v>74672.63</v>
      </c>
      <c r="W538" s="10">
        <v>290126.51999999996</v>
      </c>
      <c r="X538" s="10"/>
      <c r="Y538" s="10">
        <v>293145.74</v>
      </c>
      <c r="Z538" s="10">
        <v>149480.26999999999</v>
      </c>
      <c r="AA538" s="10"/>
      <c r="AB538" s="10">
        <v>422180.38000000006</v>
      </c>
      <c r="AC538" s="10"/>
      <c r="AD538" s="10">
        <v>413623.81000000011</v>
      </c>
      <c r="AE538" s="10"/>
      <c r="AF538" s="10">
        <v>534743.89000000025</v>
      </c>
      <c r="AG538" s="10">
        <v>614845.82000000007</v>
      </c>
      <c r="AH538" s="10"/>
    </row>
    <row r="539" spans="1:34" x14ac:dyDescent="0.25">
      <c r="A539" t="s">
        <v>1171</v>
      </c>
      <c r="B539" t="s">
        <v>1823</v>
      </c>
      <c r="C539" s="10"/>
      <c r="D539" s="10"/>
      <c r="E539" s="10"/>
      <c r="F539" s="10"/>
      <c r="G539" s="10"/>
      <c r="H539" s="10"/>
      <c r="I539" s="10"/>
      <c r="J539" s="10"/>
      <c r="K539" s="10">
        <v>634122.41</v>
      </c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</row>
    <row r="540" spans="1:34" x14ac:dyDescent="0.25">
      <c r="A540" t="s">
        <v>1171</v>
      </c>
      <c r="B540" t="s">
        <v>1824</v>
      </c>
      <c r="C540" s="10"/>
      <c r="D540" s="10"/>
      <c r="E540" s="10"/>
      <c r="F540" s="10">
        <v>39748.86</v>
      </c>
      <c r="G540" s="10"/>
      <c r="H540" s="10">
        <v>64942.209999999992</v>
      </c>
      <c r="I540" s="10"/>
      <c r="J540" s="10">
        <v>44042.19</v>
      </c>
      <c r="K540" s="10">
        <v>2652.4</v>
      </c>
      <c r="L540" s="10"/>
      <c r="M540" s="10"/>
      <c r="N540" s="10"/>
      <c r="O540" s="10">
        <v>282646.01</v>
      </c>
      <c r="P540" s="10"/>
      <c r="Q540" s="10"/>
      <c r="R540" s="10"/>
      <c r="S540" s="10"/>
      <c r="T540" s="10"/>
      <c r="U540" s="10"/>
      <c r="V540" s="10">
        <v>100925.95999999996</v>
      </c>
      <c r="W540" s="10">
        <v>189621.62999999998</v>
      </c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</row>
    <row r="541" spans="1:34" x14ac:dyDescent="0.25">
      <c r="A541" t="s">
        <v>1171</v>
      </c>
      <c r="B541" t="s">
        <v>48</v>
      </c>
      <c r="C541" s="10"/>
      <c r="D541" s="10">
        <v>76435.48000000001</v>
      </c>
      <c r="E541" s="10"/>
      <c r="F541" s="10"/>
      <c r="G541" s="10">
        <v>155421.72000000003</v>
      </c>
      <c r="H541" s="10">
        <v>190484.76</v>
      </c>
      <c r="I541" s="10">
        <v>138464.69999999998</v>
      </c>
      <c r="J541" s="10">
        <v>382089.3600000001</v>
      </c>
      <c r="K541" s="10">
        <v>119234.48000000003</v>
      </c>
      <c r="L541" s="10">
        <v>34403.78</v>
      </c>
      <c r="M541" s="10">
        <v>106470.79000000001</v>
      </c>
      <c r="N541" s="10">
        <v>335063.95999999996</v>
      </c>
      <c r="O541" s="10"/>
      <c r="P541" s="10">
        <v>71738.649999999994</v>
      </c>
      <c r="Q541" s="10">
        <v>198501.64</v>
      </c>
      <c r="R541" s="10">
        <v>47284.85</v>
      </c>
      <c r="S541" s="10"/>
      <c r="T541" s="10">
        <v>204975.65000000002</v>
      </c>
      <c r="U541" s="10"/>
      <c r="V541" s="10"/>
      <c r="W541" s="10">
        <v>102685.36000000002</v>
      </c>
      <c r="X541" s="10"/>
      <c r="Y541" s="10">
        <v>107734.27</v>
      </c>
      <c r="Z541" s="10"/>
      <c r="AA541" s="10"/>
      <c r="AB541" s="10">
        <v>76746.880000000005</v>
      </c>
      <c r="AC541" s="10">
        <v>91680.89</v>
      </c>
      <c r="AD541" s="10"/>
      <c r="AE541" s="10">
        <v>58135.66</v>
      </c>
      <c r="AF541" s="10">
        <v>204078.75000000003</v>
      </c>
      <c r="AG541" s="10"/>
      <c r="AH541" s="10">
        <v>401920.96</v>
      </c>
    </row>
    <row r="542" spans="1:34" x14ac:dyDescent="0.25">
      <c r="A542" t="s">
        <v>1171</v>
      </c>
      <c r="B542" t="s">
        <v>49</v>
      </c>
      <c r="C542" s="10"/>
      <c r="D542" s="10"/>
      <c r="E542" s="10">
        <v>292493.23</v>
      </c>
      <c r="F542" s="10">
        <v>391042.20000000007</v>
      </c>
      <c r="G542" s="10">
        <v>267795.51</v>
      </c>
      <c r="H542" s="10">
        <v>251492.77000000005</v>
      </c>
      <c r="I542" s="10">
        <v>215522.69</v>
      </c>
      <c r="J542" s="10">
        <v>558230.93999999994</v>
      </c>
      <c r="K542" s="10">
        <v>390085.31</v>
      </c>
      <c r="L542" s="10">
        <v>77521.37</v>
      </c>
      <c r="M542" s="10"/>
      <c r="N542" s="10">
        <v>113313.95</v>
      </c>
      <c r="O542" s="10">
        <v>58375.939999999995</v>
      </c>
      <c r="P542" s="10">
        <v>91083.03</v>
      </c>
      <c r="Q542" s="10">
        <v>96159.53</v>
      </c>
      <c r="R542" s="10">
        <v>465196.95000000007</v>
      </c>
      <c r="S542" s="10"/>
      <c r="T542" s="10"/>
      <c r="U542" s="10"/>
      <c r="V542" s="10"/>
      <c r="W542" s="10">
        <v>616958.33000000007</v>
      </c>
      <c r="X542" s="10">
        <v>124455.45</v>
      </c>
      <c r="Y542" s="10">
        <v>33743.279999999999</v>
      </c>
      <c r="Z542" s="10">
        <v>309185.46000000002</v>
      </c>
      <c r="AA542" s="10">
        <v>177889.53999999998</v>
      </c>
      <c r="AB542" s="10">
        <v>248433.34999999998</v>
      </c>
      <c r="AC542" s="10">
        <v>410844.38</v>
      </c>
      <c r="AD542" s="10">
        <v>352526.67</v>
      </c>
      <c r="AE542" s="10">
        <v>467354.39999999985</v>
      </c>
      <c r="AF542" s="10">
        <v>163118.41</v>
      </c>
      <c r="AG542" s="10">
        <v>580760.14</v>
      </c>
      <c r="AH542" s="10">
        <v>104845.66999999998</v>
      </c>
    </row>
    <row r="543" spans="1:34" x14ac:dyDescent="0.25">
      <c r="A543" t="s">
        <v>1171</v>
      </c>
      <c r="B543" t="s">
        <v>1825</v>
      </c>
      <c r="C543" s="10"/>
      <c r="D543" s="10"/>
      <c r="E543" s="10"/>
      <c r="F543" s="10"/>
      <c r="G543" s="10"/>
      <c r="H543" s="10">
        <v>1121855</v>
      </c>
      <c r="I543" s="10"/>
      <c r="J543" s="10">
        <v>1888252.1700000004</v>
      </c>
      <c r="K543" s="10"/>
      <c r="L543" s="10">
        <v>1678162.3599999999</v>
      </c>
      <c r="M543" s="10"/>
      <c r="N543" s="10">
        <v>230622</v>
      </c>
      <c r="O543" s="10"/>
      <c r="P543" s="10">
        <v>557568.13</v>
      </c>
      <c r="Q543" s="10"/>
      <c r="R543" s="10"/>
      <c r="S543" s="10">
        <v>31009.180000000004</v>
      </c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</row>
    <row r="544" spans="1:34" x14ac:dyDescent="0.25">
      <c r="A544" t="s">
        <v>1171</v>
      </c>
      <c r="B544" t="s">
        <v>1826</v>
      </c>
      <c r="C544" s="10"/>
      <c r="D544" s="10"/>
      <c r="E544" s="10">
        <v>399051.26</v>
      </c>
      <c r="F544" s="10"/>
      <c r="G544" s="10">
        <v>94564.380000000019</v>
      </c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</row>
    <row r="545" spans="1:34" x14ac:dyDescent="0.25">
      <c r="A545" t="s">
        <v>1171</v>
      </c>
      <c r="B545" t="s">
        <v>1827</v>
      </c>
      <c r="C545" s="10"/>
      <c r="D545" s="10"/>
      <c r="E545" s="10">
        <v>169438.66</v>
      </c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</row>
    <row r="546" spans="1:34" x14ac:dyDescent="0.25">
      <c r="A546" t="s">
        <v>1171</v>
      </c>
      <c r="B546" t="s">
        <v>1828</v>
      </c>
      <c r="C546" s="10"/>
      <c r="D546" s="10"/>
      <c r="E546" s="10"/>
      <c r="F546" s="10"/>
      <c r="G546" s="10"/>
      <c r="H546" s="10"/>
      <c r="I546" s="10"/>
      <c r="J546" s="10"/>
      <c r="K546" s="10">
        <v>124690.81</v>
      </c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>
        <v>168757.78000000003</v>
      </c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</row>
    <row r="547" spans="1:34" x14ac:dyDescent="0.25">
      <c r="A547" t="s">
        <v>1171</v>
      </c>
      <c r="B547" t="s">
        <v>1306</v>
      </c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>
        <v>137182.85</v>
      </c>
      <c r="AE547" s="10">
        <v>341991.81000000017</v>
      </c>
      <c r="AF547" s="10">
        <v>381109.32999999996</v>
      </c>
      <c r="AG547" s="10">
        <v>666043.2200000002</v>
      </c>
      <c r="AH547" s="10">
        <v>748505.1399999999</v>
      </c>
    </row>
    <row r="548" spans="1:34" x14ac:dyDescent="0.25">
      <c r="A548" t="s">
        <v>1308</v>
      </c>
      <c r="B548" t="s">
        <v>1309</v>
      </c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>
        <v>201008.27999999997</v>
      </c>
      <c r="AE548" s="10">
        <v>172003.83999999997</v>
      </c>
      <c r="AF548" s="10">
        <v>15815.369999999999</v>
      </c>
      <c r="AG548" s="10">
        <v>130647.04000000001</v>
      </c>
      <c r="AH548" s="10"/>
    </row>
    <row r="549" spans="1:34" x14ac:dyDescent="0.25">
      <c r="A549" t="s">
        <v>1308</v>
      </c>
      <c r="B549" t="s">
        <v>1424</v>
      </c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>
        <v>32445.769999999997</v>
      </c>
      <c r="AG549" s="10"/>
      <c r="AH549" s="10"/>
    </row>
    <row r="550" spans="1:34" x14ac:dyDescent="0.25">
      <c r="A550" t="s">
        <v>1308</v>
      </c>
      <c r="B550" t="s">
        <v>1425</v>
      </c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>
        <v>52017.130000000012</v>
      </c>
      <c r="AG550" s="10">
        <v>148010.92000000001</v>
      </c>
      <c r="AH550" s="10">
        <v>70372.14</v>
      </c>
    </row>
    <row r="551" spans="1:34" x14ac:dyDescent="0.25">
      <c r="A551" t="s">
        <v>1308</v>
      </c>
      <c r="B551" t="s">
        <v>1426</v>
      </c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>
        <v>29578.940000000002</v>
      </c>
      <c r="AG551" s="10"/>
      <c r="AH551" s="10"/>
    </row>
    <row r="552" spans="1:34" x14ac:dyDescent="0.25">
      <c r="A552" t="s">
        <v>1308</v>
      </c>
      <c r="B552" t="s">
        <v>1357</v>
      </c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>
        <v>65128.719999999994</v>
      </c>
      <c r="AF552" s="10">
        <v>105073.27000000002</v>
      </c>
      <c r="AG552" s="10"/>
      <c r="AH552" s="10"/>
    </row>
    <row r="553" spans="1:34" x14ac:dyDescent="0.25">
      <c r="A553" t="s">
        <v>1308</v>
      </c>
      <c r="B553" t="s">
        <v>1358</v>
      </c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>
        <v>48135.82</v>
      </c>
      <c r="AF553" s="10"/>
      <c r="AG553" s="10"/>
      <c r="AH553" s="10"/>
    </row>
    <row r="554" spans="1:34" x14ac:dyDescent="0.25">
      <c r="A554" t="s">
        <v>1308</v>
      </c>
      <c r="B554" t="s">
        <v>1829</v>
      </c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>
        <v>39080.57</v>
      </c>
    </row>
    <row r="555" spans="1:34" x14ac:dyDescent="0.25">
      <c r="A555" t="s">
        <v>1308</v>
      </c>
      <c r="B555" t="s">
        <v>1359</v>
      </c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>
        <v>168718.65</v>
      </c>
      <c r="AF555" s="10">
        <v>578033.30999999994</v>
      </c>
      <c r="AG555" s="10">
        <v>114489.67</v>
      </c>
      <c r="AH555" s="10">
        <v>119364.84</v>
      </c>
    </row>
    <row r="556" spans="1:34" x14ac:dyDescent="0.25">
      <c r="A556" t="s">
        <v>1308</v>
      </c>
      <c r="B556" t="s">
        <v>1360</v>
      </c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>
        <v>145274.57999999999</v>
      </c>
      <c r="AF556" s="10">
        <v>85907.55</v>
      </c>
      <c r="AG556" s="10"/>
      <c r="AH556" s="10">
        <v>51843.650000000009</v>
      </c>
    </row>
    <row r="557" spans="1:34" x14ac:dyDescent="0.25">
      <c r="A557" t="s">
        <v>1308</v>
      </c>
      <c r="B557" t="s">
        <v>1830</v>
      </c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>
        <v>45268.929999999986</v>
      </c>
    </row>
    <row r="558" spans="1:34" x14ac:dyDescent="0.25">
      <c r="A558" t="s">
        <v>1308</v>
      </c>
      <c r="B558" t="s">
        <v>1468</v>
      </c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>
        <v>50061.07</v>
      </c>
      <c r="AH558" s="10">
        <v>43684.150000000009</v>
      </c>
    </row>
    <row r="559" spans="1:34" x14ac:dyDescent="0.25">
      <c r="A559" t="s">
        <v>1308</v>
      </c>
      <c r="B559" t="s">
        <v>1470</v>
      </c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>
        <v>33873.96</v>
      </c>
      <c r="AH559" s="10">
        <v>22530.5</v>
      </c>
    </row>
    <row r="560" spans="1:34" x14ac:dyDescent="0.25">
      <c r="A560" t="s">
        <v>1308</v>
      </c>
      <c r="B560" t="s">
        <v>1469</v>
      </c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>
        <v>237585.25</v>
      </c>
      <c r="AH560" s="10"/>
    </row>
    <row r="561" spans="1:34" x14ac:dyDescent="0.25">
      <c r="A561" t="s">
        <v>1308</v>
      </c>
      <c r="B561" t="s">
        <v>1471</v>
      </c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>
        <v>48329.290000000008</v>
      </c>
      <c r="AH561" s="10"/>
    </row>
    <row r="562" spans="1:34" x14ac:dyDescent="0.25">
      <c r="A562" t="s">
        <v>1308</v>
      </c>
      <c r="B562" t="s">
        <v>1549</v>
      </c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>
        <v>144828.31000000003</v>
      </c>
    </row>
    <row r="563" spans="1:34" x14ac:dyDescent="0.25">
      <c r="A563" t="s">
        <v>1308</v>
      </c>
      <c r="B563" t="s">
        <v>1550</v>
      </c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>
        <v>100140.09</v>
      </c>
    </row>
    <row r="564" spans="1:34" x14ac:dyDescent="0.25">
      <c r="A564" t="s">
        <v>1308</v>
      </c>
      <c r="B564" t="s">
        <v>1831</v>
      </c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>
        <v>62504.070000000022</v>
      </c>
    </row>
    <row r="565" spans="1:34" x14ac:dyDescent="0.25">
      <c r="A565" t="s">
        <v>1308</v>
      </c>
      <c r="B565" t="s">
        <v>1832</v>
      </c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>
        <v>20857.100000000002</v>
      </c>
    </row>
    <row r="566" spans="1:34" x14ac:dyDescent="0.25">
      <c r="A566" t="s">
        <v>1308</v>
      </c>
      <c r="B566" t="s">
        <v>1361</v>
      </c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>
        <v>52839.25</v>
      </c>
      <c r="AF566" s="10">
        <v>102809.33</v>
      </c>
      <c r="AG566" s="10">
        <v>145267.45999999996</v>
      </c>
      <c r="AH566" s="10">
        <v>355426.75000000012</v>
      </c>
    </row>
    <row r="567" spans="1:34" x14ac:dyDescent="0.25">
      <c r="A567" t="s">
        <v>1308</v>
      </c>
      <c r="B567" t="s">
        <v>1472</v>
      </c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>
        <v>54659.139999999992</v>
      </c>
      <c r="AH567" s="10">
        <v>42200.729999999996</v>
      </c>
    </row>
    <row r="568" spans="1:34" x14ac:dyDescent="0.25">
      <c r="A568" t="s">
        <v>1308</v>
      </c>
      <c r="B568" t="s">
        <v>1467</v>
      </c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>
        <v>49302.709999999992</v>
      </c>
      <c r="AH568" s="10">
        <v>14876.17</v>
      </c>
    </row>
    <row r="569" spans="1:34" x14ac:dyDescent="0.25">
      <c r="A569" t="s">
        <v>1427</v>
      </c>
      <c r="B569" t="s">
        <v>1429</v>
      </c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>
        <v>100934.64</v>
      </c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>
        <v>26785.800000000003</v>
      </c>
      <c r="AG569" s="10"/>
      <c r="AH569" s="10"/>
    </row>
    <row r="570" spans="1:34" x14ac:dyDescent="0.25">
      <c r="A570" t="s">
        <v>1427</v>
      </c>
      <c r="B570" t="s">
        <v>1473</v>
      </c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>
        <v>62389.379999999983</v>
      </c>
      <c r="AH570" s="10">
        <v>99312.969999999987</v>
      </c>
    </row>
    <row r="571" spans="1:34" x14ac:dyDescent="0.25">
      <c r="A571" t="s">
        <v>1427</v>
      </c>
      <c r="B571" t="s">
        <v>1430</v>
      </c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>
        <v>79424.96000000005</v>
      </c>
      <c r="AG571" s="10">
        <v>61146.130000000005</v>
      </c>
      <c r="AH571" s="10">
        <v>66847.48</v>
      </c>
    </row>
    <row r="572" spans="1:34" x14ac:dyDescent="0.25">
      <c r="A572" t="s">
        <v>1427</v>
      </c>
      <c r="B572" t="s">
        <v>1551</v>
      </c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>
        <v>173870.39999999997</v>
      </c>
    </row>
    <row r="573" spans="1:34" x14ac:dyDescent="0.25">
      <c r="A573" t="s">
        <v>1427</v>
      </c>
      <c r="B573" t="s">
        <v>1833</v>
      </c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>
        <v>41638.51999999999</v>
      </c>
    </row>
    <row r="574" spans="1:34" x14ac:dyDescent="0.25">
      <c r="A574" t="s">
        <v>1427</v>
      </c>
      <c r="B574" t="s">
        <v>1431</v>
      </c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>
        <v>152760.10000000003</v>
      </c>
      <c r="AG574" s="10">
        <v>107986.64</v>
      </c>
      <c r="AH574" s="10">
        <v>88708.749999999985</v>
      </c>
    </row>
    <row r="575" spans="1:34" x14ac:dyDescent="0.25">
      <c r="A575" t="s">
        <v>1427</v>
      </c>
      <c r="B575" t="s">
        <v>1432</v>
      </c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>
        <v>67914.140000000029</v>
      </c>
      <c r="AG575" s="10">
        <v>50995.719999999987</v>
      </c>
      <c r="AH575" s="10">
        <v>64020.499999999993</v>
      </c>
    </row>
    <row r="576" spans="1:34" x14ac:dyDescent="0.25">
      <c r="A576" t="s">
        <v>1427</v>
      </c>
      <c r="B576" t="s">
        <v>1433</v>
      </c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>
        <v>795741.24000000011</v>
      </c>
      <c r="AG576" s="10">
        <v>1076688.81</v>
      </c>
      <c r="AH576" s="10">
        <v>299871.8600000001</v>
      </c>
    </row>
    <row r="577" spans="1:34" x14ac:dyDescent="0.25">
      <c r="A577" t="s">
        <v>1427</v>
      </c>
      <c r="B577" t="s">
        <v>1552</v>
      </c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>
        <v>193629.77999999997</v>
      </c>
    </row>
    <row r="578" spans="1:34" x14ac:dyDescent="0.25">
      <c r="A578" t="s">
        <v>1427</v>
      </c>
      <c r="B578" t="s">
        <v>1553</v>
      </c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>
        <v>160820.25000000009</v>
      </c>
    </row>
    <row r="579" spans="1:34" x14ac:dyDescent="0.25">
      <c r="A579" t="s">
        <v>1427</v>
      </c>
      <c r="B579" t="s">
        <v>1434</v>
      </c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>
        <v>32815.9</v>
      </c>
      <c r="AG579" s="10">
        <v>23854.980000000003</v>
      </c>
      <c r="AH579" s="10">
        <v>62246.040000000023</v>
      </c>
    </row>
    <row r="580" spans="1:34" x14ac:dyDescent="0.25">
      <c r="A580" t="s">
        <v>1427</v>
      </c>
      <c r="B580" t="s">
        <v>1554</v>
      </c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>
        <v>127426.04999999996</v>
      </c>
    </row>
    <row r="581" spans="1:34" x14ac:dyDescent="0.25">
      <c r="A581" t="s">
        <v>1427</v>
      </c>
      <c r="B581" t="s">
        <v>1435</v>
      </c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>
        <v>129707.83</v>
      </c>
      <c r="AG581" s="10">
        <v>146538.49</v>
      </c>
      <c r="AH581" s="10">
        <v>66601.919999999998</v>
      </c>
    </row>
    <row r="582" spans="1:34" x14ac:dyDescent="0.25">
      <c r="A582" t="s">
        <v>1427</v>
      </c>
      <c r="B582" t="s">
        <v>1436</v>
      </c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>
        <v>306332.81</v>
      </c>
      <c r="AG582" s="10">
        <v>134453.94</v>
      </c>
      <c r="AH582" s="10">
        <v>146311.47</v>
      </c>
    </row>
    <row r="583" spans="1:34" x14ac:dyDescent="0.25">
      <c r="A583" t="s">
        <v>1427</v>
      </c>
      <c r="B583" t="s">
        <v>1834</v>
      </c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>
        <v>61325.96</v>
      </c>
    </row>
    <row r="584" spans="1:34" x14ac:dyDescent="0.25">
      <c r="A584" t="s">
        <v>1427</v>
      </c>
      <c r="B584" t="s">
        <v>1437</v>
      </c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>
        <v>50469.429999999993</v>
      </c>
      <c r="AG584" s="10">
        <v>33103.82</v>
      </c>
      <c r="AH584" s="10">
        <v>62067.34</v>
      </c>
    </row>
    <row r="585" spans="1:34" x14ac:dyDescent="0.25">
      <c r="A585" t="s">
        <v>1427</v>
      </c>
      <c r="B585" t="s">
        <v>1555</v>
      </c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>
        <v>125668.13</v>
      </c>
    </row>
    <row r="586" spans="1:34" x14ac:dyDescent="0.25">
      <c r="A586" t="s">
        <v>1427</v>
      </c>
      <c r="B586" t="s">
        <v>1835</v>
      </c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>
        <v>28889.579999999994</v>
      </c>
      <c r="AH586" s="10"/>
    </row>
    <row r="587" spans="1:34" x14ac:dyDescent="0.25">
      <c r="A587" t="s">
        <v>1182</v>
      </c>
      <c r="B587" t="s">
        <v>1836</v>
      </c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>
        <v>152932.75999999998</v>
      </c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</row>
    <row r="588" spans="1:34" x14ac:dyDescent="0.25">
      <c r="A588" t="s">
        <v>1182</v>
      </c>
      <c r="B588" t="s">
        <v>1837</v>
      </c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>
        <v>29287.119999999999</v>
      </c>
      <c r="V588" s="10"/>
      <c r="W588" s="10"/>
      <c r="X588" s="10"/>
      <c r="Y588" s="10"/>
      <c r="Z588" s="10">
        <v>20028.650000000001</v>
      </c>
      <c r="AA588" s="10"/>
      <c r="AB588" s="10"/>
      <c r="AC588" s="10"/>
      <c r="AD588" s="10"/>
      <c r="AE588" s="10"/>
      <c r="AF588" s="10"/>
      <c r="AG588" s="10"/>
      <c r="AH588" s="10"/>
    </row>
    <row r="589" spans="1:34" x14ac:dyDescent="0.25">
      <c r="A589" t="s">
        <v>1182</v>
      </c>
      <c r="B589" t="s">
        <v>1311</v>
      </c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>
        <v>438569.53</v>
      </c>
      <c r="AE589" s="10">
        <v>109041.45999999999</v>
      </c>
      <c r="AF589" s="10">
        <v>18684.12</v>
      </c>
      <c r="AG589" s="10">
        <v>41901.020000000004</v>
      </c>
      <c r="AH589" s="10">
        <v>379607.85</v>
      </c>
    </row>
    <row r="590" spans="1:34" x14ac:dyDescent="0.25">
      <c r="A590" t="s">
        <v>1182</v>
      </c>
      <c r="B590" t="s">
        <v>1262</v>
      </c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>
        <v>103519.31000000001</v>
      </c>
      <c r="AD590" s="10"/>
      <c r="AE590" s="10"/>
      <c r="AF590" s="10"/>
      <c r="AG590" s="10"/>
      <c r="AH590" s="10"/>
    </row>
    <row r="591" spans="1:34" x14ac:dyDescent="0.25">
      <c r="A591" t="s">
        <v>1182</v>
      </c>
      <c r="B591" t="s">
        <v>1488</v>
      </c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>
        <v>382664.37999999995</v>
      </c>
      <c r="AH591" s="10"/>
    </row>
    <row r="592" spans="1:34" x14ac:dyDescent="0.25">
      <c r="A592" t="s">
        <v>1182</v>
      </c>
      <c r="B592" t="s">
        <v>1838</v>
      </c>
      <c r="C592" s="10">
        <v>177762.92000000004</v>
      </c>
      <c r="D592" s="10">
        <v>96969.079999999987</v>
      </c>
      <c r="E592" s="10">
        <v>184937.47999999998</v>
      </c>
      <c r="F592" s="10">
        <v>474743.36</v>
      </c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>
        <v>11294.69</v>
      </c>
      <c r="Z592" s="10"/>
      <c r="AA592" s="10"/>
      <c r="AB592" s="10"/>
      <c r="AC592" s="10"/>
      <c r="AD592" s="10"/>
      <c r="AE592" s="10"/>
      <c r="AF592" s="10"/>
      <c r="AG592" s="10"/>
      <c r="AH592" s="10"/>
    </row>
    <row r="593" spans="1:34" x14ac:dyDescent="0.25">
      <c r="A593" t="s">
        <v>1182</v>
      </c>
      <c r="B593" t="s">
        <v>435</v>
      </c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>
        <v>61851.320000000007</v>
      </c>
      <c r="Y593" s="10"/>
      <c r="Z593" s="10">
        <v>65805.429999999993</v>
      </c>
      <c r="AA593" s="10"/>
      <c r="AB593" s="10"/>
      <c r="AC593" s="10"/>
      <c r="AD593" s="10"/>
      <c r="AE593" s="10">
        <v>30012.22</v>
      </c>
      <c r="AF593" s="10"/>
      <c r="AG593" s="10">
        <v>45579.96</v>
      </c>
      <c r="AH593" s="10"/>
    </row>
    <row r="594" spans="1:34" x14ac:dyDescent="0.25">
      <c r="A594" t="s">
        <v>1182</v>
      </c>
      <c r="B594" t="s">
        <v>1839</v>
      </c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>
        <v>30583.54</v>
      </c>
      <c r="AA594" s="10"/>
      <c r="AB594" s="10"/>
      <c r="AC594" s="10"/>
      <c r="AD594" s="10"/>
      <c r="AE594" s="10"/>
      <c r="AF594" s="10"/>
      <c r="AG594" s="10"/>
      <c r="AH594" s="10"/>
    </row>
    <row r="595" spans="1:34" x14ac:dyDescent="0.25">
      <c r="A595" t="s">
        <v>1182</v>
      </c>
      <c r="B595" t="s">
        <v>436</v>
      </c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>
        <v>67449.689999999988</v>
      </c>
      <c r="Z595" s="10"/>
      <c r="AA595" s="10"/>
      <c r="AB595" s="10">
        <v>43748.340000000004</v>
      </c>
      <c r="AC595" s="10">
        <v>39487</v>
      </c>
      <c r="AD595" s="10">
        <v>51548.649999999994</v>
      </c>
      <c r="AE595" s="10"/>
      <c r="AF595" s="10"/>
      <c r="AG595" s="10"/>
      <c r="AH595" s="10">
        <v>65414.840000000004</v>
      </c>
    </row>
    <row r="596" spans="1:34" x14ac:dyDescent="0.25">
      <c r="A596" t="s">
        <v>1182</v>
      </c>
      <c r="B596" t="s">
        <v>437</v>
      </c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>
        <v>185231.34</v>
      </c>
      <c r="X596" s="10"/>
      <c r="Y596" s="10">
        <v>118331.43000000002</v>
      </c>
      <c r="Z596" s="10"/>
      <c r="AA596" s="10"/>
      <c r="AB596" s="10">
        <v>105775.32</v>
      </c>
      <c r="AC596" s="10">
        <v>63463.85</v>
      </c>
      <c r="AD596" s="10">
        <v>65495.38</v>
      </c>
      <c r="AE596" s="10">
        <v>83381.740000000034</v>
      </c>
      <c r="AF596" s="10">
        <v>328736.39000000007</v>
      </c>
      <c r="AG596" s="10">
        <v>82201.63</v>
      </c>
      <c r="AH596" s="10">
        <v>34495.57</v>
      </c>
    </row>
    <row r="597" spans="1:34" x14ac:dyDescent="0.25">
      <c r="A597" t="s">
        <v>1182</v>
      </c>
      <c r="B597" t="s">
        <v>1183</v>
      </c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>
        <v>34385.869999999995</v>
      </c>
      <c r="AC597" s="10"/>
      <c r="AD597" s="10"/>
      <c r="AE597" s="10"/>
      <c r="AF597" s="10"/>
      <c r="AG597" s="10"/>
      <c r="AH597" s="10"/>
    </row>
    <row r="598" spans="1:34" x14ac:dyDescent="0.25">
      <c r="A598" t="s">
        <v>1182</v>
      </c>
      <c r="B598" t="s">
        <v>1840</v>
      </c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>
        <v>61043.770000000004</v>
      </c>
      <c r="Y598" s="10"/>
      <c r="Z598" s="10"/>
      <c r="AA598" s="10"/>
      <c r="AB598" s="10"/>
      <c r="AC598" s="10"/>
      <c r="AD598" s="10"/>
      <c r="AE598" s="10"/>
      <c r="AF598" s="10"/>
      <c r="AG598" s="10">
        <v>202189.94999999998</v>
      </c>
      <c r="AH598" s="10">
        <v>204832.84000000005</v>
      </c>
    </row>
    <row r="599" spans="1:34" x14ac:dyDescent="0.25">
      <c r="A599" t="s">
        <v>1182</v>
      </c>
      <c r="B599" t="s">
        <v>402</v>
      </c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>
        <v>87741.16</v>
      </c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>
        <v>64728</v>
      </c>
      <c r="AG599" s="10"/>
      <c r="AH599" s="10"/>
    </row>
    <row r="600" spans="1:34" x14ac:dyDescent="0.25">
      <c r="A600" t="s">
        <v>1182</v>
      </c>
      <c r="B600" t="s">
        <v>1438</v>
      </c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>
        <v>39950.870000000003</v>
      </c>
      <c r="AG600" s="10"/>
      <c r="AH600" s="10"/>
    </row>
    <row r="601" spans="1:34" x14ac:dyDescent="0.25">
      <c r="A601" t="s">
        <v>1182</v>
      </c>
      <c r="B601" t="s">
        <v>1184</v>
      </c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>
        <v>45616.2</v>
      </c>
      <c r="AB601" s="10"/>
      <c r="AC601" s="10"/>
      <c r="AD601" s="10">
        <v>79241.399999999994</v>
      </c>
      <c r="AE601" s="10"/>
      <c r="AF601" s="10"/>
      <c r="AG601" s="10"/>
      <c r="AH601" s="10">
        <v>84348.6</v>
      </c>
    </row>
    <row r="602" spans="1:34" x14ac:dyDescent="0.25">
      <c r="A602" t="s">
        <v>1182</v>
      </c>
      <c r="B602" t="s">
        <v>1312</v>
      </c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>
        <v>31580.129999999994</v>
      </c>
      <c r="AE602" s="10"/>
      <c r="AF602" s="10"/>
      <c r="AG602" s="10"/>
      <c r="AH602" s="10">
        <v>38702.949999999997</v>
      </c>
    </row>
    <row r="603" spans="1:34" x14ac:dyDescent="0.25">
      <c r="A603" t="s">
        <v>1182</v>
      </c>
      <c r="B603" t="s">
        <v>1841</v>
      </c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>
        <v>100890.34000000001</v>
      </c>
      <c r="Z603" s="10"/>
      <c r="AA603" s="10"/>
      <c r="AB603" s="10"/>
      <c r="AC603" s="10"/>
      <c r="AD603" s="10"/>
      <c r="AE603" s="10"/>
      <c r="AF603" s="10"/>
      <c r="AG603" s="10"/>
      <c r="AH603" s="10"/>
    </row>
    <row r="604" spans="1:34" x14ac:dyDescent="0.25">
      <c r="A604" t="s">
        <v>1182</v>
      </c>
      <c r="B604" t="s">
        <v>1475</v>
      </c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>
        <v>113804.76</v>
      </c>
      <c r="AH604" s="10"/>
    </row>
    <row r="605" spans="1:34" x14ac:dyDescent="0.25">
      <c r="A605" t="s">
        <v>1182</v>
      </c>
      <c r="B605" t="s">
        <v>438</v>
      </c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>
        <v>19807.560000000001</v>
      </c>
      <c r="Z605" s="10">
        <v>129885.41</v>
      </c>
      <c r="AA605" s="10"/>
      <c r="AB605" s="10">
        <v>116560.68</v>
      </c>
      <c r="AC605" s="10">
        <v>61372.56</v>
      </c>
      <c r="AD605" s="10">
        <v>35530.71</v>
      </c>
      <c r="AE605" s="10">
        <v>37943.629999999997</v>
      </c>
      <c r="AF605" s="10">
        <v>45755.38</v>
      </c>
      <c r="AG605" s="10"/>
      <c r="AH605" s="10"/>
    </row>
    <row r="606" spans="1:34" x14ac:dyDescent="0.25">
      <c r="A606" t="s">
        <v>1182</v>
      </c>
      <c r="B606" t="s">
        <v>1313</v>
      </c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>
        <v>42083.38</v>
      </c>
      <c r="AE606" s="10">
        <v>24119.760000000002</v>
      </c>
      <c r="AF606" s="10">
        <v>96346.89</v>
      </c>
      <c r="AG606" s="10">
        <v>30104.92</v>
      </c>
      <c r="AH606" s="10">
        <v>174280.81000000003</v>
      </c>
    </row>
    <row r="607" spans="1:34" x14ac:dyDescent="0.25">
      <c r="A607" t="s">
        <v>1182</v>
      </c>
      <c r="B607" t="s">
        <v>1314</v>
      </c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>
        <v>14691.07</v>
      </c>
      <c r="AE607" s="10"/>
      <c r="AF607" s="10"/>
      <c r="AG607" s="10"/>
      <c r="AH607" s="10"/>
    </row>
    <row r="608" spans="1:34" x14ac:dyDescent="0.25">
      <c r="A608" t="s">
        <v>1182</v>
      </c>
      <c r="B608" t="s">
        <v>439</v>
      </c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>
        <v>98816.33</v>
      </c>
      <c r="X608" s="10">
        <v>56610.79</v>
      </c>
      <c r="Y608" s="10"/>
      <c r="Z608" s="10">
        <v>128596.03000000001</v>
      </c>
      <c r="AA608" s="10"/>
      <c r="AB608" s="10"/>
      <c r="AC608" s="10"/>
      <c r="AD608" s="10"/>
      <c r="AE608" s="10"/>
      <c r="AF608" s="10">
        <v>88333.629999999976</v>
      </c>
      <c r="AG608" s="10">
        <v>163277.83000000002</v>
      </c>
      <c r="AH608" s="10">
        <v>45694.02</v>
      </c>
    </row>
    <row r="609" spans="1:34" x14ac:dyDescent="0.25">
      <c r="A609" t="s">
        <v>1182</v>
      </c>
      <c r="B609" t="s">
        <v>991</v>
      </c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>
        <v>165119.08000000002</v>
      </c>
      <c r="AA609" s="10"/>
      <c r="AB609" s="10"/>
      <c r="AC609" s="10"/>
      <c r="AD609" s="10"/>
      <c r="AE609" s="10">
        <v>327731.34000000014</v>
      </c>
      <c r="AF609" s="10"/>
      <c r="AG609" s="10"/>
      <c r="AH609" s="10"/>
    </row>
    <row r="610" spans="1:34" x14ac:dyDescent="0.25">
      <c r="A610" t="s">
        <v>1182</v>
      </c>
      <c r="B610" t="s">
        <v>1263</v>
      </c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>
        <v>102168.75</v>
      </c>
      <c r="AD610" s="10"/>
      <c r="AE610" s="10">
        <v>33352.78</v>
      </c>
      <c r="AF610" s="10"/>
      <c r="AG610" s="10"/>
      <c r="AH610" s="10"/>
    </row>
    <row r="611" spans="1:34" x14ac:dyDescent="0.25">
      <c r="A611" t="s">
        <v>1182</v>
      </c>
      <c r="B611" t="s">
        <v>1185</v>
      </c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>
        <v>45326.500000000007</v>
      </c>
      <c r="AC611" s="10">
        <v>81951.34</v>
      </c>
      <c r="AD611" s="10">
        <v>93629.669999999969</v>
      </c>
      <c r="AE611" s="10">
        <v>80834.69</v>
      </c>
      <c r="AF611" s="10">
        <v>248768.69000000009</v>
      </c>
      <c r="AG611" s="10">
        <v>261698.63999999993</v>
      </c>
      <c r="AH611" s="10">
        <v>163300.62000000002</v>
      </c>
    </row>
    <row r="612" spans="1:34" x14ac:dyDescent="0.25">
      <c r="A612" t="s">
        <v>1182</v>
      </c>
      <c r="B612" t="s">
        <v>1439</v>
      </c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>
        <v>34106.129999999997</v>
      </c>
      <c r="AG612" s="10"/>
      <c r="AH612" s="10">
        <v>57357.23000000001</v>
      </c>
    </row>
    <row r="613" spans="1:34" x14ac:dyDescent="0.25">
      <c r="A613" t="s">
        <v>1182</v>
      </c>
      <c r="B613" t="s">
        <v>440</v>
      </c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>
        <v>52644.090000000011</v>
      </c>
      <c r="Z613" s="10">
        <v>107539.54000000001</v>
      </c>
      <c r="AA613" s="10"/>
      <c r="AB613" s="10">
        <v>35675.299999999996</v>
      </c>
      <c r="AC613" s="10">
        <v>53895.59</v>
      </c>
      <c r="AD613" s="10"/>
      <c r="AE613" s="10"/>
      <c r="AF613" s="10">
        <v>57568.54</v>
      </c>
      <c r="AG613" s="10">
        <v>42940.490000000005</v>
      </c>
      <c r="AH613" s="10"/>
    </row>
    <row r="614" spans="1:34" x14ac:dyDescent="0.25">
      <c r="A614" t="s">
        <v>1182</v>
      </c>
      <c r="B614" t="s">
        <v>441</v>
      </c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>
        <v>129968.63</v>
      </c>
      <c r="X614" s="10"/>
      <c r="Y614" s="10">
        <v>310377.03999999986</v>
      </c>
      <c r="Z614" s="10">
        <v>94736.199999999983</v>
      </c>
      <c r="AA614" s="10"/>
      <c r="AB614" s="10"/>
      <c r="AC614" s="10">
        <v>239926.34000000003</v>
      </c>
      <c r="AD614" s="10">
        <v>162505.54999999996</v>
      </c>
      <c r="AE614" s="10">
        <v>276757.28999999998</v>
      </c>
      <c r="AF614" s="10">
        <v>158592.90999999997</v>
      </c>
      <c r="AG614" s="10"/>
      <c r="AH614" s="10">
        <v>347059.60000000015</v>
      </c>
    </row>
    <row r="615" spans="1:34" x14ac:dyDescent="0.25">
      <c r="A615" t="s">
        <v>1182</v>
      </c>
      <c r="B615" t="s">
        <v>1362</v>
      </c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>
        <v>64810.010000000017</v>
      </c>
      <c r="AF615" s="10">
        <v>47114.76999999999</v>
      </c>
      <c r="AG615" s="10"/>
      <c r="AH615" s="10"/>
    </row>
    <row r="616" spans="1:34" x14ac:dyDescent="0.25">
      <c r="A616" t="s">
        <v>1182</v>
      </c>
      <c r="B616" t="s">
        <v>1363</v>
      </c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>
        <v>561119.95000000007</v>
      </c>
      <c r="AF616" s="10"/>
      <c r="AG616" s="10"/>
      <c r="AH616" s="10"/>
    </row>
    <row r="617" spans="1:34" x14ac:dyDescent="0.25">
      <c r="A617" t="s">
        <v>1182</v>
      </c>
      <c r="B617" t="s">
        <v>1842</v>
      </c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>
        <v>206468.41999999998</v>
      </c>
      <c r="AH617" s="10"/>
    </row>
    <row r="618" spans="1:34" x14ac:dyDescent="0.25">
      <c r="A618" t="s">
        <v>1182</v>
      </c>
      <c r="B618" t="s">
        <v>1315</v>
      </c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>
        <v>24997.199999999997</v>
      </c>
      <c r="AE618" s="10">
        <v>116849.42000000001</v>
      </c>
      <c r="AF618" s="10">
        <v>123598.01000000001</v>
      </c>
      <c r="AG618" s="10">
        <v>39873.069999999992</v>
      </c>
      <c r="AH618" s="10">
        <v>152156.7999999999</v>
      </c>
    </row>
    <row r="619" spans="1:34" x14ac:dyDescent="0.25">
      <c r="A619" t="s">
        <v>1182</v>
      </c>
      <c r="B619" t="s">
        <v>1543</v>
      </c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>
        <v>711364.47999999975</v>
      </c>
    </row>
    <row r="620" spans="1:34" x14ac:dyDescent="0.25">
      <c r="A620" t="s">
        <v>1182</v>
      </c>
      <c r="B620" t="s">
        <v>1843</v>
      </c>
      <c r="C620" s="10"/>
      <c r="D620" s="10">
        <v>289590.33999999991</v>
      </c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>
        <v>122130.10000000003</v>
      </c>
      <c r="AA620" s="10"/>
      <c r="AB620" s="10"/>
      <c r="AC620" s="10"/>
      <c r="AD620" s="10"/>
      <c r="AE620" s="10">
        <v>170591.44000000006</v>
      </c>
      <c r="AF620" s="10"/>
      <c r="AG620" s="10"/>
      <c r="AH620" s="10"/>
    </row>
    <row r="621" spans="1:34" x14ac:dyDescent="0.25">
      <c r="A621" t="s">
        <v>1182</v>
      </c>
      <c r="B621" t="s">
        <v>1186</v>
      </c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>
        <v>521234.41000000038</v>
      </c>
      <c r="AB621" s="10"/>
      <c r="AC621" s="10"/>
      <c r="AD621" s="10"/>
      <c r="AE621" s="10">
        <v>130068.23999999995</v>
      </c>
      <c r="AF621" s="10">
        <v>60176.63</v>
      </c>
      <c r="AG621" s="10">
        <v>233275.24000000005</v>
      </c>
      <c r="AH621" s="10">
        <v>236786.76</v>
      </c>
    </row>
    <row r="622" spans="1:34" x14ac:dyDescent="0.25">
      <c r="A622" t="s">
        <v>1182</v>
      </c>
      <c r="B622" t="s">
        <v>1476</v>
      </c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>
        <v>284611.37000000005</v>
      </c>
      <c r="AH622" s="10"/>
    </row>
    <row r="623" spans="1:34" x14ac:dyDescent="0.25">
      <c r="A623" t="s">
        <v>1182</v>
      </c>
      <c r="B623" t="s">
        <v>1187</v>
      </c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>
        <v>140842.51999999993</v>
      </c>
      <c r="AC623" s="10"/>
      <c r="AD623" s="10">
        <v>-7539.81</v>
      </c>
      <c r="AE623" s="10"/>
      <c r="AF623" s="10">
        <v>40935.06</v>
      </c>
      <c r="AG623" s="10"/>
      <c r="AH623" s="10">
        <v>30000.080000000002</v>
      </c>
    </row>
    <row r="624" spans="1:34" x14ac:dyDescent="0.25">
      <c r="A624" t="s">
        <v>1182</v>
      </c>
      <c r="B624" t="s">
        <v>442</v>
      </c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>
        <v>490097.12</v>
      </c>
      <c r="Y624" s="10">
        <v>95008.75</v>
      </c>
      <c r="Z624" s="10">
        <v>166553.35999999996</v>
      </c>
      <c r="AA624" s="10">
        <v>60938.380000000005</v>
      </c>
      <c r="AB624" s="10"/>
      <c r="AC624" s="10">
        <v>315896.71000000002</v>
      </c>
      <c r="AD624" s="10">
        <v>153778.71</v>
      </c>
      <c r="AE624" s="10">
        <v>232414.86000000002</v>
      </c>
      <c r="AF624" s="10">
        <v>399300.33999999997</v>
      </c>
      <c r="AG624" s="10">
        <v>220311.3300000001</v>
      </c>
      <c r="AH624" s="10">
        <v>196928.78999999998</v>
      </c>
    </row>
    <row r="625" spans="1:34" x14ac:dyDescent="0.25">
      <c r="A625" t="s">
        <v>1182</v>
      </c>
      <c r="B625" t="s">
        <v>1844</v>
      </c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>
        <v>22561.55</v>
      </c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</row>
    <row r="626" spans="1:34" x14ac:dyDescent="0.25">
      <c r="A626" t="s">
        <v>1182</v>
      </c>
      <c r="B626" t="s">
        <v>1364</v>
      </c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>
        <v>31260.46</v>
      </c>
      <c r="AF626" s="10"/>
      <c r="AG626" s="10"/>
      <c r="AH626" s="10"/>
    </row>
    <row r="627" spans="1:34" x14ac:dyDescent="0.25">
      <c r="A627" t="s">
        <v>1182</v>
      </c>
      <c r="B627" t="s">
        <v>1188</v>
      </c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>
        <v>167277.93</v>
      </c>
      <c r="AB627" s="10">
        <v>171502.27000000005</v>
      </c>
      <c r="AC627" s="10"/>
      <c r="AD627" s="10">
        <v>71137.440000000002</v>
      </c>
      <c r="AE627" s="10">
        <v>131005.31999999999</v>
      </c>
      <c r="AF627" s="10"/>
      <c r="AG627" s="10">
        <v>173742.07000000004</v>
      </c>
      <c r="AH627" s="10">
        <v>113929.84999999999</v>
      </c>
    </row>
    <row r="628" spans="1:34" x14ac:dyDescent="0.25">
      <c r="A628" t="s">
        <v>1182</v>
      </c>
      <c r="B628" t="s">
        <v>1845</v>
      </c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>
        <v>46462.98000000001</v>
      </c>
      <c r="AD628" s="10"/>
      <c r="AE628" s="10"/>
      <c r="AF628" s="10"/>
      <c r="AG628" s="10"/>
      <c r="AH628" s="10"/>
    </row>
    <row r="629" spans="1:34" x14ac:dyDescent="0.25">
      <c r="A629" t="s">
        <v>1182</v>
      </c>
      <c r="B629" t="s">
        <v>443</v>
      </c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>
        <v>392175.50000000012</v>
      </c>
      <c r="X629" s="10"/>
      <c r="Y629" s="10">
        <v>415580.04</v>
      </c>
      <c r="Z629" s="10"/>
      <c r="AA629" s="10"/>
      <c r="AB629" s="10"/>
      <c r="AC629" s="10">
        <v>436992.20000000007</v>
      </c>
      <c r="AD629" s="10"/>
      <c r="AE629" s="10"/>
      <c r="AF629" s="10">
        <v>351738.85999999993</v>
      </c>
      <c r="AG629" s="10"/>
      <c r="AH629" s="10"/>
    </row>
    <row r="630" spans="1:34" x14ac:dyDescent="0.25">
      <c r="A630" t="s">
        <v>1182</v>
      </c>
      <c r="B630" t="s">
        <v>1846</v>
      </c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>
        <v>33616.079999999994</v>
      </c>
      <c r="Y630" s="10"/>
      <c r="Z630" s="10"/>
      <c r="AA630" s="10"/>
      <c r="AB630" s="10"/>
      <c r="AC630" s="10"/>
      <c r="AD630" s="10"/>
      <c r="AE630" s="10"/>
      <c r="AF630" s="10"/>
      <c r="AG630" s="10"/>
      <c r="AH630" s="10">
        <v>32317.5</v>
      </c>
    </row>
    <row r="631" spans="1:34" x14ac:dyDescent="0.25">
      <c r="A631" t="s">
        <v>1182</v>
      </c>
      <c r="B631" t="s">
        <v>444</v>
      </c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>
        <v>336028.24999999994</v>
      </c>
      <c r="Z631" s="10">
        <v>373042.67000000022</v>
      </c>
      <c r="AA631" s="10">
        <v>116732.70000000001</v>
      </c>
      <c r="AB631" s="10"/>
      <c r="AC631" s="10">
        <v>108922.37999999999</v>
      </c>
      <c r="AD631" s="10"/>
      <c r="AE631" s="10"/>
      <c r="AF631" s="10"/>
      <c r="AG631" s="10">
        <v>190318.42999999996</v>
      </c>
      <c r="AH631" s="10"/>
    </row>
    <row r="632" spans="1:34" x14ac:dyDescent="0.25">
      <c r="A632" t="s">
        <v>1182</v>
      </c>
      <c r="B632" t="s">
        <v>1365</v>
      </c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>
        <v>274169.83</v>
      </c>
      <c r="AF632" s="10"/>
      <c r="AG632" s="10"/>
      <c r="AH632" s="10"/>
    </row>
    <row r="633" spans="1:34" x14ac:dyDescent="0.25">
      <c r="A633" t="s">
        <v>1182</v>
      </c>
      <c r="B633" t="s">
        <v>1474</v>
      </c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>
        <v>50194.999999999993</v>
      </c>
      <c r="Z633" s="10"/>
      <c r="AA633" s="10"/>
      <c r="AB633" s="10"/>
      <c r="AC633" s="10"/>
      <c r="AD633" s="10"/>
      <c r="AE633" s="10"/>
      <c r="AF633" s="10"/>
      <c r="AG633" s="10"/>
      <c r="AH633" s="10">
        <v>119917.72</v>
      </c>
    </row>
    <row r="634" spans="1:34" x14ac:dyDescent="0.25">
      <c r="A634" t="s">
        <v>1182</v>
      </c>
      <c r="B634" t="s">
        <v>1489</v>
      </c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>
        <v>36871.440000000002</v>
      </c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>
        <v>121748.45999999999</v>
      </c>
    </row>
    <row r="635" spans="1:34" x14ac:dyDescent="0.25">
      <c r="A635" t="s">
        <v>1182</v>
      </c>
      <c r="B635" t="s">
        <v>1847</v>
      </c>
      <c r="C635" s="10"/>
      <c r="D635" s="10"/>
      <c r="E635" s="10"/>
      <c r="F635" s="10"/>
      <c r="G635" s="10"/>
      <c r="H635" s="10"/>
      <c r="I635" s="10"/>
      <c r="J635" s="10"/>
      <c r="K635" s="10"/>
      <c r="L635" s="10">
        <v>41611.229999999996</v>
      </c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>
        <v>10272.710000000001</v>
      </c>
      <c r="AE635" s="10"/>
      <c r="AF635" s="10"/>
      <c r="AG635" s="10"/>
      <c r="AH635" s="10"/>
    </row>
    <row r="636" spans="1:34" x14ac:dyDescent="0.25">
      <c r="A636" t="s">
        <v>1182</v>
      </c>
      <c r="B636" t="s">
        <v>1366</v>
      </c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>
        <v>376140.85</v>
      </c>
      <c r="AF636" s="10"/>
      <c r="AG636" s="10"/>
      <c r="AH636" s="10"/>
    </row>
    <row r="637" spans="1:34" x14ac:dyDescent="0.25">
      <c r="A637" t="s">
        <v>1182</v>
      </c>
      <c r="B637" t="s">
        <v>1848</v>
      </c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>
        <v>61160.58</v>
      </c>
    </row>
    <row r="638" spans="1:34" x14ac:dyDescent="0.25">
      <c r="A638" t="s">
        <v>1182</v>
      </c>
      <c r="B638" t="s">
        <v>1317</v>
      </c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>
        <v>39209.78</v>
      </c>
      <c r="AE638" s="10">
        <v>44239.109999999993</v>
      </c>
      <c r="AF638" s="10"/>
      <c r="AG638" s="10"/>
      <c r="AH638" s="10"/>
    </row>
    <row r="639" spans="1:34" x14ac:dyDescent="0.25">
      <c r="A639" t="s">
        <v>1182</v>
      </c>
      <c r="B639" t="s">
        <v>1440</v>
      </c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>
        <v>162514.63</v>
      </c>
      <c r="AG639" s="10">
        <v>289605.59999999998</v>
      </c>
      <c r="AH639" s="10">
        <v>802395.19999999972</v>
      </c>
    </row>
    <row r="640" spans="1:34" x14ac:dyDescent="0.25">
      <c r="A640" t="s">
        <v>1182</v>
      </c>
      <c r="B640" t="s">
        <v>445</v>
      </c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>
        <v>180652.84000000005</v>
      </c>
      <c r="Y640" s="10"/>
      <c r="Z640" s="10"/>
      <c r="AA640" s="10"/>
      <c r="AB640" s="10"/>
      <c r="AC640" s="10">
        <v>253079.88000000006</v>
      </c>
      <c r="AD640" s="10"/>
      <c r="AE640" s="10"/>
      <c r="AF640" s="10">
        <v>174656.19999999998</v>
      </c>
      <c r="AG640" s="10">
        <v>179361.72999999998</v>
      </c>
      <c r="AH640" s="10"/>
    </row>
    <row r="641" spans="1:34" x14ac:dyDescent="0.25">
      <c r="A641" t="s">
        <v>1182</v>
      </c>
      <c r="B641" t="s">
        <v>807</v>
      </c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>
        <v>47261.68</v>
      </c>
      <c r="AA641" s="10"/>
      <c r="AB641" s="10"/>
      <c r="AC641" s="10"/>
      <c r="AD641" s="10">
        <v>80337.189999999988</v>
      </c>
      <c r="AE641" s="10"/>
      <c r="AF641" s="10">
        <v>157414.66999999998</v>
      </c>
      <c r="AG641" s="10">
        <v>162193.07</v>
      </c>
      <c r="AH641" s="10">
        <v>136270.72000000003</v>
      </c>
    </row>
    <row r="642" spans="1:34" x14ac:dyDescent="0.25">
      <c r="A642" t="s">
        <v>1182</v>
      </c>
      <c r="B642" t="s">
        <v>1849</v>
      </c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>
        <v>54953.98</v>
      </c>
      <c r="AH642" s="10"/>
    </row>
    <row r="643" spans="1:34" x14ac:dyDescent="0.25">
      <c r="A643" t="s">
        <v>1182</v>
      </c>
      <c r="B643" t="s">
        <v>1477</v>
      </c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>
        <v>290530.62</v>
      </c>
      <c r="AH643" s="10"/>
    </row>
    <row r="644" spans="1:34" x14ac:dyDescent="0.25">
      <c r="A644" t="s">
        <v>1182</v>
      </c>
      <c r="B644" t="s">
        <v>1850</v>
      </c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>
        <v>33207.08</v>
      </c>
      <c r="Z644" s="10"/>
      <c r="AA644" s="10"/>
      <c r="AB644" s="10"/>
      <c r="AC644" s="10"/>
      <c r="AD644" s="10"/>
      <c r="AE644" s="10"/>
      <c r="AF644" s="10"/>
      <c r="AG644" s="10"/>
      <c r="AH644" s="10"/>
    </row>
    <row r="645" spans="1:34" x14ac:dyDescent="0.25">
      <c r="A645" t="s">
        <v>1182</v>
      </c>
      <c r="B645" t="s">
        <v>1851</v>
      </c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>
        <v>24655.660000000003</v>
      </c>
      <c r="AA645" s="10"/>
      <c r="AB645" s="10"/>
      <c r="AC645" s="10"/>
      <c r="AD645" s="10"/>
      <c r="AE645" s="10"/>
      <c r="AF645" s="10"/>
      <c r="AG645" s="10"/>
      <c r="AH645" s="10"/>
    </row>
    <row r="646" spans="1:34" x14ac:dyDescent="0.25">
      <c r="A646" t="s">
        <v>1182</v>
      </c>
      <c r="B646" t="s">
        <v>1852</v>
      </c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>
        <v>178468.62999999998</v>
      </c>
      <c r="Z646" s="10"/>
      <c r="AA646" s="10">
        <v>125686.73999999999</v>
      </c>
      <c r="AB646" s="10"/>
      <c r="AC646" s="10"/>
      <c r="AD646" s="10"/>
      <c r="AE646" s="10"/>
      <c r="AF646" s="10"/>
      <c r="AG646" s="10">
        <v>59804.75</v>
      </c>
      <c r="AH646" s="10"/>
    </row>
    <row r="647" spans="1:34" x14ac:dyDescent="0.25">
      <c r="A647" t="s">
        <v>1182</v>
      </c>
      <c r="B647" t="s">
        <v>1544</v>
      </c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>
        <v>499999.99999999994</v>
      </c>
    </row>
    <row r="648" spans="1:34" x14ac:dyDescent="0.25">
      <c r="A648" t="s">
        <v>1182</v>
      </c>
      <c r="B648" t="s">
        <v>1853</v>
      </c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>
        <v>119905.95</v>
      </c>
      <c r="Z648" s="10">
        <v>174615.4</v>
      </c>
      <c r="AA648" s="10"/>
      <c r="AB648" s="10"/>
      <c r="AC648" s="10"/>
      <c r="AD648" s="10"/>
      <c r="AE648" s="10"/>
      <c r="AF648" s="10"/>
      <c r="AG648" s="10"/>
      <c r="AH648" s="10"/>
    </row>
    <row r="649" spans="1:34" x14ac:dyDescent="0.25">
      <c r="A649" t="s">
        <v>1182</v>
      </c>
      <c r="B649" t="s">
        <v>446</v>
      </c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>
        <v>32696.379999999997</v>
      </c>
      <c r="Z649" s="10"/>
      <c r="AA649" s="10"/>
      <c r="AB649" s="10"/>
      <c r="AC649" s="10">
        <v>59910.569999999992</v>
      </c>
      <c r="AD649" s="10"/>
      <c r="AE649" s="10"/>
      <c r="AF649" s="10"/>
      <c r="AG649" s="10">
        <v>33577.03</v>
      </c>
      <c r="AH649" s="10"/>
    </row>
    <row r="650" spans="1:34" x14ac:dyDescent="0.25">
      <c r="A650" t="s">
        <v>1182</v>
      </c>
      <c r="B650" t="s">
        <v>1189</v>
      </c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>
        <v>23068.34</v>
      </c>
      <c r="AB650" s="10"/>
      <c r="AC650" s="10"/>
      <c r="AD650" s="10"/>
      <c r="AE650" s="10"/>
      <c r="AF650" s="10"/>
      <c r="AG650" s="10"/>
      <c r="AH650" s="10"/>
    </row>
    <row r="651" spans="1:34" x14ac:dyDescent="0.25">
      <c r="A651" t="s">
        <v>1182</v>
      </c>
      <c r="B651" t="s">
        <v>1191</v>
      </c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>
        <v>6902.34</v>
      </c>
      <c r="AC651" s="10"/>
      <c r="AD651" s="10"/>
      <c r="AE651" s="10"/>
      <c r="AF651" s="10"/>
      <c r="AG651" s="10"/>
      <c r="AH651" s="10"/>
    </row>
    <row r="652" spans="1:34" x14ac:dyDescent="0.25">
      <c r="A652" t="s">
        <v>1182</v>
      </c>
      <c r="B652" t="s">
        <v>1854</v>
      </c>
      <c r="C652" s="10"/>
      <c r="D652" s="10"/>
      <c r="E652" s="10">
        <v>-129.04</v>
      </c>
      <c r="F652" s="10"/>
      <c r="G652" s="10"/>
      <c r="H652" s="10"/>
      <c r="I652" s="10"/>
      <c r="J652" s="10">
        <v>210736.64000000001</v>
      </c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</row>
    <row r="653" spans="1:34" x14ac:dyDescent="0.25">
      <c r="A653" t="s">
        <v>1182</v>
      </c>
      <c r="B653" t="s">
        <v>1855</v>
      </c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>
        <v>30537.54</v>
      </c>
      <c r="Y653" s="10"/>
      <c r="Z653" s="10">
        <v>73230.5</v>
      </c>
      <c r="AA653" s="10"/>
      <c r="AB653" s="10"/>
      <c r="AC653" s="10"/>
      <c r="AD653" s="10"/>
      <c r="AE653" s="10"/>
      <c r="AF653" s="10"/>
      <c r="AG653" s="10"/>
      <c r="AH653" s="10"/>
    </row>
    <row r="654" spans="1:34" x14ac:dyDescent="0.25">
      <c r="A654" t="s">
        <v>1182</v>
      </c>
      <c r="B654" t="s">
        <v>1441</v>
      </c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>
        <v>91200.24</v>
      </c>
      <c r="AG654" s="10"/>
      <c r="AH654" s="10"/>
    </row>
    <row r="655" spans="1:34" x14ac:dyDescent="0.25">
      <c r="A655" t="s">
        <v>1182</v>
      </c>
      <c r="B655" t="s">
        <v>412</v>
      </c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>
        <v>444861.42000000016</v>
      </c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>
        <v>165276.94000000003</v>
      </c>
      <c r="AB655" s="10"/>
      <c r="AC655" s="10"/>
      <c r="AD655" s="10"/>
      <c r="AE655" s="10"/>
      <c r="AF655" s="10"/>
      <c r="AG655" s="10"/>
      <c r="AH655" s="10">
        <v>251132.01</v>
      </c>
    </row>
    <row r="656" spans="1:34" x14ac:dyDescent="0.25">
      <c r="A656" t="s">
        <v>1182</v>
      </c>
      <c r="B656" t="s">
        <v>811</v>
      </c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>
        <v>100976.20999999999</v>
      </c>
      <c r="AA656" s="10"/>
      <c r="AB656" s="10"/>
      <c r="AC656" s="10"/>
      <c r="AD656" s="10"/>
      <c r="AE656" s="10"/>
      <c r="AF656" s="10">
        <v>171093</v>
      </c>
      <c r="AG656" s="10"/>
      <c r="AH656" s="10"/>
    </row>
    <row r="657" spans="1:34" x14ac:dyDescent="0.25">
      <c r="A657" t="s">
        <v>1182</v>
      </c>
      <c r="B657" t="s">
        <v>1487</v>
      </c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>
        <v>101052.38</v>
      </c>
      <c r="AH657" s="10"/>
    </row>
    <row r="658" spans="1:34" x14ac:dyDescent="0.25">
      <c r="A658" t="s">
        <v>1182</v>
      </c>
      <c r="B658" t="s">
        <v>1266</v>
      </c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>
        <v>16450.2</v>
      </c>
      <c r="AD658" s="10"/>
      <c r="AE658" s="10">
        <v>27790.579999999998</v>
      </c>
      <c r="AF658" s="10"/>
      <c r="AG658" s="10">
        <v>35862.270000000004</v>
      </c>
      <c r="AH658" s="10">
        <v>52164.04</v>
      </c>
    </row>
    <row r="659" spans="1:34" x14ac:dyDescent="0.25">
      <c r="A659" t="s">
        <v>1182</v>
      </c>
      <c r="B659" t="s">
        <v>1856</v>
      </c>
      <c r="C659" s="10"/>
      <c r="D659" s="10">
        <v>13951.52</v>
      </c>
      <c r="E659" s="10">
        <v>9597.07</v>
      </c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</row>
    <row r="660" spans="1:34" x14ac:dyDescent="0.25">
      <c r="A660" t="s">
        <v>1182</v>
      </c>
      <c r="B660" t="s">
        <v>447</v>
      </c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>
        <v>166521.5</v>
      </c>
      <c r="Y660" s="10">
        <v>158938.10999999996</v>
      </c>
      <c r="Z660" s="10">
        <v>34858.53</v>
      </c>
      <c r="AA660" s="10"/>
      <c r="AB660" s="10">
        <v>31058.110000000004</v>
      </c>
      <c r="AC660" s="10">
        <v>25762.349999999991</v>
      </c>
      <c r="AD660" s="10"/>
      <c r="AE660" s="10">
        <v>32668.660000000003</v>
      </c>
      <c r="AF660" s="10">
        <v>102590.71999999999</v>
      </c>
      <c r="AG660" s="10">
        <v>85116.25</v>
      </c>
      <c r="AH660" s="10">
        <v>77464.470000000016</v>
      </c>
    </row>
    <row r="661" spans="1:34" x14ac:dyDescent="0.25">
      <c r="A661" t="s">
        <v>1182</v>
      </c>
      <c r="B661" t="s">
        <v>1040</v>
      </c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>
        <v>30160.15</v>
      </c>
      <c r="AA661" s="10"/>
      <c r="AB661" s="10"/>
      <c r="AC661" s="10">
        <v>49430.210000000006</v>
      </c>
      <c r="AD661" s="10"/>
      <c r="AE661" s="10">
        <v>30388.699999999997</v>
      </c>
      <c r="AF661" s="10">
        <v>30855.760000000002</v>
      </c>
      <c r="AG661" s="10"/>
      <c r="AH661" s="10">
        <v>30143.439999999999</v>
      </c>
    </row>
    <row r="662" spans="1:34" x14ac:dyDescent="0.25">
      <c r="A662" t="s">
        <v>1182</v>
      </c>
      <c r="B662" t="s">
        <v>1857</v>
      </c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>
        <v>75246.929999999993</v>
      </c>
      <c r="Y662" s="10"/>
      <c r="Z662" s="10">
        <v>102438.06000000001</v>
      </c>
      <c r="AA662" s="10"/>
      <c r="AB662" s="10"/>
      <c r="AC662" s="10">
        <v>157481.92000000001</v>
      </c>
      <c r="AD662" s="10"/>
      <c r="AE662" s="10">
        <v>89184.99000000002</v>
      </c>
      <c r="AF662" s="10"/>
      <c r="AG662" s="10"/>
      <c r="AH662" s="10"/>
    </row>
    <row r="663" spans="1:34" x14ac:dyDescent="0.25">
      <c r="A663" t="s">
        <v>1182</v>
      </c>
      <c r="B663" t="s">
        <v>1858</v>
      </c>
      <c r="C663" s="10"/>
      <c r="D663" s="10">
        <v>19087.469999999998</v>
      </c>
      <c r="E663" s="10"/>
      <c r="F663" s="10">
        <v>75316.739999999991</v>
      </c>
      <c r="G663" s="10"/>
      <c r="H663" s="10"/>
      <c r="I663" s="10">
        <v>26193.25</v>
      </c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>
        <v>1527.6</v>
      </c>
      <c r="AB663" s="10"/>
      <c r="AC663" s="10"/>
      <c r="AD663" s="10"/>
      <c r="AE663" s="10"/>
      <c r="AF663" s="10"/>
      <c r="AG663" s="10"/>
      <c r="AH663" s="10"/>
    </row>
    <row r="664" spans="1:34" x14ac:dyDescent="0.25">
      <c r="A664" t="s">
        <v>1182</v>
      </c>
      <c r="B664" t="s">
        <v>448</v>
      </c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>
        <v>44854.47</v>
      </c>
      <c r="X664" s="10">
        <v>407150.03000000009</v>
      </c>
      <c r="Y664" s="10">
        <v>76990.39</v>
      </c>
      <c r="Z664" s="10">
        <v>61830.73000000001</v>
      </c>
      <c r="AA664" s="10">
        <v>65487.719999999979</v>
      </c>
      <c r="AB664" s="10">
        <v>225948.91000000012</v>
      </c>
      <c r="AC664" s="10"/>
      <c r="AD664" s="10">
        <v>216593.61999999994</v>
      </c>
      <c r="AE664" s="10">
        <v>193475.84999999995</v>
      </c>
      <c r="AF664" s="10">
        <v>253993.64</v>
      </c>
      <c r="AG664" s="10">
        <v>322070.82999999996</v>
      </c>
      <c r="AH664" s="10"/>
    </row>
    <row r="665" spans="1:34" x14ac:dyDescent="0.25">
      <c r="A665" t="s">
        <v>1182</v>
      </c>
      <c r="B665" t="s">
        <v>1044</v>
      </c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>
        <v>173942.14000000007</v>
      </c>
      <c r="Y665" s="10"/>
      <c r="Z665" s="10">
        <v>148438.24999999997</v>
      </c>
      <c r="AA665" s="10">
        <v>56719.350000000006</v>
      </c>
      <c r="AB665" s="10">
        <v>52361.39</v>
      </c>
      <c r="AC665" s="10"/>
      <c r="AD665" s="10"/>
      <c r="AE665" s="10"/>
      <c r="AF665" s="10">
        <v>194617.73</v>
      </c>
      <c r="AG665" s="10"/>
      <c r="AH665" s="10"/>
    </row>
    <row r="666" spans="1:34" x14ac:dyDescent="0.25">
      <c r="A666" t="s">
        <v>1182</v>
      </c>
      <c r="B666" t="s">
        <v>1367</v>
      </c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>
        <v>69476.540000000023</v>
      </c>
      <c r="AF666" s="10"/>
      <c r="AG666" s="10"/>
      <c r="AH666" s="10"/>
    </row>
    <row r="667" spans="1:34" x14ac:dyDescent="0.25">
      <c r="A667" t="s">
        <v>1182</v>
      </c>
      <c r="B667" t="s">
        <v>1442</v>
      </c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>
        <v>454278.04000000004</v>
      </c>
      <c r="AG667" s="10"/>
      <c r="AH667" s="10"/>
    </row>
    <row r="668" spans="1:34" x14ac:dyDescent="0.25">
      <c r="A668" t="s">
        <v>1182</v>
      </c>
      <c r="B668" t="s">
        <v>496</v>
      </c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>
        <v>44922.500000000007</v>
      </c>
      <c r="AG668" s="10">
        <v>35502.639999999999</v>
      </c>
      <c r="AH668" s="10"/>
    </row>
    <row r="669" spans="1:34" x14ac:dyDescent="0.25">
      <c r="A669" t="s">
        <v>1182</v>
      </c>
      <c r="B669" t="s">
        <v>1048</v>
      </c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>
        <v>130552.04000000001</v>
      </c>
      <c r="AA669" s="10">
        <v>30201.14</v>
      </c>
      <c r="AB669" s="10"/>
      <c r="AC669" s="10"/>
      <c r="AD669" s="10">
        <v>147332.26</v>
      </c>
      <c r="AE669" s="10">
        <v>177756.45</v>
      </c>
      <c r="AF669" s="10"/>
      <c r="AG669" s="10"/>
      <c r="AH669" s="10">
        <v>92232.44</v>
      </c>
    </row>
    <row r="670" spans="1:34" x14ac:dyDescent="0.25">
      <c r="A670" t="s">
        <v>1197</v>
      </c>
      <c r="B670" t="s">
        <v>524</v>
      </c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>
        <v>64219.81</v>
      </c>
      <c r="U670" s="10">
        <v>31576.75</v>
      </c>
      <c r="V670" s="10">
        <v>30939.46</v>
      </c>
      <c r="W670" s="10">
        <v>125452.72000000003</v>
      </c>
      <c r="X670" s="10">
        <v>75445.189999999988</v>
      </c>
      <c r="Y670" s="10"/>
      <c r="Z670" s="10"/>
      <c r="AA670" s="10"/>
      <c r="AB670" s="10"/>
      <c r="AC670" s="10"/>
      <c r="AD670" s="10"/>
      <c r="AE670" s="10"/>
      <c r="AF670" s="10"/>
      <c r="AG670" s="10">
        <v>188190.06000000003</v>
      </c>
      <c r="AH670" s="10"/>
    </row>
    <row r="671" spans="1:34" x14ac:dyDescent="0.25">
      <c r="A671" t="s">
        <v>1197</v>
      </c>
      <c r="B671" t="s">
        <v>1584</v>
      </c>
      <c r="C671" s="10"/>
      <c r="D671" s="10"/>
      <c r="E671" s="10"/>
      <c r="F671" s="10"/>
      <c r="G671" s="10"/>
      <c r="H671" s="10">
        <v>19469.659999999996</v>
      </c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</row>
    <row r="672" spans="1:34" x14ac:dyDescent="0.25">
      <c r="A672" t="s">
        <v>1197</v>
      </c>
      <c r="B672" t="s">
        <v>1585</v>
      </c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>
        <v>103963.21</v>
      </c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</row>
    <row r="673" spans="1:34" x14ac:dyDescent="0.25">
      <c r="A673" t="s">
        <v>1197</v>
      </c>
      <c r="B673" t="s">
        <v>525</v>
      </c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>
        <v>158928.30000000002</v>
      </c>
      <c r="V673" s="10"/>
      <c r="W673" s="10">
        <v>101698.62000000001</v>
      </c>
      <c r="X673" s="10">
        <v>202844.27</v>
      </c>
      <c r="Y673" s="10"/>
      <c r="Z673" s="10"/>
      <c r="AA673" s="10"/>
      <c r="AB673" s="10"/>
      <c r="AC673" s="10">
        <v>39053.740000000005</v>
      </c>
      <c r="AD673" s="10"/>
      <c r="AE673" s="10"/>
      <c r="AF673" s="10">
        <v>30001.15</v>
      </c>
      <c r="AG673" s="10"/>
      <c r="AH673" s="10"/>
    </row>
    <row r="674" spans="1:34" x14ac:dyDescent="0.25">
      <c r="A674" t="s">
        <v>1197</v>
      </c>
      <c r="B674" t="s">
        <v>1586</v>
      </c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>
        <v>38665.180000000008</v>
      </c>
      <c r="O674" s="10"/>
      <c r="P674" s="10">
        <v>48229.67</v>
      </c>
      <c r="Q674" s="10">
        <v>38435.9</v>
      </c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>
        <v>31200.69</v>
      </c>
      <c r="AH674" s="10">
        <v>33944.85</v>
      </c>
    </row>
    <row r="675" spans="1:34" x14ac:dyDescent="0.25">
      <c r="A675" t="s">
        <v>1197</v>
      </c>
      <c r="B675" t="s">
        <v>1199</v>
      </c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>
        <v>230531</v>
      </c>
      <c r="AC675" s="10">
        <v>20446.25</v>
      </c>
      <c r="AD675" s="10"/>
      <c r="AE675" s="10">
        <v>13683.18</v>
      </c>
      <c r="AF675" s="10">
        <v>10035.040000000001</v>
      </c>
      <c r="AG675" s="10"/>
      <c r="AH675" s="10"/>
    </row>
    <row r="676" spans="1:34" x14ac:dyDescent="0.25">
      <c r="A676" t="s">
        <v>1197</v>
      </c>
      <c r="B676" t="s">
        <v>1587</v>
      </c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>
        <v>6674.4699999999993</v>
      </c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</row>
    <row r="677" spans="1:34" x14ac:dyDescent="0.25">
      <c r="A677" t="s">
        <v>1197</v>
      </c>
      <c r="B677" t="s">
        <v>1588</v>
      </c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>
        <v>40191.460000000006</v>
      </c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</row>
    <row r="678" spans="1:34" x14ac:dyDescent="0.25">
      <c r="A678" t="s">
        <v>1197</v>
      </c>
      <c r="B678" t="s">
        <v>526</v>
      </c>
      <c r="C678" s="10"/>
      <c r="D678" s="10"/>
      <c r="E678" s="10"/>
      <c r="F678" s="10"/>
      <c r="G678" s="10">
        <v>31178.47</v>
      </c>
      <c r="H678" s="10"/>
      <c r="I678" s="10"/>
      <c r="J678" s="10"/>
      <c r="K678" s="10">
        <v>42501.859999999993</v>
      </c>
      <c r="L678" s="10"/>
      <c r="M678" s="10"/>
      <c r="N678" s="10"/>
      <c r="O678" s="10"/>
      <c r="P678" s="10"/>
      <c r="Q678" s="10"/>
      <c r="R678" s="10"/>
      <c r="S678" s="10">
        <v>33407.710000000006</v>
      </c>
      <c r="T678" s="10"/>
      <c r="U678" s="10">
        <v>122808.55999999998</v>
      </c>
      <c r="V678" s="10"/>
      <c r="W678" s="10">
        <v>36131.479999999996</v>
      </c>
      <c r="X678" s="10">
        <v>50691.91</v>
      </c>
      <c r="Y678" s="10"/>
      <c r="Z678" s="10"/>
      <c r="AA678" s="10">
        <v>40793.660000000011</v>
      </c>
      <c r="AB678" s="10"/>
      <c r="AC678" s="10">
        <v>35910.649999999994</v>
      </c>
      <c r="AD678" s="10">
        <v>93712.95</v>
      </c>
      <c r="AE678" s="10">
        <v>105696.1</v>
      </c>
      <c r="AF678" s="10">
        <v>103011.41999999998</v>
      </c>
      <c r="AG678" s="10">
        <v>81946.16</v>
      </c>
      <c r="AH678" s="10">
        <v>109033.82</v>
      </c>
    </row>
    <row r="679" spans="1:34" x14ac:dyDescent="0.25">
      <c r="A679" t="s">
        <v>1197</v>
      </c>
      <c r="B679" t="s">
        <v>527</v>
      </c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>
        <v>209970.53999999992</v>
      </c>
      <c r="T679" s="10">
        <v>196450.16000000015</v>
      </c>
      <c r="U679" s="10">
        <v>165968.22</v>
      </c>
      <c r="V679" s="10">
        <v>233911.25999999983</v>
      </c>
      <c r="W679" s="10">
        <v>234058.07000000004</v>
      </c>
      <c r="X679" s="10">
        <v>34809.74</v>
      </c>
      <c r="Y679" s="10">
        <v>138042.1</v>
      </c>
      <c r="Z679" s="10">
        <v>26117.830000000009</v>
      </c>
      <c r="AA679" s="10">
        <v>107064.96999999999</v>
      </c>
      <c r="AB679" s="10">
        <v>17547.889999999996</v>
      </c>
      <c r="AC679" s="10">
        <v>30337.88</v>
      </c>
      <c r="AD679" s="10"/>
      <c r="AE679" s="10">
        <v>109970.03</v>
      </c>
      <c r="AF679" s="10">
        <v>66407.960000000021</v>
      </c>
      <c r="AG679" s="10">
        <v>135711.26</v>
      </c>
      <c r="AH679" s="10">
        <v>155864.26000000007</v>
      </c>
    </row>
    <row r="680" spans="1:34" x14ac:dyDescent="0.25">
      <c r="A680" t="s">
        <v>1197</v>
      </c>
      <c r="B680" t="s">
        <v>1589</v>
      </c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>
        <v>105143.64</v>
      </c>
      <c r="T680" s="10"/>
      <c r="U680" s="10"/>
      <c r="V680" s="10"/>
      <c r="W680" s="10">
        <v>17876.52</v>
      </c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</row>
    <row r="681" spans="1:34" x14ac:dyDescent="0.25">
      <c r="A681" t="s">
        <v>1197</v>
      </c>
      <c r="B681" t="s">
        <v>1370</v>
      </c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>
        <v>105459.24</v>
      </c>
      <c r="AF681" s="10">
        <v>137934.60999999999</v>
      </c>
      <c r="AG681" s="10">
        <v>81465.87000000001</v>
      </c>
      <c r="AH681" s="10">
        <v>160664.9</v>
      </c>
    </row>
    <row r="682" spans="1:34" x14ac:dyDescent="0.25">
      <c r="A682" t="s">
        <v>1197</v>
      </c>
      <c r="B682" t="s">
        <v>1590</v>
      </c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>
        <v>63214.150000000009</v>
      </c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</row>
    <row r="683" spans="1:34" x14ac:dyDescent="0.25">
      <c r="A683" t="s">
        <v>1197</v>
      </c>
      <c r="B683" t="s">
        <v>2001</v>
      </c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>
        <v>32549.119999999999</v>
      </c>
      <c r="AD683" s="10">
        <v>31489.1</v>
      </c>
      <c r="AE683" s="10">
        <v>31349.589999999997</v>
      </c>
      <c r="AF683" s="10">
        <v>33501.24</v>
      </c>
      <c r="AG683" s="10">
        <v>42001.210000000006</v>
      </c>
      <c r="AH683" s="10">
        <v>36509.61</v>
      </c>
    </row>
    <row r="684" spans="1:34" x14ac:dyDescent="0.25">
      <c r="A684" t="s">
        <v>1197</v>
      </c>
      <c r="B684" t="s">
        <v>528</v>
      </c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>
        <v>33283.18</v>
      </c>
      <c r="P684" s="10"/>
      <c r="Q684" s="10">
        <v>34264</v>
      </c>
      <c r="R684" s="10"/>
      <c r="S684" s="10">
        <v>33730.67</v>
      </c>
      <c r="T684" s="10"/>
      <c r="U684" s="10"/>
      <c r="V684" s="10"/>
      <c r="W684" s="10"/>
      <c r="X684" s="10">
        <v>83542.94</v>
      </c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</row>
    <row r="685" spans="1:34" x14ac:dyDescent="0.25">
      <c r="A685" t="s">
        <v>1197</v>
      </c>
      <c r="B685" t="s">
        <v>1491</v>
      </c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>
        <v>12140.68</v>
      </c>
      <c r="AH685" s="10">
        <v>11515.33</v>
      </c>
    </row>
    <row r="686" spans="1:34" x14ac:dyDescent="0.25">
      <c r="A686" t="s">
        <v>1197</v>
      </c>
      <c r="B686" t="s">
        <v>1591</v>
      </c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>
        <v>40018.25</v>
      </c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</row>
    <row r="687" spans="1:34" x14ac:dyDescent="0.25">
      <c r="A687" t="s">
        <v>1197</v>
      </c>
      <c r="B687" t="s">
        <v>520</v>
      </c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>
        <v>87705.59</v>
      </c>
      <c r="P687" s="10">
        <v>68354.62</v>
      </c>
      <c r="Q687" s="10"/>
      <c r="R687" s="10">
        <v>72663.430000000008</v>
      </c>
      <c r="S687" s="10"/>
      <c r="T687" s="10">
        <v>36697.269999999997</v>
      </c>
      <c r="U687" s="10"/>
      <c r="V687" s="10">
        <v>480667.53</v>
      </c>
      <c r="W687" s="10"/>
      <c r="X687" s="10"/>
      <c r="Y687" s="10"/>
      <c r="Z687" s="10"/>
      <c r="AA687" s="10"/>
      <c r="AB687" s="10"/>
      <c r="AC687" s="10">
        <v>323166.1399999999</v>
      </c>
      <c r="AD687" s="10">
        <v>109176.48000000001</v>
      </c>
      <c r="AE687" s="10">
        <v>-26266.14</v>
      </c>
      <c r="AF687" s="10"/>
      <c r="AG687" s="10">
        <v>169704.37</v>
      </c>
      <c r="AH687" s="10"/>
    </row>
    <row r="688" spans="1:34" x14ac:dyDescent="0.25">
      <c r="A688" t="s">
        <v>1197</v>
      </c>
      <c r="B688" t="s">
        <v>510</v>
      </c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>
        <v>62571.659999999989</v>
      </c>
      <c r="W688" s="10">
        <v>32685.510000000002</v>
      </c>
      <c r="X688" s="10"/>
      <c r="Y688" s="10"/>
      <c r="Z688" s="10">
        <v>38452.189999999988</v>
      </c>
      <c r="AA688" s="10">
        <v>35241.54</v>
      </c>
      <c r="AB688" s="10"/>
      <c r="AC688" s="10"/>
      <c r="AD688" s="10"/>
      <c r="AE688" s="10"/>
      <c r="AF688" s="10"/>
      <c r="AG688" s="10"/>
      <c r="AH688" s="10">
        <v>53730.530000000006</v>
      </c>
    </row>
    <row r="689" spans="1:34" x14ac:dyDescent="0.25">
      <c r="A689" t="s">
        <v>1197</v>
      </c>
      <c r="B689" t="s">
        <v>511</v>
      </c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>
        <v>135770.49</v>
      </c>
      <c r="O689" s="10"/>
      <c r="P689" s="10">
        <v>2030199.8099999998</v>
      </c>
      <c r="Q689" s="10">
        <v>1819372.58</v>
      </c>
      <c r="R689" s="10">
        <v>699827.00000000012</v>
      </c>
      <c r="S689" s="10">
        <v>90207.65</v>
      </c>
      <c r="T689" s="10">
        <v>420053.12000000005</v>
      </c>
      <c r="U689" s="10">
        <v>767958.15</v>
      </c>
      <c r="V689" s="10">
        <v>380025.34999999992</v>
      </c>
      <c r="W689" s="10">
        <v>1659780.9599999997</v>
      </c>
      <c r="X689" s="10">
        <v>153451.08999999997</v>
      </c>
      <c r="Y689" s="10">
        <v>77054.26999999999</v>
      </c>
      <c r="Z689" s="10">
        <v>1429054.44</v>
      </c>
      <c r="AA689" s="10">
        <v>298391.10999999993</v>
      </c>
      <c r="AB689" s="10">
        <v>314630.21000000002</v>
      </c>
      <c r="AC689" s="10">
        <v>168971.81</v>
      </c>
      <c r="AD689" s="10">
        <v>335302.88999999996</v>
      </c>
      <c r="AE689" s="10">
        <v>2090818.3600000006</v>
      </c>
      <c r="AF689" s="10">
        <v>2506056.0700000003</v>
      </c>
      <c r="AG689" s="10">
        <v>236407.58000000002</v>
      </c>
      <c r="AH689" s="10">
        <v>428721.7</v>
      </c>
    </row>
    <row r="690" spans="1:34" x14ac:dyDescent="0.25">
      <c r="A690" t="s">
        <v>1197</v>
      </c>
      <c r="B690" t="s">
        <v>1592</v>
      </c>
      <c r="C690" s="10"/>
      <c r="D690" s="10"/>
      <c r="E690" s="10"/>
      <c r="F690" s="10"/>
      <c r="G690" s="10"/>
      <c r="H690" s="10"/>
      <c r="I690" s="10">
        <v>199423.15999999997</v>
      </c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</row>
    <row r="691" spans="1:34" x14ac:dyDescent="0.25">
      <c r="A691" t="s">
        <v>1197</v>
      </c>
      <c r="B691" t="s">
        <v>1556</v>
      </c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>
        <v>103845.94999999997</v>
      </c>
    </row>
    <row r="692" spans="1:34" x14ac:dyDescent="0.25">
      <c r="A692" t="s">
        <v>1197</v>
      </c>
      <c r="B692" t="s">
        <v>1593</v>
      </c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>
        <v>4347.9399999999996</v>
      </c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</row>
    <row r="693" spans="1:34" x14ac:dyDescent="0.25">
      <c r="A693" t="s">
        <v>1197</v>
      </c>
      <c r="B693" t="s">
        <v>521</v>
      </c>
      <c r="C693" s="10"/>
      <c r="D693" s="10"/>
      <c r="E693" s="10"/>
      <c r="F693" s="10"/>
      <c r="G693" s="10"/>
      <c r="H693" s="10">
        <v>14916.14</v>
      </c>
      <c r="I693" s="10">
        <v>35701.449999999997</v>
      </c>
      <c r="J693" s="10"/>
      <c r="K693" s="10">
        <v>14175.279999999999</v>
      </c>
      <c r="L693" s="10">
        <v>27348.969999999998</v>
      </c>
      <c r="M693" s="10"/>
      <c r="N693" s="10">
        <v>19308.469999999998</v>
      </c>
      <c r="O693" s="10"/>
      <c r="P693" s="10">
        <v>18614.149999999998</v>
      </c>
      <c r="Q693" s="10"/>
      <c r="R693" s="10">
        <v>73994.52</v>
      </c>
      <c r="S693" s="10"/>
      <c r="T693" s="10">
        <v>18817.490000000002</v>
      </c>
      <c r="U693" s="10"/>
      <c r="V693" s="10">
        <v>7127.19</v>
      </c>
      <c r="W693" s="10">
        <v>11894.4</v>
      </c>
      <c r="X693" s="10">
        <v>17525.440000000002</v>
      </c>
      <c r="Y693" s="10">
        <v>21457.56</v>
      </c>
      <c r="Z693" s="10"/>
      <c r="AA693" s="10"/>
      <c r="AB693" s="10">
        <v>3524.65</v>
      </c>
      <c r="AC693" s="10"/>
      <c r="AD693" s="10">
        <v>12705.530000000002</v>
      </c>
      <c r="AE693" s="10">
        <v>6976.27</v>
      </c>
      <c r="AF693" s="10"/>
      <c r="AG693" s="10"/>
      <c r="AH693" s="10">
        <v>47170.3</v>
      </c>
    </row>
    <row r="694" spans="1:34" x14ac:dyDescent="0.25">
      <c r="A694" t="s">
        <v>1197</v>
      </c>
      <c r="B694" t="s">
        <v>529</v>
      </c>
      <c r="C694" s="10"/>
      <c r="D694" s="10"/>
      <c r="E694" s="10">
        <v>37434.81</v>
      </c>
      <c r="F694" s="10"/>
      <c r="G694" s="10"/>
      <c r="H694" s="10"/>
      <c r="I694" s="10"/>
      <c r="J694" s="10"/>
      <c r="K694" s="10">
        <v>31114.509999999995</v>
      </c>
      <c r="L694" s="10"/>
      <c r="M694" s="10"/>
      <c r="N694" s="10"/>
      <c r="O694" s="10"/>
      <c r="P694" s="10"/>
      <c r="Q694" s="10"/>
      <c r="R694" s="10"/>
      <c r="S694" s="10"/>
      <c r="T694" s="10">
        <v>48149.430000000015</v>
      </c>
      <c r="U694" s="10"/>
      <c r="V694" s="10"/>
      <c r="W694" s="10"/>
      <c r="X694" s="10"/>
      <c r="Y694" s="10"/>
      <c r="Z694" s="10"/>
      <c r="AA694" s="10"/>
      <c r="AB694" s="10"/>
      <c r="AC694" s="10">
        <v>47296.99</v>
      </c>
      <c r="AD694" s="10"/>
      <c r="AE694" s="10"/>
      <c r="AF694" s="10"/>
      <c r="AG694" s="10"/>
      <c r="AH694" s="10"/>
    </row>
    <row r="695" spans="1:34" x14ac:dyDescent="0.25">
      <c r="A695" t="s">
        <v>1197</v>
      </c>
      <c r="B695" t="s">
        <v>1594</v>
      </c>
      <c r="C695" s="10"/>
      <c r="D695" s="10"/>
      <c r="E695" s="10"/>
      <c r="F695" s="10"/>
      <c r="G695" s="10"/>
      <c r="H695" s="10"/>
      <c r="I695" s="10"/>
      <c r="J695" s="10"/>
      <c r="K695" s="10"/>
      <c r="L695" s="10">
        <v>26646.6</v>
      </c>
      <c r="M695" s="10">
        <v>16827.82</v>
      </c>
      <c r="N695" s="10"/>
      <c r="O695" s="10">
        <v>9823.85</v>
      </c>
      <c r="P695" s="10"/>
      <c r="Q695" s="10"/>
      <c r="R695" s="10"/>
      <c r="S695" s="10"/>
      <c r="T695" s="10">
        <v>30661.4</v>
      </c>
      <c r="U695" s="10"/>
      <c r="V695" s="10"/>
      <c r="W695" s="10"/>
      <c r="X695" s="10">
        <v>31581.21</v>
      </c>
      <c r="Y695" s="10"/>
      <c r="Z695" s="10"/>
      <c r="AA695" s="10"/>
      <c r="AB695" s="10"/>
      <c r="AC695" s="10"/>
      <c r="AD695" s="10"/>
      <c r="AE695" s="10"/>
      <c r="AF695" s="10"/>
      <c r="AG695" s="10"/>
      <c r="AH695" s="10">
        <v>65841.739999999991</v>
      </c>
    </row>
    <row r="696" spans="1:34" x14ac:dyDescent="0.25">
      <c r="A696" t="s">
        <v>1197</v>
      </c>
      <c r="B696" t="s">
        <v>1444</v>
      </c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>
        <v>82728.62000000001</v>
      </c>
      <c r="AG696" s="10">
        <v>152015.5</v>
      </c>
      <c r="AH696" s="10">
        <v>31556.66</v>
      </c>
    </row>
    <row r="697" spans="1:34" x14ac:dyDescent="0.25">
      <c r="A697" t="s">
        <v>1197</v>
      </c>
      <c r="B697" t="s">
        <v>544</v>
      </c>
      <c r="C697" s="10"/>
      <c r="D697" s="10"/>
      <c r="E697" s="10"/>
      <c r="F697" s="10"/>
      <c r="G697" s="10"/>
      <c r="H697" s="10"/>
      <c r="I697" s="10"/>
      <c r="J697" s="10"/>
      <c r="K697" s="10">
        <v>104144.25</v>
      </c>
      <c r="L697" s="10"/>
      <c r="M697" s="10"/>
      <c r="N697" s="10"/>
      <c r="O697" s="10"/>
      <c r="P697" s="10">
        <v>153930.06</v>
      </c>
      <c r="Q697" s="10">
        <v>567081.49</v>
      </c>
      <c r="R697" s="10"/>
      <c r="S697" s="10">
        <v>98812.96</v>
      </c>
      <c r="T697" s="10"/>
      <c r="U697" s="10">
        <v>90925.790000000008</v>
      </c>
      <c r="V697" s="10"/>
      <c r="W697" s="10"/>
      <c r="X697" s="10"/>
      <c r="Y697" s="10">
        <v>358564.73000000004</v>
      </c>
      <c r="Z697" s="10"/>
      <c r="AA697" s="10"/>
      <c r="AB697" s="10"/>
      <c r="AC697" s="10"/>
      <c r="AD697" s="10"/>
      <c r="AE697" s="10"/>
      <c r="AF697" s="10">
        <v>191984.04</v>
      </c>
      <c r="AG697" s="10">
        <v>69924.13</v>
      </c>
      <c r="AH697" s="10"/>
    </row>
    <row r="698" spans="1:34" x14ac:dyDescent="0.25">
      <c r="A698" t="s">
        <v>1197</v>
      </c>
      <c r="B698" t="s">
        <v>1595</v>
      </c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>
        <v>20477.72</v>
      </c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</row>
    <row r="699" spans="1:34" x14ac:dyDescent="0.25">
      <c r="A699" t="s">
        <v>1197</v>
      </c>
      <c r="B699" t="s">
        <v>512</v>
      </c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>
        <v>197197.65999999997</v>
      </c>
      <c r="Z699" s="10">
        <v>12853.75</v>
      </c>
      <c r="AA699" s="10">
        <v>703714.55999999982</v>
      </c>
      <c r="AB699" s="10"/>
      <c r="AC699" s="10">
        <v>43876.290000000008</v>
      </c>
      <c r="AD699" s="10">
        <v>59138.659999999989</v>
      </c>
      <c r="AE699" s="10">
        <v>232070.52000000002</v>
      </c>
      <c r="AF699" s="10">
        <v>106039.36000000002</v>
      </c>
      <c r="AG699" s="10">
        <v>246148.77000000005</v>
      </c>
      <c r="AH699" s="10">
        <v>387465.48</v>
      </c>
    </row>
    <row r="700" spans="1:34" x14ac:dyDescent="0.25">
      <c r="A700" t="s">
        <v>1197</v>
      </c>
      <c r="B700" t="s">
        <v>1596</v>
      </c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>
        <v>102894.12</v>
      </c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</row>
    <row r="701" spans="1:34" x14ac:dyDescent="0.25">
      <c r="A701" t="s">
        <v>1197</v>
      </c>
      <c r="B701" t="s">
        <v>516</v>
      </c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>
        <v>199346.11000000004</v>
      </c>
      <c r="S701" s="10">
        <v>243115.59999999995</v>
      </c>
      <c r="T701" s="10">
        <v>308046.36000000004</v>
      </c>
      <c r="U701" s="10">
        <v>191246.21000000002</v>
      </c>
      <c r="V701" s="10">
        <v>265121.39</v>
      </c>
      <c r="W701" s="10"/>
      <c r="X701" s="10">
        <v>206962.43000000008</v>
      </c>
      <c r="Y701" s="10">
        <v>99662.99000000002</v>
      </c>
      <c r="Z701" s="10">
        <v>101788.49</v>
      </c>
      <c r="AA701" s="10"/>
      <c r="AB701" s="10">
        <v>117756.3</v>
      </c>
      <c r="AC701" s="10">
        <v>141295.51999999999</v>
      </c>
      <c r="AD701" s="10"/>
      <c r="AE701" s="10">
        <v>168394.52000000002</v>
      </c>
      <c r="AF701" s="10">
        <v>179038.88000000003</v>
      </c>
      <c r="AG701" s="10">
        <v>74677.3</v>
      </c>
      <c r="AH701" s="10">
        <v>64474.539999999994</v>
      </c>
    </row>
    <row r="702" spans="1:34" x14ac:dyDescent="0.25">
      <c r="A702" t="s">
        <v>1197</v>
      </c>
      <c r="B702" t="s">
        <v>530</v>
      </c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>
        <v>111081.60000000001</v>
      </c>
      <c r="P702" s="10"/>
      <c r="Q702" s="10"/>
      <c r="R702" s="10"/>
      <c r="S702" s="10"/>
      <c r="T702" s="10"/>
      <c r="U702" s="10">
        <v>170944.21000000002</v>
      </c>
      <c r="V702" s="10"/>
      <c r="W702" s="10">
        <v>36833.130000000005</v>
      </c>
      <c r="X702" s="10">
        <v>55041.79</v>
      </c>
      <c r="Y702" s="10"/>
      <c r="Z702" s="10"/>
      <c r="AA702" s="10"/>
      <c r="AB702" s="10"/>
      <c r="AC702" s="10"/>
      <c r="AD702" s="10">
        <v>101774.02</v>
      </c>
      <c r="AE702" s="10"/>
      <c r="AF702" s="10">
        <v>61884.659999999996</v>
      </c>
      <c r="AG702" s="10"/>
      <c r="AH702" s="10"/>
    </row>
    <row r="703" spans="1:34" x14ac:dyDescent="0.25">
      <c r="A703" t="s">
        <v>1197</v>
      </c>
      <c r="B703" t="s">
        <v>1597</v>
      </c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>
        <v>30034.509999999991</v>
      </c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</row>
    <row r="704" spans="1:34" x14ac:dyDescent="0.25">
      <c r="A704" t="s">
        <v>1197</v>
      </c>
      <c r="B704" t="s">
        <v>1598</v>
      </c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>
        <v>14527.82</v>
      </c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</row>
    <row r="705" spans="1:34" x14ac:dyDescent="0.25">
      <c r="A705" t="s">
        <v>1197</v>
      </c>
      <c r="B705" t="s">
        <v>1318</v>
      </c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>
        <v>65782.000000000029</v>
      </c>
      <c r="AE705" s="10"/>
      <c r="AF705" s="10"/>
      <c r="AG705" s="10"/>
      <c r="AH705" s="10"/>
    </row>
    <row r="706" spans="1:34" x14ac:dyDescent="0.25">
      <c r="A706" t="s">
        <v>1197</v>
      </c>
      <c r="B706" t="s">
        <v>531</v>
      </c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>
        <v>91577.4</v>
      </c>
      <c r="U706" s="10">
        <v>121712.52000000002</v>
      </c>
      <c r="V706" s="10"/>
      <c r="W706" s="10"/>
      <c r="X706" s="10"/>
      <c r="Y706" s="10">
        <v>109974.16999999998</v>
      </c>
      <c r="Z706" s="10">
        <v>43444.54</v>
      </c>
      <c r="AA706" s="10"/>
      <c r="AB706" s="10"/>
      <c r="AC706" s="10"/>
      <c r="AD706" s="10"/>
      <c r="AE706" s="10">
        <v>205197.36000000002</v>
      </c>
      <c r="AF706" s="10"/>
      <c r="AG706" s="10"/>
      <c r="AH706" s="10"/>
    </row>
    <row r="707" spans="1:34" x14ac:dyDescent="0.25">
      <c r="A707" t="s">
        <v>1197</v>
      </c>
      <c r="B707" t="s">
        <v>532</v>
      </c>
      <c r="C707" s="10"/>
      <c r="D707" s="10"/>
      <c r="E707" s="10"/>
      <c r="F707" s="10"/>
      <c r="G707" s="10">
        <v>41996.08</v>
      </c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>
        <v>59586.7</v>
      </c>
      <c r="T707" s="10">
        <v>114482.42</v>
      </c>
      <c r="U707" s="10">
        <v>54710.7</v>
      </c>
      <c r="V707" s="10">
        <v>29931.639999999996</v>
      </c>
      <c r="W707" s="10">
        <v>19901.88</v>
      </c>
      <c r="X707" s="10">
        <v>23077.26</v>
      </c>
      <c r="Y707" s="10">
        <v>13964.829999999998</v>
      </c>
      <c r="Z707" s="10">
        <v>26780.21</v>
      </c>
      <c r="AA707" s="10"/>
      <c r="AB707" s="10"/>
      <c r="AC707" s="10"/>
      <c r="AD707" s="10">
        <v>10381.93</v>
      </c>
      <c r="AE707" s="10"/>
      <c r="AF707" s="10"/>
      <c r="AG707" s="10">
        <v>39042.660000000003</v>
      </c>
      <c r="AH707" s="10"/>
    </row>
    <row r="708" spans="1:34" x14ac:dyDescent="0.25">
      <c r="A708" t="s">
        <v>1197</v>
      </c>
      <c r="B708" t="s">
        <v>1599</v>
      </c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>
        <v>6732</v>
      </c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</row>
    <row r="709" spans="1:34" x14ac:dyDescent="0.25">
      <c r="A709" t="s">
        <v>1197</v>
      </c>
      <c r="B709" t="s">
        <v>513</v>
      </c>
      <c r="C709" s="10"/>
      <c r="D709" s="10"/>
      <c r="E709" s="10"/>
      <c r="F709" s="10"/>
      <c r="G709" s="10">
        <v>159571.61000000004</v>
      </c>
      <c r="H709" s="10">
        <v>39900.950000000004</v>
      </c>
      <c r="I709" s="10">
        <v>57099.810000000005</v>
      </c>
      <c r="J709" s="10">
        <v>48304.349999999991</v>
      </c>
      <c r="K709" s="10">
        <v>53614.399999999994</v>
      </c>
      <c r="L709" s="10">
        <v>30670.59</v>
      </c>
      <c r="M709" s="10">
        <v>33497.969999999994</v>
      </c>
      <c r="N709" s="10">
        <v>69343.95</v>
      </c>
      <c r="O709" s="10">
        <v>31780.53</v>
      </c>
      <c r="P709" s="10">
        <v>139136.38000000003</v>
      </c>
      <c r="Q709" s="10"/>
      <c r="R709" s="10">
        <v>66212.180000000022</v>
      </c>
      <c r="S709" s="10">
        <v>31777.219999999994</v>
      </c>
      <c r="T709" s="10">
        <v>64476.350000000006</v>
      </c>
      <c r="U709" s="10">
        <v>77816.58</v>
      </c>
      <c r="V709" s="10">
        <v>65828.3</v>
      </c>
      <c r="W709" s="10">
        <v>42090.30999999999</v>
      </c>
      <c r="X709" s="10">
        <v>19929.760000000002</v>
      </c>
      <c r="Y709" s="10">
        <v>58029.55999999999</v>
      </c>
      <c r="Z709" s="10">
        <v>44486.549999999988</v>
      </c>
      <c r="AA709" s="10">
        <v>116841.79000000002</v>
      </c>
      <c r="AB709" s="10">
        <v>49225.41</v>
      </c>
      <c r="AC709" s="10">
        <v>127484.25000000003</v>
      </c>
      <c r="AD709" s="10">
        <v>33544.57</v>
      </c>
      <c r="AE709" s="10">
        <v>163801.79999999996</v>
      </c>
      <c r="AF709" s="10">
        <v>50340.899999999994</v>
      </c>
      <c r="AG709" s="10">
        <v>72735.099999999991</v>
      </c>
      <c r="AH709" s="10">
        <v>132642.75</v>
      </c>
    </row>
    <row r="710" spans="1:34" x14ac:dyDescent="0.25">
      <c r="A710" t="s">
        <v>1197</v>
      </c>
      <c r="B710" t="s">
        <v>533</v>
      </c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>
        <v>32245.829999999994</v>
      </c>
      <c r="V710" s="10"/>
      <c r="W710" s="10"/>
      <c r="X710" s="10"/>
      <c r="Y710" s="10"/>
      <c r="Z710" s="10"/>
      <c r="AA710" s="10"/>
      <c r="AB710" s="10"/>
      <c r="AC710" s="10"/>
      <c r="AD710" s="10">
        <v>30028.74</v>
      </c>
      <c r="AE710" s="10"/>
      <c r="AF710" s="10"/>
      <c r="AG710" s="10"/>
      <c r="AH710" s="10">
        <v>30123.129999999997</v>
      </c>
    </row>
    <row r="711" spans="1:34" x14ac:dyDescent="0.25">
      <c r="A711" t="s">
        <v>1197</v>
      </c>
      <c r="B711" t="s">
        <v>514</v>
      </c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>
        <v>319541.56000000006</v>
      </c>
      <c r="T711" s="10">
        <v>193323.08000000002</v>
      </c>
      <c r="U711" s="10">
        <v>261020.05</v>
      </c>
      <c r="V711" s="10">
        <v>364505.32999999996</v>
      </c>
      <c r="W711" s="10">
        <v>322546.3</v>
      </c>
      <c r="X711" s="10">
        <v>148553.92000000001</v>
      </c>
      <c r="Y711" s="10">
        <v>180404.17</v>
      </c>
      <c r="Z711" s="10">
        <v>195504.21000000002</v>
      </c>
      <c r="AA711" s="10"/>
      <c r="AB711" s="10"/>
      <c r="AC711" s="10"/>
      <c r="AD711" s="10"/>
      <c r="AE711" s="10"/>
      <c r="AF711" s="10">
        <v>155371.90999999997</v>
      </c>
      <c r="AG711" s="10">
        <v>279018.78999999992</v>
      </c>
      <c r="AH711" s="10"/>
    </row>
    <row r="712" spans="1:34" x14ac:dyDescent="0.25">
      <c r="A712" t="s">
        <v>1197</v>
      </c>
      <c r="B712" t="s">
        <v>1011</v>
      </c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>
        <v>86009.63999999997</v>
      </c>
      <c r="AA712" s="10"/>
      <c r="AB712" s="10">
        <v>34088.03</v>
      </c>
      <c r="AC712" s="10">
        <v>46665.059999999983</v>
      </c>
      <c r="AD712" s="10">
        <v>36364.710000000006</v>
      </c>
      <c r="AE712" s="10">
        <v>100154.59999999999</v>
      </c>
      <c r="AF712" s="10">
        <v>151464.20999999996</v>
      </c>
      <c r="AG712" s="10">
        <v>30808.069999999992</v>
      </c>
      <c r="AH712" s="10">
        <v>97450.009999999966</v>
      </c>
    </row>
    <row r="713" spans="1:34" x14ac:dyDescent="0.25">
      <c r="A713" t="s">
        <v>1197</v>
      </c>
      <c r="B713" t="s">
        <v>515</v>
      </c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>
        <v>389874.17</v>
      </c>
      <c r="P713" s="10">
        <v>339805.51</v>
      </c>
      <c r="Q713" s="10">
        <v>114691.75000000001</v>
      </c>
      <c r="R713" s="10">
        <v>385678.10000000003</v>
      </c>
      <c r="S713" s="10"/>
      <c r="T713" s="10">
        <v>246640.21000000002</v>
      </c>
      <c r="U713" s="10">
        <v>355481.70999999996</v>
      </c>
      <c r="V713" s="10">
        <v>263969.24</v>
      </c>
      <c r="W713" s="10">
        <v>460131.57</v>
      </c>
      <c r="X713" s="10">
        <v>425648.77000000008</v>
      </c>
      <c r="Y713" s="10">
        <v>478326.8600000001</v>
      </c>
      <c r="Z713" s="10"/>
      <c r="AA713" s="10">
        <v>278734.74000000005</v>
      </c>
      <c r="AB713" s="10"/>
      <c r="AC713" s="10">
        <v>342436.73</v>
      </c>
      <c r="AD713" s="10">
        <v>375984.58999999997</v>
      </c>
      <c r="AE713" s="10">
        <v>338878.86000000004</v>
      </c>
      <c r="AF713" s="10">
        <v>330090.78000000003</v>
      </c>
      <c r="AG713" s="10">
        <v>263831.82</v>
      </c>
      <c r="AH713" s="10">
        <v>116478.54000000001</v>
      </c>
    </row>
    <row r="714" spans="1:34" x14ac:dyDescent="0.25">
      <c r="A714" t="s">
        <v>1197</v>
      </c>
      <c r="B714" t="s">
        <v>1600</v>
      </c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>
        <v>51336</v>
      </c>
      <c r="R714" s="10">
        <v>62183.64</v>
      </c>
      <c r="S714" s="10">
        <v>100239.61</v>
      </c>
      <c r="T714" s="10">
        <v>47019.81</v>
      </c>
      <c r="U714" s="10">
        <v>183706.94</v>
      </c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</row>
    <row r="715" spans="1:34" x14ac:dyDescent="0.25">
      <c r="A715" t="s">
        <v>1197</v>
      </c>
      <c r="B715" t="s">
        <v>534</v>
      </c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>
        <v>77871.67</v>
      </c>
      <c r="Q715" s="10"/>
      <c r="R715" s="10"/>
      <c r="S715" s="10">
        <v>111850.76</v>
      </c>
      <c r="T715" s="10">
        <v>247587.2099999999</v>
      </c>
      <c r="U715" s="10">
        <v>99327.140000000029</v>
      </c>
      <c r="V715" s="10"/>
      <c r="W715" s="10"/>
      <c r="X715" s="10"/>
      <c r="Y715" s="10"/>
      <c r="Z715" s="10">
        <v>102471.73000000001</v>
      </c>
      <c r="AA715" s="10"/>
      <c r="AB715" s="10"/>
      <c r="AC715" s="10">
        <v>113627.84000000001</v>
      </c>
      <c r="AD715" s="10"/>
      <c r="AE715" s="10">
        <v>189702.42999999991</v>
      </c>
      <c r="AF715" s="10"/>
      <c r="AG715" s="10"/>
      <c r="AH715" s="10">
        <v>181613.04</v>
      </c>
    </row>
    <row r="716" spans="1:34" x14ac:dyDescent="0.25">
      <c r="A716" t="s">
        <v>1197</v>
      </c>
      <c r="B716" t="s">
        <v>1601</v>
      </c>
      <c r="C716" s="10"/>
      <c r="D716" s="10"/>
      <c r="E716" s="10"/>
      <c r="F716" s="10">
        <v>17996.009999999998</v>
      </c>
      <c r="G716" s="10"/>
      <c r="H716" s="10"/>
      <c r="I716" s="10"/>
      <c r="J716" s="10"/>
      <c r="K716" s="10">
        <v>51220.080000000016</v>
      </c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</row>
    <row r="717" spans="1:34" x14ac:dyDescent="0.25">
      <c r="A717" t="s">
        <v>1197</v>
      </c>
      <c r="B717" t="s">
        <v>535</v>
      </c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>
        <v>489059.60999999975</v>
      </c>
      <c r="V717" s="10">
        <v>379787.02000000025</v>
      </c>
      <c r="W717" s="10">
        <v>52589.150000000016</v>
      </c>
      <c r="X717" s="10">
        <v>48916.63</v>
      </c>
      <c r="Y717" s="10">
        <v>80205.259999999995</v>
      </c>
      <c r="Z717" s="10">
        <v>52300.579999999994</v>
      </c>
      <c r="AA717" s="10"/>
      <c r="AB717" s="10"/>
      <c r="AC717" s="10">
        <v>50421.630000000012</v>
      </c>
      <c r="AD717" s="10"/>
      <c r="AE717" s="10">
        <v>130964.51</v>
      </c>
      <c r="AF717" s="10">
        <v>10493.130000000005</v>
      </c>
      <c r="AG717" s="10">
        <v>21799.43</v>
      </c>
      <c r="AH717" s="10">
        <v>200584.25000000006</v>
      </c>
    </row>
    <row r="718" spans="1:34" x14ac:dyDescent="0.25">
      <c r="A718" t="s">
        <v>1197</v>
      </c>
      <c r="B718" t="s">
        <v>1602</v>
      </c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>
        <v>74631.600000000006</v>
      </c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</row>
    <row r="719" spans="1:34" x14ac:dyDescent="0.25">
      <c r="A719" t="s">
        <v>1197</v>
      </c>
      <c r="B719" t="s">
        <v>1603</v>
      </c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>
        <v>5552.47</v>
      </c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</row>
    <row r="720" spans="1:34" x14ac:dyDescent="0.25">
      <c r="A720" t="s">
        <v>1197</v>
      </c>
      <c r="B720" t="s">
        <v>517</v>
      </c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>
        <v>55218.84</v>
      </c>
      <c r="V720" s="10">
        <v>161994.30000000005</v>
      </c>
      <c r="W720" s="10">
        <v>189443.1</v>
      </c>
      <c r="X720" s="10">
        <v>154465.06</v>
      </c>
      <c r="Y720" s="10">
        <v>79558.62</v>
      </c>
      <c r="Z720" s="10">
        <v>53349.210000000006</v>
      </c>
      <c r="AA720" s="10"/>
      <c r="AB720" s="10">
        <v>117511.22</v>
      </c>
      <c r="AC720" s="10">
        <v>142335.39000000001</v>
      </c>
      <c r="AD720" s="10"/>
      <c r="AE720" s="10">
        <v>529453.63000000012</v>
      </c>
      <c r="AF720" s="10">
        <v>285817.37</v>
      </c>
      <c r="AG720" s="10">
        <v>622505.73000000033</v>
      </c>
      <c r="AH720" s="10">
        <v>266687.22000000003</v>
      </c>
    </row>
    <row r="721" spans="1:34" x14ac:dyDescent="0.25">
      <c r="A721" t="s">
        <v>1197</v>
      </c>
      <c r="B721" t="s">
        <v>383</v>
      </c>
      <c r="C721" s="10"/>
      <c r="D721" s="10">
        <v>185471.4</v>
      </c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>
        <v>163255.74999999997</v>
      </c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>
        <v>128418.61000000002</v>
      </c>
      <c r="AD721" s="10"/>
      <c r="AE721" s="10"/>
      <c r="AF721" s="10"/>
      <c r="AG721" s="10"/>
      <c r="AH721" s="10"/>
    </row>
    <row r="722" spans="1:34" x14ac:dyDescent="0.25">
      <c r="A722" t="s">
        <v>1197</v>
      </c>
      <c r="B722" t="s">
        <v>1604</v>
      </c>
      <c r="C722" s="10"/>
      <c r="D722" s="10"/>
      <c r="E722" s="10"/>
      <c r="F722" s="10"/>
      <c r="G722" s="10"/>
      <c r="H722" s="10"/>
      <c r="I722" s="10">
        <v>7839.97</v>
      </c>
      <c r="J722" s="10"/>
      <c r="K722" s="10"/>
      <c r="L722" s="10"/>
      <c r="M722" s="10"/>
      <c r="N722" s="10"/>
      <c r="O722" s="10"/>
      <c r="P722" s="10"/>
      <c r="Q722" s="10"/>
      <c r="R722" s="10"/>
      <c r="S722" s="10">
        <v>1327.03</v>
      </c>
      <c r="T722" s="10"/>
      <c r="U722" s="10">
        <v>56684.03</v>
      </c>
      <c r="V722" s="10">
        <v>17972.37</v>
      </c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</row>
    <row r="723" spans="1:34" x14ac:dyDescent="0.25">
      <c r="A723" t="s">
        <v>1197</v>
      </c>
      <c r="B723" t="s">
        <v>1605</v>
      </c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>
        <v>34644.120000000003</v>
      </c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</row>
    <row r="724" spans="1:34" x14ac:dyDescent="0.25">
      <c r="A724" t="s">
        <v>1197</v>
      </c>
      <c r="B724" t="s">
        <v>536</v>
      </c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>
        <v>103915.37999999999</v>
      </c>
      <c r="S724" s="10"/>
      <c r="T724" s="10">
        <v>44770.79</v>
      </c>
      <c r="U724" s="10">
        <v>62562.899999999994</v>
      </c>
      <c r="V724" s="10"/>
      <c r="W724" s="10">
        <v>86773.780000000013</v>
      </c>
      <c r="X724" s="10">
        <v>43135.009999999995</v>
      </c>
      <c r="Y724" s="10">
        <v>21138.720000000001</v>
      </c>
      <c r="Z724" s="10">
        <v>121453.73999999998</v>
      </c>
      <c r="AA724" s="10">
        <v>15304.26</v>
      </c>
      <c r="AB724" s="10">
        <v>321765.27999999997</v>
      </c>
      <c r="AC724" s="10">
        <v>77970.539999999979</v>
      </c>
      <c r="AD724" s="10"/>
      <c r="AE724" s="10">
        <v>76778.8</v>
      </c>
      <c r="AF724" s="10">
        <v>11728.51</v>
      </c>
      <c r="AG724" s="10">
        <v>60848.57</v>
      </c>
      <c r="AH724" s="10">
        <v>20615.289999999997</v>
      </c>
    </row>
    <row r="725" spans="1:34" x14ac:dyDescent="0.25">
      <c r="A725" t="s">
        <v>1197</v>
      </c>
      <c r="B725" t="s">
        <v>518</v>
      </c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>
        <v>64340.54</v>
      </c>
      <c r="T725" s="10">
        <v>138709.88</v>
      </c>
      <c r="U725" s="10">
        <v>129103.94999999997</v>
      </c>
      <c r="V725" s="10">
        <v>171923.5100000001</v>
      </c>
      <c r="W725" s="10">
        <v>94149.349999999991</v>
      </c>
      <c r="X725" s="10"/>
      <c r="Y725" s="10">
        <v>109866.6</v>
      </c>
      <c r="Z725" s="10">
        <v>123985.75999999998</v>
      </c>
      <c r="AA725" s="10">
        <v>37731.679999999993</v>
      </c>
      <c r="AB725" s="10">
        <v>96657.21</v>
      </c>
      <c r="AC725" s="10">
        <v>147037.57000000004</v>
      </c>
      <c r="AD725" s="10">
        <v>68439.180000000008</v>
      </c>
      <c r="AE725" s="10">
        <v>194062.23999999996</v>
      </c>
      <c r="AF725" s="10">
        <v>163504.51000000004</v>
      </c>
      <c r="AG725" s="10">
        <v>188815.56999999995</v>
      </c>
      <c r="AH725" s="10">
        <v>182327.18000000008</v>
      </c>
    </row>
    <row r="726" spans="1:34" x14ac:dyDescent="0.25">
      <c r="A726" t="s">
        <v>1197</v>
      </c>
      <c r="B726" t="s">
        <v>1606</v>
      </c>
      <c r="C726" s="10"/>
      <c r="D726" s="10"/>
      <c r="E726" s="10"/>
      <c r="F726" s="10"/>
      <c r="G726" s="10"/>
      <c r="H726" s="10">
        <v>5084.0599999999995</v>
      </c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</row>
    <row r="727" spans="1:34" x14ac:dyDescent="0.25">
      <c r="A727" t="s">
        <v>1197</v>
      </c>
      <c r="B727" t="s">
        <v>537</v>
      </c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>
        <v>318219.52999999991</v>
      </c>
      <c r="S727" s="10"/>
      <c r="T727" s="10">
        <v>239676.71999999994</v>
      </c>
      <c r="U727" s="10">
        <v>91551.65</v>
      </c>
      <c r="V727" s="10"/>
      <c r="W727" s="10">
        <v>183826.32</v>
      </c>
      <c r="X727" s="10"/>
      <c r="Y727" s="10"/>
      <c r="Z727" s="10">
        <v>174135.68999999997</v>
      </c>
      <c r="AA727" s="10"/>
      <c r="AB727" s="10"/>
      <c r="AC727" s="10">
        <v>576807.72999999975</v>
      </c>
      <c r="AD727" s="10"/>
      <c r="AE727" s="10">
        <v>275818.93</v>
      </c>
      <c r="AF727" s="10"/>
      <c r="AG727" s="10"/>
      <c r="AH727" s="10"/>
    </row>
    <row r="728" spans="1:34" x14ac:dyDescent="0.25">
      <c r="A728" t="s">
        <v>1197</v>
      </c>
      <c r="B728" t="s">
        <v>1607</v>
      </c>
      <c r="C728" s="10"/>
      <c r="D728" s="10"/>
      <c r="E728" s="10"/>
      <c r="F728" s="10"/>
      <c r="G728" s="10"/>
      <c r="H728" s="10"/>
      <c r="I728" s="10"/>
      <c r="J728" s="10"/>
      <c r="K728" s="10"/>
      <c r="L728" s="10">
        <v>12485.710000000001</v>
      </c>
      <c r="M728" s="10"/>
      <c r="N728" s="10">
        <v>3761.99</v>
      </c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</row>
    <row r="729" spans="1:34" x14ac:dyDescent="0.25">
      <c r="A729" t="s">
        <v>1197</v>
      </c>
      <c r="B729" t="s">
        <v>538</v>
      </c>
      <c r="C729" s="10"/>
      <c r="D729" s="10"/>
      <c r="E729" s="10"/>
      <c r="F729" s="10"/>
      <c r="G729" s="10"/>
      <c r="H729" s="10"/>
      <c r="I729" s="10"/>
      <c r="J729" s="10"/>
      <c r="K729" s="10">
        <v>37388.140000000007</v>
      </c>
      <c r="L729" s="10">
        <v>35310.790000000008</v>
      </c>
      <c r="M729" s="10">
        <v>32402.530000000006</v>
      </c>
      <c r="N729" s="10">
        <v>56940.87</v>
      </c>
      <c r="O729" s="10">
        <v>36092.11</v>
      </c>
      <c r="P729" s="10">
        <v>46996.51</v>
      </c>
      <c r="Q729" s="10">
        <v>71888.08</v>
      </c>
      <c r="R729" s="10">
        <v>66198.45</v>
      </c>
      <c r="S729" s="10">
        <v>64903.85</v>
      </c>
      <c r="T729" s="10">
        <v>104969.22</v>
      </c>
      <c r="U729" s="10">
        <v>30330.280000000002</v>
      </c>
      <c r="V729" s="10">
        <v>67632.749999999985</v>
      </c>
      <c r="W729" s="10"/>
      <c r="X729" s="10"/>
      <c r="Y729" s="10">
        <v>15692.770000000002</v>
      </c>
      <c r="Z729" s="10"/>
      <c r="AA729" s="10">
        <v>22401.690000000002</v>
      </c>
      <c r="AB729" s="10">
        <v>56013.860000000008</v>
      </c>
      <c r="AC729" s="10">
        <v>30919.31</v>
      </c>
      <c r="AD729" s="10">
        <v>43635.5</v>
      </c>
      <c r="AE729" s="10">
        <v>58201.240000000013</v>
      </c>
      <c r="AF729" s="10">
        <v>104866.05000000005</v>
      </c>
      <c r="AG729" s="10">
        <v>93564.719999999987</v>
      </c>
      <c r="AH729" s="10">
        <v>49384.719999999994</v>
      </c>
    </row>
    <row r="730" spans="1:34" x14ac:dyDescent="0.25">
      <c r="A730" t="s">
        <v>1197</v>
      </c>
      <c r="B730" t="s">
        <v>523</v>
      </c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>
        <v>92357.839999999982</v>
      </c>
      <c r="P730" s="10"/>
      <c r="Q730" s="10"/>
      <c r="R730" s="10"/>
      <c r="S730" s="10"/>
      <c r="T730" s="10"/>
      <c r="U730" s="10">
        <v>194521.78999999998</v>
      </c>
      <c r="V730" s="10"/>
      <c r="W730" s="10">
        <v>37211.660000000003</v>
      </c>
      <c r="X730" s="10"/>
      <c r="Y730" s="10">
        <v>81056.14</v>
      </c>
      <c r="Z730" s="10"/>
      <c r="AA730" s="10"/>
      <c r="AB730" s="10"/>
      <c r="AC730" s="10"/>
      <c r="AD730" s="10">
        <v>239380.86999999997</v>
      </c>
      <c r="AE730" s="10"/>
      <c r="AF730" s="10"/>
      <c r="AG730" s="10"/>
      <c r="AH730" s="10"/>
    </row>
    <row r="731" spans="1:34" x14ac:dyDescent="0.25">
      <c r="A731" t="s">
        <v>1197</v>
      </c>
      <c r="B731" t="s">
        <v>1608</v>
      </c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>
        <v>63264.55</v>
      </c>
      <c r="V731" s="10">
        <v>365456.12999999995</v>
      </c>
      <c r="W731" s="10">
        <v>347245.46999999991</v>
      </c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</row>
    <row r="732" spans="1:34" x14ac:dyDescent="0.25">
      <c r="A732" t="s">
        <v>1197</v>
      </c>
      <c r="B732" t="s">
        <v>1609</v>
      </c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>
        <v>110853.45</v>
      </c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</row>
    <row r="733" spans="1:34" x14ac:dyDescent="0.25">
      <c r="A733" t="s">
        <v>1197</v>
      </c>
      <c r="B733" t="s">
        <v>1610</v>
      </c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>
        <v>31039.360000000001</v>
      </c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</row>
    <row r="734" spans="1:34" x14ac:dyDescent="0.25">
      <c r="A734" t="s">
        <v>1197</v>
      </c>
      <c r="B734" t="s">
        <v>1611</v>
      </c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>
        <v>4597.46</v>
      </c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</row>
    <row r="735" spans="1:34" x14ac:dyDescent="0.25">
      <c r="A735" t="s">
        <v>1197</v>
      </c>
      <c r="B735" t="s">
        <v>1612</v>
      </c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>
        <v>42499.85</v>
      </c>
      <c r="S735" s="10">
        <v>20964.320000000003</v>
      </c>
      <c r="T735" s="10">
        <v>32440.890000000003</v>
      </c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</row>
    <row r="736" spans="1:34" x14ac:dyDescent="0.25">
      <c r="A736" t="s">
        <v>1197</v>
      </c>
      <c r="B736" t="s">
        <v>1200</v>
      </c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>
        <v>223516.74</v>
      </c>
      <c r="V736" s="10">
        <v>88777.18</v>
      </c>
      <c r="W736" s="10">
        <v>64806.310000000005</v>
      </c>
      <c r="X736" s="10">
        <v>119552.55999999997</v>
      </c>
      <c r="Y736" s="10"/>
      <c r="Z736" s="10">
        <v>28669.360000000001</v>
      </c>
      <c r="AA736" s="10"/>
      <c r="AB736" s="10">
        <v>88028.699999999983</v>
      </c>
      <c r="AC736" s="10"/>
      <c r="AD736" s="10">
        <v>47712.42</v>
      </c>
      <c r="AE736" s="10"/>
      <c r="AF736" s="10">
        <v>37373.94</v>
      </c>
      <c r="AG736" s="10">
        <v>53957.37</v>
      </c>
      <c r="AH736" s="10">
        <v>150358.58000000002</v>
      </c>
    </row>
    <row r="737" spans="1:34" x14ac:dyDescent="0.25">
      <c r="A737" t="s">
        <v>1197</v>
      </c>
      <c r="B737" t="s">
        <v>1613</v>
      </c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>
        <v>107680.30000000002</v>
      </c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</row>
    <row r="738" spans="1:34" x14ac:dyDescent="0.25">
      <c r="A738" t="s">
        <v>1197</v>
      </c>
      <c r="B738" t="s">
        <v>1371</v>
      </c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>
        <v>33910.46</v>
      </c>
      <c r="AF738" s="10"/>
      <c r="AG738" s="10">
        <v>31409.879999999997</v>
      </c>
      <c r="AH738" s="10">
        <v>35303.97</v>
      </c>
    </row>
    <row r="739" spans="1:34" x14ac:dyDescent="0.25">
      <c r="A739" t="s">
        <v>1197</v>
      </c>
      <c r="B739" t="s">
        <v>539</v>
      </c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>
        <v>151921.32</v>
      </c>
      <c r="V739" s="10"/>
      <c r="W739" s="10"/>
      <c r="X739" s="10">
        <v>77805.000000000015</v>
      </c>
      <c r="Y739" s="10"/>
      <c r="Z739" s="10"/>
      <c r="AA739" s="10"/>
      <c r="AB739" s="10">
        <v>54876.09</v>
      </c>
      <c r="AC739" s="10"/>
      <c r="AD739" s="10"/>
      <c r="AE739" s="10"/>
      <c r="AF739" s="10"/>
      <c r="AG739" s="10">
        <v>100509.75000000001</v>
      </c>
      <c r="AH739" s="10"/>
    </row>
    <row r="740" spans="1:34" x14ac:dyDescent="0.25">
      <c r="A740" t="s">
        <v>1197</v>
      </c>
      <c r="B740" t="s">
        <v>770</v>
      </c>
      <c r="C740" s="10"/>
      <c r="D740" s="10"/>
      <c r="E740" s="10"/>
      <c r="F740" s="10"/>
      <c r="G740" s="10"/>
      <c r="H740" s="10"/>
      <c r="I740" s="10"/>
      <c r="J740" s="10"/>
      <c r="K740" s="10"/>
      <c r="L740" s="10">
        <v>7207.5</v>
      </c>
      <c r="M740" s="10">
        <v>16347.79</v>
      </c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>
        <v>4724.3999999999996</v>
      </c>
      <c r="AD740" s="10"/>
      <c r="AE740" s="10"/>
      <c r="AF740" s="10"/>
      <c r="AG740" s="10"/>
      <c r="AH740" s="10"/>
    </row>
    <row r="741" spans="1:34" x14ac:dyDescent="0.25">
      <c r="A741" t="s">
        <v>1197</v>
      </c>
      <c r="B741" t="s">
        <v>540</v>
      </c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>
        <v>378068.86999999959</v>
      </c>
      <c r="T741" s="10"/>
      <c r="U741" s="10">
        <v>129050.80999999995</v>
      </c>
      <c r="V741" s="10">
        <v>38995.22</v>
      </c>
      <c r="W741" s="10"/>
      <c r="X741" s="10"/>
      <c r="Y741" s="10">
        <v>231735.92999999996</v>
      </c>
      <c r="Z741" s="10">
        <v>42346.75</v>
      </c>
      <c r="AA741" s="10"/>
      <c r="AB741" s="10"/>
      <c r="AC741" s="10"/>
      <c r="AD741" s="10"/>
      <c r="AE741" s="10"/>
      <c r="AF741" s="10">
        <v>175479.05000000002</v>
      </c>
      <c r="AG741" s="10">
        <v>196158.93999999997</v>
      </c>
      <c r="AH741" s="10"/>
    </row>
    <row r="742" spans="1:34" x14ac:dyDescent="0.25">
      <c r="A742" t="s">
        <v>1197</v>
      </c>
      <c r="B742" t="s">
        <v>1557</v>
      </c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>
        <v>405381.54999999981</v>
      </c>
    </row>
    <row r="743" spans="1:34" x14ac:dyDescent="0.25">
      <c r="A743" t="s">
        <v>1197</v>
      </c>
      <c r="B743" t="s">
        <v>519</v>
      </c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>
        <v>128412.38000000003</v>
      </c>
      <c r="P743" s="10"/>
      <c r="Q743" s="10"/>
      <c r="R743" s="10"/>
      <c r="S743" s="10"/>
      <c r="T743" s="10">
        <v>200036.48000000004</v>
      </c>
      <c r="U743" s="10"/>
      <c r="V743" s="10"/>
      <c r="W743" s="10">
        <v>305265.04000000004</v>
      </c>
      <c r="X743" s="10"/>
      <c r="Y743" s="10"/>
      <c r="Z743" s="10">
        <v>218574.97000000006</v>
      </c>
      <c r="AA743" s="10"/>
      <c r="AB743" s="10"/>
      <c r="AC743" s="10"/>
      <c r="AD743" s="10"/>
      <c r="AE743" s="10">
        <v>153619.50999999998</v>
      </c>
      <c r="AF743" s="10"/>
      <c r="AG743" s="10"/>
      <c r="AH743" s="10"/>
    </row>
    <row r="744" spans="1:34" x14ac:dyDescent="0.25">
      <c r="A744" t="s">
        <v>1197</v>
      </c>
      <c r="B744" t="s">
        <v>1614</v>
      </c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>
        <v>17009.52</v>
      </c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</row>
    <row r="745" spans="1:34" x14ac:dyDescent="0.25">
      <c r="A745" t="s">
        <v>1197</v>
      </c>
      <c r="B745" t="s">
        <v>522</v>
      </c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>
        <v>55383.850000000006</v>
      </c>
      <c r="P745" s="10">
        <v>35115.740000000005</v>
      </c>
      <c r="Q745" s="10"/>
      <c r="R745" s="10">
        <v>116531.54000000001</v>
      </c>
      <c r="S745" s="10"/>
      <c r="T745" s="10">
        <v>37158.33</v>
      </c>
      <c r="U745" s="10"/>
      <c r="V745" s="10">
        <v>48529.979999999996</v>
      </c>
      <c r="W745" s="10"/>
      <c r="X745" s="10"/>
      <c r="Y745" s="10"/>
      <c r="Z745" s="10">
        <v>100696.37</v>
      </c>
      <c r="AA745" s="10"/>
      <c r="AB745" s="10"/>
      <c r="AC745" s="10">
        <v>37305.759999999995</v>
      </c>
      <c r="AD745" s="10"/>
      <c r="AE745" s="10">
        <v>44876.889999999992</v>
      </c>
      <c r="AF745" s="10">
        <v>44758.03</v>
      </c>
      <c r="AG745" s="10">
        <v>59119.82</v>
      </c>
      <c r="AH745" s="10">
        <v>28528.1</v>
      </c>
    </row>
    <row r="746" spans="1:34" x14ac:dyDescent="0.25">
      <c r="A746" t="s">
        <v>1197</v>
      </c>
      <c r="B746" t="s">
        <v>1490</v>
      </c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>
        <v>440215.37</v>
      </c>
      <c r="AH746" s="10">
        <v>140526.78</v>
      </c>
    </row>
    <row r="747" spans="1:34" x14ac:dyDescent="0.25">
      <c r="A747" t="s">
        <v>1197</v>
      </c>
      <c r="B747" t="s">
        <v>541</v>
      </c>
      <c r="C747" s="10"/>
      <c r="D747" s="10"/>
      <c r="E747" s="10"/>
      <c r="F747" s="10"/>
      <c r="G747" s="10"/>
      <c r="H747" s="10"/>
      <c r="I747" s="10"/>
      <c r="J747" s="10"/>
      <c r="K747" s="10">
        <v>371782.38</v>
      </c>
      <c r="L747" s="10"/>
      <c r="M747" s="10"/>
      <c r="N747" s="10"/>
      <c r="O747" s="10">
        <v>230016.59999999998</v>
      </c>
      <c r="P747" s="10"/>
      <c r="Q747" s="10"/>
      <c r="R747" s="10">
        <v>676847.08000000007</v>
      </c>
      <c r="S747" s="10">
        <v>276595.70000000007</v>
      </c>
      <c r="T747" s="10">
        <v>73556.160000000003</v>
      </c>
      <c r="U747" s="10"/>
      <c r="V747" s="10"/>
      <c r="W747" s="10">
        <v>44292.899999999994</v>
      </c>
      <c r="X747" s="10">
        <v>210027.59999999998</v>
      </c>
      <c r="Y747" s="10"/>
      <c r="Z747" s="10"/>
      <c r="AA747" s="10"/>
      <c r="AB747" s="10">
        <v>566745.32000000007</v>
      </c>
      <c r="AC747" s="10"/>
      <c r="AD747" s="10"/>
      <c r="AE747" s="10"/>
      <c r="AF747" s="10"/>
      <c r="AG747" s="10"/>
      <c r="AH747" s="10"/>
    </row>
    <row r="748" spans="1:34" x14ac:dyDescent="0.25">
      <c r="A748" t="s">
        <v>1197</v>
      </c>
      <c r="B748" t="s">
        <v>1201</v>
      </c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>
        <v>148337.49999999997</v>
      </c>
      <c r="AB748" s="10"/>
      <c r="AC748" s="10"/>
      <c r="AD748" s="10"/>
      <c r="AE748" s="10"/>
      <c r="AF748" s="10"/>
      <c r="AG748" s="10"/>
      <c r="AH748" s="10">
        <v>100506.18000000002</v>
      </c>
    </row>
    <row r="749" spans="1:34" x14ac:dyDescent="0.25">
      <c r="A749" t="s">
        <v>1197</v>
      </c>
      <c r="B749" t="s">
        <v>542</v>
      </c>
      <c r="C749" s="10"/>
      <c r="D749" s="10"/>
      <c r="E749" s="10"/>
      <c r="F749" s="10"/>
      <c r="G749" s="10"/>
      <c r="H749" s="10">
        <v>53781.26</v>
      </c>
      <c r="I749" s="10">
        <v>33827.14</v>
      </c>
      <c r="J749" s="10">
        <v>249512.43</v>
      </c>
      <c r="K749" s="10">
        <v>89851.95</v>
      </c>
      <c r="L749" s="10">
        <v>47270.810000000005</v>
      </c>
      <c r="M749" s="10">
        <v>4379.58</v>
      </c>
      <c r="N749" s="10">
        <v>3273.15</v>
      </c>
      <c r="O749" s="10">
        <v>9623.08</v>
      </c>
      <c r="P749" s="10">
        <v>22617.22</v>
      </c>
      <c r="Q749" s="10">
        <v>347629.35000000003</v>
      </c>
      <c r="R749" s="10">
        <v>45110.89</v>
      </c>
      <c r="S749" s="10">
        <v>28287.480000000003</v>
      </c>
      <c r="T749" s="10">
        <v>5074.68</v>
      </c>
      <c r="U749" s="10">
        <v>204820.02999999997</v>
      </c>
      <c r="V749" s="10">
        <v>4908.91</v>
      </c>
      <c r="W749" s="10">
        <v>14189.77</v>
      </c>
      <c r="X749" s="10">
        <v>3468.16</v>
      </c>
      <c r="Y749" s="10"/>
      <c r="Z749" s="10"/>
      <c r="AA749" s="10"/>
      <c r="AB749" s="10"/>
      <c r="AC749" s="10"/>
      <c r="AD749" s="10">
        <v>19587.469999999998</v>
      </c>
      <c r="AE749" s="10">
        <v>21333.460000000003</v>
      </c>
      <c r="AF749" s="10">
        <v>60666.450000000004</v>
      </c>
      <c r="AG749" s="10">
        <v>74820.08</v>
      </c>
      <c r="AH749" s="10">
        <v>148749.69999999998</v>
      </c>
    </row>
    <row r="750" spans="1:34" x14ac:dyDescent="0.25">
      <c r="A750" t="s">
        <v>1197</v>
      </c>
      <c r="B750" t="s">
        <v>543</v>
      </c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>
        <v>348213.47000000009</v>
      </c>
      <c r="T750" s="10">
        <v>504497.04000000027</v>
      </c>
      <c r="U750" s="10">
        <v>1434652.6600000011</v>
      </c>
      <c r="V750" s="10">
        <v>253829.02999999988</v>
      </c>
      <c r="W750" s="10">
        <v>465381.7300000001</v>
      </c>
      <c r="X750" s="10">
        <v>157319.29</v>
      </c>
      <c r="Y750" s="10">
        <v>341707.74999999994</v>
      </c>
      <c r="Z750" s="10">
        <v>170964.18</v>
      </c>
      <c r="AA750" s="10">
        <v>307806.68000000017</v>
      </c>
      <c r="AB750" s="10">
        <v>188548.54</v>
      </c>
      <c r="AC750" s="10">
        <v>206229.31999999998</v>
      </c>
      <c r="AD750" s="10">
        <v>130360.98</v>
      </c>
      <c r="AE750" s="10">
        <v>554667.95000000019</v>
      </c>
      <c r="AF750" s="10">
        <v>518534.93000000017</v>
      </c>
      <c r="AG750" s="10">
        <v>332280.30999999988</v>
      </c>
      <c r="AH750" s="10">
        <v>564667.01000000013</v>
      </c>
    </row>
    <row r="751" spans="1:34" x14ac:dyDescent="0.25">
      <c r="A751" t="s">
        <v>1399</v>
      </c>
      <c r="B751" t="s">
        <v>1859</v>
      </c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>
        <v>24933.890000000003</v>
      </c>
      <c r="N751" s="10">
        <v>3467.41</v>
      </c>
      <c r="O751" s="10"/>
      <c r="P751" s="10"/>
      <c r="Q751" s="10"/>
      <c r="R751" s="10">
        <v>14896.940000000002</v>
      </c>
      <c r="S751" s="10">
        <v>17854.179999999997</v>
      </c>
      <c r="T751" s="10">
        <v>49404.549999999988</v>
      </c>
      <c r="U751" s="10">
        <v>54778.719999999994</v>
      </c>
      <c r="V751" s="10"/>
      <c r="W751" s="10">
        <v>26205.970000000005</v>
      </c>
      <c r="X751" s="10"/>
      <c r="Y751" s="10"/>
      <c r="Z751" s="10">
        <v>32039.980000000003</v>
      </c>
      <c r="AA751" s="10"/>
      <c r="AB751" s="10"/>
      <c r="AC751" s="10"/>
      <c r="AD751" s="10"/>
      <c r="AE751" s="10"/>
      <c r="AF751" s="10"/>
      <c r="AG751" s="10"/>
      <c r="AH751" s="10">
        <v>37331.74</v>
      </c>
    </row>
    <row r="752" spans="1:34" x14ac:dyDescent="0.25">
      <c r="A752" t="s">
        <v>1399</v>
      </c>
      <c r="B752" t="s">
        <v>1860</v>
      </c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>
        <v>48124.189999999995</v>
      </c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</row>
    <row r="753" spans="1:34" x14ac:dyDescent="0.25">
      <c r="A753" t="s">
        <v>1399</v>
      </c>
      <c r="B753" t="s">
        <v>1861</v>
      </c>
      <c r="C753" s="10"/>
      <c r="D753" s="10"/>
      <c r="E753" s="10"/>
      <c r="F753" s="10">
        <v>87902.650000000009</v>
      </c>
      <c r="G753" s="10"/>
      <c r="H753" s="10">
        <v>97741.309999999983</v>
      </c>
      <c r="I753" s="10">
        <v>39906.400000000001</v>
      </c>
      <c r="J753" s="10"/>
      <c r="K753" s="10"/>
      <c r="L753" s="10"/>
      <c r="M753" s="10"/>
      <c r="N753" s="10"/>
      <c r="O753" s="10"/>
      <c r="P753" s="10">
        <v>15017.96</v>
      </c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</row>
    <row r="754" spans="1:34" x14ac:dyDescent="0.25">
      <c r="A754" t="s">
        <v>1399</v>
      </c>
      <c r="B754" t="s">
        <v>1862</v>
      </c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>
        <v>55050.420000000006</v>
      </c>
      <c r="S754" s="10">
        <v>12693.63</v>
      </c>
      <c r="T754" s="10">
        <v>24071.74</v>
      </c>
      <c r="U754" s="10"/>
      <c r="V754" s="10">
        <v>44616.88</v>
      </c>
      <c r="W754" s="10">
        <v>40639.259999999995</v>
      </c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</row>
    <row r="755" spans="1:34" x14ac:dyDescent="0.25">
      <c r="A755" t="s">
        <v>1399</v>
      </c>
      <c r="B755" t="s">
        <v>1863</v>
      </c>
      <c r="C755" s="10"/>
      <c r="D755" s="10">
        <v>7302.73</v>
      </c>
      <c r="E755" s="10"/>
      <c r="F755" s="10"/>
      <c r="G755" s="10"/>
      <c r="H755" s="10">
        <v>7286.97</v>
      </c>
      <c r="I755" s="10"/>
      <c r="J755" s="10"/>
      <c r="K755" s="10">
        <v>7123.37</v>
      </c>
      <c r="L755" s="10"/>
      <c r="M755" s="10"/>
      <c r="N755" s="10">
        <v>11348.98</v>
      </c>
      <c r="O755" s="10"/>
      <c r="P755" s="10"/>
      <c r="Q755" s="10"/>
      <c r="R755" s="10">
        <v>7678.26</v>
      </c>
      <c r="S755" s="10"/>
      <c r="T755" s="10">
        <v>14747.57</v>
      </c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</row>
    <row r="756" spans="1:34" x14ac:dyDescent="0.25">
      <c r="A756" t="s">
        <v>1399</v>
      </c>
      <c r="B756" t="s">
        <v>1558</v>
      </c>
      <c r="C756" s="10"/>
      <c r="D756" s="10"/>
      <c r="E756" s="10">
        <v>33913.649999999994</v>
      </c>
      <c r="F756" s="10"/>
      <c r="G756" s="10"/>
      <c r="H756" s="10">
        <v>49123.12999999999</v>
      </c>
      <c r="I756" s="10">
        <v>35521.229999999996</v>
      </c>
      <c r="J756" s="10">
        <v>14453.22</v>
      </c>
      <c r="K756" s="10"/>
      <c r="L756" s="10"/>
      <c r="M756" s="10"/>
      <c r="N756" s="10"/>
      <c r="O756" s="10"/>
      <c r="P756" s="10"/>
      <c r="Q756" s="10"/>
      <c r="R756" s="10"/>
      <c r="S756" s="10">
        <v>-1330.15</v>
      </c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>
        <v>129317.71</v>
      </c>
    </row>
    <row r="757" spans="1:34" x14ac:dyDescent="0.25">
      <c r="A757" t="s">
        <v>1399</v>
      </c>
      <c r="B757" t="s">
        <v>1864</v>
      </c>
      <c r="C757" s="10"/>
      <c r="D757" s="10"/>
      <c r="E757" s="10"/>
      <c r="F757" s="10">
        <v>10431.33</v>
      </c>
      <c r="G757" s="10">
        <v>14060.98</v>
      </c>
      <c r="H757" s="10">
        <v>45809.679999999993</v>
      </c>
      <c r="I757" s="10">
        <v>23837.48</v>
      </c>
      <c r="J757" s="10">
        <v>44505.259999999995</v>
      </c>
      <c r="K757" s="10">
        <v>55889.359999999986</v>
      </c>
      <c r="L757" s="10">
        <v>38434.949999999997</v>
      </c>
      <c r="M757" s="10">
        <v>17743.039999999997</v>
      </c>
      <c r="N757" s="10">
        <v>41492.910000000003</v>
      </c>
      <c r="O757" s="10">
        <v>25314.149999999998</v>
      </c>
      <c r="P757" s="10">
        <v>18211.61</v>
      </c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</row>
    <row r="758" spans="1:34" x14ac:dyDescent="0.25">
      <c r="A758" t="s">
        <v>1399</v>
      </c>
      <c r="B758" t="s">
        <v>1218</v>
      </c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>
        <v>26652.400000000001</v>
      </c>
      <c r="AC758" s="10"/>
      <c r="AD758" s="10"/>
      <c r="AE758" s="10"/>
      <c r="AF758" s="10"/>
      <c r="AG758" s="10"/>
      <c r="AH758" s="10"/>
    </row>
    <row r="759" spans="1:34" x14ac:dyDescent="0.25">
      <c r="A759" t="s">
        <v>1399</v>
      </c>
      <c r="B759" t="s">
        <v>1865</v>
      </c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>
        <v>57094.89</v>
      </c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</row>
    <row r="760" spans="1:34" x14ac:dyDescent="0.25">
      <c r="A760" t="s">
        <v>1399</v>
      </c>
      <c r="B760" t="s">
        <v>1866</v>
      </c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>
        <v>10145.15</v>
      </c>
      <c r="O760" s="10"/>
      <c r="P760" s="10"/>
      <c r="Q760" s="10">
        <v>15421.619999999997</v>
      </c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</row>
    <row r="761" spans="1:34" x14ac:dyDescent="0.25">
      <c r="A761" t="s">
        <v>1399</v>
      </c>
      <c r="B761" t="s">
        <v>1867</v>
      </c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>
        <v>66670.23</v>
      </c>
      <c r="Y761" s="10"/>
      <c r="Z761" s="10">
        <v>807.05</v>
      </c>
      <c r="AA761" s="10"/>
      <c r="AB761" s="10"/>
      <c r="AC761" s="10"/>
      <c r="AD761" s="10"/>
      <c r="AE761" s="10"/>
      <c r="AF761" s="10"/>
      <c r="AG761" s="10"/>
      <c r="AH761" s="10"/>
    </row>
    <row r="762" spans="1:34" x14ac:dyDescent="0.25">
      <c r="A762" t="s">
        <v>1399</v>
      </c>
      <c r="B762" t="s">
        <v>1868</v>
      </c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>
        <v>1396.49</v>
      </c>
      <c r="N762" s="10">
        <v>5098.91</v>
      </c>
      <c r="O762" s="10"/>
      <c r="P762" s="10"/>
      <c r="Q762" s="10">
        <v>37276.11</v>
      </c>
      <c r="R762" s="10"/>
      <c r="S762" s="10"/>
      <c r="T762" s="10"/>
      <c r="U762" s="10"/>
      <c r="V762" s="10"/>
      <c r="W762" s="10"/>
      <c r="X762" s="10"/>
      <c r="Y762" s="10"/>
      <c r="Z762" s="10">
        <v>15858.23</v>
      </c>
      <c r="AA762" s="10"/>
      <c r="AB762" s="10"/>
      <c r="AC762" s="10"/>
      <c r="AD762" s="10"/>
      <c r="AE762" s="10"/>
      <c r="AF762" s="10"/>
      <c r="AG762" s="10"/>
      <c r="AH762" s="10"/>
    </row>
    <row r="763" spans="1:34" x14ac:dyDescent="0.25">
      <c r="A763" t="s">
        <v>1399</v>
      </c>
      <c r="B763" t="s">
        <v>1869</v>
      </c>
      <c r="C763" s="10">
        <v>69869.36</v>
      </c>
      <c r="D763" s="10"/>
      <c r="E763" s="10">
        <v>77424.37</v>
      </c>
      <c r="F763" s="10"/>
      <c r="G763" s="10">
        <v>181433.87000000002</v>
      </c>
      <c r="H763" s="10">
        <v>157923.82</v>
      </c>
      <c r="I763" s="10"/>
      <c r="J763" s="10">
        <v>115735.84999999998</v>
      </c>
      <c r="K763" s="10"/>
      <c r="L763" s="10">
        <v>187458.07000000004</v>
      </c>
      <c r="M763" s="10"/>
      <c r="N763" s="10">
        <v>128712.11999999998</v>
      </c>
      <c r="O763" s="10"/>
      <c r="P763" s="10">
        <v>205414.53000000014</v>
      </c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</row>
    <row r="764" spans="1:34" x14ac:dyDescent="0.25">
      <c r="A764" t="s">
        <v>1399</v>
      </c>
      <c r="B764" t="s">
        <v>1870</v>
      </c>
      <c r="C764" s="10"/>
      <c r="D764" s="10"/>
      <c r="E764" s="10"/>
      <c r="F764" s="10"/>
      <c r="G764" s="10"/>
      <c r="H764" s="10"/>
      <c r="I764" s="10"/>
      <c r="J764" s="10"/>
      <c r="K764" s="10"/>
      <c r="L764" s="10">
        <v>5423.1399999999994</v>
      </c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</row>
    <row r="765" spans="1:34" x14ac:dyDescent="0.25">
      <c r="A765" t="s">
        <v>1399</v>
      </c>
      <c r="B765" t="s">
        <v>1871</v>
      </c>
      <c r="C765" s="10"/>
      <c r="D765" s="10"/>
      <c r="E765" s="10"/>
      <c r="F765" s="10"/>
      <c r="G765" s="10"/>
      <c r="H765" s="10"/>
      <c r="I765" s="10"/>
      <c r="J765" s="10"/>
      <c r="K765" s="10">
        <v>51326.66</v>
      </c>
      <c r="L765" s="10">
        <v>57903.749999999985</v>
      </c>
      <c r="M765" s="10">
        <v>50956.620000000017</v>
      </c>
      <c r="N765" s="10"/>
      <c r="O765" s="10"/>
      <c r="P765" s="10"/>
      <c r="Q765" s="10"/>
      <c r="R765" s="10">
        <v>45828.219999999994</v>
      </c>
      <c r="S765" s="10">
        <v>26784.3</v>
      </c>
      <c r="T765" s="10">
        <v>31069.239999999998</v>
      </c>
      <c r="U765" s="10">
        <v>35187.040000000001</v>
      </c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</row>
    <row r="766" spans="1:34" x14ac:dyDescent="0.25">
      <c r="A766" t="s">
        <v>1399</v>
      </c>
      <c r="B766" t="s">
        <v>1872</v>
      </c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>
        <v>15572.81</v>
      </c>
      <c r="W766" s="10">
        <v>48594.509999999987</v>
      </c>
      <c r="X766" s="10">
        <v>18371.719999999998</v>
      </c>
      <c r="Y766" s="10">
        <v>2784.16</v>
      </c>
      <c r="Z766" s="10"/>
      <c r="AA766" s="10"/>
      <c r="AB766" s="10"/>
      <c r="AC766" s="10"/>
      <c r="AD766" s="10"/>
      <c r="AE766" s="10"/>
      <c r="AF766" s="10"/>
      <c r="AG766" s="10"/>
      <c r="AH766" s="10">
        <v>10831.28</v>
      </c>
    </row>
    <row r="767" spans="1:34" x14ac:dyDescent="0.25">
      <c r="A767" t="s">
        <v>1399</v>
      </c>
      <c r="B767" t="s">
        <v>1873</v>
      </c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>
        <v>156326.26000000004</v>
      </c>
      <c r="R767" s="10"/>
      <c r="S767" s="10"/>
      <c r="T767" s="10"/>
      <c r="U767" s="10">
        <v>3117.36</v>
      </c>
      <c r="V767" s="10">
        <v>13094.400000000001</v>
      </c>
      <c r="W767" s="10"/>
      <c r="X767" s="10">
        <v>46663.68</v>
      </c>
      <c r="Y767" s="10"/>
      <c r="Z767" s="10">
        <v>13548.74</v>
      </c>
      <c r="AA767" s="10"/>
      <c r="AB767" s="10"/>
      <c r="AC767" s="10"/>
      <c r="AD767" s="10"/>
      <c r="AE767" s="10"/>
      <c r="AF767" s="10"/>
      <c r="AG767" s="10"/>
      <c r="AH767" s="10"/>
    </row>
    <row r="768" spans="1:34" x14ac:dyDescent="0.25">
      <c r="A768" t="s">
        <v>1399</v>
      </c>
      <c r="B768" t="s">
        <v>772</v>
      </c>
      <c r="C768" s="10"/>
      <c r="D768" s="10"/>
      <c r="E768" s="10"/>
      <c r="F768" s="10">
        <v>19631.439999999999</v>
      </c>
      <c r="G768" s="10">
        <v>30116.049999999996</v>
      </c>
      <c r="H768" s="10">
        <v>47120.38</v>
      </c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>
        <v>34933.719999999994</v>
      </c>
    </row>
    <row r="769" spans="1:34" x14ac:dyDescent="0.25">
      <c r="A769" t="s">
        <v>1399</v>
      </c>
      <c r="B769" t="s">
        <v>1874</v>
      </c>
      <c r="C769" s="10"/>
      <c r="D769" s="10"/>
      <c r="E769" s="10"/>
      <c r="F769" s="10"/>
      <c r="G769" s="10"/>
      <c r="H769" s="10"/>
      <c r="I769" s="10">
        <v>3842.59</v>
      </c>
      <c r="J769" s="10"/>
      <c r="K769" s="10"/>
      <c r="L769" s="10"/>
      <c r="M769" s="10"/>
      <c r="N769" s="10"/>
      <c r="O769" s="10"/>
      <c r="P769" s="10"/>
      <c r="Q769" s="10"/>
      <c r="R769" s="10"/>
      <c r="S769" s="10">
        <v>52511.420000000006</v>
      </c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</row>
    <row r="770" spans="1:34" x14ac:dyDescent="0.25">
      <c r="A770" t="s">
        <v>1399</v>
      </c>
      <c r="B770" t="s">
        <v>1875</v>
      </c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>
        <v>65177.5</v>
      </c>
      <c r="R770" s="10">
        <v>40895.199999999997</v>
      </c>
      <c r="S770" s="10"/>
      <c r="T770" s="10"/>
      <c r="U770" s="10">
        <v>47321.229999999996</v>
      </c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</row>
    <row r="771" spans="1:34" x14ac:dyDescent="0.25">
      <c r="A771" t="s">
        <v>1399</v>
      </c>
      <c r="B771" t="s">
        <v>1876</v>
      </c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>
        <v>8165.9</v>
      </c>
    </row>
    <row r="772" spans="1:34" x14ac:dyDescent="0.25">
      <c r="A772" t="s">
        <v>1399</v>
      </c>
      <c r="B772" t="s">
        <v>1877</v>
      </c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>
        <v>8207.77</v>
      </c>
      <c r="N772" s="10">
        <v>20273.53</v>
      </c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</row>
    <row r="773" spans="1:34" x14ac:dyDescent="0.25">
      <c r="A773" t="s">
        <v>1399</v>
      </c>
      <c r="B773" t="s">
        <v>1878</v>
      </c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>
        <v>16411.87</v>
      </c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</row>
    <row r="774" spans="1:34" x14ac:dyDescent="0.25">
      <c r="A774" t="s">
        <v>1376</v>
      </c>
      <c r="B774" t="s">
        <v>635</v>
      </c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>
        <v>27069.920000000002</v>
      </c>
      <c r="Z774" s="10">
        <v>24902.36</v>
      </c>
      <c r="AA774" s="10">
        <v>13089.519999999999</v>
      </c>
      <c r="AB774" s="10"/>
      <c r="AC774" s="10"/>
      <c r="AD774" s="10"/>
      <c r="AE774" s="10"/>
      <c r="AF774" s="10"/>
      <c r="AG774" s="10"/>
      <c r="AH774" s="10"/>
    </row>
    <row r="775" spans="1:34" x14ac:dyDescent="0.25">
      <c r="A775" t="s">
        <v>1376</v>
      </c>
      <c r="B775" t="s">
        <v>1879</v>
      </c>
      <c r="C775" s="10"/>
      <c r="D775" s="10">
        <v>7963.7000000000007</v>
      </c>
      <c r="E775" s="10"/>
      <c r="F775" s="10"/>
      <c r="G775" s="10"/>
      <c r="H775" s="10"/>
      <c r="I775" s="10"/>
      <c r="J775" s="10">
        <v>53699.040000000001</v>
      </c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>
        <v>1440.78</v>
      </c>
      <c r="Z775" s="10"/>
      <c r="AA775" s="10"/>
      <c r="AB775" s="10"/>
      <c r="AC775" s="10"/>
      <c r="AD775" s="10"/>
      <c r="AE775" s="10"/>
      <c r="AF775" s="10"/>
      <c r="AG775" s="10"/>
      <c r="AH775" s="10"/>
    </row>
    <row r="776" spans="1:34" x14ac:dyDescent="0.25">
      <c r="A776" t="s">
        <v>1376</v>
      </c>
      <c r="B776" t="s">
        <v>1880</v>
      </c>
      <c r="C776" s="10"/>
      <c r="D776" s="10"/>
      <c r="E776" s="10"/>
      <c r="F776" s="10"/>
      <c r="G776" s="10"/>
      <c r="H776" s="10"/>
      <c r="I776" s="10"/>
      <c r="J776" s="10"/>
      <c r="K776" s="10">
        <v>100035.54000000001</v>
      </c>
      <c r="L776" s="10">
        <v>50875.81</v>
      </c>
      <c r="M776" s="10"/>
      <c r="N776" s="10"/>
      <c r="O776" s="10"/>
      <c r="P776" s="10"/>
      <c r="Q776" s="10"/>
      <c r="R776" s="10"/>
      <c r="S776" s="10">
        <v>10938.98</v>
      </c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</row>
    <row r="777" spans="1:34" x14ac:dyDescent="0.25">
      <c r="A777" t="s">
        <v>1376</v>
      </c>
      <c r="B777" t="s">
        <v>1448</v>
      </c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>
        <v>20503.23</v>
      </c>
      <c r="AG777" s="10"/>
      <c r="AH777" s="10"/>
    </row>
    <row r="778" spans="1:34" x14ac:dyDescent="0.25">
      <c r="A778" t="s">
        <v>1376</v>
      </c>
      <c r="B778" t="s">
        <v>1881</v>
      </c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>
        <v>62345.740000000005</v>
      </c>
    </row>
    <row r="779" spans="1:34" x14ac:dyDescent="0.25">
      <c r="A779" t="s">
        <v>1376</v>
      </c>
      <c r="B779" t="s">
        <v>553</v>
      </c>
      <c r="C779" s="10">
        <v>22343.1</v>
      </c>
      <c r="D779" s="10"/>
      <c r="E779" s="10"/>
      <c r="F779" s="10"/>
      <c r="G779" s="10"/>
      <c r="H779" s="10"/>
      <c r="I779" s="10">
        <v>29942.53</v>
      </c>
      <c r="J779" s="10">
        <v>14021.48</v>
      </c>
      <c r="K779" s="10">
        <v>-3111.84</v>
      </c>
      <c r="L779" s="10"/>
      <c r="M779" s="10"/>
      <c r="N779" s="10"/>
      <c r="O779" s="10">
        <v>19817.299999999996</v>
      </c>
      <c r="P779" s="10"/>
      <c r="Q779" s="10">
        <v>66389.140000000014</v>
      </c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>
        <v>11549.2</v>
      </c>
      <c r="AH779" s="10"/>
    </row>
    <row r="780" spans="1:34" x14ac:dyDescent="0.25">
      <c r="A780" t="s">
        <v>1376</v>
      </c>
      <c r="B780" t="s">
        <v>1882</v>
      </c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>
        <v>47931.910000000011</v>
      </c>
      <c r="AG780" s="10"/>
      <c r="AH780" s="10"/>
    </row>
    <row r="781" spans="1:34" x14ac:dyDescent="0.25">
      <c r="A781" t="s">
        <v>1376</v>
      </c>
      <c r="B781" t="s">
        <v>642</v>
      </c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>
        <v>12238.57</v>
      </c>
      <c r="Y781" s="10"/>
      <c r="Z781" s="10">
        <v>4501.26</v>
      </c>
      <c r="AA781" s="10"/>
      <c r="AB781" s="10"/>
      <c r="AC781" s="10">
        <v>1231.23</v>
      </c>
      <c r="AD781" s="10"/>
      <c r="AE781" s="10"/>
      <c r="AF781" s="10">
        <v>10745.77</v>
      </c>
      <c r="AG781" s="10"/>
      <c r="AH781" s="10"/>
    </row>
    <row r="782" spans="1:34" x14ac:dyDescent="0.25">
      <c r="A782" t="s">
        <v>1376</v>
      </c>
      <c r="B782" t="s">
        <v>1883</v>
      </c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>
        <v>6886.89</v>
      </c>
    </row>
    <row r="783" spans="1:34" x14ac:dyDescent="0.25">
      <c r="A783" t="s">
        <v>1376</v>
      </c>
      <c r="B783" t="s">
        <v>1884</v>
      </c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>
        <v>7358.82</v>
      </c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</row>
    <row r="784" spans="1:34" x14ac:dyDescent="0.25">
      <c r="A784" t="s">
        <v>1376</v>
      </c>
      <c r="B784" t="s">
        <v>1465</v>
      </c>
      <c r="C784" s="10">
        <v>87334.760000000009</v>
      </c>
      <c r="D784" s="10">
        <v>8537.99</v>
      </c>
      <c r="E784" s="10">
        <v>43120.41</v>
      </c>
      <c r="F784" s="10">
        <v>20085.129999999997</v>
      </c>
      <c r="G784" s="10">
        <v>173754.73000000004</v>
      </c>
      <c r="H784" s="10">
        <v>31723.010000000006</v>
      </c>
      <c r="I784" s="10">
        <v>-21220.720000000001</v>
      </c>
      <c r="J784" s="10"/>
      <c r="K784" s="10">
        <v>63000.38</v>
      </c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>
        <v>59970.45</v>
      </c>
      <c r="AH784" s="10"/>
    </row>
    <row r="785" spans="1:34" x14ac:dyDescent="0.25">
      <c r="A785" t="s">
        <v>1376</v>
      </c>
      <c r="B785" t="s">
        <v>1493</v>
      </c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>
        <v>44186.369999999995</v>
      </c>
      <c r="T785" s="10">
        <v>77173.070000000007</v>
      </c>
      <c r="U785" s="10">
        <v>9223.3700000000008</v>
      </c>
      <c r="V785" s="10"/>
      <c r="W785" s="10">
        <v>32480.52</v>
      </c>
      <c r="X785" s="10"/>
      <c r="Y785" s="10">
        <v>851.79</v>
      </c>
      <c r="Z785" s="10">
        <v>32361.350000000002</v>
      </c>
      <c r="AA785" s="10"/>
      <c r="AB785" s="10">
        <v>30057.599999999999</v>
      </c>
      <c r="AC785" s="10"/>
      <c r="AD785" s="10"/>
      <c r="AE785" s="10"/>
      <c r="AF785" s="10"/>
      <c r="AG785" s="10"/>
      <c r="AH785" s="10"/>
    </row>
    <row r="786" spans="1:34" x14ac:dyDescent="0.25">
      <c r="A786" t="s">
        <v>1376</v>
      </c>
      <c r="B786" t="s">
        <v>1320</v>
      </c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>
        <v>38164.050000000003</v>
      </c>
      <c r="AE786" s="10"/>
      <c r="AF786" s="10">
        <v>46909.810000000005</v>
      </c>
      <c r="AG786" s="10">
        <v>56148.549999999996</v>
      </c>
      <c r="AH786" s="10"/>
    </row>
    <row r="787" spans="1:34" x14ac:dyDescent="0.25">
      <c r="A787" t="s">
        <v>1376</v>
      </c>
      <c r="B787" t="s">
        <v>1559</v>
      </c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>
        <v>107623.08</v>
      </c>
    </row>
    <row r="788" spans="1:34" x14ac:dyDescent="0.25">
      <c r="A788" t="s">
        <v>1376</v>
      </c>
      <c r="B788" t="s">
        <v>1885</v>
      </c>
      <c r="C788" s="10"/>
      <c r="D788" s="10"/>
      <c r="E788" s="10"/>
      <c r="F788" s="10"/>
      <c r="G788" s="10"/>
      <c r="H788" s="10"/>
      <c r="I788" s="10"/>
      <c r="J788" s="10"/>
      <c r="K788" s="10"/>
      <c r="L788" s="10">
        <v>20522.940000000002</v>
      </c>
      <c r="M788" s="10"/>
      <c r="N788" s="10"/>
      <c r="O788" s="10"/>
      <c r="P788" s="10"/>
      <c r="Q788" s="10"/>
      <c r="R788" s="10"/>
      <c r="S788" s="10">
        <v>20945.980000000003</v>
      </c>
      <c r="T788" s="10">
        <v>20354.860000000004</v>
      </c>
      <c r="U788" s="10"/>
      <c r="V788" s="10"/>
      <c r="W788" s="10">
        <v>21014.07</v>
      </c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</row>
    <row r="789" spans="1:34" x14ac:dyDescent="0.25">
      <c r="A789" t="s">
        <v>1376</v>
      </c>
      <c r="B789" t="s">
        <v>1272</v>
      </c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>
        <v>17240.600000000002</v>
      </c>
      <c r="AD789" s="10"/>
      <c r="AE789" s="10"/>
      <c r="AF789" s="10">
        <v>31659.78</v>
      </c>
      <c r="AG789" s="10"/>
      <c r="AH789" s="10"/>
    </row>
    <row r="790" spans="1:34" x14ac:dyDescent="0.25">
      <c r="A790" t="s">
        <v>1376</v>
      </c>
      <c r="B790" t="s">
        <v>609</v>
      </c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>
        <v>24557.429999999997</v>
      </c>
      <c r="O790" s="10"/>
      <c r="P790" s="10"/>
      <c r="Q790" s="10">
        <v>210184.73000000004</v>
      </c>
      <c r="R790" s="10"/>
      <c r="S790" s="10"/>
      <c r="T790" s="10">
        <v>59953.31</v>
      </c>
      <c r="U790" s="10">
        <v>157350.35999999996</v>
      </c>
      <c r="V790" s="10">
        <v>28367.26</v>
      </c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>
        <v>182170.7</v>
      </c>
      <c r="AH790" s="10"/>
    </row>
    <row r="791" spans="1:34" x14ac:dyDescent="0.25">
      <c r="A791" t="s">
        <v>1376</v>
      </c>
      <c r="B791" t="s">
        <v>1492</v>
      </c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>
        <v>212246.76000000004</v>
      </c>
      <c r="AH791" s="10"/>
    </row>
    <row r="792" spans="1:34" x14ac:dyDescent="0.25">
      <c r="A792" t="s">
        <v>1376</v>
      </c>
      <c r="B792" t="s">
        <v>663</v>
      </c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>
        <v>111270.54</v>
      </c>
      <c r="W792" s="10"/>
      <c r="X792" s="10"/>
      <c r="Y792" s="10"/>
      <c r="Z792" s="10"/>
      <c r="AA792" s="10"/>
      <c r="AB792" s="10"/>
      <c r="AC792" s="10"/>
      <c r="AD792" s="10"/>
      <c r="AE792" s="10"/>
      <c r="AF792" s="10">
        <v>32623.739999999998</v>
      </c>
      <c r="AG792" s="10"/>
      <c r="AH792" s="10"/>
    </row>
    <row r="793" spans="1:34" x14ac:dyDescent="0.25">
      <c r="A793" t="s">
        <v>1205</v>
      </c>
      <c r="B793" t="s">
        <v>1049</v>
      </c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>
        <v>14811.3</v>
      </c>
      <c r="AA793" s="10"/>
      <c r="AB793" s="10"/>
      <c r="AC793" s="10"/>
      <c r="AD793" s="10"/>
      <c r="AE793" s="10"/>
      <c r="AF793" s="10">
        <v>55000</v>
      </c>
      <c r="AG793" s="10">
        <v>220000</v>
      </c>
      <c r="AH793" s="10"/>
    </row>
    <row r="794" spans="1:34" x14ac:dyDescent="0.25">
      <c r="A794" t="s">
        <v>1205</v>
      </c>
      <c r="B794" t="s">
        <v>583</v>
      </c>
      <c r="C794" s="10">
        <v>23988.649999999994</v>
      </c>
      <c r="D794" s="10"/>
      <c r="E794" s="10"/>
      <c r="F794" s="10"/>
      <c r="G794" s="10"/>
      <c r="H794" s="10"/>
      <c r="I794" s="10"/>
      <c r="J794" s="10"/>
      <c r="K794" s="10">
        <v>34171.5</v>
      </c>
      <c r="L794" s="10">
        <v>35190.05000000001</v>
      </c>
      <c r="M794" s="10"/>
      <c r="N794" s="10"/>
      <c r="O794" s="10">
        <v>14810.08</v>
      </c>
      <c r="P794" s="10"/>
      <c r="Q794" s="10">
        <v>267087.20999999996</v>
      </c>
      <c r="R794" s="10">
        <v>17231.689999999999</v>
      </c>
      <c r="S794" s="10">
        <v>83950.22000000003</v>
      </c>
      <c r="T794" s="10">
        <v>17379.2</v>
      </c>
      <c r="U794" s="10">
        <v>92391.12999999999</v>
      </c>
      <c r="V794" s="10">
        <v>53507.579999999994</v>
      </c>
      <c r="W794" s="10">
        <v>52042.619999999995</v>
      </c>
      <c r="X794" s="10">
        <v>47217.750000000007</v>
      </c>
      <c r="Y794" s="10">
        <v>28455.009999999995</v>
      </c>
      <c r="Z794" s="10"/>
      <c r="AA794" s="10">
        <v>30638.020000000004</v>
      </c>
      <c r="AB794" s="10"/>
      <c r="AC794" s="10"/>
      <c r="AD794" s="10"/>
      <c r="AE794" s="10">
        <v>76646.19</v>
      </c>
      <c r="AF794" s="10"/>
      <c r="AG794" s="10"/>
      <c r="AH794" s="10">
        <v>78221.34</v>
      </c>
    </row>
    <row r="795" spans="1:34" x14ac:dyDescent="0.25">
      <c r="A795" t="s">
        <v>1205</v>
      </c>
      <c r="B795" t="s">
        <v>1886</v>
      </c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>
        <v>35533.479999999996</v>
      </c>
      <c r="Y795" s="10"/>
      <c r="Z795" s="10">
        <v>25618.069999999992</v>
      </c>
      <c r="AA795" s="10"/>
      <c r="AB795" s="10"/>
      <c r="AC795" s="10"/>
      <c r="AD795" s="10"/>
      <c r="AE795" s="10"/>
      <c r="AF795" s="10"/>
      <c r="AG795" s="10"/>
      <c r="AH795" s="10"/>
    </row>
    <row r="796" spans="1:34" x14ac:dyDescent="0.25">
      <c r="A796" t="s">
        <v>1205</v>
      </c>
      <c r="B796" t="s">
        <v>1887</v>
      </c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>
        <v>77447.92</v>
      </c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</row>
    <row r="797" spans="1:34" x14ac:dyDescent="0.25">
      <c r="A797" t="s">
        <v>1205</v>
      </c>
      <c r="B797" t="s">
        <v>1888</v>
      </c>
      <c r="C797" s="10">
        <v>13479.49</v>
      </c>
      <c r="D797" s="10"/>
      <c r="E797" s="10"/>
      <c r="F797" s="10">
        <v>34250.81</v>
      </c>
      <c r="G797" s="10">
        <v>58488.469999999987</v>
      </c>
      <c r="H797" s="10">
        <v>100121.21999999999</v>
      </c>
      <c r="I797" s="10">
        <v>42751</v>
      </c>
      <c r="J797" s="10">
        <v>52953.710000000006</v>
      </c>
      <c r="K797" s="10">
        <v>145473.21</v>
      </c>
      <c r="L797" s="10">
        <v>157700.58000000002</v>
      </c>
      <c r="M797" s="10">
        <v>-52060.63</v>
      </c>
      <c r="N797" s="10">
        <v>45594.67</v>
      </c>
      <c r="O797" s="10"/>
      <c r="P797" s="10">
        <v>41036.660000000003</v>
      </c>
      <c r="Q797" s="10"/>
      <c r="R797" s="10">
        <v>12918.52</v>
      </c>
      <c r="S797" s="10">
        <v>23143.089999999997</v>
      </c>
      <c r="T797" s="10">
        <v>15566.56</v>
      </c>
      <c r="U797" s="10"/>
      <c r="V797" s="10">
        <v>3234.14</v>
      </c>
      <c r="W797" s="10"/>
      <c r="X797" s="10">
        <v>20071.800000000003</v>
      </c>
      <c r="Y797" s="10"/>
      <c r="Z797" s="10">
        <v>10675.810000000001</v>
      </c>
      <c r="AA797" s="10"/>
      <c r="AB797" s="10"/>
      <c r="AC797" s="10"/>
      <c r="AD797" s="10"/>
      <c r="AE797" s="10"/>
      <c r="AF797" s="10"/>
      <c r="AG797" s="10"/>
      <c r="AH797" s="10"/>
    </row>
    <row r="798" spans="1:34" x14ac:dyDescent="0.25">
      <c r="A798" t="s">
        <v>1205</v>
      </c>
      <c r="B798" t="s">
        <v>1889</v>
      </c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>
        <v>16919.38</v>
      </c>
      <c r="N798" s="10">
        <v>41240.160000000003</v>
      </c>
      <c r="O798" s="10"/>
      <c r="P798" s="10">
        <v>55339.939999999995</v>
      </c>
      <c r="Q798" s="10">
        <v>83183.14</v>
      </c>
      <c r="R798" s="10"/>
      <c r="S798" s="10"/>
      <c r="T798" s="10"/>
      <c r="U798" s="10">
        <v>26777.010000000006</v>
      </c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</row>
    <row r="799" spans="1:34" x14ac:dyDescent="0.25">
      <c r="A799" t="s">
        <v>1205</v>
      </c>
      <c r="B799" t="s">
        <v>1890</v>
      </c>
      <c r="C799" s="10">
        <v>88922.18</v>
      </c>
      <c r="D799" s="10">
        <v>98180.22000000003</v>
      </c>
      <c r="E799" s="10"/>
      <c r="F799" s="10">
        <v>122206.99000000002</v>
      </c>
      <c r="G799" s="10">
        <v>158616.20000000001</v>
      </c>
      <c r="H799" s="10">
        <v>123452.13000000003</v>
      </c>
      <c r="I799" s="10">
        <v>176241.28</v>
      </c>
      <c r="J799" s="10"/>
      <c r="K799" s="10">
        <v>168503.59999999998</v>
      </c>
      <c r="L799" s="10">
        <v>100344.14999999997</v>
      </c>
      <c r="M799" s="10"/>
      <c r="N799" s="10">
        <v>75202.910000000018</v>
      </c>
      <c r="O799" s="10">
        <v>72718.469999999987</v>
      </c>
      <c r="P799" s="10">
        <v>207042.02999999997</v>
      </c>
      <c r="Q799" s="10"/>
      <c r="R799" s="10">
        <v>122602.32</v>
      </c>
      <c r="S799" s="10">
        <v>123411.74</v>
      </c>
      <c r="T799" s="10">
        <v>160423.21000000005</v>
      </c>
      <c r="U799" s="10">
        <v>85470.49</v>
      </c>
      <c r="V799" s="10">
        <v>70149.409999999989</v>
      </c>
      <c r="W799" s="10">
        <v>84527.32</v>
      </c>
      <c r="X799" s="10">
        <v>100618.11999999998</v>
      </c>
      <c r="Y799" s="10"/>
      <c r="Z799" s="10">
        <v>117754.41000000003</v>
      </c>
      <c r="AA799" s="10"/>
      <c r="AB799" s="10">
        <v>85928.380000000019</v>
      </c>
      <c r="AC799" s="10">
        <v>51646.659999999989</v>
      </c>
      <c r="AD799" s="10"/>
      <c r="AE799" s="10">
        <v>167322.37</v>
      </c>
      <c r="AF799" s="10">
        <v>307572.1399999999</v>
      </c>
      <c r="AG799" s="10"/>
      <c r="AH799" s="10">
        <v>80617.91</v>
      </c>
    </row>
    <row r="800" spans="1:34" x14ac:dyDescent="0.25">
      <c r="A800" t="s">
        <v>1205</v>
      </c>
      <c r="B800" t="s">
        <v>1891</v>
      </c>
      <c r="C800" s="10"/>
      <c r="D800" s="10">
        <v>4756.68</v>
      </c>
      <c r="E800" s="10">
        <v>29665.670000000002</v>
      </c>
      <c r="F800" s="10"/>
      <c r="G800" s="10"/>
      <c r="H800" s="10">
        <v>36329.649999999994</v>
      </c>
      <c r="I800" s="10">
        <v>15108.94</v>
      </c>
      <c r="J800" s="10"/>
      <c r="K800" s="10"/>
      <c r="L800" s="10">
        <v>6969.7700000000013</v>
      </c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</row>
    <row r="801" spans="1:34" x14ac:dyDescent="0.25">
      <c r="A801" t="s">
        <v>1205</v>
      </c>
      <c r="B801" t="s">
        <v>1892</v>
      </c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>
        <v>20279.28</v>
      </c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</row>
    <row r="802" spans="1:34" x14ac:dyDescent="0.25">
      <c r="A802" t="s">
        <v>1205</v>
      </c>
      <c r="B802" t="s">
        <v>1377</v>
      </c>
      <c r="C802" s="10">
        <v>60301.259999999995</v>
      </c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>
        <v>156233.13</v>
      </c>
      <c r="AF802" s="10"/>
      <c r="AG802" s="10"/>
      <c r="AH802" s="10"/>
    </row>
    <row r="803" spans="1:34" x14ac:dyDescent="0.25">
      <c r="A803" t="s">
        <v>1205</v>
      </c>
      <c r="B803" t="s">
        <v>1206</v>
      </c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>
        <v>1761.64</v>
      </c>
      <c r="AC803" s="10"/>
      <c r="AD803" s="10"/>
      <c r="AE803" s="10"/>
      <c r="AF803" s="10"/>
      <c r="AG803" s="10"/>
      <c r="AH803" s="10"/>
    </row>
    <row r="804" spans="1:34" x14ac:dyDescent="0.25">
      <c r="A804" t="s">
        <v>1205</v>
      </c>
      <c r="B804" t="s">
        <v>584</v>
      </c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>
        <v>897086.91999999969</v>
      </c>
      <c r="W804" s="10">
        <v>32894.58</v>
      </c>
      <c r="X804" s="10">
        <v>104543.61</v>
      </c>
      <c r="Y804" s="10">
        <v>372295.5400000001</v>
      </c>
      <c r="Z804" s="10">
        <v>266881.49000000005</v>
      </c>
      <c r="AA804" s="10">
        <v>336920.8600000001</v>
      </c>
      <c r="AB804" s="10">
        <v>228047.42999999993</v>
      </c>
      <c r="AC804" s="10">
        <v>206564.96</v>
      </c>
      <c r="AD804" s="10">
        <v>320312.76999999996</v>
      </c>
      <c r="AE804" s="10">
        <v>281177.21000000008</v>
      </c>
      <c r="AF804" s="10">
        <v>524906.66000000015</v>
      </c>
      <c r="AG804" s="10">
        <v>260748.51999999987</v>
      </c>
      <c r="AH804" s="10">
        <v>196015.01</v>
      </c>
    </row>
    <row r="805" spans="1:34" x14ac:dyDescent="0.25">
      <c r="A805" t="s">
        <v>1205</v>
      </c>
      <c r="B805" t="s">
        <v>1893</v>
      </c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>
        <v>149802.61000000004</v>
      </c>
      <c r="V805" s="10"/>
      <c r="W805" s="10">
        <v>189717.32000000004</v>
      </c>
      <c r="X805" s="10">
        <v>32657.510000000002</v>
      </c>
      <c r="Y805" s="10"/>
      <c r="Z805" s="10">
        <v>-2045.81</v>
      </c>
      <c r="AA805" s="10">
        <v>37923.67</v>
      </c>
      <c r="AB805" s="10"/>
      <c r="AC805" s="10">
        <v>49263.65</v>
      </c>
      <c r="AD805" s="10"/>
      <c r="AE805" s="10">
        <v>93644.459999999992</v>
      </c>
      <c r="AF805" s="10">
        <v>66830.03</v>
      </c>
      <c r="AG805" s="10">
        <v>101693.48999999999</v>
      </c>
      <c r="AH805" s="10">
        <v>44696.5</v>
      </c>
    </row>
    <row r="806" spans="1:34" x14ac:dyDescent="0.25">
      <c r="A806" t="s">
        <v>1205</v>
      </c>
      <c r="B806" t="s">
        <v>1894</v>
      </c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>
        <v>13897.92</v>
      </c>
      <c r="AE806" s="10"/>
      <c r="AF806" s="10"/>
      <c r="AG806" s="10">
        <v>13478.8</v>
      </c>
      <c r="AH806" s="10"/>
    </row>
    <row r="807" spans="1:34" x14ac:dyDescent="0.25">
      <c r="A807" t="s">
        <v>1205</v>
      </c>
      <c r="B807" t="s">
        <v>1895</v>
      </c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>
        <v>19162.43</v>
      </c>
      <c r="V807" s="10">
        <v>23352.920000000002</v>
      </c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</row>
    <row r="808" spans="1:34" x14ac:dyDescent="0.25">
      <c r="A808" t="s">
        <v>1205</v>
      </c>
      <c r="B808" t="s">
        <v>1896</v>
      </c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>
        <v>13041.33</v>
      </c>
      <c r="Z808" s="10"/>
      <c r="AA808" s="10"/>
      <c r="AB808" s="10"/>
      <c r="AC808" s="10"/>
      <c r="AD808" s="10"/>
      <c r="AE808" s="10"/>
      <c r="AF808" s="10"/>
      <c r="AG808" s="10"/>
      <c r="AH808" s="10"/>
    </row>
    <row r="809" spans="1:34" x14ac:dyDescent="0.25">
      <c r="A809" t="s">
        <v>1205</v>
      </c>
      <c r="B809" t="s">
        <v>585</v>
      </c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>
        <v>25419.51</v>
      </c>
      <c r="W809" s="10">
        <v>12322.130000000001</v>
      </c>
      <c r="X809" s="10"/>
      <c r="Y809" s="10">
        <v>24040.36</v>
      </c>
      <c r="Z809" s="10"/>
      <c r="AA809" s="10">
        <v>31499.27</v>
      </c>
      <c r="AB809" s="10"/>
      <c r="AC809" s="10"/>
      <c r="AD809" s="10">
        <v>29782.14</v>
      </c>
      <c r="AE809" s="10">
        <v>24384.039999999997</v>
      </c>
      <c r="AF809" s="10">
        <v>31075.149999999998</v>
      </c>
      <c r="AG809" s="10">
        <v>23025.349999999995</v>
      </c>
      <c r="AH809" s="10"/>
    </row>
    <row r="810" spans="1:34" x14ac:dyDescent="0.25">
      <c r="A810" t="s">
        <v>1205</v>
      </c>
      <c r="B810" t="s">
        <v>662</v>
      </c>
      <c r="C810" s="10"/>
      <c r="D810" s="10">
        <v>26657.909999999996</v>
      </c>
      <c r="E810" s="10"/>
      <c r="F810" s="10"/>
      <c r="G810" s="10">
        <v>31965.089999999997</v>
      </c>
      <c r="H810" s="10">
        <v>20015.270000000004</v>
      </c>
      <c r="I810" s="10">
        <v>27401.569999999996</v>
      </c>
      <c r="J810" s="10">
        <v>55811.420000000006</v>
      </c>
      <c r="K810" s="10"/>
      <c r="L810" s="10">
        <v>24042.940000000002</v>
      </c>
      <c r="M810" s="10"/>
      <c r="N810" s="10"/>
      <c r="O810" s="10"/>
      <c r="P810" s="10"/>
      <c r="Q810" s="10"/>
      <c r="R810" s="10"/>
      <c r="S810" s="10"/>
      <c r="T810" s="10"/>
      <c r="U810" s="10">
        <v>53662.460000000014</v>
      </c>
      <c r="V810" s="10">
        <v>24916.13</v>
      </c>
      <c r="W810" s="10"/>
      <c r="X810" s="10"/>
      <c r="Y810" s="10"/>
      <c r="Z810" s="10"/>
      <c r="AA810" s="10"/>
      <c r="AB810" s="10"/>
      <c r="AC810" s="10">
        <v>20373.59</v>
      </c>
      <c r="AD810" s="10"/>
      <c r="AE810" s="10"/>
      <c r="AF810" s="10"/>
      <c r="AG810" s="10"/>
      <c r="AH810" s="10"/>
    </row>
    <row r="811" spans="1:34" x14ac:dyDescent="0.25">
      <c r="A811" t="s">
        <v>1205</v>
      </c>
      <c r="B811" t="s">
        <v>1560</v>
      </c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>
        <v>29173.329999999998</v>
      </c>
      <c r="N811" s="10"/>
      <c r="O811" s="10"/>
      <c r="P811" s="10"/>
      <c r="Q811" s="10"/>
      <c r="R811" s="10"/>
      <c r="S811" s="10"/>
      <c r="T811" s="10"/>
      <c r="U811" s="10">
        <v>61975.049999999996</v>
      </c>
      <c r="V811" s="10">
        <v>35107.460000000006</v>
      </c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>
        <v>120104.16000000002</v>
      </c>
    </row>
    <row r="812" spans="1:34" x14ac:dyDescent="0.25">
      <c r="A812" t="s">
        <v>1205</v>
      </c>
      <c r="B812" t="s">
        <v>1897</v>
      </c>
      <c r="C812" s="10"/>
      <c r="D812" s="10"/>
      <c r="E812" s="10"/>
      <c r="F812" s="10"/>
      <c r="G812" s="10"/>
      <c r="H812" s="10"/>
      <c r="I812" s="10"/>
      <c r="J812" s="10"/>
      <c r="K812" s="10"/>
      <c r="L812" s="10">
        <v>22981.879999999994</v>
      </c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</row>
    <row r="813" spans="1:34" x14ac:dyDescent="0.25">
      <c r="A813" t="s">
        <v>1205</v>
      </c>
      <c r="B813" t="s">
        <v>1898</v>
      </c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>
        <v>33210.01</v>
      </c>
      <c r="N813" s="10"/>
      <c r="O813" s="10"/>
      <c r="P813" s="10"/>
      <c r="Q813" s="10"/>
      <c r="R813" s="10">
        <v>32622.36</v>
      </c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</row>
    <row r="814" spans="1:34" x14ac:dyDescent="0.25">
      <c r="A814" t="s">
        <v>1205</v>
      </c>
      <c r="B814" t="s">
        <v>586</v>
      </c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>
        <v>57724.219999999979</v>
      </c>
      <c r="Y814" s="10">
        <v>12788.83</v>
      </c>
      <c r="Z814" s="10"/>
      <c r="AA814" s="10">
        <v>11486.12</v>
      </c>
      <c r="AB814" s="10">
        <v>16011.35</v>
      </c>
      <c r="AC814" s="10"/>
      <c r="AD814" s="10">
        <v>10474.939999999999</v>
      </c>
      <c r="AE814" s="10">
        <v>27910.499999999993</v>
      </c>
      <c r="AF814" s="10"/>
      <c r="AG814" s="10"/>
      <c r="AH814" s="10">
        <v>44777.12999999999</v>
      </c>
    </row>
    <row r="815" spans="1:34" x14ac:dyDescent="0.25">
      <c r="A815" t="s">
        <v>1205</v>
      </c>
      <c r="B815" t="s">
        <v>1899</v>
      </c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>
        <v>32618.45</v>
      </c>
      <c r="R815" s="10">
        <v>45086.359999999986</v>
      </c>
      <c r="S815" s="10"/>
      <c r="T815" s="10">
        <v>18917.439999999999</v>
      </c>
      <c r="U815" s="10">
        <v>22593.100000000002</v>
      </c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</row>
    <row r="816" spans="1:34" x14ac:dyDescent="0.25">
      <c r="A816" t="s">
        <v>1205</v>
      </c>
      <c r="B816" t="s">
        <v>1273</v>
      </c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>
        <v>15278.35</v>
      </c>
      <c r="AD816" s="10"/>
      <c r="AE816" s="10"/>
      <c r="AF816" s="10"/>
      <c r="AG816" s="10"/>
      <c r="AH816" s="10"/>
    </row>
    <row r="817" spans="1:34" x14ac:dyDescent="0.25">
      <c r="A817" t="s">
        <v>1205</v>
      </c>
      <c r="B817" t="s">
        <v>1900</v>
      </c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>
        <v>41738.020000000004</v>
      </c>
      <c r="U817" s="10">
        <v>25586.469999999998</v>
      </c>
      <c r="V817" s="10">
        <v>40333.479999999996</v>
      </c>
      <c r="W817" s="10">
        <v>101991.88</v>
      </c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</row>
    <row r="818" spans="1:34" x14ac:dyDescent="0.25">
      <c r="A818" t="s">
        <v>1205</v>
      </c>
      <c r="B818" t="s">
        <v>1901</v>
      </c>
      <c r="C818" s="10"/>
      <c r="D818" s="10"/>
      <c r="E818" s="10"/>
      <c r="F818" s="10"/>
      <c r="G818" s="10"/>
      <c r="H818" s="10"/>
      <c r="I818" s="10"/>
      <c r="J818" s="10"/>
      <c r="K818" s="10"/>
      <c r="L818" s="10">
        <v>22129.85</v>
      </c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</row>
    <row r="819" spans="1:34" x14ac:dyDescent="0.25">
      <c r="A819" t="s">
        <v>1205</v>
      </c>
      <c r="B819" t="s">
        <v>1902</v>
      </c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>
        <v>54000.75</v>
      </c>
    </row>
    <row r="820" spans="1:34" x14ac:dyDescent="0.25">
      <c r="A820" t="s">
        <v>1205</v>
      </c>
      <c r="B820" t="s">
        <v>1207</v>
      </c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>
        <v>20160.689999999999</v>
      </c>
      <c r="AC820" s="10"/>
      <c r="AD820" s="10"/>
      <c r="AE820" s="10">
        <v>20262.440000000002</v>
      </c>
      <c r="AF820" s="10"/>
      <c r="AG820" s="10">
        <v>20414.09</v>
      </c>
      <c r="AH820" s="10"/>
    </row>
    <row r="821" spans="1:34" x14ac:dyDescent="0.25">
      <c r="A821" t="s">
        <v>1205</v>
      </c>
      <c r="B821" t="s">
        <v>1903</v>
      </c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>
        <v>36278.230000000003</v>
      </c>
      <c r="R821" s="10">
        <v>12115.11</v>
      </c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</row>
    <row r="822" spans="1:34" x14ac:dyDescent="0.25">
      <c r="A822" t="s">
        <v>1205</v>
      </c>
      <c r="B822" t="s">
        <v>1904</v>
      </c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>
        <v>137513.13999999998</v>
      </c>
      <c r="U822" s="10"/>
      <c r="V822" s="10">
        <v>24013.439999999999</v>
      </c>
      <c r="W822" s="10">
        <v>105841.37999999999</v>
      </c>
      <c r="X822" s="10">
        <v>39657.950000000004</v>
      </c>
      <c r="Y822" s="10">
        <v>26334.260000000002</v>
      </c>
      <c r="Z822" s="10"/>
      <c r="AA822" s="10"/>
      <c r="AB822" s="10"/>
      <c r="AC822" s="10"/>
      <c r="AD822" s="10"/>
      <c r="AE822" s="10"/>
      <c r="AF822" s="10"/>
      <c r="AG822" s="10"/>
      <c r="AH822" s="10"/>
    </row>
    <row r="823" spans="1:34" x14ac:dyDescent="0.25">
      <c r="A823" t="s">
        <v>1205</v>
      </c>
      <c r="B823" t="s">
        <v>587</v>
      </c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>
        <v>21640.730000000003</v>
      </c>
      <c r="W823" s="10"/>
      <c r="X823" s="10"/>
      <c r="Y823" s="10"/>
      <c r="Z823" s="10"/>
      <c r="AA823" s="10"/>
      <c r="AB823" s="10"/>
      <c r="AC823" s="10">
        <v>227182.83000000002</v>
      </c>
      <c r="AD823" s="10"/>
      <c r="AE823" s="10"/>
      <c r="AF823" s="10"/>
      <c r="AG823" s="10"/>
      <c r="AH823" s="10"/>
    </row>
    <row r="824" spans="1:34" x14ac:dyDescent="0.25">
      <c r="A824" t="s">
        <v>1205</v>
      </c>
      <c r="B824" t="s">
        <v>1905</v>
      </c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>
        <v>5985.01</v>
      </c>
      <c r="N824" s="10">
        <v>3069.76</v>
      </c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</row>
    <row r="825" spans="1:34" x14ac:dyDescent="0.25">
      <c r="A825" t="s">
        <v>1205</v>
      </c>
      <c r="B825" t="s">
        <v>1906</v>
      </c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>
        <v>84095.7</v>
      </c>
    </row>
    <row r="826" spans="1:34" x14ac:dyDescent="0.25">
      <c r="A826" t="s">
        <v>1205</v>
      </c>
      <c r="B826" t="s">
        <v>1907</v>
      </c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>
        <v>31118.839999999997</v>
      </c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</row>
    <row r="827" spans="1:34" x14ac:dyDescent="0.25">
      <c r="A827" t="s">
        <v>1205</v>
      </c>
      <c r="B827" t="s">
        <v>1908</v>
      </c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>
        <v>61390.91</v>
      </c>
      <c r="R827" s="10">
        <v>154923.13</v>
      </c>
      <c r="S827" s="10"/>
      <c r="T827" s="10">
        <v>51692.38</v>
      </c>
      <c r="U827" s="10">
        <v>52671.479999999996</v>
      </c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</row>
    <row r="828" spans="1:34" x14ac:dyDescent="0.25">
      <c r="A828" t="s">
        <v>1205</v>
      </c>
      <c r="B828" t="s">
        <v>1062</v>
      </c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>
        <v>13481.28</v>
      </c>
      <c r="AA828" s="10">
        <v>10100.42</v>
      </c>
      <c r="AB828" s="10"/>
      <c r="AC828" s="10">
        <v>20044.18</v>
      </c>
      <c r="AD828" s="10"/>
      <c r="AE828" s="10"/>
      <c r="AF828" s="10"/>
      <c r="AG828" s="10"/>
      <c r="AH828" s="10"/>
    </row>
    <row r="829" spans="1:34" x14ac:dyDescent="0.25">
      <c r="A829" t="s">
        <v>1205</v>
      </c>
      <c r="B829" t="s">
        <v>1450</v>
      </c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>
        <v>5500</v>
      </c>
      <c r="AG829" s="10"/>
      <c r="AH829" s="10"/>
    </row>
    <row r="830" spans="1:34" x14ac:dyDescent="0.25">
      <c r="A830" t="s">
        <v>1205</v>
      </c>
      <c r="B830" t="s">
        <v>588</v>
      </c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>
        <v>8322.3799999999992</v>
      </c>
      <c r="U830" s="10"/>
      <c r="V830" s="10"/>
      <c r="W830" s="10">
        <v>35575.400000000009</v>
      </c>
      <c r="X830" s="10"/>
      <c r="Y830" s="10"/>
      <c r="Z830" s="10">
        <v>30908.11</v>
      </c>
      <c r="AA830" s="10"/>
      <c r="AB830" s="10">
        <v>3745.85</v>
      </c>
      <c r="AC830" s="10"/>
      <c r="AD830" s="10">
        <v>25423.08</v>
      </c>
      <c r="AE830" s="10">
        <v>24909.119999999999</v>
      </c>
      <c r="AF830" s="10">
        <v>26225.690000000002</v>
      </c>
      <c r="AG830" s="10"/>
      <c r="AH830" s="10"/>
    </row>
    <row r="831" spans="1:34" x14ac:dyDescent="0.25">
      <c r="A831" t="s">
        <v>1205</v>
      </c>
      <c r="B831" t="s">
        <v>1909</v>
      </c>
      <c r="C831" s="10"/>
      <c r="D831" s="10"/>
      <c r="E831" s="10"/>
      <c r="F831" s="10"/>
      <c r="G831" s="10"/>
      <c r="H831" s="10"/>
      <c r="I831" s="10"/>
      <c r="J831" s="10"/>
      <c r="K831" s="10">
        <v>11248.41</v>
      </c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</row>
    <row r="832" spans="1:34" x14ac:dyDescent="0.25">
      <c r="A832" t="s">
        <v>1205</v>
      </c>
      <c r="B832" t="s">
        <v>1910</v>
      </c>
      <c r="C832" s="10"/>
      <c r="D832" s="10"/>
      <c r="E832" s="10"/>
      <c r="F832" s="10"/>
      <c r="G832" s="10"/>
      <c r="H832" s="10"/>
      <c r="I832" s="10"/>
      <c r="J832" s="10">
        <v>42163.64</v>
      </c>
      <c r="K832" s="10"/>
      <c r="L832" s="10"/>
      <c r="M832" s="10"/>
      <c r="N832" s="10"/>
      <c r="O832" s="10"/>
      <c r="P832" s="10"/>
      <c r="Q832" s="10"/>
      <c r="R832" s="10"/>
      <c r="S832" s="10">
        <v>39932.71</v>
      </c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</row>
    <row r="833" spans="1:34" x14ac:dyDescent="0.25">
      <c r="A833" t="s">
        <v>1205</v>
      </c>
      <c r="B833" t="s">
        <v>1325</v>
      </c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>
        <v>14572.06</v>
      </c>
      <c r="AE833" s="10"/>
      <c r="AF833" s="10"/>
      <c r="AG833" s="10"/>
      <c r="AH833" s="10">
        <v>5127.46</v>
      </c>
    </row>
    <row r="834" spans="1:34" x14ac:dyDescent="0.25">
      <c r="A834" t="s">
        <v>1205</v>
      </c>
      <c r="B834" t="s">
        <v>1911</v>
      </c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>
        <v>163703.56</v>
      </c>
      <c r="S834" s="10"/>
      <c r="T834" s="10"/>
      <c r="U834" s="10"/>
      <c r="V834" s="10">
        <v>196733.38</v>
      </c>
      <c r="W834" s="10">
        <v>-309.23</v>
      </c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</row>
    <row r="835" spans="1:34" x14ac:dyDescent="0.25">
      <c r="A835" t="s">
        <v>1205</v>
      </c>
      <c r="B835" t="s">
        <v>589</v>
      </c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>
        <v>10014.24</v>
      </c>
      <c r="X835" s="10"/>
      <c r="Y835" s="10">
        <v>11149.069999999998</v>
      </c>
      <c r="Z835" s="10">
        <v>14577.630000000001</v>
      </c>
      <c r="AA835" s="10"/>
      <c r="AB835" s="10"/>
      <c r="AC835" s="10"/>
      <c r="AD835" s="10"/>
      <c r="AE835" s="10"/>
      <c r="AF835" s="10">
        <v>233764.20999999996</v>
      </c>
      <c r="AG835" s="10"/>
      <c r="AH835" s="10"/>
    </row>
    <row r="836" spans="1:34" x14ac:dyDescent="0.25">
      <c r="A836" t="s">
        <v>1205</v>
      </c>
      <c r="B836" t="s">
        <v>1912</v>
      </c>
      <c r="C836" s="10"/>
      <c r="D836" s="10"/>
      <c r="E836" s="10"/>
      <c r="F836" s="10"/>
      <c r="G836" s="10"/>
      <c r="H836" s="10"/>
      <c r="I836" s="10"/>
      <c r="J836" s="10"/>
      <c r="K836" s="10"/>
      <c r="L836" s="10">
        <v>10505.33</v>
      </c>
      <c r="M836" s="10">
        <v>4182.58</v>
      </c>
      <c r="N836" s="10">
        <v>12283.880000000001</v>
      </c>
      <c r="O836" s="10"/>
      <c r="P836" s="10">
        <v>10340.280000000001</v>
      </c>
      <c r="Q836" s="10">
        <v>10297.69</v>
      </c>
      <c r="R836" s="10">
        <v>10561.519999999999</v>
      </c>
      <c r="S836" s="10">
        <v>14132.460000000001</v>
      </c>
      <c r="T836" s="10">
        <v>17634.55</v>
      </c>
      <c r="U836" s="10"/>
      <c r="V836" s="10">
        <v>7637.1799999999994</v>
      </c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</row>
    <row r="837" spans="1:34" x14ac:dyDescent="0.25">
      <c r="A837" t="s">
        <v>1205</v>
      </c>
      <c r="B837" t="s">
        <v>1913</v>
      </c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>
        <v>20218.2</v>
      </c>
    </row>
    <row r="838" spans="1:34" x14ac:dyDescent="0.25">
      <c r="A838" t="s">
        <v>1205</v>
      </c>
      <c r="B838" t="s">
        <v>1378</v>
      </c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>
        <v>11011.32</v>
      </c>
      <c r="AF838" s="10"/>
      <c r="AG838" s="10"/>
      <c r="AH838" s="10"/>
    </row>
    <row r="839" spans="1:34" x14ac:dyDescent="0.25">
      <c r="A839" t="s">
        <v>1205</v>
      </c>
      <c r="B839" t="s">
        <v>1914</v>
      </c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>
        <v>34576.46</v>
      </c>
      <c r="AB839" s="10"/>
      <c r="AC839" s="10">
        <v>8854.9500000000007</v>
      </c>
      <c r="AD839" s="10"/>
      <c r="AE839" s="10"/>
      <c r="AF839" s="10"/>
      <c r="AG839" s="10"/>
      <c r="AH839" s="10"/>
    </row>
    <row r="840" spans="1:34" x14ac:dyDescent="0.25">
      <c r="A840" t="s">
        <v>1205</v>
      </c>
      <c r="B840" t="s">
        <v>1379</v>
      </c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>
        <v>6967.06</v>
      </c>
      <c r="AF840" s="10"/>
      <c r="AG840" s="10"/>
      <c r="AH840" s="10"/>
    </row>
    <row r="841" spans="1:34" x14ac:dyDescent="0.25">
      <c r="A841" t="s">
        <v>1205</v>
      </c>
      <c r="B841" t="s">
        <v>1451</v>
      </c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>
        <v>46180.15</v>
      </c>
      <c r="AG841" s="10"/>
      <c r="AH841" s="10"/>
    </row>
    <row r="842" spans="1:34" x14ac:dyDescent="0.25">
      <c r="A842" t="s">
        <v>1205</v>
      </c>
      <c r="B842" t="s">
        <v>1915</v>
      </c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>
        <v>24883.63</v>
      </c>
      <c r="AC842" s="10"/>
      <c r="AD842" s="10"/>
      <c r="AE842" s="10"/>
      <c r="AF842" s="10"/>
      <c r="AG842" s="10"/>
      <c r="AH842" s="10"/>
    </row>
    <row r="843" spans="1:34" x14ac:dyDescent="0.25">
      <c r="A843" t="s">
        <v>1205</v>
      </c>
      <c r="B843" t="s">
        <v>1064</v>
      </c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>
        <v>32066.59</v>
      </c>
      <c r="AA843" s="10"/>
      <c r="AB843" s="10">
        <v>27913.200000000001</v>
      </c>
      <c r="AC843" s="10">
        <v>340.57</v>
      </c>
      <c r="AD843" s="10"/>
      <c r="AE843" s="10">
        <v>22923.380000000005</v>
      </c>
      <c r="AF843" s="10"/>
      <c r="AG843" s="10"/>
      <c r="AH843" s="10"/>
    </row>
    <row r="844" spans="1:34" x14ac:dyDescent="0.25">
      <c r="A844" t="s">
        <v>1205</v>
      </c>
      <c r="B844" t="s">
        <v>1916</v>
      </c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>
        <v>12686.02</v>
      </c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</row>
    <row r="845" spans="1:34" x14ac:dyDescent="0.25">
      <c r="A845" t="s">
        <v>1205</v>
      </c>
      <c r="B845" t="s">
        <v>590</v>
      </c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>
        <v>99722.440000000031</v>
      </c>
      <c r="X845" s="10"/>
      <c r="Y845" s="10">
        <v>119504.34999999996</v>
      </c>
      <c r="Z845" s="10"/>
      <c r="AA845" s="10"/>
      <c r="AB845" s="10">
        <v>35622.880000000005</v>
      </c>
      <c r="AC845" s="10"/>
      <c r="AD845" s="10"/>
      <c r="AE845" s="10"/>
      <c r="AF845" s="10"/>
      <c r="AG845" s="10"/>
      <c r="AH845" s="10"/>
    </row>
    <row r="846" spans="1:34" x14ac:dyDescent="0.25">
      <c r="A846" t="s">
        <v>1205</v>
      </c>
      <c r="B846" t="s">
        <v>1917</v>
      </c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>
        <v>35287.870000000003</v>
      </c>
    </row>
    <row r="847" spans="1:34" x14ac:dyDescent="0.25">
      <c r="A847" t="s">
        <v>1205</v>
      </c>
      <c r="B847" t="s">
        <v>1918</v>
      </c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>
        <v>104850.07999999999</v>
      </c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</row>
    <row r="848" spans="1:34" x14ac:dyDescent="0.25">
      <c r="A848" t="s">
        <v>1205</v>
      </c>
      <c r="B848" t="s">
        <v>1919</v>
      </c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>
        <v>26381</v>
      </c>
      <c r="R848" s="10"/>
      <c r="S848" s="10"/>
      <c r="T848" s="10">
        <v>180314.31999999998</v>
      </c>
      <c r="U848" s="10"/>
      <c r="V848" s="10"/>
      <c r="W848" s="10"/>
      <c r="X848" s="10">
        <v>3666.46</v>
      </c>
      <c r="Y848" s="10"/>
      <c r="Z848" s="10">
        <v>60888.14</v>
      </c>
      <c r="AA848" s="10"/>
      <c r="AB848" s="10"/>
      <c r="AC848" s="10"/>
      <c r="AD848" s="10"/>
      <c r="AE848" s="10"/>
      <c r="AF848" s="10"/>
      <c r="AG848" s="10"/>
      <c r="AH848" s="10"/>
    </row>
    <row r="849" spans="1:34" x14ac:dyDescent="0.25">
      <c r="A849" t="s">
        <v>1205</v>
      </c>
      <c r="B849" t="s">
        <v>591</v>
      </c>
      <c r="C849" s="10"/>
      <c r="D849" s="10"/>
      <c r="E849" s="10"/>
      <c r="F849" s="10"/>
      <c r="G849" s="10"/>
      <c r="H849" s="10"/>
      <c r="I849" s="10"/>
      <c r="J849" s="10"/>
      <c r="K849" s="10">
        <v>28710.42</v>
      </c>
      <c r="L849" s="10">
        <v>17445.43</v>
      </c>
      <c r="M849" s="10"/>
      <c r="N849" s="10"/>
      <c r="O849" s="10"/>
      <c r="P849" s="10"/>
      <c r="Q849" s="10">
        <v>204742.77000000002</v>
      </c>
      <c r="R849" s="10"/>
      <c r="S849" s="10"/>
      <c r="T849" s="10">
        <v>16831.47</v>
      </c>
      <c r="U849" s="10">
        <v>120560.97000000002</v>
      </c>
      <c r="V849" s="10"/>
      <c r="W849" s="10">
        <v>117259.41000000003</v>
      </c>
      <c r="X849" s="10">
        <v>48834.349999999969</v>
      </c>
      <c r="Y849" s="10">
        <v>36667.429999999993</v>
      </c>
      <c r="Z849" s="10"/>
      <c r="AA849" s="10"/>
      <c r="AB849" s="10"/>
      <c r="AC849" s="10">
        <v>50372.679999999993</v>
      </c>
      <c r="AD849" s="10">
        <v>16016.15</v>
      </c>
      <c r="AE849" s="10"/>
      <c r="AF849" s="10"/>
      <c r="AG849" s="10">
        <v>225324.91999999998</v>
      </c>
      <c r="AH849" s="10"/>
    </row>
    <row r="850" spans="1:34" x14ac:dyDescent="0.25">
      <c r="A850" t="s">
        <v>1205</v>
      </c>
      <c r="B850" t="s">
        <v>1920</v>
      </c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>
        <v>32112.71999999999</v>
      </c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</row>
    <row r="851" spans="1:34" x14ac:dyDescent="0.25">
      <c r="A851" t="s">
        <v>1205</v>
      </c>
      <c r="B851" t="s">
        <v>1921</v>
      </c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>
        <v>22086.46</v>
      </c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</row>
    <row r="852" spans="1:34" x14ac:dyDescent="0.25">
      <c r="A852" t="s">
        <v>1205</v>
      </c>
      <c r="B852" t="s">
        <v>592</v>
      </c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>
        <v>61880.869999999995</v>
      </c>
      <c r="U852" s="10">
        <v>44930.58</v>
      </c>
      <c r="V852" s="10">
        <v>118515.87999999999</v>
      </c>
      <c r="W852" s="10">
        <v>194261.72999999995</v>
      </c>
      <c r="X852" s="10">
        <v>41353.189999999995</v>
      </c>
      <c r="Y852" s="10">
        <v>93021.940000000017</v>
      </c>
      <c r="Z852" s="10"/>
      <c r="AA852" s="10"/>
      <c r="AB852" s="10"/>
      <c r="AC852" s="10">
        <v>166382.39999999997</v>
      </c>
      <c r="AD852" s="10"/>
      <c r="AE852" s="10"/>
      <c r="AF852" s="10">
        <v>146162.90000000002</v>
      </c>
      <c r="AG852" s="10"/>
      <c r="AH852" s="10"/>
    </row>
    <row r="853" spans="1:34" x14ac:dyDescent="0.25">
      <c r="A853" t="s">
        <v>1205</v>
      </c>
      <c r="B853" t="s">
        <v>593</v>
      </c>
      <c r="C853" s="10"/>
      <c r="D853" s="10"/>
      <c r="E853" s="10"/>
      <c r="F853" s="10"/>
      <c r="G853" s="10"/>
      <c r="H853" s="10"/>
      <c r="I853" s="10"/>
      <c r="J853" s="10"/>
      <c r="K853" s="10">
        <v>38859.29</v>
      </c>
      <c r="L853" s="10"/>
      <c r="M853" s="10"/>
      <c r="N853" s="10"/>
      <c r="O853" s="10"/>
      <c r="P853" s="10"/>
      <c r="Q853" s="10">
        <v>160246.00999999998</v>
      </c>
      <c r="R853" s="10">
        <v>181800.05000000002</v>
      </c>
      <c r="S853" s="10">
        <v>610368.04999999993</v>
      </c>
      <c r="T853" s="10">
        <v>275696.93999999994</v>
      </c>
      <c r="U853" s="10">
        <v>164408.22</v>
      </c>
      <c r="V853" s="10">
        <v>76425.01999999999</v>
      </c>
      <c r="W853" s="10">
        <v>414048.53</v>
      </c>
      <c r="X853" s="10">
        <v>112115.23000000001</v>
      </c>
      <c r="Y853" s="10">
        <v>201039.13000000003</v>
      </c>
      <c r="Z853" s="10">
        <v>43976.36</v>
      </c>
      <c r="AA853" s="10">
        <v>31009.200000000001</v>
      </c>
      <c r="AB853" s="10">
        <v>96128.73000000001</v>
      </c>
      <c r="AC853" s="10">
        <v>107254.12000000001</v>
      </c>
      <c r="AD853" s="10"/>
      <c r="AE853" s="10"/>
      <c r="AF853" s="10">
        <v>96303.450000000012</v>
      </c>
      <c r="AG853" s="10"/>
      <c r="AH853" s="10"/>
    </row>
    <row r="854" spans="1:34" x14ac:dyDescent="0.25">
      <c r="A854" t="s">
        <v>1205</v>
      </c>
      <c r="B854" t="s">
        <v>1922</v>
      </c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>
        <v>10073.41</v>
      </c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</row>
    <row r="855" spans="1:34" x14ac:dyDescent="0.25">
      <c r="A855" t="s">
        <v>1205</v>
      </c>
      <c r="B855" t="s">
        <v>1380</v>
      </c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>
        <v>739358.3000000004</v>
      </c>
      <c r="AF855" s="10"/>
      <c r="AG855" s="10">
        <v>74730.839999999982</v>
      </c>
      <c r="AH855" s="10"/>
    </row>
    <row r="856" spans="1:34" x14ac:dyDescent="0.25">
      <c r="A856" t="s">
        <v>1205</v>
      </c>
      <c r="B856" t="s">
        <v>594</v>
      </c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>
        <v>91005.060000000012</v>
      </c>
      <c r="U856" s="10">
        <v>123344.17999999995</v>
      </c>
      <c r="V856" s="10">
        <v>102155.60999999996</v>
      </c>
      <c r="W856" s="10">
        <v>216547.12999999998</v>
      </c>
      <c r="X856" s="10">
        <v>58613.01999999999</v>
      </c>
      <c r="Y856" s="10">
        <v>71894.00999999998</v>
      </c>
      <c r="Z856" s="10">
        <v>22863.879999999997</v>
      </c>
      <c r="AA856" s="10">
        <v>175640.18000000008</v>
      </c>
      <c r="AB856" s="10"/>
      <c r="AC856" s="10">
        <v>70068.36000000003</v>
      </c>
      <c r="AD856" s="10">
        <v>64991.61000000003</v>
      </c>
      <c r="AE856" s="10">
        <v>340590.20000000007</v>
      </c>
      <c r="AF856" s="10">
        <v>147709.01</v>
      </c>
      <c r="AG856" s="10">
        <v>108500.88999999998</v>
      </c>
      <c r="AH856" s="10">
        <v>253775.81999999989</v>
      </c>
    </row>
    <row r="857" spans="1:34" x14ac:dyDescent="0.25">
      <c r="A857" t="s">
        <v>1205</v>
      </c>
      <c r="B857" t="s">
        <v>595</v>
      </c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>
        <v>109022.92</v>
      </c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>
        <v>16319.57</v>
      </c>
      <c r="AD857" s="10"/>
      <c r="AE857" s="10"/>
      <c r="AF857" s="10"/>
      <c r="AG857" s="10"/>
      <c r="AH857" s="10"/>
    </row>
    <row r="858" spans="1:34" x14ac:dyDescent="0.25">
      <c r="A858" t="s">
        <v>1205</v>
      </c>
      <c r="B858" t="s">
        <v>596</v>
      </c>
      <c r="C858" s="10"/>
      <c r="D858" s="10"/>
      <c r="E858" s="10"/>
      <c r="F858" s="10"/>
      <c r="G858" s="10"/>
      <c r="H858" s="10"/>
      <c r="I858" s="10"/>
      <c r="J858" s="10"/>
      <c r="K858" s="10"/>
      <c r="L858" s="10">
        <v>23614.080000000002</v>
      </c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>
        <v>49174.430000000015</v>
      </c>
      <c r="Z858" s="10"/>
      <c r="AA858" s="10"/>
      <c r="AB858" s="10"/>
      <c r="AC858" s="10"/>
      <c r="AD858" s="10"/>
      <c r="AE858" s="10">
        <v>45417.19999999999</v>
      </c>
      <c r="AF858" s="10"/>
      <c r="AG858" s="10"/>
      <c r="AH858" s="10">
        <v>129270.30000000002</v>
      </c>
    </row>
    <row r="859" spans="1:34" x14ac:dyDescent="0.25">
      <c r="A859" t="s">
        <v>1205</v>
      </c>
      <c r="B859" t="s">
        <v>1923</v>
      </c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>
        <v>4731.84</v>
      </c>
      <c r="T859" s="10"/>
      <c r="U859" s="10">
        <v>10970.93</v>
      </c>
      <c r="V859" s="10">
        <v>12862.92</v>
      </c>
      <c r="W859" s="10">
        <v>51295.62999999999</v>
      </c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</row>
    <row r="860" spans="1:34" x14ac:dyDescent="0.25">
      <c r="A860" t="s">
        <v>1205</v>
      </c>
      <c r="B860" t="s">
        <v>1274</v>
      </c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>
        <v>1482.4</v>
      </c>
      <c r="AD860" s="10"/>
      <c r="AE860" s="10"/>
      <c r="AF860" s="10"/>
      <c r="AG860" s="10"/>
      <c r="AH860" s="10"/>
    </row>
    <row r="861" spans="1:34" x14ac:dyDescent="0.25">
      <c r="A861" t="s">
        <v>1205</v>
      </c>
      <c r="B861" t="s">
        <v>1924</v>
      </c>
      <c r="C861" s="10"/>
      <c r="D861" s="10"/>
      <c r="E861" s="10"/>
      <c r="F861" s="10"/>
      <c r="G861" s="10"/>
      <c r="H861" s="10"/>
      <c r="I861" s="10"/>
      <c r="J861" s="10"/>
      <c r="K861" s="10">
        <v>15687.22</v>
      </c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</row>
    <row r="862" spans="1:34" x14ac:dyDescent="0.25">
      <c r="A862" t="s">
        <v>1205</v>
      </c>
      <c r="B862" t="s">
        <v>1925</v>
      </c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>
        <v>4251.84</v>
      </c>
    </row>
    <row r="863" spans="1:34" x14ac:dyDescent="0.25">
      <c r="A863" t="s">
        <v>1205</v>
      </c>
      <c r="B863" t="s">
        <v>597</v>
      </c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>
        <v>21562.259999999995</v>
      </c>
      <c r="U863" s="10">
        <v>10155.18</v>
      </c>
      <c r="V863" s="10">
        <v>20777.13</v>
      </c>
      <c r="W863" s="10"/>
      <c r="X863" s="10">
        <v>25233.159999999993</v>
      </c>
      <c r="Y863" s="10"/>
      <c r="Z863" s="10">
        <v>24770.06</v>
      </c>
      <c r="AA863" s="10"/>
      <c r="AB863" s="10"/>
      <c r="AC863" s="10">
        <v>38450.97</v>
      </c>
      <c r="AD863" s="10">
        <v>32692.839999999993</v>
      </c>
      <c r="AE863" s="10">
        <v>32228.14</v>
      </c>
      <c r="AF863" s="10">
        <v>16705.36</v>
      </c>
      <c r="AG863" s="10">
        <v>13731.259999999998</v>
      </c>
      <c r="AH863" s="10">
        <v>22465.160000000003</v>
      </c>
    </row>
    <row r="864" spans="1:34" x14ac:dyDescent="0.25">
      <c r="A864" t="s">
        <v>1205</v>
      </c>
      <c r="B864" t="s">
        <v>1210</v>
      </c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>
        <v>10443.380000000001</v>
      </c>
      <c r="AC864" s="10"/>
      <c r="AD864" s="10"/>
      <c r="AE864" s="10"/>
      <c r="AF864" s="10"/>
      <c r="AG864" s="10"/>
      <c r="AH864" s="10"/>
    </row>
    <row r="865" spans="1:34" x14ac:dyDescent="0.25">
      <c r="A865" t="s">
        <v>1205</v>
      </c>
      <c r="B865" t="s">
        <v>1926</v>
      </c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>
        <v>1937.81</v>
      </c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</row>
    <row r="866" spans="1:34" x14ac:dyDescent="0.25">
      <c r="A866" t="s">
        <v>1205</v>
      </c>
      <c r="B866" t="s">
        <v>1326</v>
      </c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>
        <v>96860.299999999988</v>
      </c>
      <c r="AE866" s="10">
        <v>29233.279999999999</v>
      </c>
      <c r="AF866" s="10">
        <v>2802.9300000000003</v>
      </c>
      <c r="AG866" s="10"/>
      <c r="AH866" s="10">
        <v>2537.56</v>
      </c>
    </row>
    <row r="867" spans="1:34" x14ac:dyDescent="0.25">
      <c r="A867" t="s">
        <v>1205</v>
      </c>
      <c r="B867" t="s">
        <v>1927</v>
      </c>
      <c r="C867" s="10"/>
      <c r="D867" s="10"/>
      <c r="E867" s="10"/>
      <c r="F867" s="10"/>
      <c r="G867" s="10"/>
      <c r="H867" s="10"/>
      <c r="I867" s="10"/>
      <c r="J867" s="10"/>
      <c r="K867" s="10"/>
      <c r="L867" s="10">
        <v>15383.6</v>
      </c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</row>
    <row r="868" spans="1:34" x14ac:dyDescent="0.25">
      <c r="A868" t="s">
        <v>1205</v>
      </c>
      <c r="B868" t="s">
        <v>1928</v>
      </c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>
        <v>37884.750000000007</v>
      </c>
      <c r="S868" s="10">
        <v>22976.49</v>
      </c>
      <c r="T868" s="10"/>
      <c r="U868" s="10"/>
      <c r="V868" s="10">
        <v>3619.12</v>
      </c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</row>
    <row r="869" spans="1:34" x14ac:dyDescent="0.25">
      <c r="A869" t="s">
        <v>1205</v>
      </c>
      <c r="B869" t="s">
        <v>1929</v>
      </c>
      <c r="C869" s="10"/>
      <c r="D869" s="10"/>
      <c r="E869" s="10">
        <v>3080.95</v>
      </c>
      <c r="F869" s="10">
        <v>6103.15</v>
      </c>
      <c r="G869" s="10"/>
      <c r="H869" s="10"/>
      <c r="I869" s="10"/>
      <c r="J869" s="10"/>
      <c r="K869" s="10"/>
      <c r="L869" s="10"/>
      <c r="M869" s="10">
        <v>32293.210000000003</v>
      </c>
      <c r="N869" s="10">
        <v>14230.869999999999</v>
      </c>
      <c r="O869" s="10"/>
      <c r="P869" s="10"/>
      <c r="Q869" s="10"/>
      <c r="R869" s="10">
        <v>25299.86</v>
      </c>
      <c r="S869" s="10"/>
      <c r="T869" s="10"/>
      <c r="U869" s="10">
        <v>20600.429999999997</v>
      </c>
      <c r="V869" s="10">
        <v>13425.279999999999</v>
      </c>
      <c r="W869" s="10"/>
      <c r="X869" s="10">
        <v>12994.13</v>
      </c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</row>
    <row r="870" spans="1:34" x14ac:dyDescent="0.25">
      <c r="A870" t="s">
        <v>1205</v>
      </c>
      <c r="B870" t="s">
        <v>1930</v>
      </c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>
        <v>36582.42</v>
      </c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</row>
    <row r="871" spans="1:34" x14ac:dyDescent="0.25">
      <c r="A871" t="s">
        <v>1205</v>
      </c>
      <c r="B871" t="s">
        <v>1494</v>
      </c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>
        <v>124418.72000000002</v>
      </c>
      <c r="AH871" s="10"/>
    </row>
    <row r="872" spans="1:34" x14ac:dyDescent="0.25">
      <c r="A872" t="s">
        <v>1205</v>
      </c>
      <c r="B872" t="s">
        <v>1931</v>
      </c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>
        <v>22019.819999999996</v>
      </c>
      <c r="S872" s="10"/>
      <c r="T872" s="10"/>
      <c r="U872" s="10">
        <v>29533.99</v>
      </c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</row>
    <row r="873" spans="1:34" x14ac:dyDescent="0.25">
      <c r="A873" t="s">
        <v>1205</v>
      </c>
      <c r="B873" t="s">
        <v>1932</v>
      </c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>
        <v>103569.06999999998</v>
      </c>
      <c r="R873" s="10">
        <v>21408.98</v>
      </c>
      <c r="S873" s="10">
        <v>36694.89</v>
      </c>
      <c r="T873" s="10"/>
      <c r="U873" s="10">
        <v>38740.600000000006</v>
      </c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</row>
    <row r="874" spans="1:34" x14ac:dyDescent="0.25">
      <c r="A874" t="s">
        <v>1205</v>
      </c>
      <c r="B874" t="s">
        <v>1211</v>
      </c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>
        <v>79906.789999999994</v>
      </c>
      <c r="AB874" s="10"/>
      <c r="AC874" s="10"/>
      <c r="AD874" s="10"/>
      <c r="AE874" s="10"/>
      <c r="AF874" s="10"/>
      <c r="AG874" s="10"/>
      <c r="AH874" s="10"/>
    </row>
    <row r="875" spans="1:34" x14ac:dyDescent="0.25">
      <c r="A875" t="s">
        <v>1205</v>
      </c>
      <c r="B875" t="s">
        <v>1275</v>
      </c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>
        <v>16506.09</v>
      </c>
      <c r="AD875" s="10"/>
      <c r="AE875" s="10"/>
      <c r="AF875" s="10"/>
      <c r="AG875" s="10"/>
      <c r="AH875" s="10"/>
    </row>
    <row r="876" spans="1:34" x14ac:dyDescent="0.25">
      <c r="A876" t="s">
        <v>1205</v>
      </c>
      <c r="B876" t="s">
        <v>1933</v>
      </c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>
        <v>5726.6600000000008</v>
      </c>
    </row>
    <row r="877" spans="1:34" x14ac:dyDescent="0.25">
      <c r="A877" t="s">
        <v>1205</v>
      </c>
      <c r="B877" t="s">
        <v>1934</v>
      </c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>
        <v>37505.99</v>
      </c>
      <c r="S877" s="10"/>
      <c r="T877" s="10"/>
      <c r="U877" s="10"/>
      <c r="V877" s="10"/>
      <c r="W877" s="10"/>
      <c r="X877" s="10"/>
      <c r="Y877" s="10"/>
      <c r="Z877" s="10">
        <v>45107.529999999992</v>
      </c>
      <c r="AA877" s="10"/>
      <c r="AB877" s="10"/>
      <c r="AC877" s="10"/>
      <c r="AD877" s="10"/>
      <c r="AE877" s="10"/>
      <c r="AF877" s="10"/>
      <c r="AG877" s="10"/>
      <c r="AH877" s="10">
        <v>98188.469999999943</v>
      </c>
    </row>
    <row r="878" spans="1:34" x14ac:dyDescent="0.25">
      <c r="A878" t="s">
        <v>1205</v>
      </c>
      <c r="B878" t="s">
        <v>1935</v>
      </c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>
        <v>24359.58</v>
      </c>
      <c r="X878" s="10"/>
      <c r="Y878" s="10"/>
      <c r="Z878" s="10">
        <v>19982.21</v>
      </c>
      <c r="AA878" s="10"/>
      <c r="AB878" s="10"/>
      <c r="AC878" s="10"/>
      <c r="AD878" s="10"/>
      <c r="AE878" s="10"/>
      <c r="AF878" s="10"/>
      <c r="AG878" s="10"/>
      <c r="AH878" s="10"/>
    </row>
    <row r="879" spans="1:34" x14ac:dyDescent="0.25">
      <c r="A879" t="s">
        <v>1205</v>
      </c>
      <c r="B879" t="s">
        <v>1452</v>
      </c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>
        <v>23105.119999999999</v>
      </c>
      <c r="AG879" s="10"/>
      <c r="AH879" s="10"/>
    </row>
    <row r="880" spans="1:34" x14ac:dyDescent="0.25">
      <c r="A880" t="s">
        <v>1205</v>
      </c>
      <c r="B880" t="s">
        <v>598</v>
      </c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>
        <v>26843.520000000004</v>
      </c>
      <c r="V880" s="10">
        <v>28108.190000000002</v>
      </c>
      <c r="W880" s="10">
        <v>61166.76999999999</v>
      </c>
      <c r="X880" s="10"/>
      <c r="Y880" s="10"/>
      <c r="Z880" s="10"/>
      <c r="AA880" s="10">
        <v>40903.380000000005</v>
      </c>
      <c r="AB880" s="10"/>
      <c r="AC880" s="10"/>
      <c r="AD880" s="10"/>
      <c r="AE880" s="10"/>
      <c r="AF880" s="10"/>
      <c r="AG880" s="10"/>
      <c r="AH880" s="10"/>
    </row>
    <row r="881" spans="1:34" x14ac:dyDescent="0.25">
      <c r="A881" t="s">
        <v>1205</v>
      </c>
      <c r="B881" t="s">
        <v>773</v>
      </c>
      <c r="C881" s="10"/>
      <c r="D881" s="10">
        <v>32285.309999999998</v>
      </c>
      <c r="E881" s="10">
        <v>68291.89</v>
      </c>
      <c r="F881" s="10"/>
      <c r="G881" s="10"/>
      <c r="H881" s="10">
        <v>38519.869999999995</v>
      </c>
      <c r="I881" s="10">
        <v>3328.66</v>
      </c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>
        <v>19240.400000000001</v>
      </c>
      <c r="AA881" s="10"/>
      <c r="AB881" s="10"/>
      <c r="AC881" s="10"/>
      <c r="AD881" s="10">
        <v>17583.2</v>
      </c>
      <c r="AE881" s="10"/>
      <c r="AF881" s="10"/>
      <c r="AG881" s="10"/>
      <c r="AH881" s="10"/>
    </row>
    <row r="882" spans="1:34" x14ac:dyDescent="0.25">
      <c r="A882" t="s">
        <v>1205</v>
      </c>
      <c r="B882" t="s">
        <v>1936</v>
      </c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>
        <v>55330.270000000004</v>
      </c>
      <c r="S882" s="10"/>
      <c r="T882" s="10">
        <v>198113.24</v>
      </c>
      <c r="U882" s="10">
        <v>74914.009999999995</v>
      </c>
      <c r="V882" s="10"/>
      <c r="W882" s="10">
        <v>100498.75</v>
      </c>
      <c r="X882" s="10"/>
      <c r="Y882" s="10">
        <v>38884.03</v>
      </c>
      <c r="Z882" s="10">
        <v>97533.220000000016</v>
      </c>
      <c r="AA882" s="10"/>
      <c r="AB882" s="10"/>
      <c r="AC882" s="10">
        <v>31641.319999999992</v>
      </c>
      <c r="AD882" s="10">
        <v>30410.34</v>
      </c>
      <c r="AE882" s="10">
        <v>174275.94</v>
      </c>
      <c r="AF882" s="10">
        <v>212373.61000000002</v>
      </c>
      <c r="AG882" s="10">
        <v>486900.32999999978</v>
      </c>
      <c r="AH882" s="10">
        <v>1579391.8</v>
      </c>
    </row>
    <row r="883" spans="1:34" x14ac:dyDescent="0.25">
      <c r="A883" t="s">
        <v>1205</v>
      </c>
      <c r="B883" t="s">
        <v>599</v>
      </c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>
        <v>9775.39</v>
      </c>
      <c r="N883" s="10"/>
      <c r="O883" s="10"/>
      <c r="P883" s="10"/>
      <c r="Q883" s="10">
        <v>33885.26</v>
      </c>
      <c r="R883" s="10"/>
      <c r="S883" s="10">
        <v>16681.97</v>
      </c>
      <c r="T883" s="10"/>
      <c r="U883" s="10"/>
      <c r="V883" s="10">
        <v>9262.7999999999993</v>
      </c>
      <c r="W883" s="10">
        <v>25878.92</v>
      </c>
      <c r="X883" s="10"/>
      <c r="Y883" s="10">
        <v>3489.77</v>
      </c>
      <c r="Z883" s="10"/>
      <c r="AA883" s="10">
        <v>10048.43</v>
      </c>
      <c r="AB883" s="10"/>
      <c r="AC883" s="10">
        <v>33240.959999999999</v>
      </c>
      <c r="AD883" s="10">
        <v>14108.24</v>
      </c>
      <c r="AE883" s="10">
        <v>11000.2</v>
      </c>
      <c r="AF883" s="10">
        <v>46875.859999999993</v>
      </c>
      <c r="AG883" s="10">
        <v>20518.39</v>
      </c>
      <c r="AH883" s="10"/>
    </row>
    <row r="884" spans="1:34" x14ac:dyDescent="0.25">
      <c r="A884" t="s">
        <v>1205</v>
      </c>
      <c r="B884" t="s">
        <v>600</v>
      </c>
      <c r="C884" s="10">
        <v>20773.02</v>
      </c>
      <c r="D884" s="10">
        <v>58330.47</v>
      </c>
      <c r="E884" s="10"/>
      <c r="F884" s="10">
        <v>77647.360000000001</v>
      </c>
      <c r="G884" s="10">
        <v>94679.66</v>
      </c>
      <c r="H884" s="10">
        <v>46938.04</v>
      </c>
      <c r="I884" s="10">
        <v>92283.45</v>
      </c>
      <c r="J884" s="10">
        <v>32897.1</v>
      </c>
      <c r="K884" s="10">
        <v>208838.42</v>
      </c>
      <c r="L884" s="10">
        <v>399346.72999999992</v>
      </c>
      <c r="M884" s="10">
        <v>101949.97</v>
      </c>
      <c r="N884" s="10"/>
      <c r="O884" s="10"/>
      <c r="P884" s="10">
        <v>61220.04</v>
      </c>
      <c r="Q884" s="10"/>
      <c r="R884" s="10"/>
      <c r="S884" s="10"/>
      <c r="T884" s="10"/>
      <c r="U884" s="10"/>
      <c r="V884" s="10"/>
      <c r="W884" s="10"/>
      <c r="X884" s="10">
        <v>83903.069999999992</v>
      </c>
      <c r="Y884" s="10"/>
      <c r="Z884" s="10">
        <v>43224.63</v>
      </c>
      <c r="AA884" s="10">
        <v>64633.05</v>
      </c>
      <c r="AB884" s="10"/>
      <c r="AC884" s="10"/>
      <c r="AD884" s="10"/>
      <c r="AE884" s="10">
        <v>72870.61</v>
      </c>
      <c r="AF884" s="10">
        <v>55000</v>
      </c>
      <c r="AG884" s="10">
        <v>76448.03</v>
      </c>
      <c r="AH884" s="10">
        <v>23062.6</v>
      </c>
    </row>
    <row r="885" spans="1:34" x14ac:dyDescent="0.25">
      <c r="A885" t="s">
        <v>1205</v>
      </c>
      <c r="B885" t="s">
        <v>1937</v>
      </c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>
        <v>24560.749999999996</v>
      </c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</row>
    <row r="886" spans="1:34" x14ac:dyDescent="0.25">
      <c r="A886" t="s">
        <v>1205</v>
      </c>
      <c r="B886" t="s">
        <v>628</v>
      </c>
      <c r="C886" s="10">
        <v>115675.52999999998</v>
      </c>
      <c r="D886" s="10">
        <v>17691.469999999998</v>
      </c>
      <c r="E886" s="10">
        <v>101573.73999999998</v>
      </c>
      <c r="F886" s="10">
        <v>57332.059999999983</v>
      </c>
      <c r="G886" s="10">
        <v>50276.899999999994</v>
      </c>
      <c r="H886" s="10">
        <v>127035.93000000002</v>
      </c>
      <c r="I886" s="10">
        <v>42094.279999999984</v>
      </c>
      <c r="J886" s="10">
        <v>34857.369999999995</v>
      </c>
      <c r="K886" s="10">
        <v>87404.199999999983</v>
      </c>
      <c r="L886" s="10"/>
      <c r="M886" s="10">
        <v>19432.269999999997</v>
      </c>
      <c r="N886" s="10">
        <v>46370.359999999993</v>
      </c>
      <c r="O886" s="10">
        <v>10628.349999999999</v>
      </c>
      <c r="P886" s="10">
        <v>10882.61</v>
      </c>
      <c r="Q886" s="10"/>
      <c r="R886" s="10">
        <v>60455.889999999992</v>
      </c>
      <c r="S886" s="10"/>
      <c r="T886" s="10">
        <v>35492.720000000001</v>
      </c>
      <c r="U886" s="10"/>
      <c r="V886" s="10">
        <v>14754.279999999999</v>
      </c>
      <c r="W886" s="10"/>
      <c r="X886" s="10"/>
      <c r="Y886" s="10">
        <v>21555.200000000004</v>
      </c>
      <c r="Z886" s="10"/>
      <c r="AA886" s="10"/>
      <c r="AB886" s="10"/>
      <c r="AC886" s="10"/>
      <c r="AD886" s="10">
        <v>36178.910000000003</v>
      </c>
      <c r="AE886" s="10">
        <v>22927.38</v>
      </c>
      <c r="AF886" s="10">
        <v>56678.569999999992</v>
      </c>
      <c r="AG886" s="10">
        <v>28238.980000000003</v>
      </c>
      <c r="AH886" s="10"/>
    </row>
    <row r="887" spans="1:34" x14ac:dyDescent="0.25">
      <c r="A887" t="s">
        <v>1205</v>
      </c>
      <c r="B887" t="s">
        <v>601</v>
      </c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>
        <v>6273.11</v>
      </c>
      <c r="T887" s="10">
        <v>5618.24</v>
      </c>
      <c r="U887" s="10"/>
      <c r="V887" s="10"/>
      <c r="W887" s="10">
        <v>13514.769999999999</v>
      </c>
      <c r="X887" s="10"/>
      <c r="Y887" s="10"/>
      <c r="Z887" s="10"/>
      <c r="AA887" s="10"/>
      <c r="AB887" s="10"/>
      <c r="AC887" s="10">
        <v>3456.35</v>
      </c>
      <c r="AD887" s="10"/>
      <c r="AE887" s="10"/>
      <c r="AF887" s="10"/>
      <c r="AG887" s="10"/>
      <c r="AH887" s="10"/>
    </row>
    <row r="888" spans="1:34" x14ac:dyDescent="0.25">
      <c r="A888" t="s">
        <v>1205</v>
      </c>
      <c r="B888" t="s">
        <v>602</v>
      </c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>
        <v>136122.75</v>
      </c>
      <c r="N888" s="10">
        <v>41735.94</v>
      </c>
      <c r="O888" s="10"/>
      <c r="P888" s="10">
        <v>48656.560000000005</v>
      </c>
      <c r="Q888" s="10">
        <v>74901.86</v>
      </c>
      <c r="R888" s="10">
        <v>257167.92999999993</v>
      </c>
      <c r="S888" s="10">
        <v>123904.41</v>
      </c>
      <c r="T888" s="10">
        <v>194373.53000000006</v>
      </c>
      <c r="U888" s="10">
        <v>156223.75000000006</v>
      </c>
      <c r="V888" s="10">
        <v>129316.11999999998</v>
      </c>
      <c r="W888" s="10">
        <v>135581.29999999996</v>
      </c>
      <c r="X888" s="10">
        <v>83531.87</v>
      </c>
      <c r="Y888" s="10">
        <v>64349.520000000004</v>
      </c>
      <c r="Z888" s="10">
        <v>74266.98000000001</v>
      </c>
      <c r="AA888" s="10"/>
      <c r="AB888" s="10">
        <v>126672.68</v>
      </c>
      <c r="AC888" s="10">
        <v>12734.840000000002</v>
      </c>
      <c r="AD888" s="10">
        <v>64543.919999999991</v>
      </c>
      <c r="AE888" s="10">
        <v>207572.31999999995</v>
      </c>
      <c r="AF888" s="10">
        <v>405705.08000000025</v>
      </c>
      <c r="AG888" s="10">
        <v>70855.459999999992</v>
      </c>
      <c r="AH888" s="10">
        <v>143761.21</v>
      </c>
    </row>
    <row r="889" spans="1:34" x14ac:dyDescent="0.25">
      <c r="A889" t="s">
        <v>1205</v>
      </c>
      <c r="B889" t="s">
        <v>1938</v>
      </c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>
        <v>18739.189999999999</v>
      </c>
      <c r="S889" s="10"/>
      <c r="T889" s="10"/>
      <c r="U889" s="10"/>
      <c r="V889" s="10"/>
      <c r="W889" s="10"/>
      <c r="X889" s="10"/>
      <c r="Y889" s="10">
        <v>24179.75</v>
      </c>
      <c r="Z889" s="10"/>
      <c r="AA889" s="10"/>
      <c r="AB889" s="10"/>
      <c r="AC889" s="10"/>
      <c r="AD889" s="10"/>
      <c r="AE889" s="10"/>
      <c r="AF889" s="10"/>
      <c r="AG889" s="10"/>
      <c r="AH889" s="10"/>
    </row>
    <row r="890" spans="1:34" x14ac:dyDescent="0.25">
      <c r="A890" t="s">
        <v>1205</v>
      </c>
      <c r="B890" t="s">
        <v>1561</v>
      </c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>
        <v>210482.52</v>
      </c>
    </row>
    <row r="891" spans="1:34" x14ac:dyDescent="0.25">
      <c r="A891" t="s">
        <v>1205</v>
      </c>
      <c r="B891" t="s">
        <v>1939</v>
      </c>
      <c r="C891" s="10"/>
      <c r="D891" s="10"/>
      <c r="E891" s="10"/>
      <c r="F891" s="10">
        <v>35477.629999999997</v>
      </c>
      <c r="G891" s="10">
        <v>60569.86</v>
      </c>
      <c r="H891" s="10">
        <v>2747.94</v>
      </c>
      <c r="I891" s="10">
        <v>-2267.16</v>
      </c>
      <c r="J891" s="10"/>
      <c r="K891" s="10">
        <v>9146.7999999999993</v>
      </c>
      <c r="L891" s="10">
        <v>8350.16</v>
      </c>
      <c r="M891" s="10"/>
      <c r="N891" s="10"/>
      <c r="O891" s="10">
        <v>23782.46</v>
      </c>
      <c r="P891" s="10"/>
      <c r="Q891" s="10">
        <v>93858.08</v>
      </c>
      <c r="R891" s="10">
        <v>20970.88</v>
      </c>
      <c r="S891" s="10">
        <v>57049.919999999998</v>
      </c>
      <c r="T891" s="10"/>
      <c r="U891" s="10"/>
      <c r="V891" s="10"/>
      <c r="W891" s="10"/>
      <c r="X891" s="10">
        <v>36685.86</v>
      </c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</row>
    <row r="892" spans="1:34" x14ac:dyDescent="0.25">
      <c r="A892" t="s">
        <v>1205</v>
      </c>
      <c r="B892" t="s">
        <v>603</v>
      </c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>
        <v>171656.18</v>
      </c>
      <c r="W892" s="10">
        <v>121071.30000000002</v>
      </c>
      <c r="X892" s="10">
        <v>-30.8</v>
      </c>
      <c r="Y892" s="10"/>
      <c r="Z892" s="10"/>
      <c r="AA892" s="10">
        <v>134175.08000000002</v>
      </c>
      <c r="AB892" s="10"/>
      <c r="AC892" s="10">
        <v>183260.25</v>
      </c>
      <c r="AD892" s="10"/>
      <c r="AE892" s="10"/>
      <c r="AF892" s="10"/>
      <c r="AG892" s="10"/>
      <c r="AH892" s="10"/>
    </row>
    <row r="893" spans="1:34" x14ac:dyDescent="0.25">
      <c r="A893" t="s">
        <v>1205</v>
      </c>
      <c r="B893" t="s">
        <v>1940</v>
      </c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>
        <v>10072.950000000001</v>
      </c>
      <c r="X893" s="10">
        <v>10160.9</v>
      </c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</row>
    <row r="894" spans="1:34" x14ac:dyDescent="0.25">
      <c r="A894" t="s">
        <v>1205</v>
      </c>
      <c r="B894" t="s">
        <v>604</v>
      </c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>
        <v>61029.599999999999</v>
      </c>
      <c r="S894" s="10"/>
      <c r="T894" s="10"/>
      <c r="U894" s="10"/>
      <c r="V894" s="10">
        <v>86253.52</v>
      </c>
      <c r="W894" s="10">
        <v>99004.7</v>
      </c>
      <c r="X894" s="10">
        <v>150064.14000000001</v>
      </c>
      <c r="Y894" s="10">
        <v>152038.87</v>
      </c>
      <c r="Z894" s="10">
        <v>242744.28999999998</v>
      </c>
      <c r="AA894" s="10">
        <v>39267.65</v>
      </c>
      <c r="AB894" s="10">
        <v>106683.8</v>
      </c>
      <c r="AC894" s="10">
        <v>128190.89</v>
      </c>
      <c r="AD894" s="10"/>
      <c r="AE894" s="10"/>
      <c r="AF894" s="10"/>
      <c r="AG894" s="10">
        <v>245357.74999999997</v>
      </c>
      <c r="AH894" s="10">
        <v>59608.229999999996</v>
      </c>
    </row>
    <row r="895" spans="1:34" x14ac:dyDescent="0.25">
      <c r="A895" t="s">
        <v>1205</v>
      </c>
      <c r="B895" t="s">
        <v>605</v>
      </c>
      <c r="C895" s="10"/>
      <c r="D895" s="10"/>
      <c r="E895" s="10"/>
      <c r="F895" s="10"/>
      <c r="G895" s="10"/>
      <c r="H895" s="10"/>
      <c r="I895" s="10"/>
      <c r="J895" s="10"/>
      <c r="K895" s="10"/>
      <c r="L895" s="10">
        <v>142168.65</v>
      </c>
      <c r="M895" s="10">
        <v>92848.3</v>
      </c>
      <c r="N895" s="10">
        <v>351167.29</v>
      </c>
      <c r="O895" s="10"/>
      <c r="P895" s="10"/>
      <c r="Q895" s="10">
        <v>64147.429999999993</v>
      </c>
      <c r="R895" s="10"/>
      <c r="S895" s="10">
        <v>198662.28</v>
      </c>
      <c r="T895" s="10">
        <v>85946.159999999989</v>
      </c>
      <c r="U895" s="10"/>
      <c r="V895" s="10"/>
      <c r="W895" s="10"/>
      <c r="X895" s="10">
        <v>39223.299999999996</v>
      </c>
      <c r="Y895" s="10"/>
      <c r="Z895" s="10"/>
      <c r="AA895" s="10"/>
      <c r="AB895" s="10"/>
      <c r="AC895" s="10"/>
      <c r="AD895" s="10"/>
      <c r="AE895" s="10"/>
      <c r="AF895" s="10">
        <v>39800.090000000004</v>
      </c>
      <c r="AG895" s="10"/>
      <c r="AH895" s="10"/>
    </row>
    <row r="896" spans="1:34" x14ac:dyDescent="0.25">
      <c r="A896" t="s">
        <v>1205</v>
      </c>
      <c r="B896" t="s">
        <v>1495</v>
      </c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>
        <v>21450.230000000003</v>
      </c>
      <c r="AH896" s="10"/>
    </row>
    <row r="897" spans="1:34" x14ac:dyDescent="0.25">
      <c r="A897" t="s">
        <v>1205</v>
      </c>
      <c r="B897" t="s">
        <v>1941</v>
      </c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>
        <v>48513.38</v>
      </c>
      <c r="X897" s="10"/>
      <c r="Y897" s="10">
        <v>10536.289999999997</v>
      </c>
      <c r="Z897" s="10"/>
      <c r="AA897" s="10"/>
      <c r="AB897" s="10"/>
      <c r="AC897" s="10"/>
      <c r="AD897" s="10"/>
      <c r="AE897" s="10"/>
      <c r="AF897" s="10"/>
      <c r="AG897" s="10"/>
      <c r="AH897" s="10"/>
    </row>
    <row r="898" spans="1:34" x14ac:dyDescent="0.25">
      <c r="A898" t="s">
        <v>1205</v>
      </c>
      <c r="B898" t="s">
        <v>1942</v>
      </c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>
        <v>3180.55</v>
      </c>
      <c r="S898" s="10">
        <v>21369.35</v>
      </c>
      <c r="T898" s="10">
        <v>7034.24</v>
      </c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</row>
    <row r="899" spans="1:34" x14ac:dyDescent="0.25">
      <c r="A899" t="s">
        <v>1205</v>
      </c>
      <c r="B899" t="s">
        <v>1943</v>
      </c>
      <c r="C899" s="10"/>
      <c r="D899" s="10"/>
      <c r="E899" s="10"/>
      <c r="F899" s="10"/>
      <c r="G899" s="10"/>
      <c r="H899" s="10"/>
      <c r="I899" s="10"/>
      <c r="J899" s="10"/>
      <c r="K899" s="10"/>
      <c r="L899" s="10">
        <v>35034.29</v>
      </c>
      <c r="M899" s="10">
        <v>3268.88</v>
      </c>
      <c r="N899" s="10">
        <v>-249.67000000000007</v>
      </c>
      <c r="O899" s="10"/>
      <c r="P899" s="10"/>
      <c r="Q899" s="10"/>
      <c r="R899" s="10"/>
      <c r="S899" s="10">
        <v>35904.090000000004</v>
      </c>
      <c r="T899" s="10"/>
      <c r="U899" s="10"/>
      <c r="V899" s="10"/>
      <c r="W899" s="10">
        <v>2336.4</v>
      </c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</row>
    <row r="900" spans="1:34" x14ac:dyDescent="0.25">
      <c r="A900" t="s">
        <v>1205</v>
      </c>
      <c r="B900" t="s">
        <v>606</v>
      </c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>
        <v>29457.62999999999</v>
      </c>
      <c r="S900" s="10">
        <v>37796.020000000004</v>
      </c>
      <c r="T900" s="10">
        <v>77547.349999999977</v>
      </c>
      <c r="U900" s="10">
        <v>9750.59</v>
      </c>
      <c r="V900" s="10">
        <v>37403.679999999993</v>
      </c>
      <c r="W900" s="10"/>
      <c r="X900" s="10">
        <v>21618.39</v>
      </c>
      <c r="Y900" s="10">
        <v>34369.01</v>
      </c>
      <c r="Z900" s="10"/>
      <c r="AA900" s="10"/>
      <c r="AB900" s="10">
        <v>17463.009999999998</v>
      </c>
      <c r="AC900" s="10"/>
      <c r="AD900" s="10">
        <v>24082.940000000002</v>
      </c>
      <c r="AE900" s="10">
        <v>31593.839999999989</v>
      </c>
      <c r="AF900" s="10">
        <v>29316.820000000003</v>
      </c>
      <c r="AG900" s="10">
        <v>42457.26</v>
      </c>
      <c r="AH900" s="10">
        <v>48172.80000000001</v>
      </c>
    </row>
    <row r="901" spans="1:34" x14ac:dyDescent="0.25">
      <c r="A901" t="s">
        <v>1205</v>
      </c>
      <c r="B901" t="s">
        <v>607</v>
      </c>
      <c r="C901" s="10"/>
      <c r="D901" s="10"/>
      <c r="E901" s="10">
        <v>20491</v>
      </c>
      <c r="F901" s="10">
        <v>120867.04000000001</v>
      </c>
      <c r="G901" s="10"/>
      <c r="H901" s="10">
        <v>68452.160000000003</v>
      </c>
      <c r="I901" s="10"/>
      <c r="J901" s="10"/>
      <c r="K901" s="10">
        <v>114622.46</v>
      </c>
      <c r="L901" s="10"/>
      <c r="M901" s="10"/>
      <c r="N901" s="10"/>
      <c r="O901" s="10"/>
      <c r="P901" s="10"/>
      <c r="Q901" s="10"/>
      <c r="R901" s="10"/>
      <c r="S901" s="10"/>
      <c r="T901" s="10">
        <v>602310.88</v>
      </c>
      <c r="U901" s="10">
        <v>139607.80000000002</v>
      </c>
      <c r="V901" s="10">
        <v>366850.75000000012</v>
      </c>
      <c r="W901" s="10">
        <v>624324.79</v>
      </c>
      <c r="X901" s="10">
        <v>97191.660000000018</v>
      </c>
      <c r="Y901" s="10">
        <v>70442.430000000008</v>
      </c>
      <c r="Z901" s="10">
        <v>237982.05</v>
      </c>
      <c r="AA901" s="10">
        <v>208579.11</v>
      </c>
      <c r="AB901" s="10">
        <v>95832.12000000001</v>
      </c>
      <c r="AC901" s="10">
        <v>82594.319999999992</v>
      </c>
      <c r="AD901" s="10"/>
      <c r="AE901" s="10">
        <v>450035.84999999992</v>
      </c>
      <c r="AF901" s="10"/>
      <c r="AG901" s="10">
        <v>122142.34000000003</v>
      </c>
      <c r="AH901" s="10">
        <v>421790.69999999995</v>
      </c>
    </row>
    <row r="902" spans="1:34" x14ac:dyDescent="0.25">
      <c r="A902" t="s">
        <v>1205</v>
      </c>
      <c r="B902" t="s">
        <v>608</v>
      </c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>
        <v>629572.59000000008</v>
      </c>
      <c r="W902" s="10">
        <v>421314.19</v>
      </c>
      <c r="X902" s="10">
        <v>188602.78999999998</v>
      </c>
      <c r="Y902" s="10">
        <v>94933.98000000001</v>
      </c>
      <c r="Z902" s="10"/>
      <c r="AA902" s="10">
        <v>103782.85</v>
      </c>
      <c r="AB902" s="10"/>
      <c r="AC902" s="10">
        <v>126858.2</v>
      </c>
      <c r="AD902" s="10">
        <v>87248.35</v>
      </c>
      <c r="AE902" s="10">
        <v>383947.44999999995</v>
      </c>
      <c r="AF902" s="10">
        <v>269722.52999999997</v>
      </c>
      <c r="AG902" s="10">
        <v>285976.50000000006</v>
      </c>
      <c r="AH902" s="10">
        <v>143269.34999999998</v>
      </c>
    </row>
    <row r="903" spans="1:34" x14ac:dyDescent="0.25">
      <c r="A903" t="s">
        <v>1205</v>
      </c>
      <c r="B903" t="s">
        <v>610</v>
      </c>
      <c r="C903" s="10"/>
      <c r="D903" s="10"/>
      <c r="E903" s="10"/>
      <c r="F903" s="10">
        <v>5141.04</v>
      </c>
      <c r="G903" s="10">
        <v>3936.96</v>
      </c>
      <c r="H903" s="10">
        <v>21265.8</v>
      </c>
      <c r="I903" s="10"/>
      <c r="J903" s="10"/>
      <c r="K903" s="10"/>
      <c r="L903" s="10"/>
      <c r="M903" s="10"/>
      <c r="N903" s="10">
        <v>54564.13</v>
      </c>
      <c r="O903" s="10">
        <v>40944.46</v>
      </c>
      <c r="P903" s="10">
        <v>55875.030000000006</v>
      </c>
      <c r="Q903" s="10">
        <v>223454.52000000002</v>
      </c>
      <c r="R903" s="10">
        <v>16321.28</v>
      </c>
      <c r="S903" s="10">
        <v>22692.379999999997</v>
      </c>
      <c r="T903" s="10">
        <v>56291.900000000009</v>
      </c>
      <c r="U903" s="10"/>
      <c r="V903" s="10">
        <v>75525.889999999985</v>
      </c>
      <c r="W903" s="10"/>
      <c r="X903" s="10">
        <v>626027.63000000012</v>
      </c>
      <c r="Y903" s="10">
        <v>258009.34999999998</v>
      </c>
      <c r="Z903" s="10">
        <v>108487.42</v>
      </c>
      <c r="AA903" s="10">
        <v>153630.51</v>
      </c>
      <c r="AB903" s="10">
        <v>52669.450000000004</v>
      </c>
      <c r="AC903" s="10">
        <v>163880.14000000001</v>
      </c>
      <c r="AD903" s="10">
        <v>239137.79999999996</v>
      </c>
      <c r="AE903" s="10">
        <v>30612.29</v>
      </c>
      <c r="AF903" s="10">
        <v>82414.089999999967</v>
      </c>
      <c r="AG903" s="10">
        <v>44287.689999999995</v>
      </c>
      <c r="AH903" s="10"/>
    </row>
    <row r="904" spans="1:34" x14ac:dyDescent="0.25">
      <c r="A904" t="s">
        <v>1205</v>
      </c>
      <c r="B904" t="s">
        <v>633</v>
      </c>
      <c r="C904" s="10"/>
      <c r="D904" s="10"/>
      <c r="E904" s="10">
        <v>13843.05</v>
      </c>
      <c r="F904" s="10"/>
      <c r="G904" s="10">
        <v>63322.94999999999</v>
      </c>
      <c r="H904" s="10">
        <v>55499.569999999992</v>
      </c>
      <c r="I904" s="10">
        <v>27790.04</v>
      </c>
      <c r="J904" s="10">
        <v>11646.32</v>
      </c>
      <c r="K904" s="10">
        <v>20340.98</v>
      </c>
      <c r="L904" s="10">
        <v>49703.020000000004</v>
      </c>
      <c r="M904" s="10"/>
      <c r="N904" s="10">
        <v>38855.39</v>
      </c>
      <c r="O904" s="10">
        <v>32540.489999999998</v>
      </c>
      <c r="P904" s="10">
        <v>16613.830000000002</v>
      </c>
      <c r="Q904" s="10">
        <v>15207.84</v>
      </c>
      <c r="R904" s="10">
        <v>47093.05</v>
      </c>
      <c r="S904" s="10"/>
      <c r="T904" s="10">
        <v>33449.660000000003</v>
      </c>
      <c r="U904" s="10">
        <v>16042.57</v>
      </c>
      <c r="V904" s="10">
        <v>18882.36</v>
      </c>
      <c r="W904" s="10"/>
      <c r="X904" s="10">
        <v>11462.52</v>
      </c>
      <c r="Y904" s="10">
        <v>18137.47</v>
      </c>
      <c r="Z904" s="10"/>
      <c r="AA904" s="10">
        <v>11159</v>
      </c>
      <c r="AB904" s="10"/>
      <c r="AC904" s="10"/>
      <c r="AD904" s="10"/>
      <c r="AE904" s="10"/>
      <c r="AF904" s="10">
        <v>18900</v>
      </c>
      <c r="AG904" s="10">
        <v>25500</v>
      </c>
      <c r="AH904" s="10">
        <v>16200</v>
      </c>
    </row>
    <row r="905" spans="1:34" x14ac:dyDescent="0.25">
      <c r="A905" t="s">
        <v>1205</v>
      </c>
      <c r="B905" t="s">
        <v>611</v>
      </c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>
        <v>23222.989999999998</v>
      </c>
      <c r="Q905" s="10">
        <v>36327.42</v>
      </c>
      <c r="R905" s="10">
        <v>56613.509999999995</v>
      </c>
      <c r="S905" s="10"/>
      <c r="T905" s="10">
        <v>121828.12999999998</v>
      </c>
      <c r="U905" s="10">
        <v>112002.76000000001</v>
      </c>
      <c r="V905" s="10">
        <v>52587.12</v>
      </c>
      <c r="W905" s="10">
        <v>52825.630000000019</v>
      </c>
      <c r="X905" s="10">
        <v>79392.959999999992</v>
      </c>
      <c r="Y905" s="10">
        <v>33785</v>
      </c>
      <c r="Z905" s="10">
        <v>68135.089999999967</v>
      </c>
      <c r="AA905" s="10">
        <v>143598.93999999994</v>
      </c>
      <c r="AB905" s="10">
        <v>53559.83</v>
      </c>
      <c r="AC905" s="10">
        <v>181200.12999999995</v>
      </c>
      <c r="AD905" s="10">
        <v>256193.85000000003</v>
      </c>
      <c r="AE905" s="10">
        <v>122744.65</v>
      </c>
      <c r="AF905" s="10">
        <v>156244.66999999998</v>
      </c>
      <c r="AG905" s="10">
        <v>43832.21</v>
      </c>
      <c r="AH905" s="10">
        <v>101114.11999999998</v>
      </c>
    </row>
    <row r="906" spans="1:34" x14ac:dyDescent="0.25">
      <c r="A906" t="s">
        <v>1205</v>
      </c>
      <c r="B906" t="s">
        <v>1944</v>
      </c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>
        <v>20246.690000000002</v>
      </c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</row>
    <row r="907" spans="1:34" x14ac:dyDescent="0.25">
      <c r="A907" t="s">
        <v>1205</v>
      </c>
      <c r="B907" t="s">
        <v>1945</v>
      </c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>
        <v>105816.40999999999</v>
      </c>
      <c r="S907" s="10"/>
      <c r="T907" s="10">
        <v>14022.959999999997</v>
      </c>
      <c r="U907" s="10">
        <v>874493.84000000008</v>
      </c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</row>
    <row r="908" spans="1:34" x14ac:dyDescent="0.25">
      <c r="A908" t="s">
        <v>1205</v>
      </c>
      <c r="B908" t="s">
        <v>1946</v>
      </c>
      <c r="C908" s="10"/>
      <c r="D908" s="10"/>
      <c r="E908" s="10"/>
      <c r="F908" s="10"/>
      <c r="G908" s="10"/>
      <c r="H908" s="10"/>
      <c r="I908" s="10">
        <v>7223.62</v>
      </c>
      <c r="J908" s="10"/>
      <c r="K908" s="10"/>
      <c r="L908" s="10"/>
      <c r="M908" s="10"/>
      <c r="N908" s="10"/>
      <c r="O908" s="10"/>
      <c r="P908" s="10"/>
      <c r="Q908" s="10"/>
      <c r="R908" s="10">
        <v>4847.38</v>
      </c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</row>
    <row r="909" spans="1:34" x14ac:dyDescent="0.25">
      <c r="A909" t="s">
        <v>1205</v>
      </c>
      <c r="B909" t="s">
        <v>1947</v>
      </c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>
        <v>106840.43999999997</v>
      </c>
      <c r="R909" s="10"/>
      <c r="S909" s="10">
        <v>49166.500000000007</v>
      </c>
      <c r="T909" s="10">
        <v>57444.339999999989</v>
      </c>
      <c r="U909" s="10"/>
      <c r="V909" s="10"/>
      <c r="W909" s="10">
        <v>21018.28</v>
      </c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</row>
    <row r="910" spans="1:34" x14ac:dyDescent="0.25">
      <c r="A910" t="s">
        <v>1205</v>
      </c>
      <c r="B910" t="s">
        <v>612</v>
      </c>
      <c r="C910" s="10">
        <v>20214.140000000003</v>
      </c>
      <c r="D910" s="10">
        <v>41349.629999999997</v>
      </c>
      <c r="E910" s="10">
        <v>10510.76</v>
      </c>
      <c r="F910" s="10"/>
      <c r="G910" s="10"/>
      <c r="H910" s="10">
        <v>429.1</v>
      </c>
      <c r="I910" s="10"/>
      <c r="J910" s="10"/>
      <c r="K910" s="10"/>
      <c r="L910" s="10">
        <v>17375.5</v>
      </c>
      <c r="M910" s="10"/>
      <c r="N910" s="10">
        <v>38600.130000000012</v>
      </c>
      <c r="O910" s="10">
        <v>103648.83000000002</v>
      </c>
      <c r="P910" s="10">
        <v>224689.14999999994</v>
      </c>
      <c r="Q910" s="10">
        <v>855527.5700000003</v>
      </c>
      <c r="R910" s="10">
        <v>219203.64000000004</v>
      </c>
      <c r="S910" s="10">
        <v>336673.49000000011</v>
      </c>
      <c r="T910" s="10">
        <v>269236.93999999994</v>
      </c>
      <c r="U910" s="10">
        <v>214701.67</v>
      </c>
      <c r="V910" s="10">
        <v>98250.77</v>
      </c>
      <c r="W910" s="10"/>
      <c r="X910" s="10">
        <v>107905.42</v>
      </c>
      <c r="Y910" s="10">
        <v>105941.77000000003</v>
      </c>
      <c r="Z910" s="10">
        <v>238829.31</v>
      </c>
      <c r="AA910" s="10"/>
      <c r="AB910" s="10">
        <v>4350.3599999999997</v>
      </c>
      <c r="AC910" s="10">
        <v>4672.63</v>
      </c>
      <c r="AD910" s="10"/>
      <c r="AE910" s="10">
        <v>276766.31999999989</v>
      </c>
      <c r="AF910" s="10">
        <v>33646.36</v>
      </c>
      <c r="AG910" s="10">
        <v>57492.63</v>
      </c>
      <c r="AH910" s="10"/>
    </row>
    <row r="911" spans="1:34" x14ac:dyDescent="0.25">
      <c r="A911" t="s">
        <v>1205</v>
      </c>
      <c r="B911" t="s">
        <v>1948</v>
      </c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>
        <v>62865.919999999998</v>
      </c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</row>
    <row r="912" spans="1:34" x14ac:dyDescent="0.25">
      <c r="A912" t="s">
        <v>1205</v>
      </c>
      <c r="B912" t="s">
        <v>1327</v>
      </c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>
        <v>49206.8</v>
      </c>
      <c r="AE912" s="10"/>
      <c r="AF912" s="10">
        <v>13944.329999999998</v>
      </c>
      <c r="AG912" s="10">
        <v>37603.589999999997</v>
      </c>
      <c r="AH912" s="10"/>
    </row>
    <row r="913" spans="1:34" x14ac:dyDescent="0.25">
      <c r="A913" t="s">
        <v>1205</v>
      </c>
      <c r="B913" t="s">
        <v>1454</v>
      </c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>
        <v>26769.08</v>
      </c>
      <c r="AG913" s="10"/>
      <c r="AH913" s="10"/>
    </row>
    <row r="914" spans="1:34" x14ac:dyDescent="0.25">
      <c r="A914" t="s">
        <v>1205</v>
      </c>
      <c r="B914" t="s">
        <v>613</v>
      </c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>
        <v>27672.71</v>
      </c>
      <c r="U914" s="10">
        <v>28650.22</v>
      </c>
      <c r="V914" s="10"/>
      <c r="W914" s="10"/>
      <c r="X914" s="10"/>
      <c r="Y914" s="10"/>
      <c r="Z914" s="10"/>
      <c r="AA914" s="10"/>
      <c r="AB914" s="10"/>
      <c r="AC914" s="10">
        <v>35677.840000000004</v>
      </c>
      <c r="AD914" s="10"/>
      <c r="AE914" s="10"/>
      <c r="AF914" s="10"/>
      <c r="AG914" s="10"/>
      <c r="AH914" s="10"/>
    </row>
    <row r="915" spans="1:34" x14ac:dyDescent="0.25">
      <c r="A915" t="s">
        <v>1205</v>
      </c>
      <c r="B915" t="s">
        <v>614</v>
      </c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>
        <v>36206.530000000006</v>
      </c>
      <c r="T915" s="10"/>
      <c r="U915" s="10">
        <v>2904.87</v>
      </c>
      <c r="V915" s="10"/>
      <c r="W915" s="10"/>
      <c r="X915" s="10"/>
      <c r="Y915" s="10"/>
      <c r="Z915" s="10"/>
      <c r="AA915" s="10"/>
      <c r="AB915" s="10">
        <v>50716</v>
      </c>
      <c r="AC915" s="10">
        <v>313489.52999999997</v>
      </c>
      <c r="AD915" s="10">
        <v>79663.100000000006</v>
      </c>
      <c r="AE915" s="10">
        <v>217800.25</v>
      </c>
      <c r="AF915" s="10">
        <v>539211.6100000001</v>
      </c>
      <c r="AG915" s="10">
        <v>87933.6</v>
      </c>
      <c r="AH915" s="10"/>
    </row>
    <row r="916" spans="1:34" x14ac:dyDescent="0.25">
      <c r="A916" t="s">
        <v>1205</v>
      </c>
      <c r="B916" t="s">
        <v>1949</v>
      </c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>
        <v>3845.8800000000006</v>
      </c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</row>
    <row r="917" spans="1:34" x14ac:dyDescent="0.25">
      <c r="A917" t="s">
        <v>1205</v>
      </c>
      <c r="B917" t="s">
        <v>615</v>
      </c>
      <c r="C917" s="10">
        <v>75601.97</v>
      </c>
      <c r="D917" s="10"/>
      <c r="E917" s="10">
        <v>22623.649999999994</v>
      </c>
      <c r="F917" s="10">
        <v>23017.019999999997</v>
      </c>
      <c r="G917" s="10"/>
      <c r="H917" s="10">
        <v>32291.460000000003</v>
      </c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>
        <v>21649.78</v>
      </c>
      <c r="U917" s="10">
        <v>42164.72</v>
      </c>
      <c r="V917" s="10">
        <v>42578.700000000004</v>
      </c>
      <c r="W917" s="10">
        <v>27093.460000000003</v>
      </c>
      <c r="X917" s="10"/>
      <c r="Y917" s="10"/>
      <c r="Z917" s="10"/>
      <c r="AA917" s="10"/>
      <c r="AB917" s="10"/>
      <c r="AC917" s="10"/>
      <c r="AD917" s="10"/>
      <c r="AE917" s="10">
        <v>31156.940000000006</v>
      </c>
      <c r="AF917" s="10"/>
      <c r="AG917" s="10">
        <v>35290.94</v>
      </c>
      <c r="AH917" s="10"/>
    </row>
    <row r="918" spans="1:34" x14ac:dyDescent="0.25">
      <c r="A918" t="s">
        <v>1277</v>
      </c>
      <c r="B918" t="s">
        <v>1562</v>
      </c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>
        <v>247836</v>
      </c>
    </row>
    <row r="919" spans="1:34" x14ac:dyDescent="0.25">
      <c r="A919" t="s">
        <v>1277</v>
      </c>
      <c r="B919" t="s">
        <v>1950</v>
      </c>
      <c r="C919" s="10"/>
      <c r="D919" s="10"/>
      <c r="E919" s="10"/>
      <c r="F919" s="10"/>
      <c r="G919" s="10">
        <v>14965.56</v>
      </c>
      <c r="H919" s="10">
        <v>18017.82</v>
      </c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</row>
    <row r="920" spans="1:34" x14ac:dyDescent="0.25">
      <c r="A920" t="s">
        <v>1277</v>
      </c>
      <c r="B920" t="s">
        <v>1329</v>
      </c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>
        <v>84499.510000000024</v>
      </c>
      <c r="AE920" s="10">
        <v>77856.429999999978</v>
      </c>
      <c r="AF920" s="10">
        <v>58857.509999999987</v>
      </c>
      <c r="AG920" s="10"/>
      <c r="AH920" s="10">
        <v>63609.15</v>
      </c>
    </row>
    <row r="921" spans="1:34" x14ac:dyDescent="0.25">
      <c r="A921" t="s">
        <v>1277</v>
      </c>
      <c r="B921" t="s">
        <v>1951</v>
      </c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>
        <v>70467.98</v>
      </c>
      <c r="T921" s="10">
        <v>71195.12</v>
      </c>
      <c r="U921" s="10"/>
      <c r="V921" s="10">
        <v>104734.17999999998</v>
      </c>
      <c r="W921" s="10">
        <v>43661.119999999995</v>
      </c>
      <c r="X921" s="10"/>
      <c r="Y921" s="10">
        <v>40780.160000000003</v>
      </c>
      <c r="Z921" s="10">
        <v>39019.1</v>
      </c>
      <c r="AA921" s="10"/>
      <c r="AB921" s="10"/>
      <c r="AC921" s="10"/>
      <c r="AD921" s="10"/>
      <c r="AE921" s="10"/>
      <c r="AF921" s="10"/>
      <c r="AG921" s="10"/>
      <c r="AH921" s="10"/>
    </row>
    <row r="922" spans="1:34" x14ac:dyDescent="0.25">
      <c r="A922" t="s">
        <v>1277</v>
      </c>
      <c r="B922" t="s">
        <v>1952</v>
      </c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>
        <v>71327.78</v>
      </c>
    </row>
    <row r="923" spans="1:34" x14ac:dyDescent="0.25">
      <c r="A923" t="s">
        <v>1277</v>
      </c>
      <c r="B923" t="s">
        <v>1953</v>
      </c>
      <c r="C923" s="10"/>
      <c r="D923" s="10"/>
      <c r="E923" s="10"/>
      <c r="F923" s="10">
        <v>100896.38</v>
      </c>
      <c r="G923" s="10">
        <v>49798.429999999986</v>
      </c>
      <c r="H923" s="10">
        <v>5414.43</v>
      </c>
      <c r="I923" s="10">
        <v>13372.72</v>
      </c>
      <c r="J923" s="10"/>
      <c r="K923" s="10"/>
      <c r="L923" s="10"/>
      <c r="M923" s="10"/>
      <c r="N923" s="10">
        <v>25914.510000000002</v>
      </c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</row>
    <row r="924" spans="1:34" x14ac:dyDescent="0.25">
      <c r="A924" t="s">
        <v>1277</v>
      </c>
      <c r="B924" t="s">
        <v>1954</v>
      </c>
      <c r="C924" s="10"/>
      <c r="D924" s="10"/>
      <c r="E924" s="10"/>
      <c r="F924" s="10"/>
      <c r="G924" s="10">
        <v>494134.42000000004</v>
      </c>
      <c r="H924" s="10">
        <v>614491.0199999999</v>
      </c>
      <c r="I924" s="10"/>
      <c r="J924" s="10">
        <v>24634.15</v>
      </c>
      <c r="K924" s="10"/>
      <c r="L924" s="10"/>
      <c r="M924" s="10">
        <v>89878.489999999991</v>
      </c>
      <c r="N924" s="10">
        <v>52917.87</v>
      </c>
      <c r="O924" s="10"/>
      <c r="P924" s="10">
        <v>21010.03</v>
      </c>
      <c r="Q924" s="10">
        <v>-30507.660000000003</v>
      </c>
      <c r="R924" s="10">
        <v>68002.22</v>
      </c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</row>
    <row r="925" spans="1:34" x14ac:dyDescent="0.25">
      <c r="A925" t="s">
        <v>1277</v>
      </c>
      <c r="B925" t="s">
        <v>1955</v>
      </c>
      <c r="C925" s="10">
        <v>543004.69999999995</v>
      </c>
      <c r="D925" s="10">
        <v>445887.37000000005</v>
      </c>
      <c r="E925" s="10">
        <v>586463.56999999995</v>
      </c>
      <c r="F925" s="10">
        <v>835514.80999999982</v>
      </c>
      <c r="G925" s="10">
        <v>612927.14999999979</v>
      </c>
      <c r="H925" s="10">
        <v>426813.11000000004</v>
      </c>
      <c r="I925" s="10">
        <v>628128.37</v>
      </c>
      <c r="J925" s="10">
        <v>649713.04999999993</v>
      </c>
      <c r="K925" s="10">
        <v>486674.06000000006</v>
      </c>
      <c r="L925" s="10">
        <v>559379.79999999993</v>
      </c>
      <c r="M925" s="10">
        <v>136272.02000000002</v>
      </c>
      <c r="N925" s="10">
        <v>418317.4499999999</v>
      </c>
      <c r="O925" s="10">
        <v>221045.89999999997</v>
      </c>
      <c r="P925" s="10">
        <v>287884.09999999998</v>
      </c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</row>
    <row r="926" spans="1:34" x14ac:dyDescent="0.25">
      <c r="A926" t="s">
        <v>1277</v>
      </c>
      <c r="B926" t="s">
        <v>687</v>
      </c>
      <c r="C926" s="10">
        <v>1235834.96</v>
      </c>
      <c r="D926" s="10">
        <v>627384.53999999992</v>
      </c>
      <c r="E926" s="10">
        <v>988059.60000000033</v>
      </c>
      <c r="F926" s="10">
        <v>1590333.6199999992</v>
      </c>
      <c r="G926" s="10">
        <v>1390628.3699999999</v>
      </c>
      <c r="H926" s="10">
        <v>3114227.9299999997</v>
      </c>
      <c r="I926" s="10">
        <v>1171623.56</v>
      </c>
      <c r="J926" s="10">
        <v>3546679.7299999995</v>
      </c>
      <c r="K926" s="10">
        <v>2844033.9499999988</v>
      </c>
      <c r="L926" s="10">
        <v>1507924.8000000003</v>
      </c>
      <c r="M926" s="10">
        <v>1954169.7800000003</v>
      </c>
      <c r="N926" s="10">
        <v>1757853.62</v>
      </c>
      <c r="O926" s="10">
        <v>2228087.5000000009</v>
      </c>
      <c r="P926" s="10">
        <v>2354996.9999999995</v>
      </c>
      <c r="Q926" s="10">
        <v>1120909.02</v>
      </c>
      <c r="R926" s="10">
        <v>1829083.6000000003</v>
      </c>
      <c r="S926" s="10">
        <v>2300229.3199999994</v>
      </c>
      <c r="T926" s="10">
        <v>2943196.39</v>
      </c>
      <c r="U926" s="10">
        <v>3110737.9799999995</v>
      </c>
      <c r="V926" s="10">
        <v>1816781.9699999995</v>
      </c>
      <c r="W926" s="10">
        <v>2114392.4699999993</v>
      </c>
      <c r="X926" s="10">
        <v>1567390.2099999988</v>
      </c>
      <c r="Y926" s="10">
        <v>1832936.1699999992</v>
      </c>
      <c r="Z926" s="10">
        <v>1907656.0199999998</v>
      </c>
      <c r="AA926" s="10">
        <v>1181576.1800000002</v>
      </c>
      <c r="AB926" s="10">
        <v>1079430.76</v>
      </c>
      <c r="AC926" s="10">
        <v>1609127.7400000002</v>
      </c>
      <c r="AD926" s="10">
        <v>2066096.2699999998</v>
      </c>
      <c r="AE926" s="10">
        <v>1602324.3099999994</v>
      </c>
      <c r="AF926" s="10">
        <v>2403740.3199999994</v>
      </c>
      <c r="AG926" s="10">
        <v>1376290.3499999996</v>
      </c>
      <c r="AH926" s="10">
        <v>1741396.4200000004</v>
      </c>
    </row>
    <row r="927" spans="1:34" x14ac:dyDescent="0.25">
      <c r="A927" t="s">
        <v>1277</v>
      </c>
      <c r="B927" t="s">
        <v>688</v>
      </c>
      <c r="C927" s="10">
        <v>270773.25999999995</v>
      </c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>
        <v>110431.25000000001</v>
      </c>
      <c r="Q927" s="10"/>
      <c r="R927" s="10"/>
      <c r="S927" s="10"/>
      <c r="T927" s="10"/>
      <c r="U927" s="10">
        <v>160349.28000000003</v>
      </c>
      <c r="V927" s="10"/>
      <c r="W927" s="10"/>
      <c r="X927" s="10"/>
      <c r="Y927" s="10"/>
      <c r="Z927" s="10"/>
      <c r="AA927" s="10"/>
      <c r="AB927" s="10"/>
      <c r="AC927" s="10"/>
      <c r="AD927" s="10"/>
      <c r="AE927" s="10">
        <v>175659.99999999997</v>
      </c>
      <c r="AF927" s="10"/>
      <c r="AG927" s="10"/>
      <c r="AH927" s="10"/>
    </row>
    <row r="928" spans="1:34" x14ac:dyDescent="0.25">
      <c r="A928" t="s">
        <v>1277</v>
      </c>
      <c r="B928" t="s">
        <v>1279</v>
      </c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>
        <v>24876.41</v>
      </c>
      <c r="AD928" s="10"/>
      <c r="AE928" s="10"/>
      <c r="AF928" s="10"/>
      <c r="AG928" s="10"/>
      <c r="AH928" s="10"/>
    </row>
    <row r="929" spans="1:34" x14ac:dyDescent="0.25">
      <c r="A929" t="s">
        <v>1277</v>
      </c>
      <c r="B929" t="s">
        <v>710</v>
      </c>
      <c r="C929" s="10"/>
      <c r="D929" s="10"/>
      <c r="E929" s="10">
        <v>542301.32000000007</v>
      </c>
      <c r="F929" s="10">
        <v>854294.01000000024</v>
      </c>
      <c r="G929" s="10">
        <v>951230.04999999958</v>
      </c>
      <c r="H929" s="10">
        <v>742705.14000000048</v>
      </c>
      <c r="I929" s="10">
        <v>1094029.4999999995</v>
      </c>
      <c r="J929" s="10">
        <v>451479.93999999983</v>
      </c>
      <c r="K929" s="10">
        <v>870217.7499999993</v>
      </c>
      <c r="L929" s="10">
        <v>599171.96999999974</v>
      </c>
      <c r="M929" s="10">
        <v>505084.31999999983</v>
      </c>
      <c r="N929" s="10">
        <v>540819.10999999987</v>
      </c>
      <c r="O929" s="10">
        <v>128296.84</v>
      </c>
      <c r="P929" s="10">
        <v>283249.40000000008</v>
      </c>
      <c r="Q929" s="10">
        <v>406082.77</v>
      </c>
      <c r="R929" s="10"/>
      <c r="S929" s="10"/>
      <c r="T929" s="10">
        <v>122306.37</v>
      </c>
      <c r="U929" s="10">
        <v>122310.36000000002</v>
      </c>
      <c r="V929" s="10">
        <v>240218.38999999998</v>
      </c>
      <c r="W929" s="10">
        <v>121811.23</v>
      </c>
      <c r="X929" s="10">
        <v>133928.46</v>
      </c>
      <c r="Y929" s="10">
        <v>280439.39999999997</v>
      </c>
      <c r="Z929" s="10">
        <v>145484.44999999998</v>
      </c>
      <c r="AA929" s="10">
        <v>362153.79999999993</v>
      </c>
      <c r="AB929" s="10">
        <v>181081.83</v>
      </c>
      <c r="AC929" s="10">
        <v>131836.69</v>
      </c>
      <c r="AD929" s="10">
        <v>148222.34</v>
      </c>
      <c r="AE929" s="10"/>
      <c r="AF929" s="10">
        <v>82628.34</v>
      </c>
      <c r="AG929" s="10">
        <v>175700</v>
      </c>
      <c r="AH929" s="10">
        <v>115600</v>
      </c>
    </row>
    <row r="930" spans="1:34" x14ac:dyDescent="0.25">
      <c r="A930" t="s">
        <v>1277</v>
      </c>
      <c r="B930" t="s">
        <v>664</v>
      </c>
      <c r="C930" s="10"/>
      <c r="D930" s="10"/>
      <c r="E930" s="10"/>
      <c r="F930" s="10"/>
      <c r="G930" s="10"/>
      <c r="H930" s="10"/>
      <c r="I930" s="10">
        <v>57561.41</v>
      </c>
      <c r="J930" s="10">
        <v>199813.27</v>
      </c>
      <c r="K930" s="10">
        <v>495449.59</v>
      </c>
      <c r="L930" s="10">
        <v>179043.3</v>
      </c>
      <c r="M930" s="10"/>
      <c r="N930" s="10">
        <v>35730.9</v>
      </c>
      <c r="O930" s="10">
        <v>217918.63000000003</v>
      </c>
      <c r="P930" s="10">
        <v>141625.79999999999</v>
      </c>
      <c r="Q930" s="10">
        <v>90590.080000000002</v>
      </c>
      <c r="R930" s="10">
        <v>85821.389999999985</v>
      </c>
      <c r="S930" s="10">
        <v>148242.32</v>
      </c>
      <c r="T930" s="10">
        <v>90565.72</v>
      </c>
      <c r="U930" s="10">
        <v>102177.43</v>
      </c>
      <c r="V930" s="10">
        <v>65287.96</v>
      </c>
      <c r="W930" s="10">
        <v>122237.49</v>
      </c>
      <c r="X930" s="10">
        <v>17668.439999999999</v>
      </c>
      <c r="Y930" s="10">
        <v>80693.01999999999</v>
      </c>
      <c r="Z930" s="10">
        <v>78579.100000000006</v>
      </c>
      <c r="AA930" s="10">
        <v>110836.24</v>
      </c>
      <c r="AB930" s="10">
        <v>105148.21999999999</v>
      </c>
      <c r="AC930" s="10">
        <v>159053.01</v>
      </c>
      <c r="AD930" s="10">
        <v>154607.52000000002</v>
      </c>
      <c r="AE930" s="10">
        <v>149902.02000000002</v>
      </c>
      <c r="AF930" s="10">
        <v>373923.44</v>
      </c>
      <c r="AG930" s="10">
        <v>63289.079999999994</v>
      </c>
      <c r="AH930" s="10">
        <v>248724.24000000005</v>
      </c>
    </row>
    <row r="931" spans="1:34" x14ac:dyDescent="0.25">
      <c r="A931" t="s">
        <v>1277</v>
      </c>
      <c r="B931" t="s">
        <v>1956</v>
      </c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>
        <v>7836.8400000000011</v>
      </c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</row>
    <row r="932" spans="1:34" x14ac:dyDescent="0.25">
      <c r="A932" t="s">
        <v>1277</v>
      </c>
      <c r="B932" t="s">
        <v>1957</v>
      </c>
      <c r="C932" s="10"/>
      <c r="D932" s="10"/>
      <c r="E932" s="10"/>
      <c r="F932" s="10"/>
      <c r="G932" s="10">
        <v>109104.27999999996</v>
      </c>
      <c r="H932" s="10">
        <v>91408.599999999991</v>
      </c>
      <c r="I932" s="10">
        <v>63021.299999999996</v>
      </c>
      <c r="J932" s="10">
        <v>31318.26</v>
      </c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>
        <v>55931.61</v>
      </c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</row>
    <row r="933" spans="1:34" x14ac:dyDescent="0.25">
      <c r="A933" t="s">
        <v>1277</v>
      </c>
      <c r="B933" t="s">
        <v>1387</v>
      </c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>
        <v>16871.63</v>
      </c>
      <c r="AF933" s="10">
        <v>148978.53999999995</v>
      </c>
      <c r="AG933" s="10"/>
      <c r="AH933" s="10">
        <v>317112.05000000005</v>
      </c>
    </row>
    <row r="934" spans="1:34" x14ac:dyDescent="0.25">
      <c r="A934" t="s">
        <v>1277</v>
      </c>
      <c r="B934" t="s">
        <v>1958</v>
      </c>
      <c r="C934" s="10"/>
      <c r="D934" s="10"/>
      <c r="E934" s="10">
        <v>37896.119999999995</v>
      </c>
      <c r="F934" s="10">
        <v>43019.11</v>
      </c>
      <c r="G934" s="10">
        <v>83230.539999999994</v>
      </c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</row>
    <row r="935" spans="1:34" x14ac:dyDescent="0.25">
      <c r="A935" t="s">
        <v>1277</v>
      </c>
      <c r="B935" t="s">
        <v>711</v>
      </c>
      <c r="C935" s="10"/>
      <c r="D935" s="10"/>
      <c r="E935" s="10"/>
      <c r="F935" s="10">
        <v>140611.27999999997</v>
      </c>
      <c r="G935" s="10"/>
      <c r="H935" s="10"/>
      <c r="I935" s="10"/>
      <c r="J935" s="10"/>
      <c r="K935" s="10"/>
      <c r="L935" s="10">
        <v>173668.87000000002</v>
      </c>
      <c r="M935" s="10"/>
      <c r="N935" s="10"/>
      <c r="O935" s="10"/>
      <c r="P935" s="10"/>
      <c r="Q935" s="10"/>
      <c r="R935" s="10"/>
      <c r="S935" s="10"/>
      <c r="T935" s="10">
        <v>137306.68000000002</v>
      </c>
      <c r="U935" s="10"/>
      <c r="V935" s="10">
        <v>108537.20999999996</v>
      </c>
      <c r="W935" s="10"/>
      <c r="X935" s="10"/>
      <c r="Y935" s="10"/>
      <c r="Z935" s="10"/>
      <c r="AA935" s="10"/>
      <c r="AB935" s="10">
        <v>139166.33000000002</v>
      </c>
      <c r="AC935" s="10"/>
      <c r="AD935" s="10"/>
      <c r="AE935" s="10"/>
      <c r="AF935" s="10">
        <v>103698.66000000002</v>
      </c>
      <c r="AG935" s="10"/>
      <c r="AH935" s="10">
        <v>118509.85999999999</v>
      </c>
    </row>
    <row r="936" spans="1:34" x14ac:dyDescent="0.25">
      <c r="A936" t="s">
        <v>1277</v>
      </c>
      <c r="B936" t="s">
        <v>1223</v>
      </c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>
        <v>3999.09</v>
      </c>
      <c r="AC936" s="10">
        <v>98519.27</v>
      </c>
      <c r="AD936" s="10"/>
      <c r="AE936" s="10"/>
      <c r="AF936" s="10">
        <v>124203.98000000001</v>
      </c>
      <c r="AG936" s="10">
        <v>37944</v>
      </c>
      <c r="AH936" s="10">
        <v>111342.26999999999</v>
      </c>
    </row>
    <row r="937" spans="1:34" x14ac:dyDescent="0.25">
      <c r="A937" t="s">
        <v>1277</v>
      </c>
      <c r="B937" t="s">
        <v>1959</v>
      </c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>
        <v>317277.42</v>
      </c>
      <c r="X937" s="10"/>
      <c r="Y937" s="10"/>
      <c r="Z937" s="10">
        <v>162694.93</v>
      </c>
      <c r="AA937" s="10"/>
      <c r="AB937" s="10"/>
      <c r="AC937" s="10"/>
      <c r="AD937" s="10"/>
      <c r="AE937" s="10"/>
      <c r="AF937" s="10"/>
      <c r="AG937" s="10"/>
      <c r="AH937" s="10"/>
    </row>
    <row r="938" spans="1:34" x14ac:dyDescent="0.25">
      <c r="A938" t="s">
        <v>1277</v>
      </c>
      <c r="B938" t="s">
        <v>1960</v>
      </c>
      <c r="C938" s="10"/>
      <c r="D938" s="10"/>
      <c r="E938" s="10"/>
      <c r="F938" s="10"/>
      <c r="G938" s="10"/>
      <c r="H938" s="10"/>
      <c r="I938" s="10"/>
      <c r="J938" s="10"/>
      <c r="K938" s="10"/>
      <c r="L938" s="10">
        <v>129511.48000000003</v>
      </c>
      <c r="M938" s="10"/>
      <c r="N938" s="10"/>
      <c r="O938" s="10"/>
      <c r="P938" s="10">
        <v>237371.47000000003</v>
      </c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</row>
    <row r="939" spans="1:34" x14ac:dyDescent="0.25">
      <c r="A939" t="s">
        <v>1277</v>
      </c>
      <c r="B939" t="s">
        <v>1497</v>
      </c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>
        <v>40731.5</v>
      </c>
      <c r="AH939" s="10"/>
    </row>
    <row r="940" spans="1:34" x14ac:dyDescent="0.25">
      <c r="A940" t="s">
        <v>1277</v>
      </c>
      <c r="B940" t="s">
        <v>1961</v>
      </c>
      <c r="C940" s="10"/>
      <c r="D940" s="10">
        <v>56263.619999999995</v>
      </c>
      <c r="E940" s="10"/>
      <c r="F940" s="10"/>
      <c r="G940" s="10">
        <v>23361.31</v>
      </c>
      <c r="H940" s="10"/>
      <c r="I940" s="10">
        <v>16411.62</v>
      </c>
      <c r="J940" s="10">
        <v>19100.34</v>
      </c>
      <c r="K940" s="10">
        <v>37451.440000000002</v>
      </c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</row>
    <row r="941" spans="1:34" x14ac:dyDescent="0.25">
      <c r="A941" t="s">
        <v>1277</v>
      </c>
      <c r="B941" t="s">
        <v>1962</v>
      </c>
      <c r="C941" s="10"/>
      <c r="D941" s="10"/>
      <c r="E941" s="10"/>
      <c r="F941" s="10"/>
      <c r="G941" s="10"/>
      <c r="H941" s="10">
        <v>457823.1</v>
      </c>
      <c r="I941" s="10">
        <v>23412.77</v>
      </c>
      <c r="J941" s="10">
        <v>424988.86000000004</v>
      </c>
      <c r="K941" s="10">
        <v>325083.59000000003</v>
      </c>
      <c r="L941" s="10">
        <v>352854.22999999992</v>
      </c>
      <c r="M941" s="10">
        <v>292722.97000000003</v>
      </c>
      <c r="N941" s="10"/>
      <c r="O941" s="10">
        <v>114289.13999999997</v>
      </c>
      <c r="P941" s="10">
        <v>200044.93</v>
      </c>
      <c r="Q941" s="10"/>
      <c r="R941" s="10">
        <v>317496.19999999995</v>
      </c>
      <c r="S941" s="10">
        <v>205981.66</v>
      </c>
      <c r="T941" s="10">
        <v>191757.55000000002</v>
      </c>
      <c r="U941" s="10"/>
      <c r="V941" s="10">
        <v>97605.59</v>
      </c>
      <c r="W941" s="10">
        <v>46178.12</v>
      </c>
      <c r="X941" s="10">
        <v>140796.42000000001</v>
      </c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</row>
    <row r="942" spans="1:34" x14ac:dyDescent="0.25">
      <c r="A942" t="s">
        <v>1277</v>
      </c>
      <c r="B942" t="s">
        <v>712</v>
      </c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>
        <v>44424.61</v>
      </c>
      <c r="S942" s="10">
        <v>36705.31</v>
      </c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>
        <v>30973.46</v>
      </c>
      <c r="AF942" s="10"/>
      <c r="AG942" s="10"/>
      <c r="AH942" s="10"/>
    </row>
    <row r="943" spans="1:34" x14ac:dyDescent="0.25">
      <c r="A943" t="s">
        <v>1277</v>
      </c>
      <c r="B943" t="s">
        <v>1963</v>
      </c>
      <c r="C943" s="10"/>
      <c r="D943" s="10"/>
      <c r="E943" s="10"/>
      <c r="F943" s="10"/>
      <c r="G943" s="10"/>
      <c r="H943" s="10">
        <v>26188.639999999999</v>
      </c>
      <c r="I943" s="10">
        <v>18188.2</v>
      </c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>
        <v>59964.01</v>
      </c>
    </row>
    <row r="944" spans="1:34" x14ac:dyDescent="0.25">
      <c r="A944" t="s">
        <v>1277</v>
      </c>
      <c r="B944" t="s">
        <v>1964</v>
      </c>
      <c r="C944" s="10"/>
      <c r="D944" s="10"/>
      <c r="E944" s="10"/>
      <c r="F944" s="10"/>
      <c r="G944" s="10">
        <v>14093.03</v>
      </c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</row>
    <row r="945" spans="1:34" x14ac:dyDescent="0.25">
      <c r="A945" t="s">
        <v>1277</v>
      </c>
      <c r="B945" t="s">
        <v>1965</v>
      </c>
      <c r="C945" s="10"/>
      <c r="D945" s="10"/>
      <c r="E945" s="10"/>
      <c r="F945" s="10">
        <v>97703.29</v>
      </c>
      <c r="G945" s="10">
        <v>16075.73</v>
      </c>
      <c r="H945" s="10">
        <v>110906.14000000001</v>
      </c>
      <c r="I945" s="10">
        <v>5880.9</v>
      </c>
      <c r="J945" s="10"/>
      <c r="K945" s="10"/>
      <c r="L945" s="10"/>
      <c r="M945" s="10">
        <v>23670.44</v>
      </c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</row>
    <row r="946" spans="1:34" x14ac:dyDescent="0.25">
      <c r="A946" t="s">
        <v>1277</v>
      </c>
      <c r="B946" t="s">
        <v>713</v>
      </c>
      <c r="C946" s="10">
        <v>310020.95999999996</v>
      </c>
      <c r="D946" s="10"/>
      <c r="E946" s="10">
        <v>565640.0399999998</v>
      </c>
      <c r="F946" s="10">
        <v>179107.55000000002</v>
      </c>
      <c r="G946" s="10">
        <v>324000.28999999992</v>
      </c>
      <c r="H946" s="10">
        <v>817286.29999999912</v>
      </c>
      <c r="I946" s="10">
        <v>379396.4800000001</v>
      </c>
      <c r="J946" s="10">
        <v>588607.82000000018</v>
      </c>
      <c r="K946" s="10">
        <v>482288.08999999985</v>
      </c>
      <c r="L946" s="10">
        <v>401878.66999999981</v>
      </c>
      <c r="M946" s="10">
        <v>235912.73999999993</v>
      </c>
      <c r="N946" s="10">
        <v>321425.42000000004</v>
      </c>
      <c r="O946" s="10">
        <v>237668.26000000007</v>
      </c>
      <c r="P946" s="10">
        <v>176629.67</v>
      </c>
      <c r="Q946" s="10"/>
      <c r="R946" s="10">
        <v>318491.4599999999</v>
      </c>
      <c r="S946" s="10">
        <v>299528.54000000004</v>
      </c>
      <c r="T946" s="10">
        <v>772529.13000000035</v>
      </c>
      <c r="U946" s="10"/>
      <c r="V946" s="10">
        <v>336585.14999999985</v>
      </c>
      <c r="W946" s="10">
        <v>206895.06</v>
      </c>
      <c r="X946" s="10"/>
      <c r="Y946" s="10">
        <v>242644.47</v>
      </c>
      <c r="Z946" s="10"/>
      <c r="AA946" s="10">
        <v>285257.5</v>
      </c>
      <c r="AB946" s="10"/>
      <c r="AC946" s="10"/>
      <c r="AD946" s="10"/>
      <c r="AE946" s="10"/>
      <c r="AF946" s="10"/>
      <c r="AG946" s="10"/>
      <c r="AH946" s="10"/>
    </row>
    <row r="947" spans="1:34" x14ac:dyDescent="0.25">
      <c r="A947" t="s">
        <v>1277</v>
      </c>
      <c r="B947" t="s">
        <v>1966</v>
      </c>
      <c r="C947" s="10"/>
      <c r="D947" s="10">
        <v>32867.840000000004</v>
      </c>
      <c r="E947" s="10"/>
      <c r="F947" s="10">
        <v>64297.909999999996</v>
      </c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</row>
    <row r="948" spans="1:34" x14ac:dyDescent="0.25">
      <c r="A948" t="s">
        <v>1277</v>
      </c>
      <c r="B948" t="s">
        <v>1401</v>
      </c>
      <c r="C948" s="10">
        <v>479092.3</v>
      </c>
      <c r="D948" s="10"/>
      <c r="E948" s="10">
        <v>333360.68999999994</v>
      </c>
      <c r="F948" s="10">
        <v>462449.63000000012</v>
      </c>
      <c r="G948" s="10">
        <v>716704.72</v>
      </c>
      <c r="H948" s="10">
        <v>173950.69999999998</v>
      </c>
      <c r="I948" s="10">
        <v>697971.10000000021</v>
      </c>
      <c r="J948" s="10">
        <v>170526.32</v>
      </c>
      <c r="K948" s="10">
        <v>241817.62000000002</v>
      </c>
      <c r="L948" s="10">
        <v>295816.71999999991</v>
      </c>
      <c r="M948" s="10">
        <v>130225.78000000001</v>
      </c>
      <c r="N948" s="10">
        <v>252839.84</v>
      </c>
      <c r="O948" s="10">
        <v>40635.83</v>
      </c>
      <c r="P948" s="10">
        <v>374808.07</v>
      </c>
      <c r="Q948" s="10"/>
      <c r="R948" s="10">
        <v>433589.43000000011</v>
      </c>
      <c r="S948" s="10"/>
      <c r="T948" s="10">
        <v>634776.12</v>
      </c>
      <c r="U948" s="10"/>
      <c r="V948" s="10">
        <v>335619.86</v>
      </c>
      <c r="W948" s="10">
        <v>21931.94</v>
      </c>
      <c r="X948" s="10">
        <v>619603.06999999995</v>
      </c>
      <c r="Y948" s="10"/>
      <c r="Z948" s="10">
        <v>296902.07</v>
      </c>
      <c r="AA948" s="10"/>
      <c r="AB948" s="10">
        <v>352980.08999999997</v>
      </c>
      <c r="AC948" s="10">
        <v>121628.50999999998</v>
      </c>
      <c r="AD948" s="10">
        <v>967330.60000000009</v>
      </c>
      <c r="AE948" s="10">
        <v>490010.37000000005</v>
      </c>
      <c r="AF948" s="10">
        <v>153689.31</v>
      </c>
      <c r="AG948" s="10">
        <v>171591.71000000005</v>
      </c>
      <c r="AH948" s="10">
        <v>1053436.4700000002</v>
      </c>
    </row>
    <row r="949" spans="1:34" x14ac:dyDescent="0.25">
      <c r="A949" t="s">
        <v>1277</v>
      </c>
      <c r="B949" t="s">
        <v>1967</v>
      </c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>
        <v>55847.040000000001</v>
      </c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</row>
    <row r="950" spans="1:34" x14ac:dyDescent="0.25">
      <c r="A950" t="s">
        <v>1277</v>
      </c>
      <c r="B950" t="s">
        <v>692</v>
      </c>
      <c r="C950" s="10">
        <v>445373.73999999976</v>
      </c>
      <c r="D950" s="10"/>
      <c r="E950" s="10"/>
      <c r="F950" s="10">
        <v>220195.28000000006</v>
      </c>
      <c r="G950" s="10">
        <v>115109.32</v>
      </c>
      <c r="H950" s="10">
        <v>144946.60999999999</v>
      </c>
      <c r="I950" s="10"/>
      <c r="J950" s="10">
        <v>148281.79999999999</v>
      </c>
      <c r="K950" s="10"/>
      <c r="L950" s="10"/>
      <c r="M950" s="10"/>
      <c r="N950" s="10">
        <v>286029.37000000011</v>
      </c>
      <c r="O950" s="10"/>
      <c r="P950" s="10"/>
      <c r="Q950" s="10"/>
      <c r="R950" s="10">
        <v>507194.21999999986</v>
      </c>
      <c r="S950" s="10">
        <v>140371.00999999998</v>
      </c>
      <c r="T950" s="10"/>
      <c r="U950" s="10"/>
      <c r="V950" s="10"/>
      <c r="W950" s="10">
        <v>577077.85000000021</v>
      </c>
      <c r="X950" s="10"/>
      <c r="Y950" s="10"/>
      <c r="Z950" s="10"/>
      <c r="AA950" s="10"/>
      <c r="AB950" s="10">
        <v>318142.15000000008</v>
      </c>
      <c r="AC950" s="10"/>
      <c r="AD950" s="10">
        <v>125796.42999999995</v>
      </c>
      <c r="AE950" s="10"/>
      <c r="AF950" s="10"/>
      <c r="AG950" s="10">
        <v>215042.25000000003</v>
      </c>
      <c r="AH950" s="10"/>
    </row>
    <row r="951" spans="1:34" x14ac:dyDescent="0.25">
      <c r="A951" t="s">
        <v>1277</v>
      </c>
      <c r="B951" t="s">
        <v>714</v>
      </c>
      <c r="C951" s="10"/>
      <c r="D951" s="10"/>
      <c r="E951" s="10">
        <v>62002</v>
      </c>
      <c r="F951" s="10">
        <v>38619.599999999999</v>
      </c>
      <c r="G951" s="10"/>
      <c r="H951" s="10"/>
      <c r="I951" s="10">
        <v>123120</v>
      </c>
      <c r="J951" s="10">
        <v>67287</v>
      </c>
      <c r="K951" s="10">
        <v>447125</v>
      </c>
      <c r="L951" s="10"/>
      <c r="M951" s="10">
        <v>50520</v>
      </c>
      <c r="N951" s="10">
        <v>42984.5</v>
      </c>
      <c r="O951" s="10"/>
      <c r="P951" s="10"/>
      <c r="Q951" s="10">
        <v>366327.2</v>
      </c>
      <c r="R951" s="10">
        <v>2417.23</v>
      </c>
      <c r="S951" s="10">
        <v>666879</v>
      </c>
      <c r="T951" s="10">
        <v>156428.79999999999</v>
      </c>
      <c r="U951" s="10"/>
      <c r="V951" s="10">
        <v>316988.79999999999</v>
      </c>
      <c r="W951" s="10">
        <v>357510</v>
      </c>
      <c r="X951" s="10"/>
      <c r="Y951" s="10">
        <v>273500</v>
      </c>
      <c r="Z951" s="10">
        <v>236600</v>
      </c>
      <c r="AA951" s="10">
        <v>165000</v>
      </c>
      <c r="AB951" s="10">
        <v>558389.19999999995</v>
      </c>
      <c r="AC951" s="10"/>
      <c r="AD951" s="10">
        <v>579140</v>
      </c>
      <c r="AE951" s="10">
        <v>335000</v>
      </c>
      <c r="AF951" s="10"/>
      <c r="AG951" s="10"/>
      <c r="AH951" s="10">
        <v>708000</v>
      </c>
    </row>
    <row r="952" spans="1:34" x14ac:dyDescent="0.25">
      <c r="A952" t="s">
        <v>1277</v>
      </c>
      <c r="B952" t="s">
        <v>693</v>
      </c>
      <c r="C952" s="10"/>
      <c r="D952" s="10"/>
      <c r="E952" s="10"/>
      <c r="F952" s="10"/>
      <c r="G952" s="10">
        <v>190956.82000000004</v>
      </c>
      <c r="H952" s="10"/>
      <c r="I952" s="10"/>
      <c r="J952" s="10">
        <v>312525.35000000003</v>
      </c>
      <c r="K952" s="10"/>
      <c r="L952" s="10"/>
      <c r="M952" s="10">
        <v>209031.91999999998</v>
      </c>
      <c r="N952" s="10"/>
      <c r="O952" s="10"/>
      <c r="P952" s="10"/>
      <c r="Q952" s="10"/>
      <c r="R952" s="10"/>
      <c r="S952" s="10"/>
      <c r="T952" s="10">
        <v>316994.2</v>
      </c>
      <c r="U952" s="10"/>
      <c r="V952" s="10"/>
      <c r="W952" s="10"/>
      <c r="X952" s="10"/>
      <c r="Y952" s="10"/>
      <c r="Z952" s="10">
        <v>261379.1699999999</v>
      </c>
      <c r="AA952" s="10"/>
      <c r="AB952" s="10"/>
      <c r="AC952" s="10"/>
      <c r="AD952" s="10"/>
      <c r="AE952" s="10"/>
      <c r="AF952" s="10"/>
      <c r="AG952" s="10">
        <v>329171.07</v>
      </c>
      <c r="AH952" s="10"/>
    </row>
    <row r="953" spans="1:34" x14ac:dyDescent="0.25">
      <c r="A953" t="s">
        <v>1277</v>
      </c>
      <c r="B953" t="s">
        <v>1332</v>
      </c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>
        <v>9589.5600000000013</v>
      </c>
      <c r="AE953" s="10"/>
      <c r="AF953" s="10"/>
      <c r="AG953" s="10"/>
      <c r="AH953" s="10"/>
    </row>
    <row r="954" spans="1:34" x14ac:dyDescent="0.25">
      <c r="A954" t="s">
        <v>1277</v>
      </c>
      <c r="B954" t="s">
        <v>674</v>
      </c>
      <c r="C954" s="10">
        <v>773420.35000000009</v>
      </c>
      <c r="D954" s="10">
        <v>1008646.09</v>
      </c>
      <c r="E954" s="10">
        <v>293119.35000000003</v>
      </c>
      <c r="F954" s="10">
        <v>267817.81999999995</v>
      </c>
      <c r="G954" s="10">
        <v>387109.68000000005</v>
      </c>
      <c r="H954" s="10">
        <v>547046.39</v>
      </c>
      <c r="I954" s="10">
        <v>492360.79</v>
      </c>
      <c r="J954" s="10">
        <v>1081987.3500000001</v>
      </c>
      <c r="K954" s="10">
        <v>339617.5</v>
      </c>
      <c r="L954" s="10">
        <v>507796.44</v>
      </c>
      <c r="M954" s="10">
        <v>236308.60000000003</v>
      </c>
      <c r="N954" s="10">
        <v>531505.61999999988</v>
      </c>
      <c r="O954" s="10">
        <v>145686.67000000001</v>
      </c>
      <c r="P954" s="10">
        <v>493219.28999999992</v>
      </c>
      <c r="Q954" s="10">
        <v>-38255.379999999997</v>
      </c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>
        <v>-2123019.2899999986</v>
      </c>
      <c r="AD954" s="10">
        <v>-3283.98</v>
      </c>
      <c r="AE954" s="10"/>
      <c r="AF954" s="10">
        <v>-6438.32</v>
      </c>
      <c r="AG954" s="10"/>
      <c r="AH954" s="10"/>
    </row>
    <row r="955" spans="1:34" x14ac:dyDescent="0.25">
      <c r="A955" t="s">
        <v>1277</v>
      </c>
      <c r="B955" t="s">
        <v>675</v>
      </c>
      <c r="C955" s="10"/>
      <c r="D955" s="10"/>
      <c r="E955" s="10"/>
      <c r="F955" s="10"/>
      <c r="G955" s="10"/>
      <c r="H955" s="10">
        <v>28582.2</v>
      </c>
      <c r="I955" s="10"/>
      <c r="J955" s="10"/>
      <c r="K955" s="10"/>
      <c r="L955" s="10"/>
      <c r="M955" s="10">
        <v>29952.720000000001</v>
      </c>
      <c r="N955" s="10"/>
      <c r="O955" s="10"/>
      <c r="P955" s="10"/>
      <c r="Q955" s="10"/>
      <c r="R955" s="10">
        <v>8585.76</v>
      </c>
      <c r="S955" s="10">
        <v>8162.92</v>
      </c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>
        <v>11204.64</v>
      </c>
      <c r="AG955" s="10"/>
      <c r="AH955" s="10"/>
    </row>
    <row r="956" spans="1:34" x14ac:dyDescent="0.25">
      <c r="A956" t="s">
        <v>1277</v>
      </c>
      <c r="B956" t="s">
        <v>1968</v>
      </c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>
        <v>5907.55</v>
      </c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</row>
    <row r="957" spans="1:34" x14ac:dyDescent="0.25">
      <c r="A957" t="s">
        <v>1277</v>
      </c>
      <c r="B957" t="s">
        <v>1969</v>
      </c>
      <c r="C957" s="10"/>
      <c r="D957" s="10"/>
      <c r="E957" s="10"/>
      <c r="F957" s="10"/>
      <c r="G957" s="10"/>
      <c r="H957" s="10"/>
      <c r="I957" s="10">
        <v>228442.82</v>
      </c>
      <c r="J957" s="10">
        <v>702841.37</v>
      </c>
      <c r="K957" s="10">
        <v>636007.08000000007</v>
      </c>
      <c r="L957" s="10"/>
      <c r="M957" s="10"/>
      <c r="N957" s="10"/>
      <c r="O957" s="10"/>
      <c r="P957" s="10"/>
      <c r="Q957" s="10"/>
      <c r="R957" s="10"/>
      <c r="S957" s="10"/>
      <c r="T957" s="10">
        <v>-7007.89</v>
      </c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</row>
    <row r="958" spans="1:34" x14ac:dyDescent="0.25">
      <c r="A958" t="s">
        <v>1277</v>
      </c>
      <c r="B958" t="s">
        <v>1970</v>
      </c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>
        <v>19000</v>
      </c>
      <c r="AF958" s="10"/>
      <c r="AG958" s="10"/>
      <c r="AH958" s="10"/>
    </row>
    <row r="959" spans="1:34" x14ac:dyDescent="0.25">
      <c r="A959" t="s">
        <v>1277</v>
      </c>
      <c r="B959" t="s">
        <v>1971</v>
      </c>
      <c r="C959" s="10"/>
      <c r="D959" s="10"/>
      <c r="E959" s="10"/>
      <c r="F959" s="10"/>
      <c r="G959" s="10"/>
      <c r="H959" s="10">
        <v>50296.670000000006</v>
      </c>
      <c r="I959" s="10"/>
      <c r="J959" s="10">
        <v>52174.310000000005</v>
      </c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</row>
    <row r="960" spans="1:34" x14ac:dyDescent="0.25">
      <c r="A960" t="s">
        <v>1277</v>
      </c>
      <c r="B960" t="s">
        <v>676</v>
      </c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>
        <v>21097.080000000005</v>
      </c>
      <c r="Y960" s="10"/>
      <c r="Z960" s="10"/>
      <c r="AA960" s="10"/>
      <c r="AB960" s="10"/>
      <c r="AC960" s="10"/>
      <c r="AD960" s="10"/>
      <c r="AE960" s="10"/>
      <c r="AF960" s="10"/>
      <c r="AG960" s="10">
        <v>5671.02</v>
      </c>
      <c r="AH960" s="10"/>
    </row>
    <row r="961" spans="1:34" x14ac:dyDescent="0.25">
      <c r="A961" t="s">
        <v>1277</v>
      </c>
      <c r="B961" t="s">
        <v>1400</v>
      </c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>
        <v>282307.95</v>
      </c>
      <c r="AE961" s="10"/>
      <c r="AF961" s="10"/>
      <c r="AG961" s="10">
        <v>37197.06</v>
      </c>
      <c r="AH961" s="10">
        <v>-52536.33</v>
      </c>
    </row>
    <row r="962" spans="1:34" x14ac:dyDescent="0.25">
      <c r="A962" t="s">
        <v>1277</v>
      </c>
      <c r="B962" t="s">
        <v>666</v>
      </c>
      <c r="C962" s="10"/>
      <c r="D962" s="10"/>
      <c r="E962" s="10">
        <v>33787.89</v>
      </c>
      <c r="F962" s="10"/>
      <c r="G962" s="10">
        <v>34241.840000000004</v>
      </c>
      <c r="H962" s="10"/>
      <c r="I962" s="10"/>
      <c r="J962" s="10">
        <v>138890.76999999996</v>
      </c>
      <c r="K962" s="10"/>
      <c r="L962" s="10"/>
      <c r="M962" s="10">
        <v>79763.19</v>
      </c>
      <c r="N962" s="10"/>
      <c r="O962" s="10"/>
      <c r="P962" s="10">
        <v>59830.12000000001</v>
      </c>
      <c r="Q962" s="10"/>
      <c r="R962" s="10">
        <v>65658.17</v>
      </c>
      <c r="S962" s="10"/>
      <c r="T962" s="10"/>
      <c r="U962" s="10"/>
      <c r="V962" s="10">
        <v>24995.59</v>
      </c>
      <c r="W962" s="10"/>
      <c r="X962" s="10"/>
      <c r="Y962" s="10"/>
      <c r="Z962" s="10"/>
      <c r="AA962" s="10"/>
      <c r="AB962" s="10">
        <v>40632.960000000006</v>
      </c>
      <c r="AC962" s="10"/>
      <c r="AD962" s="10"/>
      <c r="AE962" s="10"/>
      <c r="AF962" s="10"/>
      <c r="AG962" s="10">
        <v>8252</v>
      </c>
      <c r="AH962" s="10">
        <v>12255</v>
      </c>
    </row>
    <row r="963" spans="1:34" x14ac:dyDescent="0.25">
      <c r="A963" t="s">
        <v>1277</v>
      </c>
      <c r="B963" t="s">
        <v>667</v>
      </c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>
        <v>192153.40000000008</v>
      </c>
      <c r="S963" s="10"/>
      <c r="T963" s="10"/>
      <c r="U963" s="10">
        <v>80917.840000000011</v>
      </c>
      <c r="V963" s="10">
        <v>39828.349999999991</v>
      </c>
      <c r="W963" s="10"/>
      <c r="X963" s="10">
        <v>161093.94000000006</v>
      </c>
      <c r="Y963" s="10">
        <v>12157.36</v>
      </c>
      <c r="Z963" s="10">
        <v>165545.28</v>
      </c>
      <c r="AA963" s="10"/>
      <c r="AB963" s="10">
        <v>364691.88999999996</v>
      </c>
      <c r="AC963" s="10">
        <v>363141.28000000009</v>
      </c>
      <c r="AD963" s="10">
        <v>491532.31999999995</v>
      </c>
      <c r="AE963" s="10">
        <v>518494.88000000024</v>
      </c>
      <c r="AF963" s="10">
        <v>790212.05999999982</v>
      </c>
      <c r="AG963" s="10">
        <v>428118.64000000007</v>
      </c>
      <c r="AH963" s="10">
        <v>431777.48000000016</v>
      </c>
    </row>
    <row r="964" spans="1:34" x14ac:dyDescent="0.25">
      <c r="A964" t="s">
        <v>1277</v>
      </c>
      <c r="B964" t="s">
        <v>695</v>
      </c>
      <c r="C964" s="10">
        <v>48690.5</v>
      </c>
      <c r="D964" s="10">
        <v>80058.12000000001</v>
      </c>
      <c r="E964" s="10">
        <v>32737.98</v>
      </c>
      <c r="F964" s="10">
        <v>55553.24</v>
      </c>
      <c r="G964" s="10">
        <v>1440.51</v>
      </c>
      <c r="H964" s="10">
        <v>96218.420000000013</v>
      </c>
      <c r="I964" s="10">
        <v>21086.82</v>
      </c>
      <c r="J964" s="10">
        <v>146576.93</v>
      </c>
      <c r="K964" s="10">
        <v>124672.87999999999</v>
      </c>
      <c r="L964" s="10"/>
      <c r="M964" s="10">
        <v>158794.4</v>
      </c>
      <c r="N964" s="10"/>
      <c r="O964" s="10">
        <v>114558.02</v>
      </c>
      <c r="P964" s="10">
        <v>25643.82</v>
      </c>
      <c r="Q964" s="10">
        <v>63389.42</v>
      </c>
      <c r="R964" s="10">
        <v>22254.28</v>
      </c>
      <c r="S964" s="10">
        <v>20516.54</v>
      </c>
      <c r="T964" s="10">
        <v>71612.98</v>
      </c>
      <c r="U964" s="10"/>
      <c r="V964" s="10"/>
      <c r="W964" s="10">
        <v>153943.15</v>
      </c>
      <c r="X964" s="10"/>
      <c r="Y964" s="10">
        <v>125407.53</v>
      </c>
      <c r="Z964" s="10">
        <v>219473.26</v>
      </c>
      <c r="AA964" s="10"/>
      <c r="AB964" s="10">
        <v>159986.59</v>
      </c>
      <c r="AC964" s="10">
        <v>78990.349999999991</v>
      </c>
      <c r="AD964" s="10">
        <v>32496.9</v>
      </c>
      <c r="AE964" s="10">
        <v>6444.19</v>
      </c>
      <c r="AF964" s="10">
        <v>36413.160000000003</v>
      </c>
      <c r="AG964" s="10">
        <v>55220.57</v>
      </c>
      <c r="AH964" s="10">
        <v>109560.16</v>
      </c>
    </row>
    <row r="965" spans="1:34" x14ac:dyDescent="0.25">
      <c r="A965" t="s">
        <v>1277</v>
      </c>
      <c r="B965" t="s">
        <v>1563</v>
      </c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>
        <v>159801.97000000003</v>
      </c>
    </row>
    <row r="966" spans="1:34" x14ac:dyDescent="0.25">
      <c r="A966" t="s">
        <v>1277</v>
      </c>
      <c r="B966" t="s">
        <v>1972</v>
      </c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>
        <v>5641.9</v>
      </c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</row>
    <row r="967" spans="1:34" x14ac:dyDescent="0.25">
      <c r="A967" t="s">
        <v>1277</v>
      </c>
      <c r="B967" t="s">
        <v>1973</v>
      </c>
      <c r="C967" s="10"/>
      <c r="D967" s="10"/>
      <c r="E967" s="10"/>
      <c r="F967" s="10"/>
      <c r="G967" s="10"/>
      <c r="H967" s="10"/>
      <c r="I967" s="10">
        <v>429255.27999999991</v>
      </c>
      <c r="J967" s="10">
        <v>112865.06</v>
      </c>
      <c r="K967" s="10"/>
      <c r="L967" s="10">
        <v>251558.67</v>
      </c>
      <c r="M967" s="10"/>
      <c r="N967" s="10"/>
      <c r="O967" s="10"/>
      <c r="P967" s="10">
        <v>2516.4899999999998</v>
      </c>
      <c r="Q967" s="10"/>
      <c r="R967" s="10"/>
      <c r="S967" s="10"/>
      <c r="T967" s="10"/>
      <c r="U967" s="10">
        <v>2535.8200000000002</v>
      </c>
      <c r="V967" s="10"/>
      <c r="W967" s="10"/>
      <c r="X967" s="10">
        <v>465.41999999999996</v>
      </c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</row>
    <row r="968" spans="1:34" x14ac:dyDescent="0.25">
      <c r="A968" t="s">
        <v>1277</v>
      </c>
      <c r="B968" t="s">
        <v>715</v>
      </c>
      <c r="C968" s="10">
        <v>174850.29</v>
      </c>
      <c r="D968" s="10">
        <v>176663</v>
      </c>
      <c r="E968" s="10">
        <v>155003.56</v>
      </c>
      <c r="F968" s="10">
        <v>218325.42999999996</v>
      </c>
      <c r="G968" s="10">
        <v>418356.45</v>
      </c>
      <c r="H968" s="10">
        <v>189888.57000000004</v>
      </c>
      <c r="I968" s="10">
        <v>179246.65</v>
      </c>
      <c r="J968" s="10">
        <v>508126.60000000003</v>
      </c>
      <c r="K968" s="10">
        <v>250892.36999999988</v>
      </c>
      <c r="L968" s="10">
        <v>176675.59000000005</v>
      </c>
      <c r="M968" s="10">
        <v>454834.75999999989</v>
      </c>
      <c r="N968" s="10">
        <v>424138.65999999992</v>
      </c>
      <c r="O968" s="10">
        <v>258883.44000000009</v>
      </c>
      <c r="P968" s="10"/>
      <c r="Q968" s="10">
        <v>577199.3899999999</v>
      </c>
      <c r="R968" s="10"/>
      <c r="S968" s="10">
        <v>113733.09999999998</v>
      </c>
      <c r="T968" s="10">
        <v>329977.24999999988</v>
      </c>
      <c r="U968" s="10">
        <v>130862.03999999998</v>
      </c>
      <c r="V968" s="10">
        <v>231780.02999999991</v>
      </c>
      <c r="W968" s="10">
        <v>142224.82999999999</v>
      </c>
      <c r="X968" s="10">
        <v>168894.13</v>
      </c>
      <c r="Y968" s="10">
        <v>181050.02999999997</v>
      </c>
      <c r="Z968" s="10">
        <v>72609.229999999967</v>
      </c>
      <c r="AA968" s="10">
        <v>199277.95999999996</v>
      </c>
      <c r="AB968" s="10">
        <v>234099.97000000006</v>
      </c>
      <c r="AC968" s="10">
        <v>424509.68</v>
      </c>
      <c r="AD968" s="10"/>
      <c r="AE968" s="10">
        <v>501882.23</v>
      </c>
      <c r="AF968" s="10">
        <v>346922.17</v>
      </c>
      <c r="AG968" s="10">
        <v>197583.37</v>
      </c>
      <c r="AH968" s="10">
        <v>181676.09</v>
      </c>
    </row>
    <row r="969" spans="1:34" x14ac:dyDescent="0.25">
      <c r="A969" t="s">
        <v>1277</v>
      </c>
      <c r="B969" t="s">
        <v>1278</v>
      </c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>
        <v>60106.51</v>
      </c>
      <c r="AD969" s="10"/>
      <c r="AE969" s="10"/>
      <c r="AF969" s="10"/>
      <c r="AG969" s="10"/>
      <c r="AH969" s="10"/>
    </row>
    <row r="970" spans="1:34" x14ac:dyDescent="0.25">
      <c r="A970" t="s">
        <v>1277</v>
      </c>
      <c r="B970" t="s">
        <v>697</v>
      </c>
      <c r="C970" s="10"/>
      <c r="D970" s="10"/>
      <c r="E970" s="10"/>
      <c r="F970" s="10"/>
      <c r="G970" s="10"/>
      <c r="H970" s="10"/>
      <c r="I970" s="10"/>
      <c r="J970" s="10">
        <v>238891.46000000002</v>
      </c>
      <c r="K970" s="10">
        <v>98605.94</v>
      </c>
      <c r="L970" s="10">
        <v>99228.73000000001</v>
      </c>
      <c r="M970" s="10">
        <v>174478.25</v>
      </c>
      <c r="N970" s="10"/>
      <c r="O970" s="10"/>
      <c r="P970" s="10">
        <v>157358.1</v>
      </c>
      <c r="Q970" s="10"/>
      <c r="R970" s="10"/>
      <c r="S970" s="10">
        <v>227485.99</v>
      </c>
      <c r="T970" s="10">
        <v>316458.88</v>
      </c>
      <c r="U970" s="10">
        <v>66392.34</v>
      </c>
      <c r="V970" s="10"/>
      <c r="W970" s="10"/>
      <c r="X970" s="10">
        <v>177170.6</v>
      </c>
      <c r="Y970" s="10"/>
      <c r="Z970" s="10">
        <v>76562.64</v>
      </c>
      <c r="AA970" s="10"/>
      <c r="AB970" s="10"/>
      <c r="AC970" s="10">
        <v>177899.13</v>
      </c>
      <c r="AD970" s="10">
        <v>198172.57</v>
      </c>
      <c r="AE970" s="10">
        <v>114620.39000000001</v>
      </c>
      <c r="AF970" s="10">
        <v>97358.46</v>
      </c>
      <c r="AG970" s="10">
        <v>168137.86999999997</v>
      </c>
      <c r="AH970" s="10"/>
    </row>
    <row r="971" spans="1:34" x14ac:dyDescent="0.25">
      <c r="A971" t="s">
        <v>1277</v>
      </c>
      <c r="B971" t="s">
        <v>1974</v>
      </c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>
        <v>85225.36</v>
      </c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</row>
    <row r="972" spans="1:34" x14ac:dyDescent="0.25">
      <c r="A972" t="s">
        <v>1277</v>
      </c>
      <c r="B972" t="s">
        <v>677</v>
      </c>
      <c r="C972" s="10">
        <v>380407.81</v>
      </c>
      <c r="D972" s="10">
        <v>497551.22999999992</v>
      </c>
      <c r="E972" s="10">
        <v>789456.84000000008</v>
      </c>
      <c r="F972" s="10">
        <v>1309424.08</v>
      </c>
      <c r="G972" s="10">
        <v>968966.19999999972</v>
      </c>
      <c r="H972" s="10">
        <v>1417964.2199999995</v>
      </c>
      <c r="I972" s="10">
        <v>598220.0900000002</v>
      </c>
      <c r="J972" s="10">
        <v>1134582.9700000004</v>
      </c>
      <c r="K972" s="10">
        <v>1040756.3200000006</v>
      </c>
      <c r="L972" s="10">
        <v>491880.92</v>
      </c>
      <c r="M972" s="10">
        <v>324924.82</v>
      </c>
      <c r="N972" s="10">
        <v>847259.4</v>
      </c>
      <c r="O972" s="10">
        <v>313153.07</v>
      </c>
      <c r="P972" s="10">
        <v>1133745.2299999993</v>
      </c>
      <c r="Q972" s="10">
        <v>769083.73</v>
      </c>
      <c r="R972" s="10">
        <v>2190399.1100000008</v>
      </c>
      <c r="S972" s="10">
        <v>1968228.8699999999</v>
      </c>
      <c r="T972" s="10">
        <v>771762.78999999992</v>
      </c>
      <c r="U972" s="10">
        <v>1395202.9999999998</v>
      </c>
      <c r="V972" s="10">
        <v>774283.33999999985</v>
      </c>
      <c r="W972" s="10">
        <v>579435.14000000013</v>
      </c>
      <c r="X972" s="10">
        <v>674473.69999999984</v>
      </c>
      <c r="Y972" s="10">
        <v>1447246.2800000005</v>
      </c>
      <c r="Z972" s="10">
        <v>457170.73999999982</v>
      </c>
      <c r="AA972" s="10">
        <v>1842611.2799999984</v>
      </c>
      <c r="AB972" s="10">
        <v>219486.45999999996</v>
      </c>
      <c r="AC972" s="10"/>
      <c r="AD972" s="10"/>
      <c r="AE972" s="10"/>
      <c r="AF972" s="10"/>
      <c r="AG972" s="10">
        <v>1713002.2300000009</v>
      </c>
      <c r="AH972" s="10">
        <v>1728174.1300000004</v>
      </c>
    </row>
    <row r="973" spans="1:34" x14ac:dyDescent="0.25">
      <c r="A973" t="s">
        <v>1277</v>
      </c>
      <c r="B973" t="s">
        <v>1975</v>
      </c>
      <c r="C973" s="10"/>
      <c r="D973" s="10"/>
      <c r="E973" s="10"/>
      <c r="F973" s="10"/>
      <c r="G973" s="10"/>
      <c r="H973" s="10"/>
      <c r="I973" s="10">
        <v>71168.210000000006</v>
      </c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</row>
    <row r="974" spans="1:34" x14ac:dyDescent="0.25">
      <c r="A974" t="s">
        <v>1277</v>
      </c>
      <c r="B974" t="s">
        <v>698</v>
      </c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>
        <v>230832.74000000002</v>
      </c>
      <c r="AB974" s="10">
        <v>133045.02999999997</v>
      </c>
      <c r="AC974" s="10"/>
      <c r="AD974" s="10">
        <v>91360.030000000013</v>
      </c>
      <c r="AE974" s="10">
        <v>239661.19000000003</v>
      </c>
      <c r="AF974" s="10">
        <v>140042.34999999998</v>
      </c>
      <c r="AG974" s="10">
        <v>187843.67</v>
      </c>
      <c r="AH974" s="10">
        <v>360634.73</v>
      </c>
    </row>
    <row r="975" spans="1:34" x14ac:dyDescent="0.25">
      <c r="A975" t="s">
        <v>1277</v>
      </c>
      <c r="B975" t="s">
        <v>1976</v>
      </c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>
        <v>10875</v>
      </c>
      <c r="AE975" s="10"/>
      <c r="AF975" s="10"/>
      <c r="AG975" s="10"/>
      <c r="AH975" s="10"/>
    </row>
    <row r="976" spans="1:34" x14ac:dyDescent="0.25">
      <c r="A976" t="s">
        <v>1277</v>
      </c>
      <c r="B976" t="s">
        <v>1977</v>
      </c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>
        <v>25892.93</v>
      </c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</row>
    <row r="977" spans="1:34" x14ac:dyDescent="0.25">
      <c r="A977" t="s">
        <v>1277</v>
      </c>
      <c r="B977" t="s">
        <v>679</v>
      </c>
      <c r="C977" s="10">
        <v>44827.43</v>
      </c>
      <c r="D977" s="10">
        <v>51756.909999999996</v>
      </c>
      <c r="E977" s="10"/>
      <c r="F977" s="10">
        <v>112108.11</v>
      </c>
      <c r="G977" s="10"/>
      <c r="H977" s="10">
        <v>65708.3</v>
      </c>
      <c r="I977" s="10">
        <v>139191.6</v>
      </c>
      <c r="J977" s="10">
        <v>104854.8</v>
      </c>
      <c r="K977" s="10">
        <v>142331.6</v>
      </c>
      <c r="L977" s="10">
        <v>71850.2</v>
      </c>
      <c r="M977" s="10">
        <v>69655.399999999994</v>
      </c>
      <c r="N977" s="10">
        <v>305749.05000000005</v>
      </c>
      <c r="O977" s="10">
        <v>75319.399999999994</v>
      </c>
      <c r="P977" s="10">
        <v>37882.01</v>
      </c>
      <c r="Q977" s="10">
        <v>401780.47999999998</v>
      </c>
      <c r="R977" s="10">
        <v>150739.09999999998</v>
      </c>
      <c r="S977" s="10">
        <v>84365.28</v>
      </c>
      <c r="T977" s="10">
        <v>82496.160000000003</v>
      </c>
      <c r="U977" s="10"/>
      <c r="V977" s="10"/>
      <c r="W977" s="10"/>
      <c r="X977" s="10">
        <v>5551.48</v>
      </c>
      <c r="Y977" s="10"/>
      <c r="Z977" s="10">
        <v>80817.990000000005</v>
      </c>
      <c r="AA977" s="10">
        <v>19079.63</v>
      </c>
      <c r="AB977" s="10"/>
      <c r="AC977" s="10"/>
      <c r="AD977" s="10"/>
      <c r="AE977" s="10"/>
      <c r="AF977" s="10">
        <v>205561.61</v>
      </c>
      <c r="AG977" s="10"/>
      <c r="AH977" s="10"/>
    </row>
    <row r="978" spans="1:34" x14ac:dyDescent="0.25">
      <c r="A978" t="s">
        <v>1277</v>
      </c>
      <c r="B978" t="s">
        <v>1978</v>
      </c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>
        <v>6789.6200000000008</v>
      </c>
    </row>
    <row r="979" spans="1:34" x14ac:dyDescent="0.25">
      <c r="A979" t="s">
        <v>1277</v>
      </c>
      <c r="B979" t="s">
        <v>1979</v>
      </c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>
        <v>33689.199999999997</v>
      </c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</row>
    <row r="980" spans="1:34" x14ac:dyDescent="0.25">
      <c r="A980" t="s">
        <v>1277</v>
      </c>
      <c r="B980" t="s">
        <v>1980</v>
      </c>
      <c r="C980" s="10"/>
      <c r="D980" s="10"/>
      <c r="E980" s="10">
        <v>105531.00000000001</v>
      </c>
      <c r="F980" s="10">
        <v>320058.09000000008</v>
      </c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>
        <v>115559.61000000002</v>
      </c>
      <c r="T980" s="10">
        <v>289461.9800000001</v>
      </c>
      <c r="U980" s="10"/>
      <c r="V980" s="10"/>
      <c r="W980" s="10">
        <v>106913.29000000001</v>
      </c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</row>
    <row r="981" spans="1:34" x14ac:dyDescent="0.25">
      <c r="A981" t="s">
        <v>1277</v>
      </c>
      <c r="B981" t="s">
        <v>1981</v>
      </c>
      <c r="C981" s="10">
        <v>20368.21</v>
      </c>
      <c r="D981" s="10"/>
      <c r="E981" s="10">
        <v>31724.32</v>
      </c>
      <c r="F981" s="10">
        <v>71920.069999999978</v>
      </c>
      <c r="G981" s="10"/>
      <c r="H981" s="10"/>
      <c r="I981" s="10">
        <v>36648.269999999997</v>
      </c>
      <c r="J981" s="10">
        <v>32680.63</v>
      </c>
      <c r="K981" s="10"/>
      <c r="L981" s="10"/>
      <c r="M981" s="10"/>
      <c r="N981" s="10">
        <v>-12447.22</v>
      </c>
      <c r="O981" s="10"/>
      <c r="P981" s="10"/>
      <c r="Q981" s="10"/>
      <c r="R981" s="10"/>
      <c r="S981" s="10">
        <v>-2167.27</v>
      </c>
      <c r="T981" s="10">
        <v>31716.969999999998</v>
      </c>
      <c r="U981" s="10"/>
      <c r="V981" s="10"/>
      <c r="W981" s="10">
        <v>65446.079999999987</v>
      </c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</row>
    <row r="982" spans="1:34" x14ac:dyDescent="0.25">
      <c r="A982" t="s">
        <v>1277</v>
      </c>
      <c r="B982" t="s">
        <v>1982</v>
      </c>
      <c r="C982" s="10"/>
      <c r="D982" s="10"/>
      <c r="E982" s="10"/>
      <c r="F982" s="10"/>
      <c r="G982" s="10"/>
      <c r="H982" s="10"/>
      <c r="I982" s="10">
        <v>159510</v>
      </c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</row>
    <row r="983" spans="1:34" x14ac:dyDescent="0.25">
      <c r="A983" t="s">
        <v>1277</v>
      </c>
      <c r="B983" t="s">
        <v>1983</v>
      </c>
      <c r="C983" s="10">
        <v>42715.68</v>
      </c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</row>
    <row r="984" spans="1:34" x14ac:dyDescent="0.25">
      <c r="A984" t="s">
        <v>1277</v>
      </c>
      <c r="B984" t="s">
        <v>1386</v>
      </c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>
        <v>35978.400000000001</v>
      </c>
      <c r="AF984" s="10"/>
      <c r="AG984" s="10"/>
      <c r="AH984" s="10"/>
    </row>
    <row r="985" spans="1:34" x14ac:dyDescent="0.25">
      <c r="A985" t="s">
        <v>1277</v>
      </c>
      <c r="B985" t="s">
        <v>1984</v>
      </c>
      <c r="C985" s="10">
        <v>45193.600000000006</v>
      </c>
      <c r="D985" s="10">
        <v>78636.099999999991</v>
      </c>
      <c r="E985" s="10">
        <v>102064.92</v>
      </c>
      <c r="F985" s="10">
        <v>163801.24</v>
      </c>
      <c r="G985" s="10">
        <v>57277.299999999988</v>
      </c>
      <c r="H985" s="10">
        <v>92964.22</v>
      </c>
      <c r="I985" s="10">
        <v>85778.29</v>
      </c>
      <c r="J985" s="10">
        <v>108430.29999999999</v>
      </c>
      <c r="K985" s="10">
        <v>-437719.37999999995</v>
      </c>
      <c r="L985" s="10"/>
      <c r="M985" s="10"/>
      <c r="N985" s="10">
        <v>-559250.9700000002</v>
      </c>
      <c r="O985" s="10">
        <v>42048.4</v>
      </c>
      <c r="P985" s="10"/>
      <c r="Q985" s="10"/>
      <c r="R985" s="10"/>
      <c r="S985" s="10">
        <v>102172.43999999999</v>
      </c>
      <c r="T985" s="10"/>
      <c r="U985" s="10">
        <v>42126.21</v>
      </c>
      <c r="V985" s="10">
        <v>41538.18</v>
      </c>
      <c r="W985" s="10">
        <v>126762.94999999998</v>
      </c>
      <c r="X985" s="10">
        <v>54907.55000000001</v>
      </c>
      <c r="Y985" s="10">
        <v>50998.13</v>
      </c>
      <c r="Z985" s="10"/>
      <c r="AA985" s="10"/>
      <c r="AB985" s="10"/>
      <c r="AC985" s="10"/>
      <c r="AD985" s="10"/>
      <c r="AE985" s="10"/>
      <c r="AF985" s="10"/>
      <c r="AG985" s="10"/>
      <c r="AH985" s="10"/>
    </row>
    <row r="986" spans="1:34" x14ac:dyDescent="0.25">
      <c r="A986" t="s">
        <v>1277</v>
      </c>
      <c r="B986" t="s">
        <v>1496</v>
      </c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>
        <v>11900</v>
      </c>
      <c r="AG986" s="10">
        <v>11900</v>
      </c>
      <c r="AH986" s="10"/>
    </row>
    <row r="987" spans="1:34" x14ac:dyDescent="0.25">
      <c r="A987" t="s">
        <v>1277</v>
      </c>
      <c r="B987" t="s">
        <v>1985</v>
      </c>
      <c r="C987" s="10"/>
      <c r="D987" s="10"/>
      <c r="E987" s="10"/>
      <c r="F987" s="10"/>
      <c r="G987" s="10"/>
      <c r="H987" s="10"/>
      <c r="I987" s="10"/>
      <c r="J987" s="10"/>
      <c r="K987" s="10">
        <v>16391.28</v>
      </c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</row>
    <row r="988" spans="1:34" x14ac:dyDescent="0.25">
      <c r="A988" t="s">
        <v>1277</v>
      </c>
      <c r="B988" t="s">
        <v>668</v>
      </c>
      <c r="C988" s="10"/>
      <c r="D988" s="10">
        <v>186111.2</v>
      </c>
      <c r="E988" s="10"/>
      <c r="F988" s="10"/>
      <c r="G988" s="10">
        <v>114146.34</v>
      </c>
      <c r="H988" s="10">
        <v>378721.87</v>
      </c>
      <c r="I988" s="10">
        <v>154060.29999999999</v>
      </c>
      <c r="J988" s="10">
        <v>77034.22</v>
      </c>
      <c r="K988" s="10">
        <v>240286.21</v>
      </c>
      <c r="L988" s="10">
        <v>45579.289999999994</v>
      </c>
      <c r="M988" s="10">
        <v>-15262.41</v>
      </c>
      <c r="N988" s="10">
        <v>119567.25</v>
      </c>
      <c r="O988" s="10"/>
      <c r="P988" s="10">
        <v>178481.37999999995</v>
      </c>
      <c r="Q988" s="10">
        <v>229695.46</v>
      </c>
      <c r="R988" s="10">
        <v>23934.59</v>
      </c>
      <c r="S988" s="10">
        <v>194023.27999999997</v>
      </c>
      <c r="T988" s="10"/>
      <c r="U988" s="10"/>
      <c r="V988" s="10">
        <v>120616.5</v>
      </c>
      <c r="W988" s="10"/>
      <c r="X988" s="10">
        <v>111596.48000000001</v>
      </c>
      <c r="Y988" s="10"/>
      <c r="Z988" s="10">
        <v>127912.43999999999</v>
      </c>
      <c r="AA988" s="10"/>
      <c r="AB988" s="10">
        <v>141247.56000000003</v>
      </c>
      <c r="AC988" s="10">
        <v>32194.45</v>
      </c>
      <c r="AD988" s="10">
        <v>105712.57999999999</v>
      </c>
      <c r="AE988" s="10">
        <v>20784.14</v>
      </c>
      <c r="AF988" s="10">
        <v>210100.87</v>
      </c>
      <c r="AG988" s="10"/>
      <c r="AH988" s="10">
        <v>123959.05999999998</v>
      </c>
    </row>
    <row r="989" spans="1:34" x14ac:dyDescent="0.25">
      <c r="A989" t="s">
        <v>1277</v>
      </c>
      <c r="B989" t="s">
        <v>669</v>
      </c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>
        <v>61874.59</v>
      </c>
      <c r="X989" s="10">
        <v>19853.79</v>
      </c>
      <c r="Y989" s="10"/>
      <c r="Z989" s="10">
        <v>34797.339999999997</v>
      </c>
      <c r="AA989" s="10"/>
      <c r="AB989" s="10"/>
      <c r="AC989" s="10"/>
      <c r="AD989" s="10">
        <v>27363.350000000002</v>
      </c>
      <c r="AE989" s="10"/>
      <c r="AF989" s="10"/>
      <c r="AG989" s="10"/>
      <c r="AH989" s="10"/>
    </row>
    <row r="990" spans="1:34" x14ac:dyDescent="0.25">
      <c r="A990" t="s">
        <v>1277</v>
      </c>
      <c r="B990" t="s">
        <v>680</v>
      </c>
      <c r="C990" s="10"/>
      <c r="D990" s="10"/>
      <c r="E990" s="10"/>
      <c r="F990" s="10">
        <v>2475346.6400000011</v>
      </c>
      <c r="G990" s="10">
        <v>-195971.34999999998</v>
      </c>
      <c r="H990" s="10">
        <v>1239590.0799999998</v>
      </c>
      <c r="I990" s="10">
        <v>659758.35000000009</v>
      </c>
      <c r="J990" s="10">
        <v>1387017.600000002</v>
      </c>
      <c r="K990" s="10">
        <v>567876.63000000035</v>
      </c>
      <c r="L990" s="10">
        <v>761860.00000000012</v>
      </c>
      <c r="M990" s="10">
        <v>444556.75999999989</v>
      </c>
      <c r="N990" s="10">
        <v>360998.74000000005</v>
      </c>
      <c r="O990" s="10"/>
      <c r="P990" s="10">
        <v>561290.95000000007</v>
      </c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>
        <v>1057551.5999999996</v>
      </c>
      <c r="AH990" s="10">
        <v>432027.13000000006</v>
      </c>
    </row>
    <row r="991" spans="1:34" x14ac:dyDescent="0.25">
      <c r="A991" t="s">
        <v>1277</v>
      </c>
      <c r="B991" t="s">
        <v>1986</v>
      </c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>
        <v>79679.999999999985</v>
      </c>
    </row>
    <row r="992" spans="1:34" x14ac:dyDescent="0.25">
      <c r="A992" t="s">
        <v>1277</v>
      </c>
      <c r="B992" t="s">
        <v>1987</v>
      </c>
      <c r="C992" s="10"/>
      <c r="D992" s="10"/>
      <c r="E992" s="10"/>
      <c r="F992" s="10"/>
      <c r="G992" s="10"/>
      <c r="H992" s="10"/>
      <c r="I992" s="10">
        <v>37420.47</v>
      </c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</row>
    <row r="993" spans="1:34" x14ac:dyDescent="0.25">
      <c r="A993" t="s">
        <v>1277</v>
      </c>
      <c r="B993" t="s">
        <v>1988</v>
      </c>
      <c r="C993" s="10"/>
      <c r="D993" s="10"/>
      <c r="E993" s="10"/>
      <c r="F993" s="10">
        <v>239514.73999999996</v>
      </c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</row>
    <row r="994" spans="1:34" x14ac:dyDescent="0.25">
      <c r="A994" t="s">
        <v>1277</v>
      </c>
      <c r="B994" t="s">
        <v>699</v>
      </c>
      <c r="C994" s="10"/>
      <c r="D994" s="10">
        <v>156417.87</v>
      </c>
      <c r="E994" s="10"/>
      <c r="F994" s="10"/>
      <c r="G994" s="10">
        <v>634381.72999999986</v>
      </c>
      <c r="H994" s="10">
        <v>110009.48999999999</v>
      </c>
      <c r="I994" s="10">
        <v>418259.70999999996</v>
      </c>
      <c r="J994" s="10">
        <v>336415.06000000006</v>
      </c>
      <c r="K994" s="10">
        <v>330413.52</v>
      </c>
      <c r="L994" s="10">
        <v>492890.94</v>
      </c>
      <c r="M994" s="10">
        <v>334957.67999999993</v>
      </c>
      <c r="N994" s="10">
        <v>244000.48</v>
      </c>
      <c r="O994" s="10">
        <v>112560.32999999999</v>
      </c>
      <c r="P994" s="10"/>
      <c r="Q994" s="10"/>
      <c r="R994" s="10"/>
      <c r="S994" s="10"/>
      <c r="T994" s="10">
        <v>252956.6</v>
      </c>
      <c r="U994" s="10"/>
      <c r="V994" s="10">
        <v>135856.35</v>
      </c>
      <c r="W994" s="10"/>
      <c r="X994" s="10">
        <v>143668.06</v>
      </c>
      <c r="Y994" s="10"/>
      <c r="Z994" s="10"/>
      <c r="AA994" s="10"/>
      <c r="AB994" s="10"/>
      <c r="AC994" s="10"/>
      <c r="AD994" s="10"/>
      <c r="AE994" s="10"/>
      <c r="AF994" s="10">
        <v>88321.81</v>
      </c>
      <c r="AG994" s="10"/>
      <c r="AH994" s="10"/>
    </row>
    <row r="995" spans="1:34" x14ac:dyDescent="0.25">
      <c r="A995" t="s">
        <v>1277</v>
      </c>
      <c r="B995" t="s">
        <v>1989</v>
      </c>
      <c r="C995" s="10">
        <v>82375.140000000014</v>
      </c>
      <c r="D995" s="10"/>
      <c r="E995" s="10">
        <v>109806</v>
      </c>
      <c r="F995" s="10">
        <v>61550.880000000005</v>
      </c>
      <c r="G995" s="10">
        <v>204699.96000000002</v>
      </c>
      <c r="H995" s="10">
        <v>71026.98</v>
      </c>
      <c r="I995" s="10">
        <v>105526.08</v>
      </c>
      <c r="J995" s="10"/>
      <c r="K995" s="10">
        <v>52473.48</v>
      </c>
      <c r="L995" s="10">
        <v>99832.920000000013</v>
      </c>
      <c r="M995" s="10">
        <v>250282.19999999998</v>
      </c>
      <c r="N995" s="10">
        <v>62568.719999999994</v>
      </c>
      <c r="O995" s="10"/>
      <c r="P995" s="10"/>
      <c r="Q995" s="10">
        <v>105494.39999999999</v>
      </c>
      <c r="R995" s="10">
        <v>17537.759999999998</v>
      </c>
      <c r="S995" s="10">
        <v>32757.79</v>
      </c>
      <c r="T995" s="10"/>
      <c r="U995" s="10"/>
      <c r="V995" s="10"/>
      <c r="W995" s="10">
        <v>109976.51999999999</v>
      </c>
      <c r="X995" s="10">
        <v>19292.099999999999</v>
      </c>
      <c r="Y995" s="10">
        <v>61577.279999999999</v>
      </c>
      <c r="Z995" s="10"/>
      <c r="AA995" s="10"/>
      <c r="AB995" s="10"/>
      <c r="AC995" s="10"/>
      <c r="AD995" s="10"/>
      <c r="AE995" s="10"/>
      <c r="AF995" s="10"/>
      <c r="AG995" s="10"/>
      <c r="AH995" s="10"/>
    </row>
    <row r="996" spans="1:34" x14ac:dyDescent="0.25">
      <c r="A996" t="s">
        <v>1277</v>
      </c>
      <c r="B996" t="s">
        <v>1990</v>
      </c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>
        <v>265956.51</v>
      </c>
      <c r="N996" s="10">
        <v>60537.48000000001</v>
      </c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</row>
    <row r="997" spans="1:34" x14ac:dyDescent="0.25">
      <c r="A997" t="s">
        <v>1277</v>
      </c>
      <c r="B997" t="s">
        <v>1991</v>
      </c>
      <c r="C997" s="10"/>
      <c r="D997" s="10"/>
      <c r="E997" s="10"/>
      <c r="F997" s="10"/>
      <c r="G997" s="10"/>
      <c r="H997" s="10"/>
      <c r="I997" s="10"/>
      <c r="J997" s="10"/>
      <c r="K997" s="10">
        <v>355110</v>
      </c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</row>
    <row r="998" spans="1:34" x14ac:dyDescent="0.25">
      <c r="A998" t="s">
        <v>1277</v>
      </c>
      <c r="B998" t="s">
        <v>1992</v>
      </c>
      <c r="C998" s="10"/>
      <c r="D998" s="10">
        <v>45527.840000000004</v>
      </c>
      <c r="E998" s="10">
        <v>37002.22</v>
      </c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</row>
    <row r="999" spans="1:34" x14ac:dyDescent="0.25">
      <c r="A999" t="s">
        <v>1277</v>
      </c>
      <c r="B999" t="s">
        <v>670</v>
      </c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>
        <v>98832.85</v>
      </c>
      <c r="Q999" s="10"/>
      <c r="R999" s="10"/>
      <c r="S999" s="10"/>
      <c r="T999" s="10"/>
      <c r="U999" s="10">
        <v>31329</v>
      </c>
      <c r="V999" s="10"/>
      <c r="W999" s="10">
        <v>114707.03</v>
      </c>
      <c r="X999" s="10">
        <v>186138.49</v>
      </c>
      <c r="Y999" s="10">
        <v>87482.25</v>
      </c>
      <c r="Z999" s="10"/>
      <c r="AA999" s="10"/>
      <c r="AB999" s="10"/>
      <c r="AC999" s="10"/>
      <c r="AD999" s="10"/>
      <c r="AE999" s="10"/>
      <c r="AF999" s="10">
        <v>70590.779999999984</v>
      </c>
      <c r="AG999" s="10"/>
      <c r="AH999" s="10"/>
    </row>
    <row r="1000" spans="1:34" x14ac:dyDescent="0.25">
      <c r="A1000" t="s">
        <v>1277</v>
      </c>
      <c r="B1000" t="s">
        <v>700</v>
      </c>
      <c r="C1000" s="10"/>
      <c r="D1000" s="10">
        <v>182566.13</v>
      </c>
      <c r="E1000" s="10">
        <v>68764.159999999989</v>
      </c>
      <c r="F1000" s="10">
        <v>291128.39999999997</v>
      </c>
      <c r="G1000" s="10">
        <v>175621.58</v>
      </c>
      <c r="H1000" s="10">
        <v>553111.35</v>
      </c>
      <c r="I1000" s="10">
        <v>69760.429999999993</v>
      </c>
      <c r="J1000" s="10">
        <v>98630.91</v>
      </c>
      <c r="K1000" s="10">
        <v>373567.15999999992</v>
      </c>
      <c r="L1000" s="10">
        <v>60031.280000000006</v>
      </c>
      <c r="M1000" s="10">
        <v>137074.56</v>
      </c>
      <c r="N1000" s="10">
        <v>339328.44</v>
      </c>
      <c r="O1000" s="10"/>
      <c r="P1000" s="10">
        <v>1787.2299999999996</v>
      </c>
      <c r="Q1000" s="10">
        <v>88174.66</v>
      </c>
      <c r="R1000" s="10">
        <v>98938.9</v>
      </c>
      <c r="S1000" s="10">
        <v>141464.73000000001</v>
      </c>
      <c r="T1000" s="10">
        <v>466677.75000000006</v>
      </c>
      <c r="U1000" s="10">
        <v>156571.50000000003</v>
      </c>
      <c r="V1000" s="10">
        <v>114342.01</v>
      </c>
      <c r="W1000" s="10">
        <v>218989.15000000002</v>
      </c>
      <c r="X1000" s="10">
        <v>142290.38</v>
      </c>
      <c r="Y1000" s="10">
        <v>376560.13000000018</v>
      </c>
      <c r="Z1000" s="10">
        <v>261339.86</v>
      </c>
      <c r="AA1000" s="10">
        <v>59419.159999999996</v>
      </c>
      <c r="AB1000" s="10">
        <v>43152.950000000004</v>
      </c>
      <c r="AC1000" s="10">
        <v>121470.12000000001</v>
      </c>
      <c r="AD1000" s="10">
        <v>-2994.25</v>
      </c>
      <c r="AE1000" s="10">
        <v>93148.67</v>
      </c>
      <c r="AF1000" s="10">
        <v>190541.85</v>
      </c>
      <c r="AG1000" s="10">
        <v>91727.760000000009</v>
      </c>
      <c r="AH1000" s="10">
        <v>237489.83</v>
      </c>
    </row>
    <row r="1001" spans="1:34" x14ac:dyDescent="0.25">
      <c r="A1001" t="s">
        <v>1277</v>
      </c>
      <c r="B1001" t="s">
        <v>1993</v>
      </c>
      <c r="C1001" s="10"/>
      <c r="D1001" s="10"/>
      <c r="E1001" s="10"/>
      <c r="F1001" s="10">
        <v>30005.110000000008</v>
      </c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>
        <v>36445.300000000003</v>
      </c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</row>
    <row r="1002" spans="1:34" x14ac:dyDescent="0.25">
      <c r="A1002" t="s">
        <v>1277</v>
      </c>
      <c r="B1002" t="s">
        <v>1382</v>
      </c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>
        <v>28583.620000000003</v>
      </c>
      <c r="AF1002" s="10">
        <v>113093.85</v>
      </c>
      <c r="AG1002" s="10"/>
      <c r="AH1002" s="10"/>
    </row>
    <row r="1003" spans="1:34" x14ac:dyDescent="0.25">
      <c r="A1003" t="s">
        <v>1277</v>
      </c>
      <c r="B1003" t="s">
        <v>1383</v>
      </c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>
        <v>136457.5</v>
      </c>
      <c r="AF1003" s="10"/>
      <c r="AG1003" s="10"/>
      <c r="AH1003" s="10"/>
    </row>
    <row r="1004" spans="1:34" x14ac:dyDescent="0.25">
      <c r="A1004" t="s">
        <v>1277</v>
      </c>
      <c r="B1004" t="s">
        <v>1994</v>
      </c>
      <c r="C1004" s="10">
        <v>9785.9500000000007</v>
      </c>
      <c r="D1004" s="10">
        <v>16195.72</v>
      </c>
      <c r="E1004" s="10"/>
      <c r="F1004" s="10">
        <v>16184.5</v>
      </c>
      <c r="G1004" s="10">
        <v>265918.63000000006</v>
      </c>
      <c r="H1004" s="10">
        <v>228557.25000000003</v>
      </c>
      <c r="I1004" s="10">
        <v>123303.15</v>
      </c>
      <c r="J1004" s="10"/>
      <c r="K1004" s="10"/>
      <c r="L1004" s="10">
        <v>131934.63</v>
      </c>
      <c r="M1004" s="10"/>
      <c r="N1004" s="10"/>
      <c r="O1004" s="10"/>
      <c r="P1004" s="10">
        <v>58164.479999999996</v>
      </c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</row>
    <row r="1005" spans="1:34" x14ac:dyDescent="0.25">
      <c r="A1005" t="s">
        <v>1277</v>
      </c>
      <c r="B1005" t="s">
        <v>671</v>
      </c>
      <c r="C1005" s="10"/>
      <c r="D1005" s="10"/>
      <c r="E1005" s="10"/>
      <c r="F1005" s="10"/>
      <c r="G1005" s="10"/>
      <c r="H1005" s="10"/>
      <c r="I1005" s="10"/>
      <c r="J1005" s="10">
        <v>110253.3</v>
      </c>
      <c r="K1005" s="10"/>
      <c r="L1005" s="10"/>
      <c r="M1005" s="10"/>
      <c r="N1005" s="10"/>
      <c r="O1005" s="10"/>
      <c r="P1005" s="10"/>
      <c r="Q1005" s="10"/>
      <c r="R1005" s="10"/>
      <c r="S1005" s="10">
        <v>58359.6</v>
      </c>
      <c r="T1005" s="10"/>
      <c r="U1005" s="10">
        <v>8280</v>
      </c>
      <c r="V1005" s="10">
        <v>20220</v>
      </c>
      <c r="W1005" s="10"/>
      <c r="X1005" s="10"/>
      <c r="Y1005" s="10">
        <v>19841.5</v>
      </c>
      <c r="Z1005" s="10">
        <v>13038.16</v>
      </c>
      <c r="AA1005" s="10">
        <v>16371.6</v>
      </c>
      <c r="AB1005" s="10">
        <v>40922</v>
      </c>
      <c r="AC1005" s="10"/>
      <c r="AD1005" s="10"/>
      <c r="AE1005" s="10">
        <v>31240.93</v>
      </c>
      <c r="AF1005" s="10"/>
      <c r="AG1005" s="10">
        <v>21964.5</v>
      </c>
      <c r="AH1005" s="10"/>
    </row>
    <row r="1006" spans="1:34" x14ac:dyDescent="0.25">
      <c r="A1006" t="s">
        <v>1277</v>
      </c>
      <c r="B1006" t="s">
        <v>1224</v>
      </c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>
        <v>198505.55000000002</v>
      </c>
      <c r="AC1006" s="10"/>
      <c r="AD1006" s="10"/>
      <c r="AE1006" s="10"/>
      <c r="AF1006" s="10"/>
      <c r="AG1006" s="10"/>
      <c r="AH1006" s="10"/>
    </row>
    <row r="1007" spans="1:34" x14ac:dyDescent="0.25">
      <c r="A1007" t="s">
        <v>1277</v>
      </c>
      <c r="B1007" t="s">
        <v>1995</v>
      </c>
      <c r="C1007" s="10"/>
      <c r="D1007" s="10"/>
      <c r="E1007" s="10"/>
      <c r="F1007" s="10">
        <v>65395.179999999986</v>
      </c>
      <c r="G1007" s="10"/>
      <c r="H1007" s="10"/>
      <c r="I1007" s="10">
        <v>41379.55999999999</v>
      </c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</row>
    <row r="1008" spans="1:34" x14ac:dyDescent="0.25">
      <c r="A1008" t="s">
        <v>1277</v>
      </c>
      <c r="B1008" t="s">
        <v>1996</v>
      </c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>
        <v>4954.25</v>
      </c>
      <c r="AC1008" s="10"/>
      <c r="AD1008" s="10"/>
      <c r="AE1008" s="10"/>
      <c r="AF1008" s="10"/>
      <c r="AG1008" s="10"/>
      <c r="AH1008" s="10"/>
    </row>
    <row r="1009" spans="1:34" x14ac:dyDescent="0.25">
      <c r="A1009" t="s">
        <v>1277</v>
      </c>
      <c r="B1009" t="s">
        <v>1997</v>
      </c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>
        <v>70310.89</v>
      </c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>
        <v>50415.979999999996</v>
      </c>
    </row>
    <row r="1010" spans="1:34" x14ac:dyDescent="0.25">
      <c r="A1010" t="s">
        <v>1277</v>
      </c>
      <c r="B1010" t="s">
        <v>684</v>
      </c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>
        <v>16392.09</v>
      </c>
      <c r="S1010" s="10"/>
      <c r="T1010" s="10"/>
      <c r="U1010" s="10">
        <v>16472.72</v>
      </c>
      <c r="V1010" s="10"/>
      <c r="W1010" s="10"/>
      <c r="X1010" s="10"/>
      <c r="Y1010" s="10"/>
      <c r="Z1010" s="10"/>
      <c r="AA1010" s="10">
        <v>13560</v>
      </c>
      <c r="AB1010" s="10"/>
      <c r="AC1010" s="10"/>
      <c r="AD1010" s="10"/>
      <c r="AE1010" s="10"/>
      <c r="AF1010" s="10"/>
      <c r="AG1010" s="10"/>
      <c r="AH1010" s="10"/>
    </row>
    <row r="1011" spans="1:34" x14ac:dyDescent="0.25">
      <c r="A1011" t="s">
        <v>1277</v>
      </c>
      <c r="B1011" t="s">
        <v>717</v>
      </c>
      <c r="C1011" s="10">
        <v>135135.91</v>
      </c>
      <c r="D1011" s="10"/>
      <c r="E1011" s="10">
        <v>211483.49000000002</v>
      </c>
      <c r="F1011" s="10">
        <v>241857.12</v>
      </c>
      <c r="G1011" s="10">
        <v>191591.25000000003</v>
      </c>
      <c r="H1011" s="10">
        <v>212660.99000000002</v>
      </c>
      <c r="I1011" s="10"/>
      <c r="J1011" s="10">
        <v>242263.25</v>
      </c>
      <c r="K1011" s="10">
        <v>224121.91999999998</v>
      </c>
      <c r="L1011" s="10">
        <v>141535.79999999999</v>
      </c>
      <c r="M1011" s="10"/>
      <c r="N1011" s="10"/>
      <c r="O1011" s="10">
        <v>300797.96000000002</v>
      </c>
      <c r="P1011" s="10"/>
      <c r="Q1011" s="10"/>
      <c r="R1011" s="10"/>
      <c r="S1011" s="10">
        <v>296365.44</v>
      </c>
      <c r="T1011" s="10"/>
      <c r="U1011" s="10">
        <v>246390.3</v>
      </c>
      <c r="V1011" s="10"/>
      <c r="W1011" s="10">
        <v>550358.40000000014</v>
      </c>
      <c r="X1011" s="10">
        <v>43194.71</v>
      </c>
      <c r="Y1011" s="10"/>
      <c r="Z1011" s="10">
        <v>117390.37999999999</v>
      </c>
      <c r="AA1011" s="10">
        <v>83970.110000000015</v>
      </c>
      <c r="AB1011" s="10">
        <v>216651.63</v>
      </c>
      <c r="AC1011" s="10"/>
      <c r="AD1011" s="10">
        <v>300786.31</v>
      </c>
      <c r="AE1011" s="10">
        <v>410498.96</v>
      </c>
      <c r="AF1011" s="10">
        <v>139016.67000000004</v>
      </c>
      <c r="AG1011" s="10">
        <v>184972.75999999998</v>
      </c>
      <c r="AH1011" s="10">
        <v>235000.93000000002</v>
      </c>
    </row>
    <row r="1012" spans="1:34" x14ac:dyDescent="0.25">
      <c r="A1012" t="s">
        <v>1277</v>
      </c>
      <c r="B1012" t="s">
        <v>703</v>
      </c>
      <c r="C1012" s="10">
        <v>29389.249999999996</v>
      </c>
      <c r="D1012" s="10">
        <v>17228.509999999998</v>
      </c>
      <c r="E1012" s="10"/>
      <c r="F1012" s="10"/>
      <c r="G1012" s="10">
        <v>69123.47</v>
      </c>
      <c r="H1012" s="10"/>
      <c r="I1012" s="10"/>
      <c r="J1012" s="10">
        <v>23136.07</v>
      </c>
      <c r="K1012" s="10">
        <v>238367.59999999998</v>
      </c>
      <c r="L1012" s="10">
        <v>18623.14</v>
      </c>
      <c r="M1012" s="10">
        <v>12853.31</v>
      </c>
      <c r="N1012" s="10"/>
      <c r="O1012" s="10">
        <v>6462.2800000000007</v>
      </c>
      <c r="P1012" s="10">
        <v>31149.16</v>
      </c>
      <c r="Q1012" s="10">
        <v>123508.38000000002</v>
      </c>
      <c r="R1012" s="10">
        <v>77295.92</v>
      </c>
      <c r="S1012" s="10">
        <v>64246.23000000001</v>
      </c>
      <c r="T1012" s="10">
        <v>14774.979999999998</v>
      </c>
      <c r="U1012" s="10"/>
      <c r="V1012" s="10"/>
      <c r="W1012" s="10"/>
      <c r="X1012" s="10"/>
      <c r="Y1012" s="10">
        <v>6015.52</v>
      </c>
      <c r="Z1012" s="10"/>
      <c r="AA1012" s="10">
        <v>24777.25</v>
      </c>
      <c r="AB1012" s="10">
        <v>35961.58</v>
      </c>
      <c r="AC1012" s="10">
        <v>23948.720000000001</v>
      </c>
      <c r="AD1012" s="10">
        <v>363551.09000000008</v>
      </c>
      <c r="AE1012" s="10">
        <v>95137.300000000017</v>
      </c>
      <c r="AF1012" s="10">
        <v>26804.22</v>
      </c>
      <c r="AG1012" s="10">
        <v>66389.849999999977</v>
      </c>
      <c r="AH1012" s="10">
        <v>26710.059999999998</v>
      </c>
    </row>
    <row r="1013" spans="1:34" x14ac:dyDescent="0.25">
      <c r="A1013" t="s">
        <v>1277</v>
      </c>
      <c r="B1013" t="s">
        <v>718</v>
      </c>
      <c r="C1013" s="10"/>
      <c r="D1013" s="10"/>
      <c r="E1013" s="10"/>
      <c r="F1013" s="10"/>
      <c r="G1013" s="10"/>
      <c r="H1013" s="10">
        <v>112825.05999999998</v>
      </c>
      <c r="I1013" s="10">
        <v>15964.26</v>
      </c>
      <c r="J1013" s="10">
        <v>26114.37</v>
      </c>
      <c r="K1013" s="10">
        <v>238264.96999999991</v>
      </c>
      <c r="L1013" s="10">
        <v>37117.020000000004</v>
      </c>
      <c r="M1013" s="10"/>
      <c r="N1013" s="10">
        <v>35401.15</v>
      </c>
      <c r="O1013" s="10">
        <v>43465.420000000006</v>
      </c>
      <c r="P1013" s="10">
        <v>105203.59</v>
      </c>
      <c r="Q1013" s="10">
        <v>43719</v>
      </c>
      <c r="R1013" s="10"/>
      <c r="S1013" s="10">
        <v>101596.28000000003</v>
      </c>
      <c r="T1013" s="10">
        <v>10806.91</v>
      </c>
      <c r="U1013" s="10">
        <v>22861.320000000003</v>
      </c>
      <c r="V1013" s="10">
        <v>10122.920000000002</v>
      </c>
      <c r="W1013" s="10">
        <v>48330.34</v>
      </c>
      <c r="X1013" s="10">
        <v>18591.830000000002</v>
      </c>
      <c r="Y1013" s="10"/>
      <c r="Z1013" s="10"/>
      <c r="AA1013" s="10">
        <v>50848.77</v>
      </c>
      <c r="AB1013" s="10">
        <v>26727.71</v>
      </c>
      <c r="AC1013" s="10">
        <v>25112.699999999997</v>
      </c>
      <c r="AD1013" s="10"/>
      <c r="AE1013" s="10">
        <v>77126.640000000029</v>
      </c>
      <c r="AF1013" s="10"/>
      <c r="AG1013" s="10">
        <v>72091.859999999986</v>
      </c>
      <c r="AH1013" s="10"/>
    </row>
    <row r="1014" spans="1:34" x14ac:dyDescent="0.25">
      <c r="A1014" t="s">
        <v>1277</v>
      </c>
      <c r="B1014" t="s">
        <v>1998</v>
      </c>
      <c r="C1014" s="10"/>
      <c r="D1014" s="10"/>
      <c r="E1014" s="10"/>
      <c r="F1014" s="10">
        <v>146412.34999999998</v>
      </c>
      <c r="G1014" s="10"/>
      <c r="H1014" s="10">
        <v>62121.020000000004</v>
      </c>
      <c r="I1014" s="10"/>
      <c r="J1014" s="10">
        <v>155712.33000000005</v>
      </c>
      <c r="K1014" s="10"/>
      <c r="L1014" s="10">
        <v>147914.19</v>
      </c>
      <c r="M1014" s="10"/>
      <c r="N1014" s="10"/>
      <c r="O1014" s="10"/>
      <c r="P1014" s="10"/>
      <c r="Q1014" s="10">
        <v>82227.320000000007</v>
      </c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</row>
    <row r="1015" spans="1:34" x14ac:dyDescent="0.25">
      <c r="A1015" t="s">
        <v>1277</v>
      </c>
      <c r="B1015" t="s">
        <v>704</v>
      </c>
      <c r="C1015" s="10">
        <v>120174.53000000001</v>
      </c>
      <c r="D1015" s="10">
        <v>204680.78999999992</v>
      </c>
      <c r="E1015" s="10">
        <v>212615.9899999999</v>
      </c>
      <c r="F1015" s="10">
        <v>392962.34000000014</v>
      </c>
      <c r="G1015" s="10">
        <v>173912.14000000007</v>
      </c>
      <c r="H1015" s="10">
        <v>165703.09000000003</v>
      </c>
      <c r="I1015" s="10">
        <v>420506.43999999989</v>
      </c>
      <c r="J1015" s="10">
        <v>217236.44000000015</v>
      </c>
      <c r="K1015" s="10">
        <v>437456.49999999988</v>
      </c>
      <c r="L1015" s="10">
        <v>464036.13000000035</v>
      </c>
      <c r="M1015" s="10">
        <v>248197.49000000005</v>
      </c>
      <c r="N1015" s="10">
        <v>328566.67000000016</v>
      </c>
      <c r="O1015" s="10">
        <v>180711.02999999997</v>
      </c>
      <c r="P1015" s="10">
        <v>212418.72000000003</v>
      </c>
      <c r="Q1015" s="10">
        <v>243527.3</v>
      </c>
      <c r="R1015" s="10">
        <v>263995.74000000011</v>
      </c>
      <c r="S1015" s="10">
        <v>172634.27999999997</v>
      </c>
      <c r="T1015" s="10">
        <v>336400.54000000021</v>
      </c>
      <c r="U1015" s="10">
        <v>413675.82999999978</v>
      </c>
      <c r="V1015" s="10">
        <v>273264.8299999999</v>
      </c>
      <c r="W1015" s="10">
        <v>347966.09</v>
      </c>
      <c r="X1015" s="10">
        <v>203626.08000000002</v>
      </c>
      <c r="Y1015" s="10">
        <v>268380.81000000006</v>
      </c>
      <c r="Z1015" s="10">
        <v>239502.06999999995</v>
      </c>
      <c r="AA1015" s="10">
        <v>106757.90999999999</v>
      </c>
      <c r="AB1015" s="10">
        <v>177213.84000000008</v>
      </c>
      <c r="AC1015" s="10">
        <v>191633.43000000005</v>
      </c>
      <c r="AD1015" s="10">
        <v>253157.92999999996</v>
      </c>
      <c r="AE1015" s="10">
        <v>516419.34000000026</v>
      </c>
      <c r="AF1015" s="10">
        <v>296514.23000000004</v>
      </c>
      <c r="AG1015" s="10">
        <v>182642.84</v>
      </c>
      <c r="AH1015" s="10">
        <v>296571.67000000016</v>
      </c>
    </row>
    <row r="1016" spans="1:34" x14ac:dyDescent="0.25">
      <c r="A1016" t="s">
        <v>1277</v>
      </c>
      <c r="B1016" t="s">
        <v>1999</v>
      </c>
      <c r="C1016" s="10"/>
      <c r="D1016" s="10"/>
      <c r="E1016" s="10">
        <v>17614.330000000002</v>
      </c>
      <c r="F1016" s="10"/>
      <c r="G1016" s="10"/>
      <c r="H1016" s="10"/>
      <c r="I1016" s="10"/>
      <c r="J1016" s="10">
        <v>9735.0499999999993</v>
      </c>
      <c r="K1016" s="10"/>
      <c r="L1016" s="10"/>
      <c r="M1016" s="10"/>
      <c r="N1016" s="10"/>
      <c r="O1016" s="10">
        <v>6917.3099999999995</v>
      </c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</row>
    <row r="1017" spans="1:34" x14ac:dyDescent="0.25">
      <c r="A1017" t="s">
        <v>1277</v>
      </c>
      <c r="B1017" t="s">
        <v>705</v>
      </c>
      <c r="C1017" s="10">
        <v>207117.59000000003</v>
      </c>
      <c r="D1017" s="10">
        <v>129913.02000000002</v>
      </c>
      <c r="E1017" s="10">
        <v>380687.41000000009</v>
      </c>
      <c r="F1017" s="10">
        <v>93244.85</v>
      </c>
      <c r="G1017" s="10">
        <v>287602.73</v>
      </c>
      <c r="H1017" s="10">
        <v>93840.889999999985</v>
      </c>
      <c r="I1017" s="10">
        <v>154445.91</v>
      </c>
      <c r="J1017" s="10"/>
      <c r="K1017" s="10">
        <v>309164.78000000003</v>
      </c>
      <c r="L1017" s="10"/>
      <c r="M1017" s="10">
        <v>192763.27</v>
      </c>
      <c r="N1017" s="10">
        <v>307446.13</v>
      </c>
      <c r="O1017" s="10">
        <v>118753.68</v>
      </c>
      <c r="P1017" s="10">
        <v>150095.62</v>
      </c>
      <c r="Q1017" s="10">
        <v>145613.41999999998</v>
      </c>
      <c r="R1017" s="10">
        <v>139779.23000000001</v>
      </c>
      <c r="S1017" s="10">
        <v>435386.82</v>
      </c>
      <c r="T1017" s="10">
        <v>233018.34999999998</v>
      </c>
      <c r="U1017" s="10">
        <v>274434.09999999998</v>
      </c>
      <c r="V1017" s="10">
        <v>117991.36</v>
      </c>
      <c r="W1017" s="10"/>
      <c r="X1017" s="10">
        <v>49089.599999999999</v>
      </c>
      <c r="Y1017" s="10">
        <v>202868.08000000002</v>
      </c>
      <c r="Z1017" s="10"/>
      <c r="AA1017" s="10">
        <v>281358.75</v>
      </c>
      <c r="AB1017" s="10"/>
      <c r="AC1017" s="10">
        <v>155599.65</v>
      </c>
      <c r="AD1017" s="10"/>
      <c r="AE1017" s="10">
        <v>225988.95</v>
      </c>
      <c r="AF1017" s="10"/>
      <c r="AG1017" s="10">
        <v>404852.67</v>
      </c>
      <c r="AH1017" s="10"/>
    </row>
    <row r="1018" spans="1:34" x14ac:dyDescent="0.25">
      <c r="A1018" t="s">
        <v>1277</v>
      </c>
      <c r="B1018" t="s">
        <v>706</v>
      </c>
      <c r="C1018" s="10"/>
      <c r="D1018" s="10"/>
      <c r="E1018" s="10"/>
      <c r="F1018" s="10"/>
      <c r="G1018" s="10"/>
      <c r="H1018" s="10"/>
      <c r="I1018" s="10">
        <v>72951.37999999999</v>
      </c>
      <c r="J1018" s="10"/>
      <c r="K1018" s="10"/>
      <c r="L1018" s="10">
        <v>26314.54</v>
      </c>
      <c r="M1018" s="10"/>
      <c r="N1018" s="10"/>
      <c r="O1018" s="10">
        <v>160217.22999999998</v>
      </c>
      <c r="P1018" s="10"/>
      <c r="Q1018" s="10"/>
      <c r="R1018" s="10"/>
      <c r="S1018" s="10">
        <v>79875.44</v>
      </c>
      <c r="T1018" s="10">
        <v>6846.58</v>
      </c>
      <c r="U1018" s="10"/>
      <c r="V1018" s="10">
        <v>31443.339999999997</v>
      </c>
      <c r="W1018" s="10"/>
      <c r="X1018" s="10"/>
      <c r="Y1018" s="10">
        <v>99598.25</v>
      </c>
      <c r="Z1018" s="10">
        <v>31052.749999999996</v>
      </c>
      <c r="AA1018" s="10"/>
      <c r="AB1018" s="10"/>
      <c r="AC1018" s="10"/>
      <c r="AD1018" s="10">
        <v>90369.920000000013</v>
      </c>
      <c r="AE1018" s="10">
        <v>47045.4</v>
      </c>
      <c r="AF1018" s="10"/>
      <c r="AG1018" s="10">
        <v>37656.049999999996</v>
      </c>
      <c r="AH1018" s="10"/>
    </row>
    <row r="1019" spans="1:34" x14ac:dyDescent="0.25">
      <c r="A1019" t="s">
        <v>1277</v>
      </c>
      <c r="B1019" t="s">
        <v>2000</v>
      </c>
      <c r="C1019" s="10"/>
      <c r="D1019" s="10"/>
      <c r="E1019" s="10"/>
      <c r="F1019" s="10"/>
      <c r="G1019" s="10"/>
      <c r="H1019" s="10">
        <v>60624.09</v>
      </c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</row>
    <row r="1020" spans="1:34" x14ac:dyDescent="0.25">
      <c r="A1020" t="s">
        <v>1277</v>
      </c>
      <c r="B1020" t="s">
        <v>708</v>
      </c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>
        <v>11609.33</v>
      </c>
      <c r="P1020" s="10"/>
      <c r="Q1020" s="10">
        <v>2237.75</v>
      </c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>
        <v>1227.8499999999999</v>
      </c>
      <c r="AE1020" s="10"/>
      <c r="AF1020" s="10"/>
      <c r="AG1020" s="10"/>
      <c r="AH1020" s="10"/>
    </row>
    <row r="1021" spans="1:34" x14ac:dyDescent="0.25">
      <c r="A1021" t="s">
        <v>1277</v>
      </c>
      <c r="B1021" t="s">
        <v>686</v>
      </c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>
        <v>60396.369999999995</v>
      </c>
      <c r="U1021" s="10"/>
      <c r="V1021" s="10">
        <v>191530.75</v>
      </c>
      <c r="W1021" s="10"/>
      <c r="X1021" s="10"/>
      <c r="Y1021" s="10"/>
      <c r="Z1021" s="10">
        <v>2958.4300000000003</v>
      </c>
      <c r="AA1021" s="10"/>
      <c r="AB1021" s="10"/>
      <c r="AC1021" s="10"/>
      <c r="AD1021" s="10">
        <v>216796.63999999998</v>
      </c>
      <c r="AE1021" s="10">
        <v>130229.26</v>
      </c>
      <c r="AF1021" s="10">
        <v>93901.260000000009</v>
      </c>
      <c r="AG1021" s="10"/>
      <c r="AH1021" s="10"/>
    </row>
  </sheetData>
  <dataConsolidate/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!>740BL  ?5@A?5:B82C 5@8>4 
</file>

<file path=customXml/item6.xml>�� 
</file>

<file path=customXml/item7.xml>�� 
</file>

<file path=customXml/item8.xml>�� <5@0 <5@0 
</file>

<file path=customXml/item9.xml>�� 5@8>4 5@8>4 0G0;L=K9  ?5@8>4 0G0;L=K9  ?5@8>4 "01;8F0 "01;8F0 !B>;15F !B>;15F @>4068_ ! @>4068_ ! !C<<0  ?>  AB>;1FC  K@CG:0 !C<<0  ?>  AB>;1FC  K@CG:0 $>@<C;0 !53<5=B @C??0  4>ABC?0 !. >;6=>ABL ;85=B_ >;>2=>5 5@8>4,   <5AOF K@CG:0 5@8>4,   <5AOF  ( >4 5@8>4,   <5AOF  ( 20@B0; 5@8>4,   <5AOF  ( =45:A  <5AOF0 5@8>4,   <5AOF  ( 5AOF !C<<0  ?>  AB>;1FC  K@CG:0 K@CG:0 !C<<0  ?>  AB>;1FC  K@CG:0 K@CG:0 !C<<0  ?>  AB>;1FC  K@CG:0 K@CG:0 !C<<0  ?>  AB>;1FC  K@CG:0 !C<<0  ?>  AB>;1FC  K@CG:0 $>@<C;0 !53<5=B @C??0  4>ABC?0 !. >;6=>ABL ;85=B_ >;>2=>5 5@8>4,   <5AOF K@CG:0 5@8>4,   <5AOF  ( >4 5@8>4,   <5AOF  ( 20@B0; 5@8>4,   <5AOF  ( =45:A  <5AOF0 5@8>4,   <5AOF  ( 5AOF !C<<0  ?>  AB>;1FC  K@CG:0 K@CG:0 !C<<0  ?>  AB>;1FC  K@CG:0 K@CG:0 !C<<0  ?>  AB>;1FC  K@CG:0 K@CG:0 5@8>4 5@8>4 <5@0 <5@0 $>@<C;0  0AG5B=K9  ?5@8>4 0G0;L=K9  ?5@8>4 <5@0 <5@0 $>@<C;0  0AG5B=K9  ?5@8>4 0G0;L=K9  ?5@8>4 
</file>

<file path=customXml/item10.xml>�� <5@0 <5@0 
</file>

<file path=customXml/item11.xml>�� @>4068_ ! @>4068_ ! !53<5=B @C??0  4>ABC?0 !. >;6=>ABL ;85=B_ >;>2=>5 5@8>4,   <5AOF K@CG:0 5@8>4,   <5AOF  ( >4 5@8>4,   <5AOF  ( 20@B0; 5@8>4,   <5AOF  ( =45:A  <5AOF0 5@8>4,   <5AOF  ( 5AOF 5@8>4 5@8>4 0G0;L=K9  ?5@8>4 "01;8F0 "01;8F0 !B>;15F 5@8>4 5@8>4  0AG5B=K9  ?5@8>4 0G0;L=K9  ?5@8>4 
</file>

<file path=customXml/item12.xml>�� @>4068_ ! !53<5=B @C??0  4>ABC?0 !. >;6=>ABL ;85=B_ >;>2=>5 5@8>4,   <5AOF K@CG:0 5@8>4,   <5AOF  ( >4 5@8>4,   <5AOF  ( 20@B0; 5@8>4,   <5AOF  ( =45:A  <5AOF0 5@8>4,   <5AOF  ( 5AOF !53<5=B @C??0  4>ABC?0 !. >;6=>ABL ;85=B_ >;>2=>5 5@8>4,   <5AOF K@CG:0 5@8>4,   <5AOF  ( >4 5@8>4,   <5AOF  ( 20@B0; 5@8>4,   <5AOF  ( =45:A  <5AOF0 5@8>4,   <5AOF  ( 5AOF 
</file>

<file path=customXml/item13.xml>�� 5@8>4  0AG5B=K9  ?5@8>4 0G0;L=K9  ?5@8>4  0AG5B=K9  ?5@8>4 0G0;L=K9  ?5@8>4 
</file>

<file path=customXml/item14.xml>�� 
</file>

<file path=customXml/item15.xml>�� "01;8F0 !B>;15F !B>;15F 
</file>

<file path=customXml/item16.xml>�� @>4068_ ! 5@8>4 
</file>

<file path=customXml/item17.xml>�� @>4068_ ! 5@8>4 
</file>

<file path=customXml/item18.xml>�� 5@8>4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3C6F43D7-DAFB-4DA3-B991-B6C41D368B0B}">
  <ds:schemaRefs/>
</ds:datastoreItem>
</file>

<file path=customXml/itemProps2.xml><?xml version="1.0" encoding="utf-8"?>
<ds:datastoreItem xmlns:ds="http://schemas.openxmlformats.org/officeDocument/2006/customXml" ds:itemID="{1E1E4757-E151-4B17-BD38-F23C2F68D640}">
  <ds:schemaRefs/>
</ds:datastoreItem>
</file>

<file path=customXml/itemProps3.xml><?xml version="1.0" encoding="utf-8"?>
<ds:datastoreItem xmlns:ds="http://schemas.openxmlformats.org/officeDocument/2006/customXml" ds:itemID="{46C9898D-9140-405B-975B-3F2D60EE6415}">
  <ds:schemaRefs/>
</ds:datastoreItem>
</file>

<file path=customXml/itemProps4.xml><?xml version="1.0" encoding="utf-8"?>
<ds:datastoreItem xmlns:ds="http://schemas.openxmlformats.org/officeDocument/2006/customXml" ds:itemID="{383AE37A-3BA2-4810-81FF-7761659C7957}">
  <ds:schemaRefs/>
</ds:datastoreItem>
</file>

<file path=customXml/itemProps5.xml><?xml version="1.0" encoding="utf-8"?>
<ds:datastoreItem xmlns:ds="http://schemas.openxmlformats.org/officeDocument/2006/customXml" ds:itemID="{3DBE3BB0-2708-4919-9BFD-C37B2FC1DE73}">
  <ds:schemaRefs/>
</ds:datastoreItem>
</file>

<file path=customXml/itemProps6.xml><?xml version="1.0" encoding="utf-8"?>
<ds:datastoreItem xmlns:ds="http://schemas.openxmlformats.org/officeDocument/2006/customXml" ds:itemID="{82F74D68-4F38-4787-B443-9B2CF4869922}">
  <ds:schemaRefs/>
</ds:datastoreItem>
</file>

<file path=customXml/itemProps7.xml><?xml version="1.0" encoding="utf-8"?>
<ds:datastoreItem xmlns:ds="http://schemas.openxmlformats.org/officeDocument/2006/customXml" ds:itemID="{B8CD9D28-88F3-4595-8DFC-F2EABA2FCD6A}">
  <ds:schemaRefs/>
</ds:datastoreItem>
</file>

<file path=customXml/itemProps8.xml><?xml version="1.0" encoding="utf-8"?>
<ds:datastoreItem xmlns:ds="http://schemas.openxmlformats.org/officeDocument/2006/customXml" ds:itemID="{5B2DF43A-2BB0-4419-826D-A49CEE739C7D}">
  <ds:schemaRefs/>
</ds:datastoreItem>
</file>

<file path=customXml/itemProps9.xml><?xml version="1.0" encoding="utf-8"?>
<ds:datastoreItem xmlns:ds="http://schemas.openxmlformats.org/officeDocument/2006/customXml" ds:itemID="{7DC700AE-B0D5-44A9-9BA7-7299AD43610C}">
  <ds:schemaRefs/>
</ds:datastoreItem>
</file>

<file path=customXml/itemProps10.xml><?xml version="1.0" encoding="utf-8"?>
<ds:datastoreItem xmlns:ds="http://schemas.openxmlformats.org/officeDocument/2006/customXml" ds:itemID="{B0575EF2-D28D-4ED4-B852-276D5E074007}">
  <ds:schemaRefs/>
</ds:datastoreItem>
</file>

<file path=customXml/itemProps11.xml><?xml version="1.0" encoding="utf-8"?>
<ds:datastoreItem xmlns:ds="http://schemas.openxmlformats.org/officeDocument/2006/customXml" ds:itemID="{CB994DC1-6F62-4A6F-924E-D675C75F6C92}">
  <ds:schemaRefs/>
</ds:datastoreItem>
</file>

<file path=customXml/itemProps12.xml><?xml version="1.0" encoding="utf-8"?>
<ds:datastoreItem xmlns:ds="http://schemas.openxmlformats.org/officeDocument/2006/customXml" ds:itemID="{29280E7A-DA0A-482E-8501-74E672C1BFDA}">
  <ds:schemaRefs/>
</ds:datastoreItem>
</file>

<file path=customXml/itemProps13.xml><?xml version="1.0" encoding="utf-8"?>
<ds:datastoreItem xmlns:ds="http://schemas.openxmlformats.org/officeDocument/2006/customXml" ds:itemID="{53811FD2-59C9-4B36-AB4F-EA1109F5AD01}">
  <ds:schemaRefs/>
</ds:datastoreItem>
</file>

<file path=customXml/itemProps14.xml><?xml version="1.0" encoding="utf-8"?>
<ds:datastoreItem xmlns:ds="http://schemas.openxmlformats.org/officeDocument/2006/customXml" ds:itemID="{67E1A745-A4C8-4E8B-9017-1256899D4FD4}">
  <ds:schemaRefs/>
</ds:datastoreItem>
</file>

<file path=customXml/itemProps15.xml><?xml version="1.0" encoding="utf-8"?>
<ds:datastoreItem xmlns:ds="http://schemas.openxmlformats.org/officeDocument/2006/customXml" ds:itemID="{E8360696-BA8D-4EA3-9ABB-A33CFC98C417}">
  <ds:schemaRefs/>
</ds:datastoreItem>
</file>

<file path=customXml/itemProps16.xml><?xml version="1.0" encoding="utf-8"?>
<ds:datastoreItem xmlns:ds="http://schemas.openxmlformats.org/officeDocument/2006/customXml" ds:itemID="{AF9B78D4-8B3D-4FAC-9B36-B6ABD631A67B}">
  <ds:schemaRefs/>
</ds:datastoreItem>
</file>

<file path=customXml/itemProps17.xml><?xml version="1.0" encoding="utf-8"?>
<ds:datastoreItem xmlns:ds="http://schemas.openxmlformats.org/officeDocument/2006/customXml" ds:itemID="{6C217C69-6F88-4AFC-871B-04975F317EE9}">
  <ds:schemaRefs/>
</ds:datastoreItem>
</file>

<file path=customXml/itemProps18.xml><?xml version="1.0" encoding="utf-8"?>
<ds:datastoreItem xmlns:ds="http://schemas.openxmlformats.org/officeDocument/2006/customXml" ds:itemID="{A25057D2-77B7-492C-8205-E0CAA02409D8}">
  <ds:schemaRefs/>
</ds:datastoreItem>
</file>

<file path=customXml/itemProps19.xml><?xml version="1.0" encoding="utf-8"?>
<ds:datastoreItem xmlns:ds="http://schemas.openxmlformats.org/officeDocument/2006/customXml" ds:itemID="{2FE72FF5-07C2-450A-8292-C02AB6DBBC8C}">
  <ds:schemaRefs/>
</ds:datastoreItem>
</file>

<file path=customXml/itemProps20.xml><?xml version="1.0" encoding="utf-8"?>
<ds:datastoreItem xmlns:ds="http://schemas.openxmlformats.org/officeDocument/2006/customXml" ds:itemID="{BDC5B1FA-DDF0-4861-B1EB-28EE56B5CEE8}">
  <ds:schemaRefs/>
</ds:datastoreItem>
</file>

<file path=customXml/itemProps21.xml><?xml version="1.0" encoding="utf-8"?>
<ds:datastoreItem xmlns:ds="http://schemas.openxmlformats.org/officeDocument/2006/customXml" ds:itemID="{7C85523C-E502-4665-B005-0EDD79677692}">
  <ds:schemaRefs/>
</ds:datastoreItem>
</file>

<file path=customXml/itemProps22.xml><?xml version="1.0" encoding="utf-8"?>
<ds:datastoreItem xmlns:ds="http://schemas.openxmlformats.org/officeDocument/2006/customXml" ds:itemID="{9F3679F7-5A7C-453C-A4FD-7201A397B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ВСП</vt:lpstr>
      <vt:lpstr>МР</vt:lpstr>
      <vt:lpstr>Лист1</vt:lpstr>
      <vt:lpstr>Список_клиентов</vt:lpstr>
      <vt:lpstr>Свод_Н_Кл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Жигульских Евгений Олегович</dc:creator>
  <cp:lastModifiedBy>Жигульских Евгений Олегович</cp:lastModifiedBy>
  <dcterms:created xsi:type="dcterms:W3CDTF">2015-06-05T18:19:34Z</dcterms:created>
  <dcterms:modified xsi:type="dcterms:W3CDTF">2023-10-02T13:22:07Z</dcterms:modified>
</cp:coreProperties>
</file>